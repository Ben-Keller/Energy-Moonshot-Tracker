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harset val="1"/>
      <family val="2"/>
      <b val="1"/>
      <color rgb="FFFF0000"/>
      <sz val="11"/>
    </font>
    <font>
      <name val="Calibri"/>
      <family val="2"/>
      <color rgb="FFFF0000"/>
      <sz val="11"/>
      <scheme val="minor"/>
    </font>
    <font>
      <name val="Calibri"/>
      <charset val="1"/>
      <color rgb="FF000000"/>
      <sz val="11"/>
    </font>
    <font>
      <name val="Calibri"/>
      <charset val="1"/>
      <family val="2"/>
      <color rgb="FF444444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rgb="FF333333"/>
      <sz val="12"/>
    </font>
    <font>
      <name val="Calibri"/>
      <family val="2"/>
      <color theme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/>
    </xf>
    <xf numFmtId="0" fontId="6" fillId="0" borderId="0" pivotButton="0" quotePrefix="0" xfId="0"/>
    <xf numFmtId="0" fontId="0" fillId="3" borderId="0" applyAlignment="1" pivotButton="0" quotePrefix="0" xfId="0">
      <alignment vertical="center" wrapText="1"/>
    </xf>
    <xf numFmtId="0" fontId="2" fillId="0" borderId="0" pivotButton="0" quotePrefix="0" xfId="0"/>
    <xf numFmtId="9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wrapText="1"/>
    </xf>
    <xf numFmtId="0" fontId="0" fillId="3" borderId="2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wrapText="1"/>
    </xf>
    <xf numFmtId="0" fontId="10" fillId="0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3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1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9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88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showGridLines="0" tabSelected="1" workbookViewId="0">
      <pane xSplit="1" ySplit="1" topLeftCell="L4" activePane="bottomRight" state="frozen"/>
      <selection pane="bottomRight" activeCell="P10" sqref="P10"/>
      <selection pane="bottomLeft" activeCell="A1" sqref="A1"/>
      <selection pane="topRight" activeCell="A1" sqref="A1"/>
    </sheetView>
  </sheetViews>
  <sheetFormatPr baseColWidth="8" defaultRowHeight="15"/>
  <cols>
    <col width="9.140625" customWidth="1" style="3" min="1" max="1"/>
    <col width="24.28515625" bestFit="1" customWidth="1" style="3" min="2" max="2"/>
    <col width="45" customWidth="1" style="3" min="3" max="3"/>
    <col width="13.7109375" bestFit="1" customWidth="1" style="3" min="4" max="4"/>
    <col width="13.7109375" bestFit="1" customWidth="1" style="3" min="5" max="5"/>
    <col width="13.7109375" customWidth="1" style="3" min="6" max="6"/>
    <col width="13.7109375" customWidth="1" style="3" min="7" max="7"/>
    <col width="13.7109375" customWidth="1" style="3" min="8" max="8"/>
    <col width="32.7109375" customWidth="1" style="3" min="9" max="9"/>
    <col width="9.140625" customWidth="1" style="3" min="10" max="10"/>
    <col width="24.85546875" customWidth="1" style="3" min="11" max="11"/>
    <col width="32.140625" customWidth="1" style="3" min="12" max="12"/>
    <col width="9.140625" customWidth="1" style="3" min="13" max="13"/>
    <col width="31.7109375" bestFit="1" customWidth="1" style="3" min="14" max="14"/>
    <col width="17.5703125" bestFit="1" customWidth="1" style="3" min="15" max="15"/>
    <col width="16.140625" customWidth="1" style="3" min="16" max="16"/>
    <col width="16.5703125" bestFit="1" customWidth="1" style="3" min="17" max="17"/>
    <col width="18.140625" bestFit="1" customWidth="1" style="3" min="18" max="18"/>
    <col width="11.28515625" bestFit="1" customWidth="1" style="3" min="19" max="19"/>
    <col width="30.28515625" bestFit="1" customWidth="1" style="3" min="20" max="20"/>
    <col width="16.7109375" bestFit="1" customWidth="1" style="3" min="21" max="21"/>
    <col width="9.140625" customWidth="1" style="3" min="22" max="16384"/>
  </cols>
  <sheetData>
    <row r="1">
      <c r="A1" s="13" t="inlineStr">
        <is>
          <t>Project ID</t>
        </is>
      </c>
      <c r="B1" s="13" t="inlineStr">
        <is>
          <t>Title</t>
        </is>
      </c>
      <c r="C1" s="13" t="inlineStr">
        <is>
          <t>Link</t>
        </is>
      </c>
      <c r="D1" s="13" t="inlineStr">
        <is>
          <t>Budget</t>
        </is>
      </c>
      <c r="E1" s="13" t="inlineStr">
        <is>
          <t>Start Year</t>
        </is>
      </c>
      <c r="F1" s="13" t="inlineStr">
        <is>
          <t>End Year</t>
        </is>
      </c>
      <c r="G1" s="13" t="inlineStr">
        <is>
          <t>Status</t>
        </is>
      </c>
      <c r="H1" s="13" t="inlineStr">
        <is>
          <t>VF or Non-VF</t>
        </is>
      </c>
      <c r="I1" s="13" t="inlineStr">
        <is>
          <t>Beneficiary Category</t>
        </is>
      </c>
      <c r="J1" s="13" t="inlineStr">
        <is>
          <t>Indicator</t>
        </is>
      </c>
      <c r="K1" s="13" t="inlineStr">
        <is>
          <t>Baseline</t>
        </is>
      </c>
      <c r="L1" s="13" t="inlineStr">
        <is>
          <t>Target</t>
        </is>
      </c>
      <c r="M1" s="13" t="inlineStr">
        <is>
          <t>Notes</t>
        </is>
      </c>
      <c r="N1" s="13" t="inlineStr">
        <is>
          <t>Donors</t>
        </is>
      </c>
      <c r="O1" s="14" t="inlineStr">
        <is>
          <t>Gender (% female)</t>
        </is>
      </c>
      <c r="P1" s="33" t="inlineStr">
        <is>
          <t>Tag</t>
        </is>
      </c>
      <c r="Q1" s="14" t="inlineStr">
        <is>
          <t>SEH Taxonomy</t>
        </is>
      </c>
      <c r="R1" s="14" t="inlineStr">
        <is>
          <t>RISE Taxonomy</t>
        </is>
      </c>
      <c r="S1" s="33" t="inlineStr">
        <is>
          <t>Flagship</t>
        </is>
      </c>
      <c r="T1" s="33" t="inlineStr">
        <is>
          <t>Indirect Category</t>
        </is>
      </c>
      <c r="U1" s="34" t="inlineStr">
        <is>
          <t>Indirect Taxonomy</t>
        </is>
      </c>
      <c r="V1" s="35" t="inlineStr">
        <is>
          <t>Technology</t>
        </is>
      </c>
      <c r="W1" s="34" t="inlineStr">
        <is>
          <t>Policy or Regulatory Framework</t>
        </is>
      </c>
      <c r="X1" s="35" t="inlineStr">
        <is>
          <t>Policy Population</t>
        </is>
      </c>
    </row>
    <row r="2" ht="91.5" customHeight="1">
      <c r="A2" s="15" t="n">
        <v>5989</v>
      </c>
      <c r="B2" s="15" t="inlineStr">
        <is>
          <t>Sustainable Energy Access</t>
        </is>
      </c>
      <c r="C2" s="45" t="inlineStr">
        <is>
          <t>https://co.pims.undp.org/project/view?id=5989</t>
        </is>
      </c>
      <c r="D2" s="15" t="n">
        <v>3540468</v>
      </c>
      <c r="E2" s="52" t="n"/>
      <c r="F2" s="52" t="n"/>
      <c r="G2" s="52" t="n"/>
      <c r="H2" s="15" t="inlineStr">
        <is>
          <t>VF</t>
        </is>
      </c>
      <c r="I2" s="15" t="inlineStr">
        <is>
          <t>Electricity Access</t>
        </is>
      </c>
      <c r="J2" s="24" t="inlineStr">
        <is>
          <t>Number and proportion of households benefitting from clean, affordable and sustainable energy access
(project will target rural households only)</t>
        </is>
      </c>
      <c r="K2" s="25" t="inlineStr">
        <is>
          <t>3385 HH</t>
        </is>
      </c>
      <c r="L2" s="25" t="inlineStr">
        <is>
          <t>14200 HH</t>
        </is>
      </c>
      <c r="M2" s="25" t="inlineStr">
        <is>
          <t xml:space="preserve">The implementation of the project started in September in 2024. </t>
        </is>
      </c>
      <c r="N2" s="15" t="inlineStr">
        <is>
          <t>GEF</t>
        </is>
      </c>
      <c r="O2" s="16" t="n">
        <v>0.5</v>
      </c>
      <c r="P2" s="15" t="n"/>
      <c r="Q2" s="37" t="inlineStr">
        <is>
          <t>Close the gap on energy access</t>
        </is>
      </c>
      <c r="R2" s="15" t="inlineStr">
        <is>
          <t>Electricity Access</t>
        </is>
      </c>
      <c r="S2" s="15" t="n"/>
      <c r="T2" s="15" t="n"/>
      <c r="U2" s="15" t="n"/>
      <c r="V2" s="38" t="inlineStr">
        <is>
          <t>Solar</t>
        </is>
      </c>
      <c r="W2" s="15" t="n"/>
      <c r="X2" s="38" t="n"/>
    </row>
    <row r="3" ht="376.5" customHeight="1">
      <c r="A3" s="15" t="n"/>
      <c r="B3" s="15" t="n"/>
      <c r="C3" s="45" t="n"/>
      <c r="D3" s="15" t="n"/>
      <c r="E3" s="15" t="n"/>
      <c r="F3" s="15" t="n"/>
      <c r="G3" s="15" t="n"/>
      <c r="H3" s="15" t="n"/>
      <c r="I3" s="15" t="inlineStr">
        <is>
          <t>Energy (MW added)</t>
        </is>
      </c>
      <c r="J3" s="24" t="inlineStr">
        <is>
          <t>Installed capacity in MW for access/productive-use outputs</t>
        </is>
      </c>
      <c r="K3" s="25" t="n">
        <v>0</v>
      </c>
      <c r="L3" s="53" t="n"/>
      <c r="M3" s="53" t="inlineStr">
        <is>
          <t>[AUTO-ADDED] Project reports access/productive-use beneficiary numbers but no MW value. Please add installed capacity (MW) or confirm not applicable.</t>
        </is>
      </c>
      <c r="N3" s="15" t="n"/>
      <c r="O3" s="16" t="n"/>
      <c r="P3" s="15" t="n"/>
      <c r="Q3" s="37" t="n"/>
      <c r="R3" s="15" t="n"/>
      <c r="S3" s="15" t="n"/>
      <c r="T3" s="15" t="n"/>
      <c r="U3" s="15" t="n"/>
      <c r="V3" s="38" t="n"/>
      <c r="W3" s="15" t="n"/>
      <c r="X3" s="38" t="n"/>
    </row>
    <row r="4" ht="76.5" customHeight="1">
      <c r="A4" s="17" t="n">
        <v>5331</v>
      </c>
      <c r="B4" s="17" t="inlineStr">
        <is>
          <t>Angola Charcoal</t>
        </is>
      </c>
      <c r="C4" s="44" t="inlineStr">
        <is>
          <t>https://co.pims.undp.org/project/view?id=5331</t>
        </is>
      </c>
      <c r="D4" s="17" t="n">
        <v>4620000</v>
      </c>
      <c r="E4" s="54" t="n"/>
      <c r="F4" s="54" t="n"/>
      <c r="G4" s="54" t="n"/>
      <c r="H4" s="17" t="inlineStr">
        <is>
          <t>VF</t>
        </is>
      </c>
      <c r="I4" s="3" t="inlineStr">
        <is>
          <t>GHG Emissions Reduction</t>
        </is>
      </c>
      <c r="J4" s="26" t="inlineStr">
        <is>
          <t xml:space="preserve">(Aa) Achieved direct GHG emission reductions over lifetime (ton CO2eq);
tCO2
(Ab) Estimated indirect GHG emission reductions over lifetime (ton CO2eq);        </t>
        </is>
      </c>
      <c r="K4" s="26" t="inlineStr">
        <is>
          <t xml:space="preserve">(Aa) 0 ton CO2eq;
(Ab) 0 ton CO2eq;
</t>
        </is>
      </c>
      <c r="L4" s="26">
        <f>0.209+1.4</f>
        <v/>
      </c>
      <c r="M4" s="26" t="inlineStr">
        <is>
          <t>Project closing in 2023; Indirect beneficiaries 1200000; from comment: "Small number for tCO@ reduced direct"</t>
        </is>
      </c>
      <c r="N4" s="15" t="inlineStr">
        <is>
          <t>GEF</t>
        </is>
      </c>
      <c r="O4" s="16" t="n">
        <v>0.25</v>
      </c>
      <c r="P4" s="15" t="n"/>
      <c r="Q4" s="37" t="inlineStr">
        <is>
          <t>Accelerating just energy transition</t>
        </is>
      </c>
      <c r="R4" s="15" t="n"/>
      <c r="S4" s="15" t="n"/>
      <c r="T4" s="15" t="n"/>
      <c r="U4" s="15" t="n"/>
      <c r="V4" s="38" t="n"/>
      <c r="W4" s="15" t="n"/>
      <c r="X4" s="38" t="n"/>
    </row>
    <row r="5" ht="60.75" customHeight="1">
      <c r="A5" s="18" t="n"/>
      <c r="B5" s="19" t="n"/>
      <c r="C5" s="19" t="n"/>
      <c r="D5" s="20" t="n"/>
      <c r="E5" s="20" t="n"/>
      <c r="F5" s="20" t="n"/>
      <c r="G5" s="20" t="n"/>
      <c r="H5" s="20" t="n"/>
      <c r="I5" s="27" t="inlineStr">
        <is>
          <t>Clean Cooking</t>
        </is>
      </c>
      <c r="J5" s="28" t="inlineStr">
        <is>
          <t xml:space="preserve">(Ba) Number of people with improved energy access as a result of UNDP-supported intervention.
</t>
        </is>
      </c>
      <c r="K5" s="29" t="n">
        <v>0</v>
      </c>
      <c r="L5" s="29" t="inlineStr">
        <is>
          <t xml:space="preserve">10000
</t>
        </is>
      </c>
      <c r="M5" s="15" t="inlineStr">
        <is>
          <t>Project closing in 2023</t>
        </is>
      </c>
      <c r="N5" s="21" t="inlineStr">
        <is>
          <t>GEF</t>
        </is>
      </c>
      <c r="O5" s="16" t="n">
        <v>0.25</v>
      </c>
      <c r="P5" s="15" t="n"/>
      <c r="Q5" s="37" t="inlineStr">
        <is>
          <t>Accelerating just energy transition</t>
        </is>
      </c>
      <c r="R5" s="15" t="n"/>
      <c r="S5" s="15" t="n"/>
      <c r="T5" s="15" t="n"/>
      <c r="U5" s="15" t="n"/>
      <c r="V5" s="38" t="n"/>
      <c r="W5" s="15" t="n"/>
      <c r="X5" s="38" t="n"/>
    </row>
    <row r="6">
      <c r="A6" s="22" t="n"/>
      <c r="B6" s="23" t="n"/>
      <c r="C6" s="23" t="n"/>
      <c r="D6" s="23" t="n"/>
      <c r="E6" s="23" t="n"/>
      <c r="F6" s="23" t="n"/>
      <c r="G6" s="23" t="n"/>
      <c r="H6" s="23" t="n"/>
      <c r="I6" s="29" t="inlineStr">
        <is>
          <t>Policy or Regulatory Framework</t>
        </is>
      </c>
      <c r="J6" s="30" t="inlineStr">
        <is>
          <t>(C) Policy and regulatory framework for sustainable charcoal sector supported.</t>
        </is>
      </c>
      <c r="K6" s="29" t="inlineStr">
        <is>
          <t>(C) rated “1” (no policy/regulation/
strategy in place)</t>
        </is>
      </c>
      <c r="L6" s="28" t="inlineStr">
        <is>
          <t>rated “4” (policy/ regulation/strategy adopted but not enforced)</t>
        </is>
      </c>
      <c r="M6" s="15" t="inlineStr">
        <is>
          <t>Project closing in 2023</t>
        </is>
      </c>
      <c r="N6" s="21" t="inlineStr">
        <is>
          <t>GEF</t>
        </is>
      </c>
      <c r="O6" s="16" t="n">
        <v>0.25</v>
      </c>
      <c r="P6" s="15" t="n"/>
      <c r="Q6" s="37" t="inlineStr">
        <is>
          <t>Accelerating just energy transition</t>
        </is>
      </c>
      <c r="R6" s="15" t="inlineStr">
        <is>
          <t>Clean Cooking</t>
        </is>
      </c>
      <c r="S6" s="15" t="n"/>
      <c r="T6" s="15" t="inlineStr">
        <is>
          <t>National Strategy</t>
        </is>
      </c>
      <c r="U6" s="15" t="n"/>
      <c r="V6" s="38" t="n"/>
      <c r="W6" s="15" t="inlineStr">
        <is>
          <t>National</t>
        </is>
      </c>
      <c r="X6" s="38" t="n"/>
    </row>
    <row r="7">
      <c r="A7" s="22" t="n"/>
      <c r="B7" s="23" t="n"/>
      <c r="C7" s="23" t="n"/>
      <c r="D7" s="23" t="n"/>
      <c r="E7" s="23" t="n"/>
      <c r="F7" s="23" t="n"/>
      <c r="G7" s="23" t="n"/>
      <c r="H7" s="23" t="n"/>
      <c r="I7" s="29" t="inlineStr">
        <is>
          <t>Energy (MW added)</t>
        </is>
      </c>
      <c r="J7" s="30" t="inlineStr">
        <is>
          <t>Installed capacity in MW for access/productive-use outputs</t>
        </is>
      </c>
      <c r="K7" s="29" t="n">
        <v>0</v>
      </c>
      <c r="L7" s="55" t="n"/>
      <c r="M7" s="52" t="inlineStr">
        <is>
          <t>[AUTO-ADDED] Project reports access/productive-use beneficiary numbers but no MW value. Please add installed capacity (MW) or confirm not applicable.</t>
        </is>
      </c>
      <c r="N7" s="21" t="n"/>
      <c r="O7" s="16" t="n"/>
      <c r="P7" s="15" t="n"/>
      <c r="Q7" s="37" t="n"/>
      <c r="R7" s="15" t="n"/>
      <c r="S7" s="15" t="n"/>
      <c r="T7" s="15" t="n"/>
      <c r="U7" s="15" t="n"/>
      <c r="V7" s="38" t="n"/>
      <c r="W7" s="15" t="n"/>
      <c r="X7" s="38" t="n"/>
    </row>
    <row r="8">
      <c r="A8" s="3" t="n">
        <v>143527</v>
      </c>
      <c r="B8" s="3" t="inlineStr">
        <is>
          <t>Angola TRAC 2 Programming</t>
        </is>
      </c>
      <c r="C8" s="45" t="inlineStr">
        <is>
          <t>https://open.undp.org/projects/00143527</t>
        </is>
      </c>
      <c r="D8" s="3" t="n">
        <v>3620000</v>
      </c>
      <c r="E8" s="56" t="n"/>
      <c r="F8" s="56" t="n"/>
      <c r="G8" s="56" t="n"/>
      <c r="H8" s="3" t="n"/>
      <c r="I8" s="3" t="inlineStr">
        <is>
          <t>Electricity Access</t>
        </is>
      </c>
      <c r="J8" s="3" t="inlineStr">
        <is>
          <t>Number of smallholder farmers with access to renewable energy</t>
        </is>
      </c>
      <c r="K8" s="3" t="n">
        <v>0</v>
      </c>
      <c r="L8" s="3" t="n">
        <v>5000</v>
      </c>
      <c r="N8" s="3" t="inlineStr">
        <is>
          <t>TRAC2</t>
        </is>
      </c>
    </row>
    <row r="9">
      <c r="I9" s="3" t="inlineStr">
        <is>
          <t>Education Services</t>
        </is>
      </c>
      <c r="J9" s="3" t="inlineStr">
        <is>
          <t>Two vocational training centers have been upgraded with solar systems to enable access to electricity and create new training courses on installing and maintaining solar panel</t>
        </is>
      </c>
      <c r="Q9" s="3" t="inlineStr">
        <is>
          <t>Accelerating just energy transition</t>
        </is>
      </c>
      <c r="R9" s="3" t="inlineStr">
        <is>
          <t>Renew Energy</t>
        </is>
      </c>
      <c r="V9" s="3" t="inlineStr">
        <is>
          <t>Solar</t>
        </is>
      </c>
    </row>
    <row r="10">
      <c r="I10" s="3" t="inlineStr">
        <is>
          <t>Energy (MW added)</t>
        </is>
      </c>
      <c r="J10" s="3" t="inlineStr">
        <is>
          <t>Installed capacity in MW for access/productive-use outputs</t>
        </is>
      </c>
      <c r="K10" t="n">
        <v>0</v>
      </c>
      <c r="L10" s="57" t="n"/>
      <c r="M10" s="57" t="inlineStr">
        <is>
          <t>[AUTO-ADDED] Project reports access/productive-use beneficiary numbers but no MW value. Please add installed capacity (MW) or confirm not applicable.</t>
        </is>
      </c>
      <c r="Q10" s="3" t="n"/>
      <c r="R10" s="3" t="n"/>
      <c r="V10" s="3" t="n"/>
    </row>
  </sheetData>
  <dataValidations count="12"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T2:T5" showDropDown="0" showInputMessage="1" showErrorMessage="1" allowBlank="1" type="list">
      <formula1>"National, Regional, City, Community"</formula1>
    </dataValidation>
    <dataValidation sqref="S2:S5" showDropDown="0" showInputMessage="1" showErrorMessage="1" allowBlank="1" type="list">
      <formula1>"Solar, Wind, Bioenergy, Hydro, Geothermal, Waste, Other, Unknown"</formula1>
    </dataValidation>
    <dataValidation sqref="M2:M5" showDropDown="0" showInputMessage="1" showErrorMessage="1" allowBlank="1" type="list">
      <formula1>"Finance, Gender, Efficiency, Just, Health"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H3" sqref="H3"/>
    </sheetView>
  </sheetViews>
  <sheetFormatPr baseColWidth="8" defaultRowHeight="15"/>
  <cols>
    <col width="9.140625" customWidth="1" style="3" min="1" max="1"/>
    <col width="20.7109375" customWidth="1" style="3" min="2" max="3"/>
    <col width="9.140625" customWidth="1" style="3" min="4" max="4"/>
    <col width="20.7109375" customWidth="1" style="3" min="5" max="5"/>
    <col width="24.5703125" customWidth="1" style="3" min="6" max="6"/>
    <col width="15.7109375" customWidth="1" style="3" min="7" max="8"/>
    <col width="32.7109375" customWidth="1" style="3" min="9" max="9"/>
    <col width="9.140625" customWidth="1" style="3" min="10" max="10"/>
    <col width="24.85546875" customWidth="1" style="3" min="11" max="11"/>
    <col width="67.85546875" customWidth="1" style="3" min="12" max="12"/>
    <col width="9.140625" customWidth="1" style="3" min="13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  <c r="K1" s="10" t="inlineStr">
        <is>
          <t>Gender (% female)</t>
        </is>
      </c>
      <c r="L1" s="10" t="inlineStr">
        <is>
          <t>Category</t>
        </is>
      </c>
      <c r="M1" s="10" t="inlineStr">
        <is>
          <t>Comments</t>
        </is>
      </c>
      <c r="N1" s="3" t="inlineStr">
        <is>
          <t>Indirect Beneficiaty</t>
        </is>
      </c>
      <c r="O1" s="10" t="inlineStr">
        <is>
          <t>SEH Taxonomy</t>
        </is>
      </c>
      <c r="P1" s="10" t="inlineStr">
        <is>
          <t>RISE Taxonomy</t>
        </is>
      </c>
      <c r="Q1" s="10" t="inlineStr">
        <is>
          <t>Flagship</t>
        </is>
      </c>
      <c r="R1" s="10" t="inlineStr">
        <is>
          <t>Indirect Category</t>
        </is>
      </c>
      <c r="S1" s="10" t="inlineStr">
        <is>
          <t>Indirect Taxonomy</t>
        </is>
      </c>
      <c r="T1" s="10" t="n"/>
    </row>
    <row r="2" ht="152.25" customHeight="1">
      <c r="A2" s="3" t="n">
        <v>5989</v>
      </c>
      <c r="B2" s="3" t="inlineStr">
        <is>
          <t>Sustainable Energy Access</t>
        </is>
      </c>
      <c r="C2" s="3" t="inlineStr">
        <is>
          <t xml:space="preserve">PIMS+ </t>
        </is>
      </c>
      <c r="D2" s="3" t="n">
        <v>3540468</v>
      </c>
      <c r="E2" s="4" t="inlineStr">
        <is>
          <t>Electricity Access</t>
        </is>
      </c>
      <c r="F2" s="6" t="inlineStr">
        <is>
          <t>Mandatory Indicator 1: Number and proportion of households benefitting from clean, affordable and sustainable energy access
(project will target rural households only)</t>
        </is>
      </c>
      <c r="G2" s="5" t="inlineStr">
        <is>
          <t>3,385 rural households; 1,693 women-headed
(100% households in rural areas; 50% households headed by women)</t>
        </is>
      </c>
      <c r="H2" s="5" t="inlineStr">
        <is>
          <t>14200 HH</t>
        </is>
      </c>
      <c r="I2" s="5" t="inlineStr">
        <is>
          <t>Project starting in 2023. Pending DOA for ProDoc signature and start with Inception phase.</t>
        </is>
      </c>
      <c r="K2" s="11" t="n">
        <v>0.5</v>
      </c>
      <c r="L2" s="3" t="inlineStr">
        <is>
          <t>VF</t>
        </is>
      </c>
      <c r="O2" s="3" t="inlineStr">
        <is>
          <t>Close the gap on energy access</t>
        </is>
      </c>
      <c r="P2" s="3" t="inlineStr">
        <is>
          <t>Electricity Access</t>
        </is>
      </c>
    </row>
    <row r="3" ht="376.5" customHeight="1">
      <c r="A3" s="3" t="n">
        <v>5331</v>
      </c>
      <c r="B3" s="3" t="inlineStr">
        <is>
          <t>Angola Charcoal</t>
        </is>
      </c>
      <c r="C3" s="3" t="inlineStr">
        <is>
          <t>PIMS+ 5331</t>
        </is>
      </c>
      <c r="D3" s="3" t="n">
        <v>4620000</v>
      </c>
      <c r="E3" s="4" t="inlineStr">
        <is>
          <t>Clean Cooking</t>
        </is>
      </c>
      <c r="F3" s="5" t="inlineStr">
        <is>
          <t>(Aa) Achieved direct GHG emission reductions over lifetime (ton CO2eq);
tCO2
(Ab) Estimated indirect GHG emission reductions over lifetime (ton CO2eq);         (Ba)  Number of people with improved energy access as a result of UNDP-supported intervention. 
(Bb) Percentage of households benefitting from improved access to energy which are female-headed households 
(Bc) Average monetary savings by households using sustainable charcoal in efficient stoves (US$/(household–year).         (C)  Policy and regulatory framework for sustainable charcoal sector supported.</t>
        </is>
      </c>
      <c r="G3" s="5" t="inlineStr">
        <is>
          <t xml:space="preserve">(Aa) 0 ton CO2eq;
(Ab) 0 ton CO2eq;
                               (Ba) 0;
(Bb) 25%
(Bc) 0 US$/(hh-y)
                              (C) rated “1” (no policy/regulation/
strategy in place)
</t>
        </is>
      </c>
      <c r="H3" s="5" t="n">
        <v>0.209</v>
      </c>
      <c r="I3" s="4" t="inlineStr">
        <is>
          <t>Project closing in 2023</t>
        </is>
      </c>
      <c r="K3" s="11" t="n">
        <v>0.25</v>
      </c>
      <c r="L3" s="3" t="inlineStr">
        <is>
          <t>VF</t>
        </is>
      </c>
      <c r="M3" s="12" t="inlineStr">
        <is>
          <t>Small number for tCO@ reduced direct</t>
        </is>
      </c>
      <c r="N3" s="3" t="n">
        <v>1200000</v>
      </c>
      <c r="O3" s="3" t="inlineStr">
        <is>
          <t>Accelerating just energy transition</t>
        </is>
      </c>
      <c r="P3" s="3" t="inlineStr">
        <is>
          <t>Clean Cooking</t>
        </is>
      </c>
    </row>
  </sheetData>
  <dataValidations count="5">
    <dataValidation sqref="O2:O3" showDropDown="0" showInputMessage="1" showErrorMessage="1" allowBlank="1" type="list">
      <formula1>"Accelerating just energy transition, Close the gap on energy access, Scale up energy finance"</formula1>
    </dataValidation>
    <dataValidation sqref="P2:P3" showDropDown="0" showInputMessage="1" showErrorMessage="1" allowBlank="1" type="list">
      <formula1>"Electricity Access, Energy Efficiency, Clean Cooking, Renewable Energy"</formula1>
    </dataValidation>
    <dataValidation sqref="Q2:Q3" showDropDown="0" showInputMessage="1" showErrorMessage="1" allowBlank="1" type="list">
      <formula1>"AMP, PUDC, Solar4Health, Action Opportunities, Italy UNDP Energy Partnership"</formula1>
    </dataValidation>
    <dataValidation sqref="R2:R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B6" workbookViewId="0">
      <selection activeCell="G5" sqref="G5:G8"/>
    </sheetView>
  </sheetViews>
  <sheetFormatPr baseColWidth="8" defaultRowHeight="15"/>
  <cols>
    <col width="9.140625" customWidth="1" style="3" min="1" max="1"/>
    <col width="20.7109375" customWidth="1" style="3" min="2" max="3"/>
    <col width="9.140625" customWidth="1" style="3" min="4" max="4"/>
    <col width="20.7109375" customWidth="1" style="3" min="5" max="5"/>
    <col width="24.5703125" customWidth="1" style="3" min="6" max="6"/>
    <col width="15.7109375" customWidth="1" style="3" min="7" max="8"/>
    <col width="32.7109375" customWidth="1" style="3" min="9" max="9"/>
    <col width="9.140625" customWidth="1" style="3" min="10" max="10"/>
    <col width="24.85546875" customWidth="1" style="3" min="11" max="11"/>
    <col width="67.85546875" customWidth="1" style="3" min="12" max="12"/>
    <col width="9.140625" customWidth="1" style="3" min="13" max="1638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" t="inlineStr">
        <is>
          <t>Donors</t>
        </is>
      </c>
      <c r="K1" s="3" t="inlineStr">
        <is>
          <t xml:space="preserve">Comments </t>
        </is>
      </c>
    </row>
    <row r="2" ht="409.6" customHeight="1">
      <c r="A2" s="3" t="n">
        <v>118881</v>
      </c>
      <c r="B2" s="3" t="inlineStr">
        <is>
          <t>CAPACITY DEVELOPMENT SUPPORT TO MoH</t>
        </is>
      </c>
      <c r="C2" s="45" t="inlineStr">
        <is>
          <t>http://open.undp.org/projects/00118881</t>
        </is>
      </c>
      <c r="D2" s="3" t="n">
        <v>1585539</v>
      </c>
      <c r="E2" s="4" t="inlineStr">
        <is>
          <t>Health Services</t>
        </is>
      </c>
      <c r="F2" s="5" t="inlineStr">
        <is>
          <t>The provincial medical warehouses of Cuando Cubango and Moxico province have access to renewable energy.</t>
        </is>
      </c>
      <c r="G2" s="5" t="inlineStr">
        <is>
          <t>Provincial warehouses of Cuando Cubango and Moxico provinces do not have access to renewable energy</t>
        </is>
      </c>
      <c r="H2" s="5" t="inlineStr">
        <is>
          <t>2 provincial warehouses (Cuando Cubango and  Moxico provinces) with access to uninterrupted power supply and contributing in delivering quality health services.</t>
        </is>
      </c>
      <c r="I2" s="5" t="inlineStr">
        <is>
          <t>The two Solar for Health installations were completed in 2019 and additional warehouse in Luanda.  Currently there are not further S4H plans.</t>
        </is>
      </c>
      <c r="J2" s="3" t="inlineStr">
        <is>
          <t xml:space="preserve">Global Fund </t>
        </is>
      </c>
      <c r="K2" s="8" t="inlineStr">
        <is>
          <t>Please provide the number of beneficiaries estimated for each of the 2 provincial warehouses in the Notes for project 118881</t>
        </is>
      </c>
      <c r="L2" s="9" t="inlineStr">
        <is>
          <t>In terms of the beneficiaries, we consider that the entire population benefited from this project. See below the population figures for each province:
Moxico:  638 615
Luanda: 8 523 574
Cuando Cubango: 907 681
Source: PROJECÇÃO DA POPULAÇÃO 2014-2050, Censo 2010. Dados de 2020.</t>
        </is>
      </c>
    </row>
    <row r="3" ht="152.25" customHeight="1">
      <c r="A3" s="3" t="n">
        <v>5989</v>
      </c>
      <c r="B3" s="3" t="inlineStr">
        <is>
          <t>Sustainable Energy Access</t>
        </is>
      </c>
      <c r="C3" s="3" t="inlineStr">
        <is>
          <t xml:space="preserve">PIMS+ </t>
        </is>
      </c>
      <c r="D3" s="3" t="n">
        <v>3540468</v>
      </c>
      <c r="E3" s="4" t="inlineStr">
        <is>
          <t>Electricity Access</t>
        </is>
      </c>
      <c r="F3" s="6" t="inlineStr">
        <is>
          <t>Mandatory Indicator 1: Number and proportion of households benefitting from clean, affordable and sustainable energy access
(project will target rural households only)</t>
        </is>
      </c>
      <c r="G3" s="5" t="inlineStr">
        <is>
          <t>3,385 rural households; 1,693 women-headed
(100% households in rural areas; 50% households headed by women)</t>
        </is>
      </c>
      <c r="H3" s="5" t="inlineStr">
        <is>
          <t>14,200 rural households; 7,100 women-headed
(100% households in rural areas; 50% households headed by women)</t>
        </is>
      </c>
      <c r="I3" s="5" t="inlineStr">
        <is>
          <t>Project started implementation May 2024.</t>
        </is>
      </c>
      <c r="J3" s="3" t="inlineStr">
        <is>
          <t>GEF6</t>
        </is>
      </c>
    </row>
    <row r="4" ht="376.5" customHeight="1">
      <c r="A4" s="3" t="n">
        <v>5331</v>
      </c>
      <c r="B4" s="3" t="inlineStr">
        <is>
          <t>Angola Charcoal</t>
        </is>
      </c>
      <c r="C4" s="3" t="inlineStr">
        <is>
          <t>PIMS+ 5331</t>
        </is>
      </c>
      <c r="D4" s="3" t="n">
        <v>4620000</v>
      </c>
      <c r="E4" s="4" t="inlineStr">
        <is>
          <t>Clean Cooking</t>
        </is>
      </c>
      <c r="F4" s="5" t="inlineStr">
        <is>
          <t>(Aa) Achieved direct GHG emission reductions over lifetime (ton CO2eq);
(Ab) Estimated indirect GHG emission reductions over lifetime (ton CO2eq);         (Ba)  Number of people with improved energy access as a result of UNDP-supported intervention. 
(Bb) Percentage of households benefitting from improved access to energy which are female-headed households 
(Bc) Average monetary savings by households using sustainable charcoal in efficient stoves (US$/(household–year).         (C)  Policy and regulatory framework for sustainable charcoal sector supported.</t>
        </is>
      </c>
      <c r="G4" s="5" t="inlineStr">
        <is>
          <t xml:space="preserve">(Aa) 0 ton CO2eq;
(Ab) 0 ton CO2eq;
                               (Ba) 0;
(Bb) 25%
(Bc) 0 US$/(hh-y)
                              (C) rated “1” (no policy/regulation/
strategy in place)
</t>
        </is>
      </c>
      <c r="H4" s="5" t="inlineStr">
        <is>
          <t>(Aa) 209k ton CO2eq;
(Ab) 1.2 M ton CO2eq
                            (Ba) 10,000;
(Bb) 50%
(Bc) 100 US$/hh-y)
                             (C) rated “4” (policy/ regulation/strategy adopted  but not enforced)</t>
        </is>
      </c>
      <c r="I4" s="4" t="inlineStr">
        <is>
          <t>Project closing in 2023</t>
        </is>
      </c>
    </row>
    <row r="5" ht="76.5" customHeight="1">
      <c r="A5" s="3" t="n">
        <v>131641</v>
      </c>
      <c r="B5" s="41" t="inlineStr">
        <is>
          <t>Angola RE Enabling Activities-UNDP-AGO-00131641</t>
        </is>
      </c>
      <c r="D5" s="3" t="n">
        <v>1500000</v>
      </c>
      <c r="E5" s="43" t="inlineStr">
        <is>
          <t>Access to clean energy</t>
        </is>
      </c>
      <c r="F5" s="46" t="inlineStr">
        <is>
          <t xml:space="preserve">PR Indicator 1:  Number of people who gained access to off-grid solar energy (data disaggregated by age and sex)
PR Indicator 2: Increase (in kilowatt) in installed renewable energy capacity per technology (solar and battery storage)
PR Indicator 3: Increase in energy consumption and/or demand, disaggregated by user group (businesses, productive uses)
PR Indicator 4: Number of people who gained access to business and financial and digital development services (data disaggregated by age and gender)
PR Indicator 5: Average percentage increase in agricultural production, disaggregated by type of product
PR Indicator 6: Average increase in income by the SMEs included in the project 
PR Indicator 7:  Number of people who have been trained in TVET centers to enhance skills development in renewable energy (data disaggregated by age and gender)
PR Indicator 8: Number and type of public institutions officials trained on energy services management (licensing, oversight, monitoring, etc.) and # of local people trained at vocational training institutions (data desegregated by age and gender)
</t>
        </is>
      </c>
      <c r="G5" s="48" t="inlineStr">
        <is>
          <t>Clean energy access solutions identified and leveraged and off-grid female-led cooperatives and communities electrified with renewable energy sources to enable sustainable livelihood and economic growth.Access to clean energy is expected to benefit especially women and young girls (60%)</t>
        </is>
      </c>
      <c r="H5" s="42" t="inlineStr">
        <is>
          <t xml:space="preserve">5000 rural households and 358 KW </t>
        </is>
      </c>
      <c r="I5" s="40" t="inlineStr">
        <is>
          <t>Project started implementation in June 2023</t>
        </is>
      </c>
      <c r="J5" s="40" t="inlineStr">
        <is>
          <t>UNDP</t>
        </is>
      </c>
      <c r="K5" s="40" t="n"/>
      <c r="L5" s="40" t="inlineStr">
        <is>
          <t>"Kurima  - Embracing the Transformation of Rural Economies" aims to transform selected rural communities through enhanced access to off-grid solar energy, skills development for resilient agriculture, and better access to business and financial and digital services, with a priority on female-led businesses. The iniviative is being in implemented in 4 provinces (Benguela, Huila, Lunda Norte and Uige)</t>
        </is>
      </c>
    </row>
    <row r="6" ht="76.5" customHeight="1">
      <c r="E6" s="39" t="n"/>
      <c r="H6" s="40" t="n"/>
      <c r="I6" s="40" t="n"/>
      <c r="J6" s="40" t="n"/>
      <c r="K6" s="40" t="n"/>
      <c r="L6" s="40" t="n"/>
    </row>
    <row r="7" ht="76.5" customHeight="1">
      <c r="E7" s="39" t="n"/>
      <c r="H7" s="40" t="n"/>
      <c r="I7" s="40" t="n"/>
      <c r="J7" s="40" t="n"/>
      <c r="K7" s="40" t="n"/>
      <c r="L7" s="40" t="n"/>
    </row>
    <row r="8" ht="106.5" customHeight="1">
      <c r="E8" s="39" t="n"/>
      <c r="H8" s="40" t="n"/>
      <c r="I8" s="40" t="n"/>
      <c r="J8" s="40" t="n"/>
      <c r="K8" s="40" t="n"/>
      <c r="L8" s="40" t="n"/>
    </row>
    <row r="9" ht="76.5" customHeight="1">
      <c r="E9" s="39" t="n"/>
      <c r="G9" s="40" t="n"/>
      <c r="H9" s="40" t="n"/>
      <c r="I9" s="40" t="n"/>
      <c r="J9" s="40" t="n"/>
      <c r="K9" s="40" t="n"/>
      <c r="L9" s="40" t="n"/>
    </row>
    <row r="10" ht="60.75" customHeight="1">
      <c r="E10" s="39" t="n"/>
      <c r="G10" s="40" t="n"/>
      <c r="H10" s="40" t="n"/>
      <c r="I10" s="40" t="n"/>
      <c r="J10" s="40" t="n"/>
      <c r="K10" s="40" t="n"/>
      <c r="L10" s="40" t="n"/>
    </row>
    <row r="11" ht="121.5" customHeight="1">
      <c r="E11" s="39" t="n"/>
      <c r="G11" s="40" t="n"/>
      <c r="H11" s="40" t="n"/>
      <c r="I11" s="40" t="n"/>
      <c r="J11" s="40" t="n"/>
      <c r="K11" s="40" t="n"/>
      <c r="L11" s="40" t="n"/>
    </row>
    <row r="12" ht="167.25" customHeight="1">
      <c r="E12" s="39" t="n"/>
      <c r="G12" s="40" t="n"/>
      <c r="H12" s="40" t="n"/>
      <c r="I12" s="40" t="n"/>
      <c r="J12" s="40" t="n"/>
      <c r="K12" s="40" t="n"/>
      <c r="L12" s="40" t="n"/>
    </row>
  </sheetData>
  <mergeCells count="2">
    <mergeCell ref="F5:F12"/>
    <mergeCell ref="G5:G8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58" t="inlineStr">
        <is>
          <t>Beneficiary Category</t>
        </is>
      </c>
      <c r="B1" s="58" t="inlineStr">
        <is>
          <t>Indicator</t>
        </is>
      </c>
    </row>
    <row r="2" ht="45.75" customHeight="1">
      <c r="A2" s="59" t="inlineStr">
        <is>
          <t>Electricity Access</t>
        </is>
      </c>
      <c r="B2" s="59" t="inlineStr">
        <is>
          <t>Number of people, disaggregated by sex, who gain access to clean electricity (direct access to electricity, lighting, cooling, etc.).</t>
        </is>
      </c>
    </row>
    <row r="3">
      <c r="A3" s="59" t="inlineStr">
        <is>
          <t>Energy (MW added)</t>
        </is>
      </c>
      <c r="B3" s="59" t="inlineStr">
        <is>
          <t>Installed renewable or clean-energy power capacity added, in MW.</t>
        </is>
      </c>
    </row>
    <row r="4" ht="30.75" customHeight="1">
      <c r="A4" s="59" t="inlineStr">
        <is>
          <t>Energy Storage (MW)</t>
        </is>
      </c>
      <c r="B4" s="59" t="inlineStr">
        <is>
          <t>Installed energy storage power capacity added, in MW.</t>
        </is>
      </c>
    </row>
    <row r="5" ht="30.75" customHeight="1">
      <c r="A5" s="59" t="inlineStr">
        <is>
          <t>Clean Cooking</t>
        </is>
      </c>
      <c r="B5" s="59" t="inlineStr">
        <is>
          <t>Number of people who gain access to clean cooking (direct access to clean cook stoves, clean fuels, biomass, etc.).</t>
        </is>
      </c>
    </row>
    <row r="6" ht="91.5" customHeight="1">
      <c r="A6" s="59" t="inlineStr">
        <is>
          <t>Clean Heating</t>
        </is>
      </c>
      <c r="B6" s="59" t="inlineStr">
        <is>
          <t>Number of people who gain access to clean heating (direct access to clean electric heaters, clean fuels, etc.).</t>
        </is>
      </c>
    </row>
    <row r="7" ht="45.75" customHeight="1">
      <c r="A7" s="59" t="inlineStr">
        <is>
          <t>Agriculture and Food System</t>
        </is>
      </c>
      <c r="B7" s="59" t="inlineStr">
        <is>
          <t>Number of people who gain access to clean, affordable, and sustainable energy for agricultural and food-system activities.</t>
        </is>
      </c>
    </row>
    <row r="8" ht="45.75" customHeight="1">
      <c r="A8" s="59" t="inlineStr">
        <is>
          <t>Health Services</t>
        </is>
      </c>
      <c r="B8" s="59" t="inlineStr">
        <is>
          <t>Number of people who gain access to health care facilities through clean energy systems.</t>
        </is>
      </c>
    </row>
    <row r="9" ht="45.75" customHeight="1">
      <c r="A9" s="59" t="inlineStr">
        <is>
          <t>Water Services</t>
        </is>
      </c>
      <c r="B9" s="59" t="inlineStr">
        <is>
          <t>Number of people who gain access to water services through clean energy systems.</t>
        </is>
      </c>
    </row>
    <row r="10" ht="30.75" customHeight="1">
      <c r="A10" s="59" t="inlineStr">
        <is>
          <t>Education Services</t>
        </is>
      </c>
      <c r="B10" s="59" t="inlineStr">
        <is>
          <t>Number of people who gain access to education services through clean energy systems, including students and teachers.</t>
        </is>
      </c>
    </row>
    <row r="11" ht="30.75" customHeight="1">
      <c r="A11" s="59" t="inlineStr">
        <is>
          <t>Transportation and E-mobility Services</t>
        </is>
      </c>
      <c r="B11" s="59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9" t="inlineStr">
        <is>
          <t>Energy Efficiency Services</t>
        </is>
      </c>
      <c r="B12" s="59" t="inlineStr">
        <is>
          <t>Energy saved from energy-efficiency interventions, such as building or industrial efficiency.</t>
        </is>
      </c>
    </row>
    <row r="13" ht="30.75" customHeight="1">
      <c r="A13" s="59" t="inlineStr">
        <is>
          <t>Energy Infrastructure Services</t>
        </is>
      </c>
      <c r="B13" s="59" t="inlineStr">
        <is>
          <t>Number of people benefiting from energy infrastructure interventions, such as streetlights, transmission, and distribution lines.</t>
        </is>
      </c>
    </row>
    <row r="14">
      <c r="A14" s="59" t="inlineStr">
        <is>
          <t>Other Energy Services</t>
        </is>
      </c>
      <c r="B14" s="59" t="inlineStr">
        <is>
          <t>Access to other energy services not captured by the categories above.</t>
        </is>
      </c>
    </row>
    <row r="15" ht="30.75" customHeight="1">
      <c r="A15" s="59" t="inlineStr">
        <is>
          <t>Financing support</t>
        </is>
      </c>
      <c r="B15" s="59" t="inlineStr">
        <is>
          <t>Support for the development of the energy market ecosystem.</t>
        </is>
      </c>
    </row>
    <row r="16" ht="30.75" customHeight="1">
      <c r="A16" s="59" t="inlineStr">
        <is>
          <t>Medium Enterprises</t>
        </is>
      </c>
      <c r="B16" s="59" t="inlineStr">
        <is>
          <t>Support for the development of medium enterprises in the energy transition market.</t>
        </is>
      </c>
    </row>
    <row r="17" ht="30.75" customHeight="1">
      <c r="A17" s="59" t="inlineStr">
        <is>
          <t>Small Enterprises</t>
        </is>
      </c>
      <c r="B17" s="59" t="inlineStr">
        <is>
          <t>Support for the development of small enterprises in the energy transition market.</t>
        </is>
      </c>
    </row>
    <row r="18" ht="30.75" customHeight="1">
      <c r="A18" s="59" t="inlineStr">
        <is>
          <t>Capacity Building Training</t>
        </is>
      </c>
      <c r="B18" s="59" t="inlineStr">
        <is>
          <t>Number of people benefiting from training on energy business, energy finance, or related implementation capacity.</t>
        </is>
      </c>
    </row>
    <row r="19" ht="76.5" customHeight="1">
      <c r="A19" s="59" t="inlineStr">
        <is>
          <t>Entrepreneurship Training</t>
        </is>
      </c>
      <c r="B19" s="59" t="inlineStr">
        <is>
          <t>Training for enterprises on the energy business, assumed to result in direct beneficiaries.</t>
        </is>
      </c>
    </row>
    <row r="20" ht="30.75" customHeight="1">
      <c r="A20" s="59" t="inlineStr">
        <is>
          <t>Market Intervention</t>
        </is>
      </c>
      <c r="B20" s="59" t="inlineStr">
        <is>
          <t>Volume of investment leveraged or barriers removed for clean, reliable, affordable, and sustainable energy solutions.</t>
        </is>
      </c>
    </row>
    <row r="21" ht="45.75" customHeight="1">
      <c r="A21" s="59" t="inlineStr">
        <is>
          <t>Campaign Participant</t>
        </is>
      </c>
      <c r="B21" s="59" t="inlineStr">
        <is>
          <t>Individuals who participate in advocacy or awareness campaigns on energy.</t>
        </is>
      </c>
    </row>
    <row r="22" ht="30.75" customHeight="1">
      <c r="A22" s="59" t="inlineStr">
        <is>
          <t>Policy or Regulatory Framework</t>
        </is>
      </c>
      <c r="B22" s="59" t="inlineStr">
        <is>
          <t>Policies, regulations, strategies, plans, or frameworks developed, approved, implemented, or strengthened.</t>
        </is>
      </c>
    </row>
    <row r="23">
      <c r="A23" s="59" t="inlineStr">
        <is>
          <t>GHG Emissions Reduction</t>
        </is>
      </c>
      <c r="B23" s="59" t="inlineStr">
        <is>
          <t>Greenhouse gas emissions reduced or mitigated, in tCO2e.</t>
        </is>
      </c>
    </row>
    <row r="24">
      <c r="A24" s="59" t="inlineStr">
        <is>
          <t>Other</t>
        </is>
      </c>
      <c r="B24" s="59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2026-06-08T15:49:44Z</dcterms:modified>
  <cp:lastModifiedBy>Jose Felix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