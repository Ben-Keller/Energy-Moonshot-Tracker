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3"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ies SANDI" sheetId="4" state="visible" r:id="rId4"/>
    <sheet xmlns:r="http://schemas.openxmlformats.org/officeDocument/2006/relationships" name="Beneficiary Categories" sheetId="5" state="visible" r:id="rId5"/>
  </sheets>
  <definedNames/>
  <calcPr calcId="191028" fullCalcOnLoad="1"/>
</workbook>
</file>

<file path=xl/styles.xml><?xml version="1.0" encoding="utf-8"?>
<styleSheet xmlns="http://schemas.openxmlformats.org/spreadsheetml/2006/main">
  <numFmts count="1">
    <numFmt numFmtId="164" formatCode="_([$$-409]* #,##0.00_);_([$$-409]* \(#,##0.00\);_([$$-409]* &quot;-&quot;??_);_(@_)"/>
  </numFmts>
  <fonts count="26">
    <font>
      <name val="Calibri"/>
      <family val="2"/>
      <color theme="1"/>
      <sz val="11"/>
      <scheme val="minor"/>
    </font>
    <font>
      <name val="Calibri"/>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color rgb="FF000000"/>
      <sz val="11"/>
    </font>
    <font>
      <name val="Calibri"/>
      <family val="2"/>
      <color rgb="FF000000"/>
      <sz val="11"/>
    </font>
    <font>
      <name val="Calibri"/>
      <family val="2"/>
      <color rgb="FF000000"/>
      <sz val="11"/>
      <scheme val="minor"/>
    </font>
    <font>
      <name val="Calibri"/>
      <family val="2"/>
      <color rgb="FF000000"/>
      <sz val="10"/>
      <scheme val="minor"/>
    </font>
    <font>
      <name val="Arial"/>
      <family val="2"/>
      <color rgb="FF000000"/>
      <sz val="10"/>
    </font>
    <font>
      <name val="Arial"/>
      <family val="2"/>
      <color rgb="FF232E3E"/>
      <sz val="10"/>
    </font>
    <font>
      <name val="Calibri"/>
      <family val="2"/>
      <color theme="1"/>
      <sz val="10"/>
      <scheme val="minor"/>
    </font>
    <font>
      <name val="Calibri"/>
      <family val="2"/>
      <i val="1"/>
      <color rgb="FF000000"/>
      <sz val="9"/>
      <scheme val="minor"/>
    </font>
    <font>
      <name val="Calibri"/>
      <family val="2"/>
      <color rgb="FFFF0000"/>
      <sz val="11"/>
      <scheme val="minor"/>
    </font>
    <font>
      <name val="Calibri"/>
      <family val="2"/>
      <b val="1"/>
      <color rgb="FFFF0000"/>
      <sz val="11"/>
      <scheme val="minor"/>
    </font>
    <font>
      <name val="Calibri"/>
      <color rgb="FF0070C0"/>
      <sz val="11"/>
    </font>
    <font>
      <name val="Calibri"/>
      <family val="2"/>
      <color rgb="FF0070C0"/>
      <sz val="11"/>
      <scheme val="minor"/>
    </font>
    <font>
      <name val="Calibri"/>
      <color rgb="FF0070C0"/>
      <sz val="11"/>
      <scheme val="minor"/>
    </font>
    <font>
      <name val="Arial"/>
      <charset val="1"/>
      <family val="2"/>
      <color rgb="FF0070C0"/>
      <sz val="10"/>
    </font>
    <font>
      <name val="Calibri"/>
      <family val="2"/>
      <b val="1"/>
      <color rgb="FF000000"/>
      <sz val="12"/>
    </font>
    <font>
      <name val="Calibri"/>
      <family val="2"/>
      <b val="1"/>
      <color rgb="FF000000"/>
      <sz val="11"/>
    </font>
    <font>
      <name val="Calibri"/>
      <color rgb="FF1F497D"/>
      <sz val="11"/>
      <scheme val="minor"/>
    </font>
    <font>
      <name val="Calibri"/>
      <b val="1"/>
      <color theme="1"/>
      <sz val="11"/>
      <scheme val="minor"/>
    </font>
    <font>
      <name val="Calibri"/>
      <color rgb="FF000000"/>
      <sz val="11"/>
      <scheme val="minor"/>
    </font>
    <font>
      <name val="Calibri"/>
      <charset val="1"/>
      <color rgb="FF000000"/>
      <sz val="11"/>
    </font>
    <font>
      <b val="1"/>
    </font>
  </fonts>
  <fills count="6">
    <fill>
      <patternFill/>
    </fill>
    <fill>
      <patternFill patternType="gray125"/>
    </fill>
    <fill>
      <patternFill patternType="solid">
        <fgColor rgb="FFFFFFFF"/>
        <bgColor rgb="FF000000"/>
      </patternFill>
    </fill>
    <fill>
      <patternFill patternType="solid">
        <fgColor rgb="FFFFFF00"/>
        <bgColor indexed="64"/>
      </patternFill>
    </fill>
    <fill>
      <patternFill patternType="solid">
        <fgColor rgb="FFFFFFFF"/>
        <bgColor indexed="64"/>
      </patternFill>
    </fill>
    <fill>
      <patternFill patternType="solid">
        <fgColor rgb="00FFFF00"/>
      </patternFill>
    </fill>
  </fills>
  <borders count="1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style="medium">
        <color rgb="FF000000"/>
      </right>
      <top style="medium">
        <color indexed="64"/>
      </top>
      <bottom style="medium">
        <color indexed="64"/>
      </bottom>
      <diagonal/>
    </border>
    <border>
      <left/>
      <right/>
      <top style="medium">
        <color indexed="64"/>
      </top>
      <bottom/>
      <diagonal/>
    </border>
    <border>
      <left/>
      <right style="medium">
        <color rgb="FF000000"/>
      </right>
      <top style="medium">
        <color indexed="64"/>
      </top>
      <bottom/>
      <diagonal/>
    </border>
  </borders>
  <cellStyleXfs count="2">
    <xf numFmtId="0" fontId="0" fillId="0" borderId="0"/>
    <xf numFmtId="0" fontId="4" fillId="0" borderId="0" applyAlignment="1" applyProtection="1">
      <alignment vertical="top"/>
      <protection locked="0" hidden="0"/>
    </xf>
  </cellStyleXfs>
  <cellXfs count="148">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43" fontId="0" fillId="0" borderId="0" applyAlignment="1" pivotButton="0" quotePrefix="0" xfId="0">
      <alignment vertical="top"/>
    </xf>
    <xf numFmtId="43" fontId="0" fillId="0" borderId="0" pivotButton="0" quotePrefix="0" xfId="0"/>
    <xf numFmtId="0" fontId="3" fillId="0" borderId="0" applyAlignment="1" pivotButton="0" quotePrefix="0" xfId="0">
      <alignment vertical="top"/>
    </xf>
    <xf numFmtId="0" fontId="5" fillId="0" borderId="0" applyAlignment="1" pivotButton="0" quotePrefix="0" xfId="0">
      <alignment horizontal="right" vertical="center"/>
    </xf>
    <xf numFmtId="0" fontId="4" fillId="0" borderId="0" applyAlignment="1" pivotButton="0" quotePrefix="0" xfId="1">
      <alignment horizontal="left" vertical="center" wrapText="1"/>
    </xf>
    <xf numFmtId="4" fontId="5" fillId="0" borderId="0" applyAlignment="1" pivotButton="0" quotePrefix="0" xfId="0">
      <alignment horizontal="right" vertical="center"/>
    </xf>
    <xf numFmtId="0" fontId="0"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vertical="center"/>
    </xf>
    <xf numFmtId="0" fontId="4" fillId="0" borderId="0" applyAlignment="1" pivotButton="0" quotePrefix="0" xfId="1">
      <alignment vertical="center" wrapText="1"/>
    </xf>
    <xf numFmtId="4" fontId="6" fillId="0" borderId="0" applyAlignment="1" pivotButton="0" quotePrefix="0" xfId="0">
      <alignment vertical="center"/>
    </xf>
    <xf numFmtId="0" fontId="6" fillId="0" borderId="0" applyAlignment="1" pivotButton="0" quotePrefix="0" xfId="0">
      <alignment vertical="center" wrapText="1"/>
    </xf>
    <xf numFmtId="0" fontId="8" fillId="0" borderId="0" applyAlignment="1" pivotButton="0" quotePrefix="0" xfId="0">
      <alignment vertical="center" wrapText="1"/>
    </xf>
    <xf numFmtId="0" fontId="6" fillId="0" borderId="0" applyAlignment="1" pivotButton="0" quotePrefix="0" xfId="0">
      <alignment vertical="top" wrapText="1"/>
    </xf>
    <xf numFmtId="0" fontId="7" fillId="0" borderId="0" applyAlignment="1" pivotButton="0" quotePrefix="0" xfId="0">
      <alignment horizontal="left" vertical="top" wrapText="1"/>
    </xf>
    <xf numFmtId="0" fontId="5" fillId="0" borderId="0" applyAlignment="1" pivotButton="0" quotePrefix="0" xfId="0">
      <alignment vertical="top"/>
    </xf>
    <xf numFmtId="0" fontId="6" fillId="0" borderId="0" applyAlignment="1" pivotButton="0" quotePrefix="0" xfId="0">
      <alignment vertical="top"/>
    </xf>
    <xf numFmtId="0" fontId="9" fillId="0" borderId="0" applyAlignment="1" pivotButton="0" quotePrefix="0" xfId="0">
      <alignment wrapText="1"/>
    </xf>
    <xf numFmtId="0" fontId="10" fillId="0" borderId="0"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horizontal="left" vertical="top" wrapText="1"/>
    </xf>
    <xf numFmtId="0" fontId="7" fillId="0" borderId="0" applyAlignment="1" pivotButton="0" quotePrefix="0" xfId="0">
      <alignment vertical="top" wrapText="1"/>
    </xf>
    <xf numFmtId="0" fontId="11" fillId="0" borderId="0" pivotButton="0" quotePrefix="0" xfId="0"/>
    <xf numFmtId="0" fontId="8" fillId="0" borderId="0" applyAlignment="1" pivotButton="0" quotePrefix="0" xfId="0">
      <alignment vertical="top" wrapText="1"/>
    </xf>
    <xf numFmtId="0" fontId="12" fillId="0" borderId="0" applyAlignment="1" pivotButton="0" quotePrefix="0" xfId="0">
      <alignment vertical="center" wrapText="1"/>
    </xf>
    <xf numFmtId="0" fontId="9" fillId="0" borderId="0" applyAlignment="1" pivotButton="0" quotePrefix="0" xfId="0">
      <alignment vertical="top" wrapText="1"/>
    </xf>
    <xf numFmtId="0" fontId="0" fillId="0" borderId="0" pivotButton="0" quotePrefix="1" xfId="0"/>
    <xf numFmtId="0" fontId="0" fillId="0" borderId="0" applyAlignment="1" pivotButton="0" quotePrefix="1" xfId="0">
      <alignment vertical="top"/>
    </xf>
    <xf numFmtId="0" fontId="6" fillId="0" borderId="0" applyAlignment="1" pivotButton="0" quotePrefix="0" xfId="0">
      <alignment horizontal="left" vertical="top"/>
    </xf>
    <xf numFmtId="0" fontId="2" fillId="0" borderId="0" applyAlignment="1" pivotButton="0" quotePrefix="0" xfId="0">
      <alignment vertical="top"/>
    </xf>
    <xf numFmtId="0" fontId="13" fillId="0" borderId="0" applyAlignment="1" pivotButton="0" quotePrefix="0" xfId="0">
      <alignment vertical="top"/>
    </xf>
    <xf numFmtId="0" fontId="14" fillId="0" borderId="0" applyAlignment="1" pivotButton="0" quotePrefix="0" xfId="0">
      <alignment vertical="top"/>
    </xf>
    <xf numFmtId="0" fontId="16" fillId="0"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16" fillId="0" borderId="0" applyAlignment="1" pivotButton="0" quotePrefix="0" xfId="0">
      <alignment horizontal="right" vertical="top"/>
    </xf>
    <xf numFmtId="0" fontId="17" fillId="0" borderId="0" applyAlignment="1" pivotButton="0" quotePrefix="0" xfId="0">
      <alignment vertical="top"/>
    </xf>
    <xf numFmtId="0" fontId="19" fillId="0" borderId="2" applyAlignment="1" pivotButton="0" quotePrefix="0" xfId="0">
      <alignment vertical="top" wrapText="1"/>
    </xf>
    <xf numFmtId="0" fontId="19" fillId="0" borderId="3" applyAlignment="1" pivotButton="0" quotePrefix="0" xfId="0">
      <alignment vertical="top" wrapText="1"/>
    </xf>
    <xf numFmtId="0" fontId="6" fillId="2" borderId="4" applyAlignment="1" pivotButton="0" quotePrefix="0" xfId="0">
      <alignment vertical="top" wrapText="1"/>
    </xf>
    <xf numFmtId="0" fontId="6" fillId="2" borderId="5" applyAlignment="1" pivotButton="0" quotePrefix="0" xfId="0">
      <alignment vertical="top"/>
    </xf>
    <xf numFmtId="0" fontId="6" fillId="2" borderId="5" applyAlignment="1" pivotButton="0" quotePrefix="0" xfId="0">
      <alignment vertical="top" wrapText="1"/>
    </xf>
    <xf numFmtId="0" fontId="6" fillId="0" borderId="5" applyAlignment="1" pivotButton="0" quotePrefix="0" xfId="0">
      <alignment vertical="top"/>
    </xf>
    <xf numFmtId="0" fontId="6" fillId="0" borderId="6" applyAlignment="1" pivotButton="0" quotePrefix="0" xfId="0">
      <alignment vertical="top"/>
    </xf>
    <xf numFmtId="0" fontId="6" fillId="0" borderId="3" applyAlignment="1" pivotButton="0" quotePrefix="0" xfId="0">
      <alignment vertical="top"/>
    </xf>
    <xf numFmtId="0" fontId="6" fillId="0" borderId="4" applyAlignment="1" pivotButton="0" quotePrefix="0" xfId="0">
      <alignment vertical="top"/>
    </xf>
    <xf numFmtId="0" fontId="20" fillId="0" borderId="5" applyAlignment="1" pivotButton="0" quotePrefix="0" xfId="0">
      <alignment vertical="top"/>
    </xf>
    <xf numFmtId="0" fontId="7" fillId="0" borderId="0" applyAlignment="1" pivotButton="0" quotePrefix="0" xfId="0">
      <alignment vertical="center" wrapText="1"/>
    </xf>
    <xf numFmtId="0" fontId="15" fillId="0" borderId="0" applyAlignment="1" pivotButton="0" quotePrefix="0" xfId="0">
      <alignment vertical="top" wrapText="1"/>
    </xf>
    <xf numFmtId="0" fontId="21" fillId="0" borderId="0" applyAlignment="1" pivotButton="0" quotePrefix="0" xfId="0">
      <alignment vertical="top" wrapText="1"/>
    </xf>
    <xf numFmtId="0" fontId="2" fillId="0" borderId="0" pivotButton="0" quotePrefix="0" xfId="0"/>
    <xf numFmtId="0" fontId="0" fillId="0" borderId="10" pivotButton="0" quotePrefix="1" xfId="0"/>
    <xf numFmtId="0" fontId="0" fillId="0" borderId="10" applyAlignment="1" pivotButton="0" quotePrefix="0" xfId="0">
      <alignment vertical="top" wrapText="1"/>
    </xf>
    <xf numFmtId="0" fontId="0" fillId="0" borderId="10" applyAlignment="1" pivotButton="0" quotePrefix="0" xfId="0">
      <alignment vertical="top"/>
    </xf>
    <xf numFmtId="0" fontId="6" fillId="0" borderId="10" applyAlignment="1" pivotButton="0" quotePrefix="0" xfId="0">
      <alignment vertical="top" wrapText="1"/>
    </xf>
    <xf numFmtId="0" fontId="6" fillId="0" borderId="10" applyAlignment="1" pivotButton="0" quotePrefix="0" xfId="0">
      <alignment vertical="center" wrapText="1"/>
    </xf>
    <xf numFmtId="0" fontId="14" fillId="0" borderId="10" applyAlignment="1" pivotButton="0" quotePrefix="0" xfId="0">
      <alignment vertical="top"/>
    </xf>
    <xf numFmtId="0" fontId="0" fillId="0" borderId="10" pivotButton="0" quotePrefix="0" xfId="0"/>
    <xf numFmtId="43" fontId="0" fillId="0" borderId="10" pivotButton="0" quotePrefix="0" xfId="0"/>
    <xf numFmtId="0" fontId="7" fillId="0" borderId="10" applyAlignment="1" pivotButton="0" quotePrefix="0" xfId="0">
      <alignment horizontal="left" vertical="top" wrapText="1"/>
    </xf>
    <xf numFmtId="0" fontId="8" fillId="0" borderId="10" applyAlignment="1" pivotButton="0" quotePrefix="0" xfId="0">
      <alignment vertical="top" wrapText="1"/>
    </xf>
    <xf numFmtId="0" fontId="15" fillId="0" borderId="10" applyAlignment="1" pivotButton="0" quotePrefix="0" xfId="0">
      <alignment vertical="top" wrapText="1"/>
    </xf>
    <xf numFmtId="0" fontId="5" fillId="0" borderId="10" applyAlignment="1" pivotButton="0" quotePrefix="0" xfId="0">
      <alignment vertical="center" wrapText="1"/>
    </xf>
    <xf numFmtId="0" fontId="8" fillId="0" borderId="10" applyAlignment="1" pivotButton="0" quotePrefix="0" xfId="0">
      <alignment vertical="center" wrapText="1"/>
    </xf>
    <xf numFmtId="0" fontId="13" fillId="0" borderId="10" applyAlignment="1" pivotButton="0" quotePrefix="0" xfId="0">
      <alignment vertical="top"/>
    </xf>
    <xf numFmtId="0" fontId="21" fillId="0" borderId="10" applyAlignment="1" pivotButton="0" quotePrefix="0" xfId="0">
      <alignment vertical="top" wrapText="1"/>
    </xf>
    <xf numFmtId="0" fontId="5" fillId="0" borderId="10" applyAlignment="1" pivotButton="0" quotePrefix="0" xfId="0">
      <alignment horizontal="right" vertical="center"/>
    </xf>
    <xf numFmtId="0" fontId="4" fillId="0" borderId="10" applyAlignment="1" pivotButton="0" quotePrefix="0" xfId="1">
      <alignment horizontal="left" vertical="center" wrapText="1"/>
    </xf>
    <xf numFmtId="0" fontId="5" fillId="0" borderId="10" applyAlignment="1" pivotButton="0" quotePrefix="0" xfId="0">
      <alignment vertical="center"/>
    </xf>
    <xf numFmtId="0" fontId="0" fillId="0" borderId="10" applyAlignment="1" pivotButton="0" quotePrefix="0" xfId="0">
      <alignment vertical="center" wrapText="1"/>
    </xf>
    <xf numFmtId="0" fontId="6" fillId="0" borderId="10" applyAlignment="1" pivotButton="0" quotePrefix="0" xfId="0">
      <alignment horizontal="left" vertical="top"/>
    </xf>
    <xf numFmtId="4" fontId="5" fillId="0" borderId="10" applyAlignment="1" pivotButton="0" quotePrefix="0" xfId="0">
      <alignment horizontal="right" vertical="center"/>
    </xf>
    <xf numFmtId="0" fontId="6" fillId="0" borderId="10" applyAlignment="1" pivotButton="0" quotePrefix="0" xfId="0">
      <alignment vertical="top"/>
    </xf>
    <xf numFmtId="9" fontId="0" fillId="0" borderId="10" applyAlignment="1" pivotButton="0" quotePrefix="0" xfId="0">
      <alignment vertical="top"/>
    </xf>
    <xf numFmtId="0" fontId="5" fillId="0" borderId="10" applyAlignment="1" pivotButton="0" quotePrefix="0" xfId="0">
      <alignment vertical="top"/>
    </xf>
    <xf numFmtId="0" fontId="6" fillId="0" borderId="10" applyAlignment="1" pivotButton="0" quotePrefix="0" xfId="0">
      <alignment vertical="center"/>
    </xf>
    <xf numFmtId="0" fontId="4" fillId="0" borderId="10" applyAlignment="1" pivotButton="0" quotePrefix="0" xfId="1">
      <alignment vertical="center" wrapText="1"/>
    </xf>
    <xf numFmtId="4" fontId="6" fillId="0" borderId="10" applyAlignment="1" pivotButton="0" quotePrefix="0" xfId="0">
      <alignment vertical="center"/>
    </xf>
    <xf numFmtId="0" fontId="0" fillId="0" borderId="10" applyAlignment="1" pivotButton="0" quotePrefix="1" xfId="0">
      <alignment vertical="top"/>
    </xf>
    <xf numFmtId="43" fontId="0" fillId="0" borderId="10" applyAlignment="1" pivotButton="0" quotePrefix="0" xfId="0">
      <alignment vertical="top"/>
    </xf>
    <xf numFmtId="0" fontId="0" fillId="0" borderId="10" applyAlignment="1" pivotButton="0" quotePrefix="0" xfId="0">
      <alignment horizontal="center" vertical="top"/>
    </xf>
    <xf numFmtId="0" fontId="0" fillId="0" borderId="10" applyAlignment="1" pivotButton="0" quotePrefix="0" xfId="0">
      <alignment horizontal="right" vertical="top"/>
    </xf>
    <xf numFmtId="0" fontId="16" fillId="0" borderId="10" applyAlignment="1" pivotButton="0" quotePrefix="0" xfId="0">
      <alignment vertical="top" wrapText="1"/>
    </xf>
    <xf numFmtId="0" fontId="17" fillId="0" borderId="10" applyAlignment="1" pivotButton="0" quotePrefix="0" xfId="0">
      <alignment vertical="top" wrapText="1"/>
    </xf>
    <xf numFmtId="0" fontId="9" fillId="0" borderId="10" applyAlignment="1" pivotButton="0" quotePrefix="0" xfId="0">
      <alignment vertical="top" wrapText="1"/>
    </xf>
    <xf numFmtId="0" fontId="18" fillId="0" borderId="10" applyAlignment="1" pivotButton="0" quotePrefix="0" xfId="0">
      <alignment vertical="top" wrapText="1"/>
    </xf>
    <xf numFmtId="0" fontId="10" fillId="0" borderId="10" applyAlignment="1" pivotButton="0" quotePrefix="0" xfId="0">
      <alignment wrapText="1"/>
    </xf>
    <xf numFmtId="0" fontId="0" fillId="0" borderId="10" applyAlignment="1" pivotButton="0" quotePrefix="0" xfId="0">
      <alignment horizontal="left" vertical="top" wrapText="1"/>
    </xf>
    <xf numFmtId="3" fontId="16" fillId="0" borderId="10" applyAlignment="1" pivotButton="0" quotePrefix="0" xfId="0">
      <alignment vertical="top" wrapText="1"/>
    </xf>
    <xf numFmtId="0" fontId="7" fillId="0" borderId="10" applyAlignment="1" pivotButton="0" quotePrefix="0" xfId="0">
      <alignment vertical="top" wrapText="1"/>
    </xf>
    <xf numFmtId="0" fontId="7" fillId="0" borderId="10" applyAlignment="1" pivotButton="0" quotePrefix="0" xfId="0">
      <alignment vertical="center" wrapText="1"/>
    </xf>
    <xf numFmtId="0" fontId="12" fillId="0" borderId="10" applyAlignment="1" pivotButton="0" quotePrefix="0" xfId="0">
      <alignment vertical="center" wrapText="1"/>
    </xf>
    <xf numFmtId="0" fontId="11" fillId="0" borderId="10" pivotButton="0" quotePrefix="0" xfId="0"/>
    <xf numFmtId="0" fontId="2" fillId="0" borderId="11" applyAlignment="1" pivotButton="0" quotePrefix="0" xfId="0">
      <alignment horizontal="center" vertical="top"/>
    </xf>
    <xf numFmtId="0" fontId="0" fillId="3" borderId="10" applyAlignment="1" pivotButton="0" quotePrefix="0" xfId="0">
      <alignment vertical="top"/>
    </xf>
    <xf numFmtId="0" fontId="7" fillId="3" borderId="10" applyAlignment="1" pivotButton="0" quotePrefix="0" xfId="0">
      <alignment vertical="top" wrapText="1"/>
    </xf>
    <xf numFmtId="0" fontId="0" fillId="3" borderId="10" applyAlignment="1" pivotButton="0" quotePrefix="0" xfId="0">
      <alignment horizontal="right" vertical="top"/>
    </xf>
    <xf numFmtId="0" fontId="16" fillId="3" borderId="10" applyAlignment="1" pivotButton="0" quotePrefix="0" xfId="0">
      <alignment vertical="top" wrapText="1"/>
    </xf>
    <xf numFmtId="0" fontId="7" fillId="3" borderId="10" applyAlignment="1" pivotButton="0" quotePrefix="0" xfId="0">
      <alignment vertical="center" wrapText="1"/>
    </xf>
    <xf numFmtId="0" fontId="0" fillId="3" borderId="10" applyAlignment="1" pivotButton="0" quotePrefix="0" xfId="0">
      <alignment horizontal="center" vertical="top"/>
    </xf>
    <xf numFmtId="0" fontId="0" fillId="4" borderId="12" pivotButton="0" quotePrefix="0" xfId="0"/>
    <xf numFmtId="0" fontId="0" fillId="0" borderId="10" applyAlignment="1" pivotButton="0" quotePrefix="0" xfId="0">
      <alignment horizontal="center" vertical="center"/>
    </xf>
    <xf numFmtId="0" fontId="22" fillId="0" borderId="10" applyAlignment="1" pivotButton="0" quotePrefix="0" xfId="0">
      <alignment horizontal="center" vertical="top" wrapText="1"/>
    </xf>
    <xf numFmtId="0" fontId="23" fillId="0" borderId="10" applyAlignment="1" pivotButton="0" quotePrefix="0" xfId="0">
      <alignment wrapText="1"/>
    </xf>
    <xf numFmtId="0" fontId="2" fillId="0" borderId="10" applyAlignment="1" pivotButton="0" quotePrefix="0" xfId="0">
      <alignment horizontal="center"/>
    </xf>
    <xf numFmtId="0" fontId="2" fillId="0" borderId="13" applyAlignment="1" pivotButton="0" quotePrefix="0" xfId="0">
      <alignment horizontal="center"/>
    </xf>
    <xf numFmtId="0" fontId="2" fillId="0" borderId="14" applyAlignment="1" pivotButton="0" quotePrefix="0" xfId="0">
      <alignment horizontal="center"/>
    </xf>
    <xf numFmtId="0" fontId="2" fillId="0" borderId="13" pivotButton="0" quotePrefix="0" xfId="0"/>
    <xf numFmtId="0" fontId="0" fillId="0" borderId="15" applyAlignment="1" pivotButton="0" quotePrefix="0" xfId="0">
      <alignment horizontal="center" vertical="center"/>
    </xf>
    <xf numFmtId="0" fontId="0" fillId="0" borderId="12" applyAlignment="1" pivotButton="0" quotePrefix="0" xfId="0">
      <alignment horizontal="center" vertical="center" wrapText="1"/>
    </xf>
    <xf numFmtId="0" fontId="0" fillId="0" borderId="10" applyAlignment="1" pivotButton="0" quotePrefix="0" xfId="0">
      <alignment vertical="center"/>
    </xf>
    <xf numFmtId="0" fontId="24" fillId="0" borderId="0" pivotButton="0" quotePrefix="0" xfId="0"/>
    <xf numFmtId="0" fontId="4" fillId="0" borderId="10" applyAlignment="1" pivotButton="0" quotePrefix="0" xfId="1">
      <alignment vertical="top"/>
    </xf>
    <xf numFmtId="0" fontId="0" fillId="3" borderId="1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20" fillId="0" borderId="7" applyAlignment="1" pivotButton="0" quotePrefix="0" xfId="0">
      <alignment vertical="top"/>
    </xf>
    <xf numFmtId="0" fontId="20" fillId="0" borderId="8" applyAlignment="1" pivotButton="0" quotePrefix="0" xfId="0">
      <alignment vertical="top"/>
    </xf>
    <xf numFmtId="0" fontId="20" fillId="0" borderId="9" applyAlignment="1" pivotButton="0" quotePrefix="0" xfId="0">
      <alignment vertical="top"/>
    </xf>
    <xf numFmtId="164" fontId="2" fillId="0" borderId="11" applyAlignment="1" pivotButton="0" quotePrefix="0" xfId="0">
      <alignment horizontal="center" vertical="top"/>
    </xf>
    <xf numFmtId="164" fontId="0" fillId="0" borderId="10" applyAlignment="1" pivotButton="0" quotePrefix="0" xfId="0">
      <alignment vertical="top"/>
    </xf>
    <xf numFmtId="164" fontId="0" fillId="0" borderId="10" pivotButton="0" quotePrefix="0" xfId="0"/>
    <xf numFmtId="164" fontId="5" fillId="0" borderId="10" applyAlignment="1" pivotButton="0" quotePrefix="0" xfId="0">
      <alignment horizontal="right" vertical="center"/>
    </xf>
    <xf numFmtId="164" fontId="6" fillId="0" borderId="10" applyAlignment="1" pivotButton="0" quotePrefix="0" xfId="0">
      <alignment vertical="center"/>
    </xf>
    <xf numFmtId="164" fontId="0" fillId="0" borderId="0" applyAlignment="1" pivotButton="0" quotePrefix="0" xfId="0">
      <alignment vertical="top"/>
    </xf>
    <xf numFmtId="164" fontId="0" fillId="0" borderId="0" pivotButton="0" quotePrefix="0" xfId="0"/>
    <xf numFmtId="164" fontId="0" fillId="0" borderId="0" applyAlignment="1" pivotButton="0" quotePrefix="0" xfId="0">
      <alignment vertical="top" wrapText="1"/>
    </xf>
    <xf numFmtId="0" fontId="13" fillId="0" borderId="0" pivotButton="0" quotePrefix="0" xfId="0"/>
    <xf numFmtId="0" fontId="1" fillId="0" borderId="10" applyAlignment="1" pivotButton="0" quotePrefix="0" xfId="0">
      <alignment horizontal="left" vertical="center" wrapText="1"/>
    </xf>
    <xf numFmtId="0" fontId="1" fillId="0" borderId="10" applyAlignment="1" pivotButton="0" quotePrefix="0" xfId="0">
      <alignment wrapText="1"/>
    </xf>
    <xf numFmtId="0" fontId="1" fillId="0" borderId="10" applyAlignment="1" pivotButton="0" quotePrefix="0" xfId="0">
      <alignment vertical="center" wrapText="1"/>
    </xf>
    <xf numFmtId="164" fontId="0" fillId="5" borderId="10" applyAlignment="1" pivotButton="0" quotePrefix="0" xfId="0">
      <alignment vertical="top"/>
    </xf>
    <xf numFmtId="0" fontId="6" fillId="5" borderId="10" applyAlignment="1" pivotButton="0" quotePrefix="0" xfId="0">
      <alignment vertical="top" wrapText="1"/>
    </xf>
    <xf numFmtId="0" fontId="21" fillId="5" borderId="10" applyAlignment="1" pivotButton="0" quotePrefix="0" xfId="0">
      <alignment vertical="top" wrapText="1"/>
    </xf>
    <xf numFmtId="164" fontId="5" fillId="5" borderId="10" applyAlignment="1" pivotButton="0" quotePrefix="0" xfId="0">
      <alignment horizontal="right" vertical="center"/>
    </xf>
    <xf numFmtId="0" fontId="0" fillId="5" borderId="10" applyAlignment="1" pivotButton="0" quotePrefix="0" xfId="0">
      <alignment vertical="center" wrapText="1"/>
    </xf>
    <xf numFmtId="0" fontId="0" fillId="5" borderId="10" applyAlignment="1" pivotButton="0" quotePrefix="0" xfId="0">
      <alignment vertical="top" wrapText="1"/>
    </xf>
    <xf numFmtId="0" fontId="20" fillId="0" borderId="16" applyAlignment="1" pivotButton="0" quotePrefix="0" xfId="0">
      <alignment vertical="top"/>
    </xf>
    <xf numFmtId="0" fontId="0" fillId="0" borderId="8" pivotButton="0" quotePrefix="0" xfId="0"/>
    <xf numFmtId="0" fontId="0" fillId="0" borderId="9" pivotButton="0" quotePrefix="0" xfId="0"/>
    <xf numFmtId="0" fontId="25"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34123" TargetMode="External" Id="rId1"/></Relationships>
</file>

<file path=xl/worksheets/sheet1.xml><?xml version="1.0" encoding="utf-8"?>
<worksheet xmlns="http://schemas.openxmlformats.org/spreadsheetml/2006/main">
  <sheetPr>
    <outlinePr summaryBelow="1" summaryRight="1"/>
    <pageSetUpPr/>
  </sheetPr>
  <dimension ref="A1:X69"/>
  <sheetViews>
    <sheetView tabSelected="1" zoomScale="80" zoomScaleNormal="70" workbookViewId="0">
      <pane xSplit="1" ySplit="1" topLeftCell="F5" activePane="bottomRight" state="frozen"/>
      <selection pane="bottomRight" activeCell="J6" sqref="J6:J8"/>
      <selection pane="bottomLeft" activeCell="A1" sqref="A1"/>
      <selection pane="topRight" activeCell="A1" sqref="A1"/>
    </sheetView>
  </sheetViews>
  <sheetFormatPr baseColWidth="8" defaultColWidth="8.85546875" defaultRowHeight="15"/>
  <cols>
    <col width="15.7109375" customWidth="1" style="3" min="1" max="1"/>
    <col width="41.7109375" customWidth="1" style="3" min="2" max="3"/>
    <col width="23.85546875" customWidth="1" style="131" min="4" max="4"/>
    <col width="23.85546875" customWidth="1" style="3" min="5" max="5"/>
    <col width="23.85546875" bestFit="1" customWidth="1" style="120" min="6" max="6"/>
    <col width="23.85546875" customWidth="1" style="4" min="7" max="7"/>
    <col width="23.85546875" customWidth="1" style="120" min="8" max="8"/>
    <col width="65.140625" customWidth="1" style="120" min="9" max="9"/>
    <col width="21.85546875" customWidth="1" style="3" min="10" max="10"/>
    <col width="9.140625" customWidth="1" style="3" min="11" max="13"/>
    <col width="14.42578125" bestFit="1" customWidth="1" style="3" min="14" max="14"/>
    <col width="17.7109375" customWidth="1" style="3" min="15" max="15"/>
    <col width="8.42578125" bestFit="1" customWidth="1" style="3" min="16" max="16"/>
    <col width="16.5703125" bestFit="1" customWidth="1" style="3" min="17" max="17"/>
    <col width="18.140625" bestFit="1" customWidth="1" style="3" min="18" max="18"/>
    <col width="11.28515625" bestFit="1" customWidth="1" style="3" min="19" max="19"/>
    <col width="30.28515625" bestFit="1" customWidth="1" style="3" min="20" max="20"/>
    <col width="16.7109375" bestFit="1" customWidth="1" style="3" min="21" max="21"/>
    <col width="8.85546875" customWidth="1" style="3" min="22" max="16384"/>
  </cols>
  <sheetData>
    <row r="1">
      <c r="A1" s="99" t="inlineStr">
        <is>
          <t>Project ID</t>
        </is>
      </c>
      <c r="B1" s="99" t="inlineStr">
        <is>
          <t>Title</t>
        </is>
      </c>
      <c r="C1" s="99" t="inlineStr">
        <is>
          <t>Link</t>
        </is>
      </c>
      <c r="D1" s="126" t="inlineStr">
        <is>
          <t>Budget</t>
        </is>
      </c>
      <c r="E1" s="126" t="inlineStr">
        <is>
          <t>Start Year</t>
        </is>
      </c>
      <c r="F1" s="126" t="inlineStr">
        <is>
          <t>End Year</t>
        </is>
      </c>
      <c r="G1" s="126" t="inlineStr">
        <is>
          <t>Status</t>
        </is>
      </c>
      <c r="H1" s="126" t="inlineStr">
        <is>
          <t>VF or Non-VF</t>
        </is>
      </c>
      <c r="I1" s="99" t="inlineStr">
        <is>
          <t>Beneficiary Category</t>
        </is>
      </c>
      <c r="J1" s="99" t="inlineStr">
        <is>
          <t>Indicator</t>
        </is>
      </c>
      <c r="K1" s="99" t="inlineStr">
        <is>
          <t>Baseline</t>
        </is>
      </c>
      <c r="L1" s="99" t="inlineStr">
        <is>
          <t>Target</t>
        </is>
      </c>
      <c r="M1" s="99" t="inlineStr">
        <is>
          <t>Notes</t>
        </is>
      </c>
      <c r="N1" s="56" t="inlineStr">
        <is>
          <t>Donors</t>
        </is>
      </c>
      <c r="O1" s="56" t="inlineStr">
        <is>
          <t>Gender (% female)</t>
        </is>
      </c>
      <c r="P1" s="111" t="inlineStr">
        <is>
          <t>Tag</t>
        </is>
      </c>
      <c r="Q1" s="110" t="inlineStr">
        <is>
          <t>SEH Taxonomy</t>
        </is>
      </c>
      <c r="R1" s="110" t="inlineStr">
        <is>
          <t>RISE Taxonomy</t>
        </is>
      </c>
      <c r="S1" s="111" t="inlineStr">
        <is>
          <t>Flagship</t>
        </is>
      </c>
      <c r="T1" s="111" t="inlineStr">
        <is>
          <t>Indirect Category</t>
        </is>
      </c>
      <c r="U1" s="112" t="inlineStr">
        <is>
          <t>Indirect Taxonomy</t>
        </is>
      </c>
      <c r="V1" s="113" t="inlineStr">
        <is>
          <t>Technology</t>
        </is>
      </c>
      <c r="W1" s="112" t="inlineStr">
        <is>
          <t>Policy or Regulatory Framework</t>
        </is>
      </c>
      <c r="X1" s="113" t="inlineStr">
        <is>
          <t>Policy Population</t>
        </is>
      </c>
    </row>
    <row r="2" ht="45.75" customHeight="1">
      <c r="A2" s="57" t="n">
        <v>134123</v>
      </c>
      <c r="B2" s="58" t="inlineStr">
        <is>
          <t>Accès aux énergies propres dans les zones rurales du Liptako Gourma</t>
        </is>
      </c>
      <c r="C2" s="118" t="inlineStr">
        <is>
          <t>https://open.undp.org/projects/00134123</t>
        </is>
      </c>
      <c r="D2" s="127" t="n">
        <v>8498746</v>
      </c>
      <c r="E2" s="138" t="n"/>
      <c r="F2" s="138" t="n"/>
      <c r="G2" s="138" t="n"/>
      <c r="H2" s="127" t="inlineStr">
        <is>
          <t>Non-VF</t>
        </is>
      </c>
      <c r="I2" s="59" t="inlineStr">
        <is>
          <t>Clean Cooking</t>
        </is>
      </c>
      <c r="J2" s="60" t="inlineStr">
        <is>
          <t>Number of beneficiaries</t>
        </is>
      </c>
      <c r="K2" s="61" t="n"/>
      <c r="L2" s="60" t="n">
        <v>330000</v>
      </c>
      <c r="M2" s="61" t="inlineStr">
        <is>
          <t xml:space="preserve">The target is to reach 330000 people in Mali, Burkina Faso and Niger.  </t>
        </is>
      </c>
      <c r="N2" s="117" t="inlineStr">
        <is>
          <t>ASDI</t>
        </is>
      </c>
      <c r="O2" s="59" t="n"/>
      <c r="P2" s="107" t="n"/>
      <c r="Q2" s="115" t="inlineStr">
        <is>
          <t>Close the gap on energy access</t>
        </is>
      </c>
      <c r="R2" s="107" t="n"/>
      <c r="S2" s="107" t="n"/>
      <c r="T2" s="107" t="n"/>
      <c r="U2" s="107" t="n"/>
      <c r="V2" s="116" t="n"/>
      <c r="W2" s="107" t="n"/>
      <c r="X2" s="116" t="n"/>
    </row>
    <row r="3" ht="91.5" customHeight="1">
      <c r="A3" s="59" t="n"/>
      <c r="B3" s="58" t="n"/>
      <c r="C3" s="63" t="n"/>
      <c r="D3" s="128" t="n"/>
      <c r="E3" s="128" t="n"/>
      <c r="F3" s="128" t="n"/>
      <c r="G3" s="128" t="n"/>
      <c r="H3" s="128" t="n"/>
      <c r="I3" s="59" t="inlineStr">
        <is>
          <t>Policy or Regulatory Framework</t>
        </is>
      </c>
      <c r="J3" s="65" t="inlineStr">
        <is>
          <t>1 an inclusive national coordination platform for off-grid clean energy is established and operational</t>
        </is>
      </c>
      <c r="K3" s="60" t="inlineStr">
        <is>
          <t xml:space="preserve">Lack of a clear policy and regulatory framework to promote private sector participation in off-grid and on-grid energy supply.  </t>
        </is>
      </c>
      <c r="L3" s="60" t="n">
        <v>1</v>
      </c>
      <c r="M3" s="66" t="inlineStr">
        <is>
          <t>This pilot project is being implemented by UNDP and UNOPS in partnership with ECREE. The platforms have been created, and the DREI analyses and clean cooking studies have been submitted. The feasibility studies for the plants have been finalised. Construction of the plants remains to be done this year.</t>
        </is>
      </c>
      <c r="N3" s="67" t="n"/>
      <c r="O3" s="59" t="n"/>
      <c r="P3" s="107" t="n"/>
      <c r="Q3" s="115" t="inlineStr">
        <is>
          <t>Close the gap on energy access</t>
        </is>
      </c>
      <c r="R3" s="107" t="inlineStr">
        <is>
          <t>Electricity Access</t>
        </is>
      </c>
      <c r="S3" s="107" t="n"/>
      <c r="T3" s="107" t="inlineStr">
        <is>
          <t>Legal Framework</t>
        </is>
      </c>
      <c r="U3" s="107" t="inlineStr">
        <is>
          <t>Electricity Access</t>
        </is>
      </c>
      <c r="V3" s="116" t="n"/>
      <c r="W3" s="107" t="inlineStr">
        <is>
          <t>National</t>
        </is>
      </c>
      <c r="X3" s="116" t="n"/>
    </row>
    <row r="4" ht="246.75" customHeight="1">
      <c r="A4" s="63" t="n"/>
      <c r="B4" s="58" t="n"/>
      <c r="C4" s="63" t="n"/>
      <c r="D4" s="128" t="n"/>
      <c r="E4" s="128" t="n"/>
      <c r="F4" s="128" t="n"/>
      <c r="G4" s="128" t="n"/>
      <c r="H4" s="128" t="n"/>
      <c r="I4" s="59" t="n"/>
      <c r="J4" s="65" t="inlineStr">
        <is>
          <t>Number of measures and financial instruments put in place and operational to increase private investment (DREI)</t>
        </is>
      </c>
      <c r="K4" s="68" t="n"/>
      <c r="L4" s="60" t="n">
        <v>1</v>
      </c>
      <c r="M4" s="69" t="inlineStr">
        <is>
          <t>Expected impacts 1. Reduction of CO2 emissions: this impact i s expected through the application of clean energy technologies (solar PV) replacing the use of fuel/diesel generators.
2. Improvement of women's l living and working conditions: women who benefit from access toelectricity are expected to be impacted i n the form of i improved safety (through street l lighting), telecommunications and i information (charging mobile phones and using television/radio at home), reduced physical burden (e.g., through solar electric pumps for better access to drinking water) and new and better economic opportunities.
3. Reducing the potential for conflict: this i impact is expected by providing employmentopportunities for rural populations and young people (including potential future
and/or ex-combatants).
4 Job creation and development of economic opportunities for communities i n the targetedareas: the creation of favourable conditions for the development of employment opportunities
for young people will be an alternative to rural exodus and irregular migration.</t>
        </is>
      </c>
      <c r="N4" s="70" t="n"/>
      <c r="O4" s="59" t="n"/>
      <c r="P4" s="107" t="n"/>
      <c r="Q4" s="115" t="inlineStr">
        <is>
          <t>Close the gap on energy access</t>
        </is>
      </c>
      <c r="R4" s="107" t="n"/>
      <c r="S4" s="107" t="n"/>
      <c r="T4" s="107" t="n"/>
      <c r="U4" s="107" t="n"/>
      <c r="V4" s="116" t="n"/>
      <c r="W4" s="107" t="n"/>
      <c r="X4" s="116" t="n"/>
    </row>
    <row r="5" ht="121.5" customHeight="1">
      <c r="A5" s="63" t="n"/>
      <c r="B5" s="58" t="n"/>
      <c r="C5" s="63" t="n"/>
      <c r="D5" s="128" t="n"/>
      <c r="E5" s="128" t="n"/>
      <c r="F5" s="128" t="n"/>
      <c r="G5" s="128" t="n"/>
      <c r="H5" s="128" t="n"/>
      <c r="I5" s="59" t="inlineStr">
        <is>
          <t>Electricity Access</t>
        </is>
      </c>
      <c r="J5" s="65" t="inlineStr">
        <is>
          <t>Off-grid rural electrification solutions provided to target communities (6 mini photovoltaic power grids)</t>
        </is>
      </c>
      <c r="K5" s="61" t="inlineStr">
        <is>
          <t>The population of Mali is estimated at about 21 million. 62.5% of the population lives in rural areas.The electrification rate in Mali is 43% overall, but only 12% in rural areas</t>
        </is>
      </c>
      <c r="L5" s="60" t="n">
        <v>30000</v>
      </c>
      <c r="M5" s="71" t="inlineStr">
        <is>
          <t>The number of minigrids direct beneficiaries will derive from feasibility study. The feasibility study is not yet finalized. 6 mini power grids</t>
        </is>
      </c>
      <c r="N5" s="62" t="n"/>
      <c r="O5" s="79" t="n">
        <v>0.4</v>
      </c>
      <c r="P5" s="107" t="n"/>
      <c r="Q5" s="115" t="inlineStr">
        <is>
          <t>Close the gap on energy access</t>
        </is>
      </c>
      <c r="R5" s="107" t="n"/>
      <c r="S5" s="107" t="n"/>
      <c r="T5" s="107" t="n"/>
      <c r="U5" s="107" t="n"/>
      <c r="V5" s="119" t="n"/>
      <c r="W5" s="107" t="n"/>
      <c r="X5" s="116" t="n"/>
    </row>
    <row r="6" ht="45.75" customHeight="1">
      <c r="A6" s="63" t="n"/>
      <c r="B6" s="58" t="n"/>
      <c r="C6" s="63" t="n"/>
      <c r="D6" s="128" t="n"/>
      <c r="E6" s="128" t="n"/>
      <c r="F6" s="128" t="n"/>
      <c r="G6" s="128" t="n"/>
      <c r="H6" s="128" t="n"/>
      <c r="I6" s="59" t="inlineStr">
        <is>
          <t>Energy (MW added)</t>
        </is>
      </c>
      <c r="J6" s="65" t="inlineStr">
        <is>
          <t>Installed capacity in MW for access/productive-use outputs</t>
        </is>
      </c>
      <c r="K6" s="61" t="n">
        <v>0</v>
      </c>
      <c r="L6" s="139" t="n"/>
      <c r="M6" s="140" t="inlineStr">
        <is>
          <t>[AUTO-ADDED] Project reports access/productive-use beneficiary numbers but no MW value. Please add installed capacity (MW) or confirm not applicable.</t>
        </is>
      </c>
      <c r="N6" s="62" t="n"/>
      <c r="O6" s="79" t="n"/>
      <c r="P6" s="107" t="n"/>
      <c r="Q6" s="115" t="n"/>
      <c r="R6" s="107" t="n"/>
      <c r="S6" s="107" t="n"/>
      <c r="T6" s="107" t="n"/>
      <c r="U6" s="107" t="n"/>
      <c r="V6" s="119" t="n"/>
      <c r="W6" s="107" t="n"/>
      <c r="X6" s="116" t="n"/>
    </row>
    <row r="7" ht="45.75" customHeight="1">
      <c r="A7" s="72" t="n">
        <v>125461</v>
      </c>
      <c r="B7" s="59" t="inlineStr">
        <is>
          <t>Femmes illuminant les chemins vers la paix</t>
        </is>
      </c>
      <c r="C7" s="73" t="inlineStr">
        <is>
          <t>https://open.undp.org/projects/00125461</t>
        </is>
      </c>
      <c r="D7" s="129" t="n">
        <v>1500000</v>
      </c>
      <c r="E7" s="141" t="n"/>
      <c r="F7" s="141" t="n"/>
      <c r="G7" s="141" t="n"/>
      <c r="H7" s="129" t="inlineStr">
        <is>
          <t>Non-VF</t>
        </is>
      </c>
      <c r="I7" s="78" t="inlineStr">
        <is>
          <t>Policy or Regulatory Framework</t>
        </is>
      </c>
      <c r="J7" s="61" t="inlineStr">
        <is>
          <t xml:space="preserve">Number of situational analyses carried out/number of extension tools produced </t>
        </is>
      </c>
      <c r="K7" s="74" t="n"/>
      <c r="L7" s="78" t="n">
        <v>1</v>
      </c>
      <c r="M7" s="75" t="inlineStr">
        <is>
          <t>Result 1: Women and girls participate effectively in the management of natural resources and women's leadership is strengthened on environmental issues and reduces inter-community tensions.</t>
        </is>
      </c>
      <c r="N7" s="134" t="inlineStr">
        <is>
          <t>UN Peacebuilding Fund (PBF)</t>
        </is>
      </c>
      <c r="O7" s="79" t="n">
        <v>1</v>
      </c>
      <c r="P7" s="107" t="n"/>
      <c r="Q7" s="115" t="inlineStr">
        <is>
          <t>Close the gap on energy access</t>
        </is>
      </c>
      <c r="R7" s="107" t="inlineStr">
        <is>
          <t>Overall</t>
        </is>
      </c>
      <c r="S7" s="107" t="n"/>
      <c r="T7" s="107" t="inlineStr">
        <is>
          <t>Incentives and Support</t>
        </is>
      </c>
      <c r="U7" s="107" t="inlineStr">
        <is>
          <t>Renewable Energy</t>
        </is>
      </c>
      <c r="V7" s="116" t="n"/>
      <c r="W7" s="107" t="inlineStr">
        <is>
          <t>Regional</t>
        </is>
      </c>
      <c r="X7" s="116" t="inlineStr">
        <is>
          <t>Not mentioned</t>
        </is>
      </c>
    </row>
    <row r="8" ht="137.25" customHeight="1">
      <c r="A8" s="76" t="n"/>
      <c r="B8" s="59" t="n"/>
      <c r="C8" s="73" t="n"/>
      <c r="D8" s="129" t="n"/>
      <c r="E8" s="129" t="n"/>
      <c r="F8" s="129" t="n"/>
      <c r="G8" s="129" t="n"/>
      <c r="H8" s="129" t="n"/>
      <c r="I8" s="80" t="inlineStr">
        <is>
          <t>Capacity Building Training</t>
        </is>
      </c>
      <c r="J8" s="60" t="inlineStr">
        <is>
          <t>Number of women</t>
        </is>
      </c>
      <c r="K8" s="74" t="n"/>
      <c r="L8" s="60" t="n">
        <v>1000</v>
      </c>
      <c r="M8" s="58" t="inlineStr">
        <is>
          <t xml:space="preserve">Result 2: The project's women's and girls' groups and associations become key players in recovery through increased productivity and profitability of renewable energies and mobilisation for peace. </t>
        </is>
      </c>
      <c r="N8" s="134" t="inlineStr">
        <is>
          <t>UN Peacebuilding Fund (PBF)</t>
        </is>
      </c>
      <c r="O8" s="79" t="n">
        <v>1</v>
      </c>
      <c r="P8" s="107" t="n"/>
      <c r="Q8" s="115" t="inlineStr">
        <is>
          <t>Close the gap on energy access</t>
        </is>
      </c>
      <c r="R8" s="107" t="n"/>
      <c r="S8" s="107" t="n"/>
      <c r="T8" s="107" t="n"/>
      <c r="U8" s="107" t="n"/>
      <c r="V8" s="116" t="n"/>
      <c r="W8" s="107" t="n"/>
      <c r="X8" s="116" t="n"/>
    </row>
    <row r="9" ht="60.75" customHeight="1">
      <c r="A9" s="81" t="n"/>
      <c r="B9" s="59" t="n"/>
      <c r="C9" s="82" t="n"/>
      <c r="D9" s="130" t="n"/>
      <c r="E9" s="130" t="n"/>
      <c r="F9" s="130" t="n"/>
      <c r="G9" s="130" t="n"/>
      <c r="H9" s="130" t="n"/>
      <c r="I9" s="106" t="inlineStr">
        <is>
          <t>Clean Cooking</t>
        </is>
      </c>
      <c r="J9" s="61" t="inlineStr">
        <is>
          <t>Number of beneficiary women</t>
        </is>
      </c>
      <c r="K9" s="74" t="n"/>
      <c r="L9" s="60" t="n">
        <v>1000</v>
      </c>
      <c r="M9" s="75" t="inlineStr">
        <is>
          <t>Related environmental impacts
Strengthening of the natural ecosystem (maintenance of the water table through infiltration, improvement in plant cover, improvement in human and animal consumption);
Increased penetration of improved stoves thanks to purchases by women who have increased their income and reduced consumption of wood energy for cooking.
Reduction in the discharge of market garden waste into the environment and reduction in air pollution by methanisation of this waste.</t>
        </is>
      </c>
      <c r="N9" s="134" t="inlineStr">
        <is>
          <t>UN Peacebuilding Fund (PBF)</t>
        </is>
      </c>
      <c r="O9" s="79" t="n">
        <v>1</v>
      </c>
      <c r="P9" s="107" t="n"/>
      <c r="Q9" s="115" t="inlineStr">
        <is>
          <t>Close the gap on energy access</t>
        </is>
      </c>
      <c r="R9" s="107" t="n"/>
      <c r="S9" s="107" t="n"/>
      <c r="T9" s="107" t="n"/>
      <c r="U9" s="107" t="n"/>
      <c r="V9" s="116" t="n"/>
      <c r="W9" s="107" t="n"/>
      <c r="X9" s="116" t="n"/>
    </row>
    <row r="10" ht="48" customHeight="1">
      <c r="A10" s="81" t="n"/>
      <c r="B10" s="59" t="n"/>
      <c r="C10" s="82" t="n"/>
      <c r="D10" s="130" t="n"/>
      <c r="E10" s="130" t="n"/>
      <c r="F10" s="130" t="n"/>
      <c r="G10" s="130" t="n"/>
      <c r="H10" s="130" t="n"/>
      <c r="I10" s="106" t="inlineStr">
        <is>
          <t>Energy (MW added)</t>
        </is>
      </c>
      <c r="J10" s="61" t="inlineStr">
        <is>
          <t>Installed capacity in MW for access/productive-use outputs</t>
        </is>
      </c>
      <c r="K10" s="74" t="n">
        <v>0</v>
      </c>
      <c r="L10" s="139" t="n"/>
      <c r="M10" s="142" t="inlineStr">
        <is>
          <t>[AUTO-ADDED] Project reports access/productive-use beneficiary numbers but no MW value. Please add installed capacity (MW) or confirm not applicable.</t>
        </is>
      </c>
      <c r="N10" s="134" t="n"/>
      <c r="O10" s="79" t="n"/>
      <c r="P10" s="107" t="n"/>
      <c r="Q10" s="115" t="n"/>
      <c r="R10" s="107" t="n"/>
      <c r="S10" s="107" t="n"/>
      <c r="T10" s="107" t="n"/>
      <c r="U10" s="107" t="n"/>
      <c r="V10" s="116" t="n"/>
      <c r="W10" s="107" t="n"/>
      <c r="X10" s="116" t="n"/>
    </row>
    <row r="11" ht="45.75" customHeight="1">
      <c r="A11" s="84" t="n">
        <v>121587</v>
      </c>
      <c r="B11" s="58" t="inlineStr">
        <is>
          <t>Energie solaire, télésanté et protection sociale pour transformer la santé communautaire au Mali (SanDi)/RFF</t>
        </is>
      </c>
      <c r="C11" s="118" t="inlineStr">
        <is>
          <t>https://open.undp.org/projects/00127675</t>
        </is>
      </c>
      <c r="D11" s="127" t="n">
        <v>6000000</v>
      </c>
      <c r="E11" s="138" t="n"/>
      <c r="F11" s="138" t="n"/>
      <c r="G11" s="138" t="n"/>
      <c r="H11" s="127" t="inlineStr">
        <is>
          <t>Non-VF</t>
        </is>
      </c>
      <c r="I11" s="59" t="inlineStr">
        <is>
          <t>Health Services</t>
        </is>
      </c>
      <c r="J11" s="58" t="inlineStr">
        <is>
          <t>Number of people, including women, who have access to sustainable energy in their daily lives.</t>
        </is>
      </c>
      <c r="K11" s="87" t="n">
        <v>0</v>
      </c>
      <c r="L11" s="88" t="n">
        <v>23460</v>
      </c>
      <c r="M11" s="58" t="inlineStr">
        <is>
          <t>This pilot phase of the SanDi project covers the regions of Kayes, Koulikoro, Sikasso, Ségou, Mopti, Bandiagara and the District of Bamako, and involves 7 referral health centres and 21 community health centres. A scale-up phase is currently being developed.</t>
        </is>
      </c>
      <c r="N11" s="62" t="inlineStr">
        <is>
          <t>GEF/UNDP</t>
        </is>
      </c>
      <c r="O11" s="59" t="n"/>
      <c r="P11" s="107" t="n"/>
      <c r="Q11" s="115" t="inlineStr">
        <is>
          <t>Close the gap on energy access</t>
        </is>
      </c>
      <c r="R11" s="107" t="n"/>
      <c r="S11" s="107" t="n"/>
      <c r="T11" s="107" t="n"/>
      <c r="U11" s="107" t="n"/>
      <c r="V11" s="116" t="n"/>
      <c r="W11" s="107" t="n"/>
      <c r="X11" s="116" t="n"/>
    </row>
    <row r="12" ht="137.25" customHeight="1">
      <c r="A12" s="59" t="n"/>
      <c r="B12" s="58" t="n"/>
      <c r="C12" s="59" t="n"/>
      <c r="D12" s="127" t="n"/>
      <c r="E12" s="127" t="n"/>
      <c r="F12" s="127" t="n"/>
      <c r="G12" s="127" t="n"/>
      <c r="H12" s="127" t="n"/>
      <c r="I12" s="59" t="inlineStr">
        <is>
          <t>Capacity Building Training</t>
        </is>
      </c>
      <c r="J12" s="90" t="inlineStr">
        <is>
          <t>Number of healthcare practitioners trained in the use and maintenance of the systems, broken down by gender and age (target: 50% women, 30% aged between 18 and 40).</t>
        </is>
      </c>
      <c r="K12" s="86" t="n"/>
      <c r="L12" s="91" t="n">
        <v>400</v>
      </c>
      <c r="M12" s="58" t="n"/>
      <c r="N12" s="62" t="inlineStr">
        <is>
          <t>GEF/UNDP</t>
        </is>
      </c>
      <c r="O12" s="79" t="n">
        <v>0.19</v>
      </c>
      <c r="P12" s="107" t="n"/>
      <c r="Q12" s="115" t="inlineStr">
        <is>
          <t>Close the gap on energy access</t>
        </is>
      </c>
      <c r="R12" s="107" t="n"/>
      <c r="S12" s="107" t="n"/>
      <c r="T12" s="107" t="n"/>
      <c r="U12" s="107" t="n"/>
      <c r="V12" s="116" t="n"/>
      <c r="W12" s="107" t="n"/>
      <c r="X12" s="116" t="n"/>
    </row>
    <row r="13" ht="106.5" customHeight="1">
      <c r="A13" s="59" t="n"/>
      <c r="B13" s="58" t="n"/>
      <c r="C13" s="59" t="n"/>
      <c r="D13" s="127" t="n"/>
      <c r="E13" s="127" t="n"/>
      <c r="F13" s="127" t="n"/>
      <c r="G13" s="127" t="n"/>
      <c r="H13" s="127" t="n"/>
      <c r="I13" s="59" t="inlineStr">
        <is>
          <t>Other Energy Services</t>
        </is>
      </c>
      <c r="J13" s="92" t="inlineStr">
        <is>
          <t>Number of beneficiaries</t>
        </is>
      </c>
      <c r="K13" s="86" t="n"/>
      <c r="L13" s="58" t="n">
        <v>365</v>
      </c>
      <c r="M13" s="58" t="n"/>
      <c r="N13" s="62" t="inlineStr">
        <is>
          <t>GEF/UNDP</t>
        </is>
      </c>
      <c r="O13" s="79" t="n">
        <v>0.77</v>
      </c>
      <c r="P13" s="107" t="n"/>
      <c r="Q13" s="115" t="inlineStr">
        <is>
          <t>Close the gap on energy access</t>
        </is>
      </c>
      <c r="R13" s="107" t="n"/>
      <c r="S13" s="107" t="n"/>
      <c r="T13" s="107" t="n"/>
      <c r="U13" s="107" t="n"/>
      <c r="V13" s="116" t="n"/>
      <c r="W13" s="107" t="n"/>
      <c r="X13" s="116" t="n"/>
    </row>
    <row r="14" ht="91.5" customHeight="1">
      <c r="A14" s="59" t="n"/>
      <c r="B14" s="58" t="n"/>
      <c r="C14" s="59" t="n"/>
      <c r="D14" s="127" t="n"/>
      <c r="E14" s="127" t="n"/>
      <c r="F14" s="127" t="n"/>
      <c r="G14" s="127" t="n"/>
      <c r="H14" s="127" t="n"/>
      <c r="I14" s="59" t="inlineStr">
        <is>
          <t>Energy (MW added)</t>
        </is>
      </c>
      <c r="J14" s="92" t="inlineStr">
        <is>
          <t>Installed capacity in MW for access/productive-use outputs</t>
        </is>
      </c>
      <c r="K14" s="86" t="n">
        <v>0</v>
      </c>
      <c r="L14" s="143" t="n"/>
      <c r="M14" s="143" t="inlineStr">
        <is>
          <t>[AUTO-ADDED] Project reports access/productive-use beneficiary numbers but no MW value. Please add installed capacity (MW) or confirm not applicable.</t>
        </is>
      </c>
      <c r="N14" s="62" t="n"/>
      <c r="O14" s="79" t="n"/>
      <c r="P14" s="107" t="n"/>
      <c r="Q14" s="115" t="n"/>
      <c r="R14" s="107" t="n"/>
      <c r="S14" s="107" t="n"/>
      <c r="T14" s="107" t="n"/>
      <c r="U14" s="107" t="n"/>
      <c r="V14" s="116" t="n"/>
      <c r="W14" s="107" t="n"/>
      <c r="X14" s="116" t="n"/>
    </row>
    <row r="15" ht="45.75" customHeight="1">
      <c r="A15" s="84" t="n">
        <v>129014</v>
      </c>
      <c r="B15" s="59" t="inlineStr">
        <is>
          <t>Africa Migrid Program</t>
        </is>
      </c>
      <c r="C15" s="59" t="n"/>
      <c r="D15" s="127" t="n">
        <v>1780000</v>
      </c>
      <c r="E15" s="138" t="n"/>
      <c r="F15" s="138" t="n"/>
      <c r="G15" s="138" t="n"/>
      <c r="H15" s="127" t="inlineStr">
        <is>
          <t>Non-VF</t>
        </is>
      </c>
      <c r="I15" s="59" t="inlineStr">
        <is>
          <t>GHG Emissions Reduction</t>
        </is>
      </c>
      <c r="J15" s="93" t="inlineStr">
        <is>
          <t>Indicator 1: Greenhouse gas emissions mitigated  Units of measure: metric tons of carbon dioxide equivalent (tCO2e)</t>
        </is>
      </c>
      <c r="K15" s="86" t="n"/>
      <c r="L15" s="94" t="n">
        <v>16929</v>
      </c>
      <c r="M15" s="58" t="inlineStr">
        <is>
          <t>The prodoc has been endorsed by the GEF.The project will start in September 2023 at the latest.The project is expected to bring about direct commissioning of at least 0.309 MW in solar photovoltaic (PV) generation capacity and 0.754 MWh of battery storage. The lifetime greenhouse gas (GHG) emissions reduction from project activities, particularly investment in minigrid pilots, is estimated at 16,929 metric tons of carbon dioxide equivalent (tCO2eq) (direct) and 631,697 tCO2eq (indirect). The number of direct beneficiaries is estimated at 8,665 people, of which 51% percent are women, as a result of 1,752 new minigrid connections.</t>
        </is>
      </c>
      <c r="N15" s="62" t="inlineStr">
        <is>
          <t>GEF/UNDP</t>
        </is>
      </c>
      <c r="O15" s="59" t="n"/>
      <c r="P15" s="107" t="n"/>
      <c r="Q15" s="115" t="inlineStr">
        <is>
          <t>Close the gap on energy access</t>
        </is>
      </c>
      <c r="R15" s="107" t="n"/>
      <c r="S15" s="107" t="inlineStr">
        <is>
          <t>AMP</t>
        </is>
      </c>
      <c r="T15" s="107" t="n"/>
      <c r="U15" s="107" t="n"/>
      <c r="V15" s="116" t="n"/>
      <c r="W15" s="107" t="n"/>
      <c r="X15" s="116" t="n"/>
    </row>
    <row r="16" ht="137.25" customHeight="1">
      <c r="A16" s="59" t="n"/>
      <c r="B16" s="59" t="n"/>
      <c r="C16" s="59" t="n"/>
      <c r="D16" s="127" t="n"/>
      <c r="E16" s="127" t="n"/>
      <c r="F16" s="127" t="n"/>
      <c r="G16" s="127" t="n"/>
      <c r="H16" s="127" t="n"/>
      <c r="I16" s="59" t="inlineStr">
        <is>
          <t>Electricity Access</t>
        </is>
      </c>
      <c r="J16" s="58" t="inlineStr">
        <is>
          <t>Indicator 2: Number of direct beneficiaries benefitting from energy access via minigrids, disaggregated by gender and by customer segment (residential, social, commercial/productive use) as co-benefit of GEF investment
Units of measure: number of people</t>
        </is>
      </c>
      <c r="K16" s="86" t="n"/>
      <c r="L16" s="89" t="n">
        <v>8665</v>
      </c>
      <c r="M16" s="58" t="n"/>
      <c r="N16" s="62" t="n"/>
      <c r="O16" s="79" t="n">
        <v>0.51</v>
      </c>
      <c r="P16" s="107" t="n"/>
      <c r="Q16" s="115" t="inlineStr">
        <is>
          <t>Close the gap on energy access</t>
        </is>
      </c>
      <c r="R16" s="107" t="n"/>
      <c r="S16" s="107" t="inlineStr">
        <is>
          <t>AMP</t>
        </is>
      </c>
      <c r="T16" s="107" t="n"/>
      <c r="U16" s="107" t="n"/>
      <c r="V16" s="116" t="inlineStr">
        <is>
          <t>Solar</t>
        </is>
      </c>
      <c r="W16" s="107" t="n"/>
      <c r="X16" s="116" t="n"/>
    </row>
    <row r="17" ht="45.75" customHeight="1">
      <c r="A17" s="59" t="n"/>
      <c r="B17" s="59" t="n"/>
      <c r="C17" s="59" t="n"/>
      <c r="D17" s="127" t="n"/>
      <c r="E17" s="127" t="n"/>
      <c r="F17" s="127" t="n"/>
      <c r="G17" s="127" t="n"/>
      <c r="H17" s="127" t="n"/>
      <c r="I17" s="81" t="inlineStr">
        <is>
          <t>Energy (MW added)</t>
        </is>
      </c>
      <c r="J17" s="95" t="inlineStr">
        <is>
          <t xml:space="preserve">
MW
Indicator 3:  Increase in installed solar PV capacity and battery storage Units of measure: MW (solar PV) and MWh (battery storage) </t>
        </is>
      </c>
      <c r="K17" s="86" t="n"/>
      <c r="L17" s="88" t="n">
        <v>0.3</v>
      </c>
      <c r="M17" s="58" t="n"/>
      <c r="N17" s="62" t="n"/>
      <c r="O17" s="59" t="n"/>
      <c r="P17" s="107" t="n"/>
      <c r="Q17" s="115" t="inlineStr">
        <is>
          <t>Close the gap on energy access</t>
        </is>
      </c>
      <c r="R17" s="107" t="n"/>
      <c r="S17" s="107" t="inlineStr">
        <is>
          <t>AMP</t>
        </is>
      </c>
      <c r="T17" s="107" t="n"/>
      <c r="U17" s="107" t="n"/>
      <c r="V17" s="116" t="inlineStr">
        <is>
          <t>Solar</t>
        </is>
      </c>
      <c r="W17" s="107" t="n"/>
      <c r="X17" s="116" t="n"/>
    </row>
    <row r="18" ht="45.75" customHeight="1">
      <c r="A18" s="59" t="n"/>
      <c r="B18" s="59" t="n"/>
      <c r="C18" s="59" t="n"/>
      <c r="D18" s="127" t="n"/>
      <c r="E18" s="127" t="n"/>
      <c r="F18" s="127" t="n"/>
      <c r="G18" s="127" t="n"/>
      <c r="H18" s="127" t="n"/>
      <c r="I18" s="100" t="n"/>
      <c r="J18" s="101" t="inlineStr">
        <is>
          <t>Indicator 4 Number of GGW localities covered by GMGs</t>
        </is>
      </c>
      <c r="K18" s="102" t="n"/>
      <c r="L18" s="103" t="n"/>
      <c r="M18" s="58" t="n"/>
      <c r="N18" s="62" t="n"/>
      <c r="O18" s="59" t="n"/>
      <c r="P18" s="107" t="n"/>
      <c r="Q18" s="115" t="inlineStr">
        <is>
          <t>Close the gap on energy access</t>
        </is>
      </c>
      <c r="R18" s="107" t="n"/>
      <c r="S18" s="107" t="inlineStr">
        <is>
          <t>AMP</t>
        </is>
      </c>
      <c r="T18" s="107" t="n"/>
      <c r="U18" s="107" t="n"/>
      <c r="V18" s="116" t="n"/>
      <c r="W18" s="107" t="n"/>
      <c r="X18" s="116" t="n"/>
    </row>
    <row r="19" ht="137.25" customHeight="1">
      <c r="A19" s="59" t="n"/>
      <c r="B19" s="59" t="n"/>
      <c r="C19" s="59" t="n"/>
      <c r="D19" s="127" t="n"/>
      <c r="E19" s="127" t="n"/>
      <c r="F19" s="127" t="n"/>
      <c r="G19" s="127" t="n"/>
      <c r="H19" s="127" t="n"/>
      <c r="I19" s="100" t="n"/>
      <c r="J19" s="104" t="inlineStr">
        <is>
          <t>Indicator 5:
Number of direct green jobs created in the minigrids sector and in sectors related to the GGW, disaggregated by gender, for [minigrid development, operation and productive use, GGW sectors incl. farming, livestock, agroforestry. Etc.]. 
Units of measure: Absolute number of direct green jobs created</t>
        </is>
      </c>
      <c r="K19" s="105" t="n"/>
      <c r="L19" s="103" t="n"/>
      <c r="M19" s="58" t="n"/>
      <c r="N19" s="62" t="n"/>
      <c r="O19" s="59" t="n"/>
      <c r="P19" s="107" t="n"/>
      <c r="Q19" s="115" t="inlineStr">
        <is>
          <t>Close the gap on energy access</t>
        </is>
      </c>
      <c r="R19" s="107" t="n"/>
      <c r="S19" s="107" t="inlineStr">
        <is>
          <t>AMP</t>
        </is>
      </c>
      <c r="T19" s="107" t="n"/>
      <c r="U19" s="107" t="n"/>
      <c r="V19" s="116" t="n"/>
      <c r="W19" s="107" t="n"/>
      <c r="X19" s="116" t="n"/>
    </row>
    <row r="20">
      <c r="A20" s="59" t="n"/>
      <c r="B20" s="59" t="n"/>
      <c r="C20" s="59" t="n"/>
      <c r="D20" s="127" t="n"/>
      <c r="E20" s="127" t="n"/>
      <c r="F20" s="127" t="n"/>
      <c r="G20" s="127" t="n"/>
      <c r="H20" s="127" t="n"/>
      <c r="I20" s="59" t="inlineStr">
        <is>
          <t>Other Energy Services</t>
        </is>
      </c>
      <c r="J20" s="97" t="inlineStr">
        <is>
          <t>Number of beneficiaries</t>
        </is>
      </c>
      <c r="K20" s="86" t="n"/>
      <c r="L20" s="58" t="n">
        <v>183505</v>
      </c>
      <c r="M20" s="98" t="n"/>
      <c r="N20" s="62" t="n"/>
      <c r="O20" s="59" t="n"/>
      <c r="P20" s="107" t="n"/>
      <c r="Q20" s="115" t="inlineStr">
        <is>
          <t>Close the gap on energy access</t>
        </is>
      </c>
      <c r="R20" s="107" t="n"/>
      <c r="S20" s="107" t="inlineStr">
        <is>
          <t>AMP</t>
        </is>
      </c>
      <c r="T20" s="107" t="n"/>
      <c r="U20" s="107" t="n"/>
      <c r="V20" s="116" t="n"/>
      <c r="W20" s="107" t="n"/>
      <c r="X20" s="116" t="n"/>
    </row>
    <row r="21">
      <c r="A21" s="84" t="n">
        <v>124853</v>
      </c>
      <c r="B21" s="58" t="inlineStr">
        <is>
          <t>Ten Country: Scaling Solar Applications for Agricultural Use</t>
        </is>
      </c>
      <c r="C21" s="59" t="n"/>
      <c r="D21" s="127" t="n">
        <v>200000</v>
      </c>
      <c r="E21" s="138" t="n"/>
      <c r="F21" s="138" t="n"/>
      <c r="G21" s="138" t="n"/>
      <c r="H21" s="127" t="inlineStr">
        <is>
          <t>Non-VF</t>
        </is>
      </c>
      <c r="I21" s="59" t="inlineStr">
        <is>
          <t>Agriculture and Food System</t>
        </is>
      </c>
      <c r="J21" s="58" t="inlineStr">
        <is>
          <t>Number of farmers</t>
        </is>
      </c>
      <c r="K21" s="86" t="n"/>
      <c r="L21" s="58" t="n">
        <v>200</v>
      </c>
      <c r="M21" s="58" t="inlineStr">
        <is>
          <t>Feasibility study launched to determine true demand are on track enabling key implementation modalities for all 10 countries</t>
        </is>
      </c>
      <c r="N21" s="117" t="inlineStr">
        <is>
          <t>ISA/India</t>
        </is>
      </c>
      <c r="O21" s="59" t="n"/>
      <c r="P21" s="107" t="n"/>
      <c r="Q21" s="115" t="inlineStr">
        <is>
          <t>Close the gap on energy access</t>
        </is>
      </c>
      <c r="R21" s="107" t="n"/>
      <c r="S21" s="107" t="inlineStr">
        <is>
          <t>AMP</t>
        </is>
      </c>
      <c r="T21" s="107" t="n"/>
      <c r="U21" s="107" t="n"/>
      <c r="V21" s="116" t="n"/>
      <c r="W21" s="107" t="n"/>
      <c r="X21" s="116" t="n"/>
    </row>
    <row r="22">
      <c r="A22" s="59" t="n"/>
      <c r="B22" s="59" t="n"/>
      <c r="C22" s="59" t="n"/>
      <c r="D22" s="127" t="n"/>
      <c r="E22" s="127" t="n"/>
      <c r="F22" s="127" t="n"/>
      <c r="G22" s="127" t="n"/>
      <c r="H22" s="127" t="n"/>
      <c r="I22" s="59" t="inlineStr">
        <is>
          <t>Agriculture and Food System</t>
        </is>
      </c>
      <c r="J22" s="58" t="inlineStr">
        <is>
          <t>Number of beneficiaries</t>
        </is>
      </c>
      <c r="K22" s="86" t="n"/>
      <c r="L22" s="58" t="n">
        <v>400</v>
      </c>
      <c r="M22" s="58" t="inlineStr">
        <is>
          <t xml:space="preserve">Through demonstration of new, innovative ans sustainable deployment models for solar water pumps, the pilot project on SSAAU aims to address these three interrelated challenges. Through installation of close to 200 SWPs across 10 countries, the project will remove the commonly prevalent barriers to access irrigation through solar pumps and post-installation services in the beneficiary localitons. This can help the larger community to expand solar energy usage, thereby reversing the poverty/unproductivity trap; the project will also address climate change mitigation and gender inequalities. </t>
        </is>
      </c>
      <c r="N22" s="62" t="n"/>
      <c r="O22" s="59" t="n"/>
      <c r="P22" s="107" t="n"/>
      <c r="Q22" s="115" t="inlineStr">
        <is>
          <t>Close the gap on energy access</t>
        </is>
      </c>
      <c r="R22" s="107" t="n"/>
      <c r="S22" s="107" t="inlineStr">
        <is>
          <t>AMP</t>
        </is>
      </c>
      <c r="T22" s="107" t="n"/>
      <c r="U22" s="107" t="n"/>
      <c r="V22" s="116" t="n"/>
      <c r="W22" s="107" t="n"/>
      <c r="X22" s="116" t="n"/>
    </row>
    <row r="23">
      <c r="A23" s="59" t="n"/>
      <c r="B23" s="59" t="n"/>
      <c r="C23" s="59" t="n"/>
      <c r="D23" s="127" t="n"/>
      <c r="E23" s="127" t="n"/>
      <c r="F23" s="127" t="n"/>
      <c r="G23" s="127" t="n"/>
      <c r="H23" s="127" t="n"/>
      <c r="I23" s="59" t="inlineStr">
        <is>
          <t>Energy (MW added)</t>
        </is>
      </c>
      <c r="J23" s="58" t="inlineStr">
        <is>
          <t>Installed capacity in MW for access/productive-use outputs</t>
        </is>
      </c>
      <c r="K23" s="86" t="n">
        <v>0</v>
      </c>
      <c r="L23" s="143" t="n"/>
      <c r="M23" s="143" t="inlineStr">
        <is>
          <t>[AUTO-ADDED] Project reports access/productive-use beneficiary numbers but no MW value. Please add installed capacity (MW) or confirm not applicable.</t>
        </is>
      </c>
      <c r="N23" s="62" t="n"/>
      <c r="O23" s="59" t="n"/>
      <c r="P23" s="107" t="n"/>
      <c r="Q23" s="115" t="n"/>
      <c r="R23" s="107" t="n"/>
      <c r="S23" s="107" t="n"/>
      <c r="T23" s="107" t="n"/>
      <c r="U23" s="107" t="n"/>
      <c r="V23" s="116" t="n"/>
      <c r="W23" s="107" t="n"/>
      <c r="X23" s="116" t="n"/>
    </row>
    <row r="24">
      <c r="N24" s="36" t="n"/>
    </row>
    <row r="25">
      <c r="N25" s="36" t="n"/>
    </row>
    <row r="26"/>
    <row r="27"/>
    <row r="28"/>
    <row r="29"/>
    <row r="30"/>
    <row r="31"/>
    <row r="32"/>
    <row r="33"/>
    <row r="34"/>
    <row r="35">
      <c r="D35" s="132" t="n"/>
      <c r="E35" s="132" t="n"/>
      <c r="F35" s="132" t="n"/>
      <c r="G35" s="132" t="n"/>
      <c r="H35" s="132" t="n"/>
    </row>
    <row r="36">
      <c r="D36" s="132" t="n"/>
      <c r="E36" s="132" t="n"/>
      <c r="F36" s="132" t="n"/>
      <c r="G36" s="132" t="n"/>
      <c r="H36" s="132" t="n"/>
    </row>
    <row r="37">
      <c r="D37" s="132" t="n"/>
      <c r="E37" s="132" t="n"/>
      <c r="F37" s="132" t="n"/>
      <c r="G37" s="132" t="n"/>
      <c r="H37" s="132" t="n"/>
    </row>
    <row r="38">
      <c r="D38" s="132" t="n"/>
      <c r="E38" s="132" t="n"/>
      <c r="F38" s="132" t="n"/>
      <c r="G38" s="132" t="n"/>
      <c r="H38" s="132" t="n"/>
    </row>
    <row r="39">
      <c r="D39" s="132" t="n"/>
      <c r="E39" s="132" t="n"/>
      <c r="F39" s="132" t="n"/>
      <c r="G39" s="132" t="n"/>
      <c r="H39" s="132" t="n"/>
    </row>
    <row r="40">
      <c r="D40" s="132" t="n"/>
      <c r="E40" s="132" t="n"/>
      <c r="F40" s="132" t="n"/>
      <c r="G40" s="132" t="n"/>
      <c r="H40" s="132" t="n"/>
    </row>
    <row r="41">
      <c r="D41" s="132" t="n"/>
      <c r="E41" s="132" t="n"/>
      <c r="F41" s="132" t="n"/>
      <c r="G41" s="132" t="n"/>
      <c r="H41" s="132" t="n"/>
    </row>
    <row r="42">
      <c r="D42" s="132" t="n"/>
      <c r="E42" s="132" t="n"/>
      <c r="F42" s="132" t="n"/>
      <c r="G42" s="132" t="n"/>
      <c r="H42" s="132" t="n"/>
    </row>
    <row r="43">
      <c r="D43" s="132" t="n"/>
      <c r="E43" s="132" t="n"/>
      <c r="F43" s="132" t="n"/>
      <c r="G43" s="132" t="n"/>
      <c r="H43" s="132" t="n"/>
    </row>
    <row r="44"/>
    <row r="45"/>
    <row r="46"/>
    <row r="47"/>
    <row r="48" ht="14.45" customHeight="1"/>
    <row r="49"/>
    <row r="50"/>
    <row r="51"/>
    <row r="52"/>
    <row r="53"/>
    <row r="54"/>
    <row r="55"/>
    <row r="56"/>
    <row r="57"/>
    <row r="58"/>
    <row r="59"/>
    <row r="60"/>
    <row r="61"/>
    <row r="62"/>
    <row r="63"/>
    <row r="64"/>
    <row r="65"/>
    <row r="66"/>
    <row r="67"/>
    <row r="68"/>
    <row r="69">
      <c r="A69" s="120" t="n"/>
      <c r="B69" s="4" t="n"/>
      <c r="C69" s="120" t="n"/>
      <c r="D69" s="133" t="n"/>
      <c r="E69" s="133" t="n"/>
      <c r="F69" s="133" t="n"/>
      <c r="G69" s="133" t="n"/>
      <c r="H69" s="133" t="n"/>
    </row>
  </sheetData>
  <dataValidations count="12">
    <dataValidation sqref="Q2:Q1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9" showDropDown="0" showInputMessage="1" showErrorMessage="1" allowBlank="1" type="list">
      <formula1>"AMP, PUDC, Solar4Health, Action Opportunities, Italy UNDP Energy Partnership"</formula1>
    </dataValidation>
    <dataValidation sqref="N2:N19" showDropDown="0" showInputMessage="1" showErrorMessage="1" allowBlank="1" type="list">
      <formula1>"Accelerating just energy transition, Close the gap on energy access, Scale up energy finance"</formula1>
    </dataValidation>
    <dataValidation sqref="O2:O19" showDropDown="0" showInputMessage="1" showErrorMessage="1" allowBlank="1" type="list">
      <formula1>"Electricity Access, Energy Efficiency, Clean Cooking, Renewable Energy, Overall"</formula1>
    </dataValidation>
    <dataValidation sqref="L2:L19" showDropDown="0" showInputMessage="1" showErrorMessage="1" allowBlank="1" type="list">
      <formula1>"Non-VF, VF"</formula1>
    </dataValidation>
    <dataValidation sqref="M2:M19" showDropDown="0" showInputMessage="1" showErrorMessage="1" allowBlank="1" type="list">
      <formula1>"Finance, Gender, Efficiency, Just, Health"</formula1>
    </dataValidation>
    <dataValidation sqref="T2:T19" showDropDown="0" showInputMessage="1" showErrorMessage="1" allowBlank="1" type="list">
      <formula1>"National, Regional, City, Community"</formula1>
    </dataValidation>
    <dataValidation sqref="R2:R1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9"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S70"/>
  <sheetViews>
    <sheetView zoomScale="80" zoomScaleNormal="70" workbookViewId="0">
      <pane ySplit="1" topLeftCell="N4" activePane="bottomLeft" state="frozen"/>
      <selection pane="bottomLeft" activeCell="N4" sqref="N4"/>
    </sheetView>
  </sheetViews>
  <sheetFormatPr baseColWidth="8" defaultColWidth="8.85546875" defaultRowHeight="15"/>
  <cols>
    <col width="15.7109375" customWidth="1" style="3" min="1" max="1"/>
    <col width="41.7109375" customWidth="1" style="3" min="2" max="3"/>
    <col width="23.85546875" customWidth="1" style="5" min="4" max="4"/>
    <col width="36" customWidth="1" style="3" min="5" max="5"/>
    <col width="39.7109375" bestFit="1" customWidth="1" style="120" min="6" max="6"/>
    <col width="23.7109375" customWidth="1" style="4" min="7" max="7"/>
    <col width="21.5703125" customWidth="1" style="120" min="8" max="8"/>
    <col width="65.140625" customWidth="1" style="120" min="9" max="9"/>
    <col width="21.85546875" customWidth="1" style="3" min="10" max="10"/>
    <col width="8.85546875" customWidth="1" style="3" min="11" max="13"/>
    <col width="30.7109375" customWidth="1" style="3" min="14" max="14"/>
    <col width="17.7109375" customWidth="1" style="3" min="15" max="15"/>
    <col width="8.85546875" customWidth="1" style="3" min="16" max="16384"/>
  </cols>
  <sheetData>
    <row r="1">
      <c r="A1" s="99" t="inlineStr">
        <is>
          <t>Project ID</t>
        </is>
      </c>
      <c r="B1" s="99" t="inlineStr">
        <is>
          <t>Title</t>
        </is>
      </c>
      <c r="C1" s="99" t="inlineStr">
        <is>
          <t>Link</t>
        </is>
      </c>
      <c r="D1" s="99" t="inlineStr">
        <is>
          <t>Budget</t>
        </is>
      </c>
      <c r="E1" s="99" t="inlineStr">
        <is>
          <t>Beneficiary Category</t>
        </is>
      </c>
      <c r="F1" s="99" t="inlineStr">
        <is>
          <t>Indicator</t>
        </is>
      </c>
      <c r="G1" s="99" t="inlineStr">
        <is>
          <t>Baseline</t>
        </is>
      </c>
      <c r="H1" s="99" t="inlineStr">
        <is>
          <t>Target</t>
        </is>
      </c>
      <c r="I1" s="99" t="inlineStr">
        <is>
          <t>Notes</t>
        </is>
      </c>
      <c r="J1" s="56" t="inlineStr">
        <is>
          <t>Donors</t>
        </is>
      </c>
      <c r="K1" s="56" t="inlineStr">
        <is>
          <t>Gender (% female)</t>
        </is>
      </c>
      <c r="L1" s="56" t="inlineStr">
        <is>
          <t>Category</t>
        </is>
      </c>
      <c r="M1" s="56" t="inlineStr">
        <is>
          <t>Tag</t>
        </is>
      </c>
      <c r="N1" s="56" t="inlineStr">
        <is>
          <t>SEH Taxonomy</t>
        </is>
      </c>
      <c r="O1" s="56" t="inlineStr">
        <is>
          <t>RISE Taxonomy</t>
        </is>
      </c>
      <c r="P1" s="56" t="inlineStr">
        <is>
          <t>Flagship</t>
        </is>
      </c>
      <c r="Q1" s="56" t="inlineStr">
        <is>
          <t>Indirect Category</t>
        </is>
      </c>
      <c r="R1" s="56" t="inlineStr">
        <is>
          <t>Indirect Taxonomy</t>
        </is>
      </c>
      <c r="S1" s="56" t="n"/>
    </row>
    <row r="2" ht="15" customHeight="1">
      <c r="A2" s="57" t="inlineStr">
        <is>
          <t>00125788</t>
        </is>
      </c>
      <c r="B2" s="58" t="inlineStr">
        <is>
          <t>Accès aux énergies propres dans les zones rurales du Liptako Gourma</t>
        </is>
      </c>
      <c r="C2" s="59" t="n"/>
      <c r="D2" s="59" t="n">
        <v>8498746</v>
      </c>
      <c r="E2" s="59" t="inlineStr">
        <is>
          <t>Clean cooking</t>
        </is>
      </c>
      <c r="F2" s="60" t="inlineStr">
        <is>
          <t>Number of beneficiaries</t>
        </is>
      </c>
      <c r="G2" s="61" t="n"/>
      <c r="H2" s="60" t="n">
        <v>330000</v>
      </c>
      <c r="I2" s="61" t="inlineStr">
        <is>
          <t xml:space="preserve">The target is to reach 330000 people in Mali, Burkina Faso and Niger.  </t>
        </is>
      </c>
      <c r="J2" s="62" t="n"/>
      <c r="K2" s="59" t="n"/>
      <c r="L2" s="59" t="inlineStr">
        <is>
          <t>Non-VF</t>
        </is>
      </c>
      <c r="M2" s="59" t="n"/>
      <c r="N2" s="59" t="inlineStr">
        <is>
          <t>Accelerating just energy transition</t>
        </is>
      </c>
      <c r="O2" s="59" t="inlineStr">
        <is>
          <t>Clean Cooking</t>
        </is>
      </c>
      <c r="P2" s="59" t="n"/>
      <c r="Q2" s="59" t="n"/>
      <c r="R2" s="59" t="n"/>
    </row>
    <row r="3" ht="91.5" customHeight="1">
      <c r="A3" s="59" t="inlineStr">
        <is>
          <t>ASDI</t>
        </is>
      </c>
      <c r="B3" s="58" t="n"/>
      <c r="C3" s="63" t="n"/>
      <c r="D3" s="64" t="n"/>
      <c r="E3" s="59" t="inlineStr">
        <is>
          <t>Policy and regulatory framework</t>
        </is>
      </c>
      <c r="F3" s="65" t="inlineStr">
        <is>
          <t>1 an inclusive national coordination platform for off-grid clean energy is established and operational</t>
        </is>
      </c>
      <c r="G3" s="60" t="inlineStr">
        <is>
          <t xml:space="preserve">Lack of a clear policy and regulatory framework to promote private sector participation in off-grid and on-grid energy supply.  </t>
        </is>
      </c>
      <c r="H3" s="60" t="n">
        <v>1</v>
      </c>
      <c r="I3" s="66" t="inlineStr">
        <is>
          <t>This pilot project is being implemented by UNDP and UNOPS in partnership with ECREE. The platforms have been created, and the DREI analyses and clean cooking studies have been submitted. The feasibility studies for the plants have been finalised. Construction of the plants remains to be done this year.</t>
        </is>
      </c>
      <c r="J3" s="67" t="n"/>
      <c r="K3" s="59" t="n"/>
      <c r="L3" s="59" t="inlineStr">
        <is>
          <t>Non-VF</t>
        </is>
      </c>
      <c r="M3" s="59" t="n"/>
      <c r="N3" s="59" t="inlineStr">
        <is>
          <t>Accelerating just energy transition</t>
        </is>
      </c>
      <c r="O3" s="59" t="inlineStr">
        <is>
          <t>Clean Cooking</t>
        </is>
      </c>
      <c r="P3" s="59" t="n"/>
      <c r="Q3" s="59" t="inlineStr">
        <is>
          <t>Incentives and Support</t>
        </is>
      </c>
      <c r="R3" s="59" t="inlineStr">
        <is>
          <t>Clean Cooking</t>
        </is>
      </c>
    </row>
    <row r="4" ht="229.5" customHeight="1">
      <c r="A4" s="63" t="n"/>
      <c r="B4" s="58" t="n"/>
      <c r="C4" s="63" t="n"/>
      <c r="D4" s="64" t="n"/>
      <c r="E4" s="59" t="n"/>
      <c r="F4" s="65" t="inlineStr">
        <is>
          <t>Number of measures and financial instruments put in place and operational to increase private investment (DREI)</t>
        </is>
      </c>
      <c r="G4" s="68" t="n"/>
      <c r="H4" s="60" t="n">
        <v>1</v>
      </c>
      <c r="I4" s="69" t="inlineStr">
        <is>
          <t>Expected impacts 1. Reduction of CO2 emissions: this impact i s expected through the application of clean energy technologies (solar PV) replacing the use of fuel/diesel generators.
2. Improvement of women's l living and working conditions: women who benefit from access toelectricity are expected to be impacted i n the form of i improved safety (through street l lighting), telecommunications and i information (charging mobile phones and using television/radio at home), reduced physical burden (e.g., through solar electric pumps for better access to drinking water) and new and better economic opportunities.
3. Reducing the potential for conflict: this i impact is expected by providing employmentopportunities for rural populations and young people (including potential future
and/or ex-combatants).
4 Job creation and development of economic opportunities for communities i n the targetedareas: the creation of favourable conditions for the development of employment opportunities
for young people will be an alternative to rural exodus and irregular migration.</t>
        </is>
      </c>
      <c r="J4" s="70" t="n"/>
      <c r="K4" s="59" t="n"/>
      <c r="L4" s="59" t="inlineStr">
        <is>
          <t>Non-VF</t>
        </is>
      </c>
      <c r="M4" s="59" t="n"/>
      <c r="N4" s="59" t="n"/>
      <c r="O4" s="59" t="n"/>
      <c r="P4" s="59" t="n"/>
      <c r="Q4" s="59" t="n"/>
      <c r="R4" s="59" t="n"/>
    </row>
    <row r="5" ht="121.5" customHeight="1">
      <c r="A5" s="63" t="n"/>
      <c r="B5" s="58" t="n"/>
      <c r="C5" s="63" t="n"/>
      <c r="D5" s="64" t="n"/>
      <c r="E5" s="59" t="inlineStr">
        <is>
          <t>Electricity Access</t>
        </is>
      </c>
      <c r="F5" s="65" t="inlineStr">
        <is>
          <t>Off-grid rural electrification solutions provided to target communities (6 mini photovoltaic power grids)</t>
        </is>
      </c>
      <c r="G5" s="61" t="inlineStr">
        <is>
          <t>The population of Mali is estimated at about 21 million. 62.5% of the population lives in rural areas.The electrification rate in Mali is 43% overall, but only 12% in rural areas</t>
        </is>
      </c>
      <c r="H5" s="60" t="n"/>
      <c r="I5" s="71" t="inlineStr">
        <is>
          <t>The number of minigrids direct beneficiaries will derive from feasibility study. The feasibility study is not yet finalized. 6 mini power grids</t>
        </is>
      </c>
      <c r="J5" s="62" t="n"/>
      <c r="K5" s="59" t="n"/>
      <c r="L5" s="59" t="inlineStr">
        <is>
          <t>Non-VF</t>
        </is>
      </c>
      <c r="M5" s="59" t="n"/>
      <c r="N5" s="59" t="inlineStr">
        <is>
          <t>Accelerating just energy transition</t>
        </is>
      </c>
      <c r="O5" s="59" t="inlineStr">
        <is>
          <t>Electricity Access</t>
        </is>
      </c>
      <c r="P5" s="59" t="n"/>
      <c r="Q5" s="59" t="n"/>
      <c r="R5" s="59" t="n"/>
    </row>
    <row r="6">
      <c r="A6" s="72" t="inlineStr">
        <is>
          <t xml:space="preserve">00130075 </t>
        </is>
      </c>
      <c r="B6" s="59" t="inlineStr">
        <is>
          <t>Femmes illuminant les chemins vers la paix</t>
        </is>
      </c>
      <c r="C6" s="73" t="n"/>
      <c r="D6" s="72" t="n">
        <v>1500000</v>
      </c>
      <c r="E6" s="74" t="n"/>
      <c r="F6" s="68" t="n"/>
      <c r="G6" s="74" t="n"/>
      <c r="H6" s="74" t="n"/>
      <c r="I6" s="75" t="inlineStr">
        <is>
          <t>Joint project PNUD/ONUFEMMES/Cercles de Mopti et Koro</t>
        </is>
      </c>
      <c r="J6" s="70" t="n"/>
      <c r="K6" s="59" t="n"/>
      <c r="L6" s="59" t="inlineStr">
        <is>
          <t>Non-VF</t>
        </is>
      </c>
      <c r="M6" s="59" t="n"/>
      <c r="N6" s="59" t="n"/>
      <c r="O6" s="59" t="n"/>
      <c r="P6" s="59" t="n"/>
      <c r="Q6" s="59" t="n"/>
      <c r="R6" s="59" t="n"/>
    </row>
    <row r="7" ht="45.75" customHeight="1">
      <c r="A7" s="76" t="inlineStr">
        <is>
          <t>PBF</t>
        </is>
      </c>
      <c r="B7" s="59" t="n"/>
      <c r="C7" s="73" t="n"/>
      <c r="D7" s="77" t="n"/>
      <c r="E7" s="78" t="inlineStr">
        <is>
          <t>Policy and regulatory framework</t>
        </is>
      </c>
      <c r="F7" s="61" t="inlineStr">
        <is>
          <t xml:space="preserve">Number of situational analyses carried out/number of extension tools produced </t>
        </is>
      </c>
      <c r="G7" s="74" t="n"/>
      <c r="H7" s="78" t="n">
        <v>1</v>
      </c>
      <c r="I7" s="75" t="inlineStr">
        <is>
          <t>Result 1: Women and girls participate effectively in the management of natural resources and women's leadership is strengthened on environmental issues and reduces inter-community tensions.</t>
        </is>
      </c>
      <c r="J7" s="70" t="n"/>
      <c r="K7" s="79" t="n">
        <v>1</v>
      </c>
      <c r="L7" s="59" t="inlineStr">
        <is>
          <t>Non-VF</t>
        </is>
      </c>
      <c r="M7" s="59" t="n"/>
      <c r="N7" s="59" t="inlineStr">
        <is>
          <t>Accelerating just energy transition</t>
        </is>
      </c>
      <c r="O7" s="59" t="inlineStr">
        <is>
          <t>Energy Efficiency</t>
        </is>
      </c>
      <c r="P7" s="59" t="n"/>
      <c r="Q7" s="59" t="inlineStr">
        <is>
          <t>Incentives and Support</t>
        </is>
      </c>
      <c r="R7" s="59" t="inlineStr">
        <is>
          <t>Energy Efficiency</t>
        </is>
      </c>
    </row>
    <row r="8" ht="45.75" customHeight="1">
      <c r="A8" s="72" t="n"/>
      <c r="B8" s="59" t="n"/>
      <c r="C8" s="73" t="n"/>
      <c r="D8" s="77" t="n"/>
      <c r="E8" s="80" t="inlineStr">
        <is>
          <t>Capacity training</t>
        </is>
      </c>
      <c r="F8" s="60" t="inlineStr">
        <is>
          <t>Number of women</t>
        </is>
      </c>
      <c r="G8" s="74" t="n"/>
      <c r="H8" s="60" t="n">
        <v>1000</v>
      </c>
      <c r="I8" s="58" t="inlineStr">
        <is>
          <t xml:space="preserve">Result 2: The project's women's and girls' groups and associations become key players in recovery through increased productivity and profitability of renewable energies and mobilisation for peace. </t>
        </is>
      </c>
      <c r="J8" s="70" t="n"/>
      <c r="K8" s="79" t="n">
        <v>1</v>
      </c>
      <c r="L8" s="59" t="inlineStr">
        <is>
          <t>Non-VF</t>
        </is>
      </c>
      <c r="M8" s="59" t="n"/>
      <c r="N8" s="59" t="inlineStr">
        <is>
          <t>Accelerating just energy transition</t>
        </is>
      </c>
      <c r="O8" s="59" t="inlineStr">
        <is>
          <t>Energy Efficiency</t>
        </is>
      </c>
      <c r="P8" s="59" t="n"/>
      <c r="Q8" s="59" t="n"/>
      <c r="R8" s="59" t="n"/>
    </row>
    <row r="9" ht="137.25" customHeight="1">
      <c r="A9" s="81" t="n"/>
      <c r="B9" s="59" t="n"/>
      <c r="C9" s="82" t="n"/>
      <c r="D9" s="83" t="n"/>
      <c r="E9" s="80" t="inlineStr">
        <is>
          <t>income generating activities</t>
        </is>
      </c>
      <c r="F9" s="61" t="inlineStr">
        <is>
          <t>Number of beneficiary women</t>
        </is>
      </c>
      <c r="G9" s="74" t="n"/>
      <c r="H9" s="60" t="n">
        <v>1000</v>
      </c>
      <c r="I9" s="75" t="inlineStr">
        <is>
          <t>Related environmental impacts
Strengthening of the natural ecosystem (maintenance of the water table through infiltration, improvement in plant cover, improvement in human and animal consumption);
Increased penetration of improved stoves thanks to purchases by women who have increased their income and reduced consumption of wood energy for cooking.
Reduction in the discharge of market garden waste into the environment and reduction in air pollution by methanisation of this waste.</t>
        </is>
      </c>
      <c r="J9" s="70" t="n"/>
      <c r="K9" s="79" t="n">
        <v>1</v>
      </c>
      <c r="L9" s="59" t="inlineStr">
        <is>
          <t>Non-VF</t>
        </is>
      </c>
      <c r="M9" s="59" t="n"/>
      <c r="N9" s="59" t="inlineStr">
        <is>
          <t>Accelerating just energy transition</t>
        </is>
      </c>
      <c r="O9" s="59" t="inlineStr">
        <is>
          <t>Energy Efficiency</t>
        </is>
      </c>
      <c r="P9" s="59" t="n"/>
      <c r="Q9" s="59" t="n"/>
      <c r="R9" s="59" t="n"/>
    </row>
    <row r="10" ht="106.5" customHeight="1">
      <c r="A10" s="84" t="inlineStr">
        <is>
          <t>00121587</t>
        </is>
      </c>
      <c r="B10" s="58" t="inlineStr">
        <is>
          <t>Energie solaire, télésanté et protection sociale pour transformer la santé communautaire au Mali (SanDi)/RFF</t>
        </is>
      </c>
      <c r="C10" s="59" t="n"/>
      <c r="D10" s="59" t="n">
        <v>6000000</v>
      </c>
      <c r="E10" s="59" t="n"/>
      <c r="F10" s="58" t="n"/>
      <c r="G10" s="87" t="n">
        <v>0</v>
      </c>
      <c r="H10" s="58" t="n"/>
      <c r="I10" s="58" t="inlineStr">
        <is>
          <t>The digitisation of health centres using solar energy sources has enabled : Improved patient care (diagnostic and prescription assistance); Increased revenue for health centres (pharmacy, laboratory, admissions office);Availability of quality data for decision-makers; and Telemedicine (reduction in referrals and care costs, easier access to rare specialists, the absence of doctors in several health centres, particularly in rural areas, is a reality).</t>
        </is>
      </c>
      <c r="J10" s="62" t="n"/>
      <c r="K10" s="59" t="n"/>
      <c r="L10" s="59" t="n"/>
      <c r="M10" s="59" t="n"/>
      <c r="N10" s="59" t="n"/>
      <c r="O10" s="59" t="n"/>
      <c r="P10" s="59" t="n"/>
      <c r="Q10" s="59" t="n"/>
      <c r="R10" s="59" t="n"/>
    </row>
    <row r="11" ht="60.75" customHeight="1">
      <c r="A11" s="59" t="n"/>
      <c r="B11" s="58" t="n"/>
      <c r="C11" s="59" t="n"/>
      <c r="D11" s="59" t="n"/>
      <c r="E11" s="59" t="inlineStr">
        <is>
          <t>Health services</t>
        </is>
      </c>
      <c r="F11" s="58" t="inlineStr">
        <is>
          <t>Number of people, including women, who have access to sustainable energy in their daily lives.</t>
        </is>
      </c>
      <c r="G11" s="87" t="n">
        <v>0</v>
      </c>
      <c r="H11" s="88" t="n">
        <v>23460</v>
      </c>
      <c r="I11" s="58" t="inlineStr">
        <is>
          <t>This pilot phase of the SanDi project covers the regions of Kayes, Koulikoro, Sikasso, Ségou, Mopti, Bandiagara and the District of Bamako, and involves 7 referral health centres and 21 community health centres. A scale-up phase is currently being developed.</t>
        </is>
      </c>
      <c r="J11" s="62" t="n"/>
      <c r="K11" s="59" t="n"/>
      <c r="L11" s="59" t="inlineStr">
        <is>
          <t>Non-VF</t>
        </is>
      </c>
      <c r="M11" s="59" t="n"/>
      <c r="N11" s="59" t="inlineStr">
        <is>
          <t>Accelerating just energy transition</t>
        </is>
      </c>
      <c r="O11" s="59" t="inlineStr">
        <is>
          <t>Renewable Energy</t>
        </is>
      </c>
      <c r="P11" s="59" t="n"/>
      <c r="Q11" s="59" t="n"/>
      <c r="R11" s="59" t="n"/>
    </row>
    <row r="12" ht="46.5" customHeight="1">
      <c r="A12" s="59" t="n"/>
      <c r="B12" s="58" t="n"/>
      <c r="C12" s="59" t="n"/>
      <c r="D12" s="85" t="n"/>
      <c r="E12" s="59" t="inlineStr">
        <is>
          <t>Capacity training</t>
        </is>
      </c>
      <c r="F12" s="90" t="inlineStr">
        <is>
          <t>Number of healthcare practitioners trained in the use and maintenance of the systems, broken down by gender and age (target: 50% women, 30% aged between 18 and 40).</t>
        </is>
      </c>
      <c r="G12" s="86" t="n"/>
      <c r="H12" s="91" t="n">
        <v>400</v>
      </c>
      <c r="I12" s="58" t="n"/>
      <c r="J12" s="62" t="n"/>
      <c r="K12" s="79" t="n">
        <v>0.19</v>
      </c>
      <c r="L12" s="59" t="inlineStr">
        <is>
          <t>Non-VF</t>
        </is>
      </c>
      <c r="M12" s="59" t="n"/>
      <c r="N12" s="59" t="inlineStr">
        <is>
          <t>Accelerating just energy transition</t>
        </is>
      </c>
      <c r="O12" s="59" t="inlineStr">
        <is>
          <t>Energy Efficiency</t>
        </is>
      </c>
      <c r="P12" s="59" t="n"/>
      <c r="Q12" s="59" t="n"/>
      <c r="R12" s="59" t="n"/>
    </row>
    <row r="13">
      <c r="A13" s="59" t="n"/>
      <c r="B13" s="58" t="n"/>
      <c r="C13" s="59" t="n"/>
      <c r="D13" s="85" t="n"/>
      <c r="E13" s="59" t="inlineStr">
        <is>
          <t>Other Energy Services</t>
        </is>
      </c>
      <c r="F13" s="92" t="inlineStr">
        <is>
          <t>Number of beneficiaries</t>
        </is>
      </c>
      <c r="G13" s="86" t="n"/>
      <c r="H13" s="58" t="n">
        <v>365</v>
      </c>
      <c r="I13" s="58" t="n"/>
      <c r="J13" s="62" t="n"/>
      <c r="K13" s="79" t="n">
        <v>0.77</v>
      </c>
      <c r="L13" s="59" t="inlineStr">
        <is>
          <t>Non-VF</t>
        </is>
      </c>
      <c r="M13" s="59" t="n"/>
      <c r="N13" s="59" t="inlineStr">
        <is>
          <t>Accelerating just energy transition</t>
        </is>
      </c>
      <c r="O13" s="59" t="inlineStr">
        <is>
          <t>Energy Efficiency</t>
        </is>
      </c>
      <c r="P13" s="59" t="n"/>
      <c r="Q13" s="59" t="n"/>
      <c r="R13" s="59" t="n"/>
    </row>
    <row r="14" ht="137.25" customHeight="1">
      <c r="A14" s="84" t="inlineStr">
        <is>
          <t>00129014</t>
        </is>
      </c>
      <c r="B14" s="59" t="inlineStr">
        <is>
          <t>Africa Migrid Program</t>
        </is>
      </c>
      <c r="C14" s="59" t="n"/>
      <c r="D14" s="85" t="n">
        <v>1780000</v>
      </c>
      <c r="E14" s="59" t="inlineStr">
        <is>
          <t>Electriciy access</t>
        </is>
      </c>
      <c r="F14" s="93" t="inlineStr">
        <is>
          <t>Indicator 1: Greenhouse gas emissions mitigated  Units of measure: metric tons of carbon dioxide equivalent (tCO2e)</t>
        </is>
      </c>
      <c r="G14" s="86" t="n"/>
      <c r="H14" s="94" t="n">
        <v>16929</v>
      </c>
      <c r="I14" s="58" t="inlineStr">
        <is>
          <t>The prodoc has been endorsed by the GEF.The project will start in September 2023 at the latest.The project is expected to bring about direct commissioning of at least 0.309 MW in solar photovoltaic (PV) generation capacity and 0.754 MWh of battery storage. The lifetime greenhouse gas (GHG) emissions reduction from project activities, particularly investment in minigrid pilots, is estimated at 16,929 metric tons of carbon dioxide equivalent (tCO2eq) (direct) and 631,697 tCO2eq (indirect). The number of direct beneficiaries is estimated at 8,665 people, of which 51% percent are women, as a result of 1,752 new minigrid connections.</t>
        </is>
      </c>
      <c r="J14" s="62" t="n"/>
      <c r="K14" s="59" t="n"/>
      <c r="L14" s="59" t="inlineStr">
        <is>
          <t>VF</t>
        </is>
      </c>
      <c r="M14" s="59" t="n"/>
      <c r="N14" s="59" t="inlineStr">
        <is>
          <t>Accelerating just energy transition</t>
        </is>
      </c>
      <c r="O14" s="59" t="inlineStr">
        <is>
          <t>Electricity Access</t>
        </is>
      </c>
      <c r="P14" s="59" t="inlineStr">
        <is>
          <t>AMP</t>
        </is>
      </c>
      <c r="Q14" s="59" t="n"/>
      <c r="R14" s="59" t="n"/>
    </row>
    <row r="15" ht="106.5" customHeight="1">
      <c r="A15" s="59" t="inlineStr">
        <is>
          <t>GEF/UNDP</t>
        </is>
      </c>
      <c r="B15" s="59" t="n"/>
      <c r="C15" s="59" t="n"/>
      <c r="D15" s="85" t="n"/>
      <c r="E15" s="59" t="inlineStr">
        <is>
          <t>Electriciy access</t>
        </is>
      </c>
      <c r="F15" s="58" t="inlineStr">
        <is>
          <t>Indicator 2: Number of direct beneficiaries benefitting from energy access via minigrids, disaggregated by gender and by customer segment (residential, social, commercial/productive use) as co-benefit of GEF investment
Units of measure: number of people</t>
        </is>
      </c>
      <c r="G15" s="86" t="n"/>
      <c r="H15" s="89" t="n">
        <v>8665</v>
      </c>
      <c r="I15" s="58" t="n"/>
      <c r="J15" s="62" t="n"/>
      <c r="K15" s="79" t="n">
        <v>0.51</v>
      </c>
      <c r="L15" s="59" t="inlineStr">
        <is>
          <t>VF</t>
        </is>
      </c>
      <c r="M15" s="59" t="n"/>
      <c r="N15" s="59" t="inlineStr">
        <is>
          <t>Accelerating just energy transition</t>
        </is>
      </c>
      <c r="O15" s="59" t="inlineStr">
        <is>
          <t>Electricity Access</t>
        </is>
      </c>
      <c r="P15" s="59" t="inlineStr">
        <is>
          <t>AMP</t>
        </is>
      </c>
      <c r="Q15" s="59" t="n"/>
      <c r="R15" s="59" t="n"/>
    </row>
    <row r="16" ht="91.5" customHeight="1">
      <c r="A16" s="59" t="n"/>
      <c r="B16" s="59" t="n"/>
      <c r="C16" s="59" t="n"/>
      <c r="D16" s="85" t="n"/>
      <c r="E16" s="59" t="inlineStr">
        <is>
          <t>Electriciy access</t>
        </is>
      </c>
      <c r="F16" s="95" t="inlineStr">
        <is>
          <t xml:space="preserve">
MW
Indicator 3:  Increase in installed solar PV capacity and battery storage Units of measure: MW (solar PV) and MWh (battery storage) </t>
        </is>
      </c>
      <c r="G16" s="86" t="n"/>
      <c r="H16" s="88" t="n">
        <v>0.3</v>
      </c>
      <c r="I16" s="58" t="n"/>
      <c r="J16" s="62" t="n"/>
      <c r="K16" s="59" t="n"/>
      <c r="L16" s="59" t="inlineStr">
        <is>
          <t>VF</t>
        </is>
      </c>
      <c r="M16" s="59" t="n"/>
      <c r="N16" s="59" t="inlineStr">
        <is>
          <t>Accelerating just energy transition</t>
        </is>
      </c>
      <c r="O16" s="59" t="inlineStr">
        <is>
          <t>Electricity Access</t>
        </is>
      </c>
      <c r="P16" s="59" t="inlineStr">
        <is>
          <t>AMP</t>
        </is>
      </c>
      <c r="Q16" s="59" t="n"/>
      <c r="R16" s="59" t="n"/>
    </row>
    <row r="17" ht="30.75" customHeight="1">
      <c r="A17" s="59" t="n"/>
      <c r="B17" s="59" t="n"/>
      <c r="C17" s="59" t="n"/>
      <c r="D17" s="85" t="n"/>
      <c r="E17" s="59" t="n"/>
      <c r="F17" s="95" t="inlineStr">
        <is>
          <t>Indicator 4 Number of GGW localities covered by GMGs</t>
        </is>
      </c>
      <c r="G17" s="87" t="n"/>
      <c r="H17" s="88" t="n"/>
      <c r="I17" s="58" t="n"/>
      <c r="J17" s="62" t="n"/>
      <c r="K17" s="59" t="n"/>
      <c r="L17" s="59" t="inlineStr">
        <is>
          <t>VF</t>
        </is>
      </c>
      <c r="M17" s="59" t="n"/>
      <c r="N17" s="59" t="inlineStr">
        <is>
          <t>Accelerating just energy transition</t>
        </is>
      </c>
      <c r="O17" s="59" t="inlineStr">
        <is>
          <t>Electricity Access</t>
        </is>
      </c>
      <c r="P17" s="59" t="inlineStr">
        <is>
          <t>AMP</t>
        </is>
      </c>
      <c r="Q17" s="59" t="n"/>
      <c r="R17" s="59" t="n"/>
    </row>
    <row r="18" ht="137.25" customHeight="1">
      <c r="A18" s="59" t="n"/>
      <c r="B18" s="59" t="n"/>
      <c r="C18" s="59" t="n"/>
      <c r="D18" s="85" t="n"/>
      <c r="E18" s="59" t="n"/>
      <c r="F18" s="96" t="inlineStr">
        <is>
          <t>Indicator 5:
Number of direct green jobs created in the minigrids sector and in sectors related to the GGW, disaggregated by gender, for [minigrid development, operation and productive use, GGW sectors incl. farming, livestock, agroforestry. Etc.]. 
Units of measure: Absolute number of direct green jobs created</t>
        </is>
      </c>
      <c r="G18" s="86" t="n"/>
      <c r="H18" s="88" t="n"/>
      <c r="I18" s="58" t="n"/>
      <c r="J18" s="62" t="n"/>
      <c r="K18" s="59" t="n"/>
      <c r="L18" s="59" t="inlineStr">
        <is>
          <t>VF</t>
        </is>
      </c>
      <c r="M18" s="59" t="n"/>
      <c r="N18" s="59" t="inlineStr">
        <is>
          <t>Accelerating just energy transition</t>
        </is>
      </c>
      <c r="O18" s="59" t="inlineStr">
        <is>
          <t>Electricity Access</t>
        </is>
      </c>
      <c r="P18" s="59" t="inlineStr">
        <is>
          <t>AMP</t>
        </is>
      </c>
      <c r="Q18" s="59" t="n"/>
      <c r="R18" s="59" t="n"/>
    </row>
    <row r="19">
      <c r="A19" s="59" t="n"/>
      <c r="B19" s="59" t="inlineStr">
        <is>
          <t>Facilité de Stabilisation</t>
        </is>
      </c>
      <c r="C19" s="59" t="n"/>
      <c r="D19" s="85" t="n">
        <v>1346173</v>
      </c>
      <c r="E19" s="59" t="inlineStr">
        <is>
          <t>Other Energy Services</t>
        </is>
      </c>
      <c r="F19" s="97" t="inlineStr">
        <is>
          <t>Number of beneficiaries</t>
        </is>
      </c>
      <c r="G19" s="86" t="n"/>
      <c r="H19" s="58" t="n">
        <v>183505</v>
      </c>
      <c r="I19" s="98" t="n"/>
      <c r="J19" s="62" t="n"/>
      <c r="K19" s="59" t="n"/>
      <c r="L19" s="59" t="inlineStr">
        <is>
          <t>VF</t>
        </is>
      </c>
      <c r="M19" s="59" t="n"/>
      <c r="N19" s="59" t="inlineStr">
        <is>
          <t>Accelerating just energy transition</t>
        </is>
      </c>
      <c r="O19" s="59" t="inlineStr">
        <is>
          <t>Energy Efficiency</t>
        </is>
      </c>
      <c r="P19" s="59" t="inlineStr">
        <is>
          <t>AMP</t>
        </is>
      </c>
      <c r="Q19" s="59" t="n"/>
      <c r="R19" s="59" t="n"/>
    </row>
    <row r="20" ht="30.75" customHeight="1">
      <c r="A20" s="84" t="inlineStr">
        <is>
          <t>00124853</t>
        </is>
      </c>
      <c r="B20" s="58" t="inlineStr">
        <is>
          <t>Ten Country: Scaling Solar Applications for Agricultural Use</t>
        </is>
      </c>
      <c r="C20" s="59" t="n"/>
      <c r="D20" s="85" t="n">
        <v>200000</v>
      </c>
      <c r="E20" s="59" t="inlineStr">
        <is>
          <t>Agricultural Services</t>
        </is>
      </c>
      <c r="F20" s="58" t="inlineStr">
        <is>
          <t>Number of farmers</t>
        </is>
      </c>
      <c r="G20" s="86" t="n"/>
      <c r="H20" s="58" t="n">
        <v>200</v>
      </c>
      <c r="I20" s="58" t="inlineStr">
        <is>
          <t>Feasibility study launched to determine true demand are on track enabling key implementation modalities for all 10 countries</t>
        </is>
      </c>
      <c r="J20" s="62" t="n"/>
      <c r="K20" s="59" t="n"/>
      <c r="L20" s="59" t="inlineStr">
        <is>
          <t>VF</t>
        </is>
      </c>
      <c r="M20" s="59" t="n"/>
      <c r="N20" s="59" t="inlineStr">
        <is>
          <t>Accelerating just energy transition</t>
        </is>
      </c>
      <c r="O20" s="59" t="inlineStr">
        <is>
          <t>Energy Efficiency</t>
        </is>
      </c>
      <c r="P20" s="59" t="inlineStr">
        <is>
          <t>AMP</t>
        </is>
      </c>
      <c r="Q20" s="59" t="n"/>
      <c r="R20" s="59" t="n"/>
    </row>
    <row r="21" ht="137.25" customHeight="1">
      <c r="A21" s="59" t="inlineStr">
        <is>
          <t>ISA/India</t>
        </is>
      </c>
      <c r="B21" s="59" t="n"/>
      <c r="C21" s="59" t="n"/>
      <c r="D21" s="85" t="n"/>
      <c r="E21" s="59" t="inlineStr">
        <is>
          <t>Agricultural Services</t>
        </is>
      </c>
      <c r="F21" s="58" t="inlineStr">
        <is>
          <t>Number of beneficiaries</t>
        </is>
      </c>
      <c r="G21" s="86" t="n"/>
      <c r="H21" s="58" t="n">
        <v>400</v>
      </c>
      <c r="I21" s="58" t="inlineStr">
        <is>
          <t xml:space="preserve">Through demonstration of new, innovative ans sustainable deployment models for solar water pumps, the pilot project on SSAAU aims to address these three interrelated challenges. Through installation of close to 200 SWPs across 10 countries, the project will remove the commonly prevalent barriers to access irrigation through solar pumps and post-installation services in the beneficiary localitons. This can help the larger community to expand solar energy usage, thereby reversing the poverty/unproductivity trap; the project will also address climate change mitigation and gender inequalities. </t>
        </is>
      </c>
      <c r="J21" s="62" t="n"/>
      <c r="K21" s="59" t="n"/>
      <c r="L21" s="59" t="inlineStr">
        <is>
          <t>VF</t>
        </is>
      </c>
      <c r="M21" s="59" t="n"/>
      <c r="N21" s="59" t="inlineStr">
        <is>
          <t>Accelerating just energy transition</t>
        </is>
      </c>
      <c r="O21" s="59" t="inlineStr">
        <is>
          <t>Energy Efficiency</t>
        </is>
      </c>
      <c r="P21" s="59" t="inlineStr">
        <is>
          <t>AMP</t>
        </is>
      </c>
      <c r="Q21" s="59" t="n"/>
      <c r="R21" s="59" t="n"/>
    </row>
    <row r="22" ht="137.25" customHeight="1">
      <c r="A22" s="59" t="n"/>
      <c r="B22" s="59" t="n"/>
      <c r="C22" s="59" t="n"/>
      <c r="D22" s="85" t="n"/>
      <c r="E22" s="59" t="n"/>
      <c r="F22" s="58" t="inlineStr">
        <is>
          <t xml:space="preserve">Indicator 2.2 Number of project beneficiaries, in each of the pilot countries disaggregated by 
1. direct beneficiaries
- women farmer:
- men farmer:
2. indirect beneficiaries
- women farmer:
- men farmer: </t>
        </is>
      </c>
      <c r="G22" s="86" t="n"/>
      <c r="H22" s="58" t="n"/>
      <c r="I22" s="58" t="n"/>
      <c r="J22" s="62" t="n"/>
      <c r="K22" s="59" t="n"/>
      <c r="L22" s="59" t="inlineStr">
        <is>
          <t>VF</t>
        </is>
      </c>
      <c r="M22" s="59" t="n"/>
      <c r="N22" s="59" t="inlineStr">
        <is>
          <t>Accelerating just energy transition</t>
        </is>
      </c>
      <c r="O22" s="59" t="inlineStr">
        <is>
          <t>Energy Efficiency</t>
        </is>
      </c>
      <c r="P22" s="59" t="inlineStr">
        <is>
          <t>AMP</t>
        </is>
      </c>
      <c r="Q22" s="59" t="n"/>
      <c r="R22" s="59" t="n"/>
    </row>
    <row r="23" ht="45.75" customHeight="1">
      <c r="A23" s="59" t="n"/>
      <c r="B23" s="59" t="n"/>
      <c r="C23" s="59" t="n"/>
      <c r="D23" s="85" t="n"/>
      <c r="E23" s="59" t="n"/>
      <c r="F23" s="58" t="inlineStr">
        <is>
          <t xml:space="preserve">Indicator 3.1 Number of countries with strengthened capacities for achieving energy transformation at scale </t>
        </is>
      </c>
      <c r="G23" s="86" t="n"/>
      <c r="H23" s="58" t="n"/>
      <c r="I23" s="58" t="n"/>
      <c r="J23" s="70" t="n"/>
      <c r="K23" s="59" t="n"/>
      <c r="L23" s="59" t="inlineStr">
        <is>
          <t>VF</t>
        </is>
      </c>
      <c r="M23" s="59" t="n"/>
      <c r="N23" s="59" t="inlineStr">
        <is>
          <t>Accelerating just energy transition</t>
        </is>
      </c>
      <c r="O23" s="59" t="inlineStr">
        <is>
          <t>Energy Efficiency</t>
        </is>
      </c>
      <c r="P23" s="59" t="inlineStr">
        <is>
          <t>AMP</t>
        </is>
      </c>
      <c r="Q23" s="59" t="n"/>
      <c r="R23" s="59" t="n"/>
    </row>
    <row r="24" ht="76.5" customHeight="1">
      <c r="A24" s="59" t="n"/>
      <c r="B24" s="59" t="n"/>
      <c r="C24" s="59" t="n"/>
      <c r="D24" s="85" t="n"/>
      <c r="E24" s="59" t="n"/>
      <c r="F24" s="58" t="inlineStr">
        <is>
          <t>Indicator 3.2 Number of individuals (men and women) trained to install, operate and service solar water pumps; and also on business development and financing  for solar water pump deployment.</t>
        </is>
      </c>
      <c r="G24" s="86" t="n"/>
      <c r="H24" s="58" t="n"/>
      <c r="I24" s="58" t="n"/>
      <c r="J24" s="70" t="n"/>
      <c r="K24" s="59" t="n"/>
      <c r="L24" s="59" t="inlineStr">
        <is>
          <t>VF</t>
        </is>
      </c>
      <c r="M24" s="59" t="n"/>
      <c r="N24" s="59" t="inlineStr">
        <is>
          <t>Accelerating just energy transition</t>
        </is>
      </c>
      <c r="O24" s="59" t="inlineStr">
        <is>
          <t>Energy Efficiency</t>
        </is>
      </c>
      <c r="P24" s="59" t="inlineStr">
        <is>
          <t>AMP</t>
        </is>
      </c>
      <c r="Q24" s="59" t="n"/>
      <c r="R24" s="59" t="n"/>
    </row>
    <row r="25">
      <c r="J25" s="36" t="n"/>
    </row>
    <row r="26">
      <c r="J26" s="36" t="n"/>
    </row>
    <row r="53" ht="14.45" customHeight="1"/>
    <row r="70">
      <c r="A70" s="120" t="n"/>
      <c r="B70" s="4" t="n"/>
      <c r="C70" s="120" t="n"/>
      <c r="D70" s="120" t="n"/>
    </row>
  </sheetData>
  <dataValidations count="5">
    <dataValidation sqref="N2:N24" showDropDown="0" showInputMessage="1" showErrorMessage="1" allowBlank="1" type="list">
      <formula1>"Accelerating just energy transition, Close the gap on energy access, Scale up energy finance"</formula1>
    </dataValidation>
    <dataValidation sqref="O2:O24" showDropDown="0" showInputMessage="1" showErrorMessage="1" allowBlank="1" type="list">
      <formula1>"Electricity Access, Energy Efficiency, Clean Cooking, Renewable Energy"</formula1>
    </dataValidation>
    <dataValidation sqref="P2:P24" showDropDown="0" showInputMessage="1" showErrorMessage="1" allowBlank="1" type="list">
      <formula1>"AMP, PUDC, Solar4Health, Action Opportunities, Italy UNDP Energy Partnership"</formula1>
    </dataValidation>
    <dataValidation sqref="Q2:Q2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R24"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Q79"/>
  <sheetViews>
    <sheetView zoomScale="80" zoomScaleNormal="70" workbookViewId="0">
      <pane ySplit="1" topLeftCell="J13" activePane="bottomLeft" state="frozen"/>
      <selection pane="bottomLeft" activeCell="J13" sqref="J13"/>
    </sheetView>
  </sheetViews>
  <sheetFormatPr baseColWidth="8" defaultColWidth="8.85546875" defaultRowHeight="14.45"/>
  <cols>
    <col width="15.7109375" customWidth="1" style="3" min="1" max="1"/>
    <col width="41.7109375" customWidth="1" style="3" min="2" max="3"/>
    <col width="23.85546875" customWidth="1" style="5" min="4" max="4"/>
    <col width="36" customWidth="1" style="3" min="5" max="5"/>
    <col width="39.7109375" bestFit="1" customWidth="1" style="120" min="6" max="6"/>
    <col width="23.7109375" customWidth="1" style="4" min="7" max="7"/>
    <col width="21.5703125" customWidth="1" style="120" min="8" max="8"/>
    <col width="65.140625" customWidth="1" style="120" min="9" max="9"/>
    <col width="21.85546875" customWidth="1" style="3" min="10" max="10"/>
    <col width="8.85546875" customWidth="1" style="3" min="11" max="16384"/>
  </cols>
  <sheetData>
    <row r="1" ht="15"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35" t="inlineStr">
        <is>
          <t>Comments</t>
        </is>
      </c>
    </row>
    <row r="2" ht="15" customHeight="1">
      <c r="A2" s="32" t="inlineStr">
        <is>
          <t>00125788</t>
        </is>
      </c>
      <c r="B2" s="120" t="inlineStr">
        <is>
          <t>Accès aux énergies propres dans les zones rurales du Liptako Gourma</t>
        </is>
      </c>
      <c r="D2" s="3" t="n">
        <v>8498746</v>
      </c>
      <c r="E2" s="3" t="inlineStr">
        <is>
          <t>Clean cooking</t>
        </is>
      </c>
      <c r="F2" s="19" t="inlineStr">
        <is>
          <t>1 Study on clean cooking</t>
        </is>
      </c>
      <c r="G2" s="17" t="n"/>
      <c r="H2" s="19" t="n">
        <v>330000</v>
      </c>
      <c r="I2" s="17" t="inlineStr">
        <is>
          <t xml:space="preserve">The target is to reach 330000 people in Mali, Burkina Faso and Niger.  </t>
        </is>
      </c>
      <c r="J2" s="37" t="n"/>
    </row>
    <row r="3" ht="91.5" customHeight="1">
      <c r="A3" s="3" t="inlineStr">
        <is>
          <t>ASDI</t>
        </is>
      </c>
      <c r="D3" s="6" t="n"/>
      <c r="E3" s="3" t="inlineStr">
        <is>
          <t>Policy and regulatory framework</t>
        </is>
      </c>
      <c r="F3" s="20" t="inlineStr">
        <is>
          <t>1 an inclusive national coordination platform for off-grid clean energy is established and operational</t>
        </is>
      </c>
      <c r="G3" s="19" t="inlineStr">
        <is>
          <t xml:space="preserve">Lack of a clear policy and regulatory framework to promote private sector participation in off-grid and on-grid energy supply.  </t>
        </is>
      </c>
      <c r="H3" s="19" t="inlineStr">
        <is>
          <t xml:space="preserve">1 plateforme </t>
        </is>
      </c>
      <c r="I3" s="29" t="inlineStr">
        <is>
          <t>This pilot project is being implemented by UNDP and UNOPS in partnership with ECREE. The platforms have been created, and the DREI analyses and clean cooking studies have been submitted. The feasibility studies for the plants have been finalised. Construction of the plants remains to be done this year.</t>
        </is>
      </c>
      <c r="J3" s="54" t="n"/>
    </row>
    <row r="4" ht="229.5" customHeight="1">
      <c r="D4" s="6" t="n"/>
      <c r="F4" s="20" t="inlineStr">
        <is>
          <t>Number of measures and financial instruments put in place and operational to increase private investment (DREI)</t>
        </is>
      </c>
      <c r="G4" s="13" t="n"/>
      <c r="H4" s="19" t="inlineStr">
        <is>
          <t xml:space="preserve"> 1 DREI analysis</t>
        </is>
      </c>
      <c r="I4" s="18" t="inlineStr">
        <is>
          <t>Expected impacts 1. Reduction of CO2 emissions: this impact i s expected through the application of clean energy technologies (solar PV) replacing the use of fuel/diesel generators.
2. Improvement of women's l living and working conditions: women who benefit from access toelectricity are expected to be impacted i n the form of i improved safety (through street l lighting), telecommunications and i information (charging mobile phones and using television/radio at home), reduced physical burden (e.g., through solar electric pumps for better access to drinking water) and new and better economic opportunities.
3. Reducing the potential for conflict: this i impact is expected by providing employmentopportunities for rural populations and young people (including potential future
and/or ex-combatants).
4 Job creation and development of economic opportunities for communities i n the targetedareas: the creation of favourable conditions for the development of employment opportunities
for young people will be an alternative to rural exodus and irregular migration.</t>
        </is>
      </c>
      <c r="J4" s="36" t="n"/>
    </row>
    <row r="5" ht="121.5" customHeight="1">
      <c r="D5" s="6" t="n"/>
      <c r="E5" s="3" t="inlineStr">
        <is>
          <t>Electricity Access</t>
        </is>
      </c>
      <c r="F5" s="20" t="inlineStr">
        <is>
          <t>Off-grid rural electrification solutions provided to target communities (6 mini photovoltaic power grids)</t>
        </is>
      </c>
      <c r="G5" s="17" t="inlineStr">
        <is>
          <t>The population of Mali is estimated at about 21 million. 62.5% of the population lives in rural areas.The electrification rate in Mali is 43% overall, but only 12% in rural areas</t>
        </is>
      </c>
      <c r="H5" s="19" t="inlineStr">
        <is>
          <t>6 mini power grids</t>
        </is>
      </c>
      <c r="I5" s="55" t="inlineStr">
        <is>
          <t>The number of minigrids direct beneficiaries will derive from feasibility study. The feasibility study is not yet finalized.</t>
        </is>
      </c>
      <c r="J5" s="37" t="n"/>
    </row>
    <row r="6" ht="15" customHeight="1">
      <c r="A6" s="8" t="inlineStr">
        <is>
          <t xml:space="preserve">00130075 </t>
        </is>
      </c>
      <c r="B6" s="121" t="inlineStr">
        <is>
          <t>Femmes illuminant les chemins vers la paix</t>
        </is>
      </c>
      <c r="C6" s="9" t="n"/>
      <c r="D6" s="8" t="n">
        <v>1500000</v>
      </c>
      <c r="E6" s="12" t="n"/>
      <c r="F6" s="13" t="n"/>
      <c r="G6" s="12" t="n"/>
      <c r="H6" s="12" t="n"/>
      <c r="I6" s="11" t="inlineStr">
        <is>
          <t>Joint project PNUD/ONUFEMMES/Cercles de Mopti et Koro</t>
        </is>
      </c>
      <c r="J6" s="36" t="n"/>
    </row>
    <row r="7" ht="45.75" customHeight="1">
      <c r="A7" s="34" t="inlineStr">
        <is>
          <t>PBF</t>
        </is>
      </c>
      <c r="C7" s="9" t="n"/>
      <c r="D7" s="10" t="n"/>
      <c r="E7" s="22" t="inlineStr">
        <is>
          <t>Electricity Access</t>
        </is>
      </c>
      <c r="F7" s="17" t="inlineStr">
        <is>
          <t xml:space="preserve">Number of situational analyses carried out/number of extension tools produced </t>
        </is>
      </c>
      <c r="G7" s="12" t="n"/>
      <c r="H7" s="22" t="inlineStr">
        <is>
          <t>1 analysis et 3 tools</t>
        </is>
      </c>
      <c r="I7" s="11" t="inlineStr">
        <is>
          <t>Result 1: Women and girls participate effectively in the management of natural resources and women's leadership is strengthened on environmental issues and reduces inter-community tensions.</t>
        </is>
      </c>
      <c r="J7" s="36" t="n"/>
    </row>
    <row r="8" ht="76.5" customHeight="1">
      <c r="A8" s="8" t="n"/>
      <c r="C8" s="9" t="n"/>
      <c r="D8" s="10" t="n"/>
      <c r="E8" s="21" t="inlineStr">
        <is>
          <t>Capacity training</t>
        </is>
      </c>
      <c r="F8" s="19" t="inlineStr">
        <is>
          <t>Number of women's groups and associations trained</t>
        </is>
      </c>
      <c r="G8" s="12" t="n"/>
      <c r="H8" s="19" t="inlineStr">
        <is>
          <t>49 women groups and associations/1000 women direct beneficiaries and 500 indirect beneficiaries</t>
        </is>
      </c>
      <c r="I8" s="120" t="inlineStr">
        <is>
          <t xml:space="preserve">Result 2: The project's women's and girls' groups and associations become key players in recovery through increased productivity and profitability of renewable energies and mobilisation for peace. </t>
        </is>
      </c>
      <c r="J8" s="36" t="n"/>
    </row>
    <row r="9" ht="137.25" customHeight="1">
      <c r="A9" s="14" t="n"/>
      <c r="C9" s="15" t="n"/>
      <c r="D9" s="16" t="n"/>
      <c r="E9" s="21" t="inlineStr">
        <is>
          <t>income generating activities</t>
        </is>
      </c>
      <c r="F9" s="17" t="inlineStr">
        <is>
          <t>Number of beneficiary women's groups and associations</t>
        </is>
      </c>
      <c r="G9" s="12" t="n"/>
      <c r="H9" s="19" t="inlineStr">
        <is>
          <t>49 women groups and associations/1000 women direct beneficiaries and 500 indirect beneficiaries</t>
        </is>
      </c>
      <c r="I9" s="11" t="inlineStr">
        <is>
          <t>Related environmental impacts
Strengthening of the natural ecosystem (maintenance of the water table through infiltration, improvement in plant cover, improvement in human and animal consumption);
Increased penetration of improved stoves thanks to purchases by women who have increased their income and reduced consumption of wood energy for cooking.
Reduction in the discharge of market garden waste into the environment and reduction in air pollution by methanisation of this waste.</t>
        </is>
      </c>
      <c r="J9" s="36" t="n"/>
    </row>
    <row r="10" ht="15" customHeight="1">
      <c r="A10" s="33" t="n"/>
      <c r="J10" s="36" t="n"/>
    </row>
    <row r="11" ht="106.5" customHeight="1">
      <c r="A11" s="33" t="inlineStr">
        <is>
          <t>00121587</t>
        </is>
      </c>
      <c r="B11" s="122" t="inlineStr">
        <is>
          <t>Energie solaire, télésanté et protection sociale pour transformer la santé communautaire au Mali (SanDi)/RFF</t>
        </is>
      </c>
      <c r="D11" s="3" t="n">
        <v>6000000</v>
      </c>
      <c r="F11" s="120" t="inlineStr">
        <is>
          <t>Number of reference health centres (CSREF) equipped with solar energy and telehealth solutions as part of the project.</t>
        </is>
      </c>
      <c r="G11" s="25" t="n">
        <v>0</v>
      </c>
      <c r="H11" s="120" t="n">
        <v>7</v>
      </c>
      <c r="I11" s="120" t="inlineStr">
        <is>
          <t>The digitisation of health centres using solar energy sources has enabled : Improved patient care (diagnostic and prescription assistance); Increased revenue for health centres (pharmacy, laboratory, admissions office);Availability of quality data for decision-makers; and Telemedicine (reduction in referrals and care costs, easier access to rare specialists, the absence of doctors in several health centres, particularly in rural areas, is a reality).</t>
        </is>
      </c>
      <c r="J11" s="37" t="inlineStr">
        <is>
          <t>Ignore this, as it is covered by the 23460 value</t>
        </is>
      </c>
    </row>
    <row r="12" ht="60.75" customHeight="1">
      <c r="D12" s="3" t="n"/>
      <c r="E12" s="3" t="inlineStr">
        <is>
          <t>Health services</t>
        </is>
      </c>
      <c r="F12" s="120" t="inlineStr">
        <is>
          <t>Number of people, including women, who have access to sustainable energy in their daily lives.</t>
        </is>
      </c>
      <c r="G12" s="25" t="n">
        <v>0</v>
      </c>
      <c r="H12" s="38" t="n">
        <v>23460</v>
      </c>
      <c r="I12" s="120" t="inlineStr">
        <is>
          <t>This pilot phase of the SanDi project covers the regions of Kayes, Koulikoro, Sikasso, Ségou, Mopti, Bandiagara and the District of Bamako, and involves 7 referral health centres and 21 community health centres. A scale-up phase is currently being developed.</t>
        </is>
      </c>
      <c r="J12" s="37" t="n"/>
      <c r="Q12" s="42" t="inlineStr">
        <is>
          <t>See the table next sheet</t>
        </is>
      </c>
    </row>
    <row r="13" ht="45.75" customHeight="1">
      <c r="F13" s="120" t="inlineStr">
        <is>
          <t>Number of community health centres (CSCOM) equipped with solar energy and telehealth solutions under the project.</t>
        </is>
      </c>
      <c r="G13" s="41" t="n">
        <v>0</v>
      </c>
      <c r="H13" s="39" t="n">
        <v>21</v>
      </c>
      <c r="J13" s="37" t="inlineStr">
        <is>
          <t>Ignore this, as it is covered by the 23460 value</t>
        </is>
      </c>
    </row>
    <row r="14" ht="46.5" customHeight="1">
      <c r="F14" s="31" t="inlineStr">
        <is>
          <t>Number of healthcare practitioners trained in the use and maintenance of the systems, broken down by gender and age (target: 50% women, 30% aged between 18 and 40).</t>
        </is>
      </c>
      <c r="H14" s="40" t="inlineStr">
        <is>
          <t>400 practiconers including 75 women</t>
        </is>
      </c>
      <c r="J14" s="37" t="n"/>
    </row>
    <row r="15" ht="46.5" customHeight="1">
      <c r="E15" s="3" t="inlineStr">
        <is>
          <t>income generating</t>
        </is>
      </c>
      <c r="F15" s="24" t="inlineStr">
        <is>
          <t>Number of people and members of women's groups supported by the project to carry out income-generating activities using solar energy sources</t>
        </is>
      </c>
      <c r="H15" s="120" t="inlineStr">
        <is>
          <t>365 including 280 women</t>
        </is>
      </c>
      <c r="J15" s="37" t="n"/>
    </row>
    <row r="16" ht="15" customHeight="1">
      <c r="B16" s="7" t="n"/>
      <c r="F16" s="23" t="n"/>
      <c r="J16" s="37" t="n"/>
    </row>
    <row r="17" ht="137.25" customHeight="1">
      <c r="A17" s="33" t="inlineStr">
        <is>
          <t>00129014</t>
        </is>
      </c>
      <c r="B17" s="3" t="inlineStr">
        <is>
          <t>Africa Migrid Program</t>
        </is>
      </c>
      <c r="D17" s="5" t="n">
        <v>1780000</v>
      </c>
      <c r="E17" s="3" t="inlineStr">
        <is>
          <t>Electriciy access</t>
        </is>
      </c>
      <c r="F17" s="122" t="inlineStr">
        <is>
          <t>Indicator 1: Greenhouse gas emissions mitigated  Units of measure: metric tons of carbon dioxide equivalent (tCO2e)</t>
        </is>
      </c>
      <c r="H17" s="38" t="inlineStr">
        <is>
          <t>estimated at 16,929 metric tons of carbon dioxide equivalent (tCO2eq) (direct) and 631,697 tCO2eq (indirect).</t>
        </is>
      </c>
      <c r="I17" s="120" t="inlineStr">
        <is>
          <t>The prodoc has been endorsed by the GEF.The project will start in September 2023 at the latest.The project is expected to bring about direct commissioning of at least 0.309 MW in solar photovoltaic (PV) generation capacity and 0.754 MWh of battery storage. The lifetime greenhouse gas (GHG) emissions reduction from project activities, particularly investment in minigrid pilots, is estimated at 16,929 metric tons of carbon dioxide equivalent (tCO2eq) (direct) and 631,697 tCO2eq (indirect). The number of direct beneficiaries is estimated at 8,665 people, of which 51% percent are women, as a result of 1,752 new minigrid connections.</t>
        </is>
      </c>
      <c r="J17" s="37" t="n"/>
    </row>
    <row r="18" ht="106.5" customHeight="1">
      <c r="A18" s="3" t="inlineStr">
        <is>
          <t>GEF/UNDP</t>
        </is>
      </c>
      <c r="F18" s="120" t="inlineStr">
        <is>
          <t>Indicator 2: Number of direct beneficiaries benefitting from energy access via minigrids, disaggregated by gender and by customer segment (residential, social, commercial/productive use) as co-benefit of GEF investment
Units of measure: number of people</t>
        </is>
      </c>
      <c r="H18" s="39" t="inlineStr">
        <is>
          <t>8665 beneficiacies including 51 % women</t>
        </is>
      </c>
      <c r="J18" s="37" t="n"/>
    </row>
    <row r="19" ht="76.5" customHeight="1">
      <c r="F19" s="27" t="inlineStr">
        <is>
          <t>Indicator 3:  Increase in installed solar PV capacity and battery storage Units of measure: MW (solar PV) and MWh (battery storage)</t>
        </is>
      </c>
      <c r="H19" s="38" t="inlineStr">
        <is>
          <t xml:space="preserve">At least 0.309 MW in solar photovoltaic (PV) generation capacity and 0.754 MWh of battery storage. </t>
        </is>
      </c>
      <c r="J19" s="37" t="n"/>
    </row>
    <row r="20" ht="30.75" customHeight="1">
      <c r="F20" s="27" t="inlineStr">
        <is>
          <t>Indicator 4 Number of GGW localities covered by GMGs</t>
        </is>
      </c>
      <c r="G20" s="25" t="n"/>
      <c r="H20" s="38" t="inlineStr">
        <is>
          <t>TBD</t>
        </is>
      </c>
      <c r="J20" s="37" t="n"/>
    </row>
    <row r="21" ht="137.25" customHeight="1">
      <c r="F21" s="53" t="inlineStr">
        <is>
          <t>Indicator 5:
Number of direct green jobs created in the minigrids sector and in sectors related to the GGW, disaggregated by gender, for [minigrid development, operation and productive use, GGW sectors incl. farming, livestock, agroforestry. Etc.]. 
Units of measure: Absolute number of direct green jobs created</t>
        </is>
      </c>
      <c r="H21" s="38" t="inlineStr">
        <is>
          <t>As a result of 1,752 new minigrid connections will permit green job creation (TBD).</t>
        </is>
      </c>
      <c r="J21" s="37" t="n"/>
    </row>
    <row r="22" ht="30.75" customHeight="1">
      <c r="B22" s="121" t="inlineStr">
        <is>
          <t>Facilité de Stabilisation</t>
        </is>
      </c>
      <c r="D22" s="5" t="n">
        <v>1346173</v>
      </c>
      <c r="F22" s="30" t="n"/>
      <c r="H22" s="120" t="inlineStr">
        <is>
          <t>183505 beneficiacies including IDPs</t>
        </is>
      </c>
      <c r="I22" s="28" t="n"/>
      <c r="J22" s="37" t="n"/>
    </row>
    <row r="23" ht="15" customHeight="1">
      <c r="J23" s="37" t="n"/>
    </row>
    <row r="24" ht="15" customHeight="1">
      <c r="E24" s="3" t="inlineStr">
        <is>
          <t>Electricity access</t>
        </is>
      </c>
      <c r="F24" t="inlineStr">
        <is>
          <t>278 solar-powered streetlights</t>
        </is>
      </c>
      <c r="J24" s="37" t="n"/>
    </row>
    <row r="25" ht="15" customHeight="1">
      <c r="E25" s="3" t="inlineStr">
        <is>
          <t>Reinforcing livelihoods</t>
        </is>
      </c>
      <c r="F25" s="120" t="inlineStr">
        <is>
          <t>5 plateformes multifonctionnelles</t>
        </is>
      </c>
      <c r="J25" s="37" t="n"/>
    </row>
    <row r="26" ht="15" customHeight="1">
      <c r="E26" s="3" t="inlineStr">
        <is>
          <t>Water services</t>
        </is>
      </c>
      <c r="F26" s="120" t="inlineStr">
        <is>
          <t>8 Solar water pump</t>
        </is>
      </c>
      <c r="J26" s="37" t="n"/>
    </row>
    <row r="27" ht="15" customHeight="1">
      <c r="E27" s="3" t="inlineStr">
        <is>
          <t>Health Services</t>
        </is>
      </c>
      <c r="F27" s="120" t="inlineStr">
        <is>
          <t>3 Health centers</t>
        </is>
      </c>
      <c r="J27" s="37" t="n"/>
    </row>
    <row r="28" ht="15" customHeight="1">
      <c r="J28" s="37" t="n"/>
    </row>
    <row r="29" ht="45.75" customHeight="1">
      <c r="A29" s="33" t="inlineStr">
        <is>
          <t>00124853</t>
        </is>
      </c>
      <c r="B29" s="120" t="inlineStr">
        <is>
          <t>Ten Country: Scaling Solar Applications for Agricultural Use</t>
        </is>
      </c>
      <c r="D29" s="5" t="n">
        <v>200000</v>
      </c>
      <c r="E29" s="3" t="inlineStr">
        <is>
          <t>Agricultural Services</t>
        </is>
      </c>
      <c r="F29" s="120" t="inlineStr">
        <is>
          <t xml:space="preserve">Indicator: 1.1 Number of pilot project countries that have completed Feasibility and Capacity Assessment </t>
        </is>
      </c>
      <c r="H29" s="120" t="inlineStr">
        <is>
          <t>200 farmers</t>
        </is>
      </c>
      <c r="I29" s="120" t="inlineStr">
        <is>
          <t>Feasibility study launched to determine true demand are on track enabling key implementation modalities for all 10 countries</t>
        </is>
      </c>
      <c r="J29" s="37" t="n"/>
    </row>
    <row r="30" ht="137.25" customHeight="1">
      <c r="A30" s="3" t="inlineStr">
        <is>
          <t>ISA/India</t>
        </is>
      </c>
      <c r="F30" s="120" t="inlineStr">
        <is>
          <t>Indicator 2.1 Number of solar-based irrigation systems installed, with project support [and capacity (in kw)].</t>
        </is>
      </c>
      <c r="H30" s="120" t="inlineStr">
        <is>
          <t>over 400 people beneficiaries from technical training</t>
        </is>
      </c>
      <c r="I30" s="120" t="inlineStr">
        <is>
          <t xml:space="preserve">Through demonstration of new, innovative ans sustainable deployment models for solar water pumps, the pilot project on SSAAU aims to address these three interrelated challenges. Through installation of close to 200 SWPs across 10 countries, the project will remove the commonly prevalent barriers to access irrigation through solar pumps and post-installation services in the beneficiary localitons. This can help the larger community to expand solar energy usage, thereby reversing the poverty/unproductivity trap; the project will also address climate change mitigation and gender inequalities. </t>
        </is>
      </c>
      <c r="J30" s="37" t="n"/>
    </row>
    <row r="31" ht="137.25" customHeight="1">
      <c r="F31" s="120" t="inlineStr">
        <is>
          <t xml:space="preserve">Indicator 2.2 Number of project beneficiaries, in each of the pilot countries disaggregated by 
1. direct beneficiaries
- women farmer:
- men farmer:
2. indirect beneficiaries
- women farmer:
- men farmer: </t>
        </is>
      </c>
      <c r="J31" s="37" t="n"/>
    </row>
    <row r="32" ht="45.75" customHeight="1">
      <c r="F32" s="120" t="inlineStr">
        <is>
          <t xml:space="preserve">Indicator 3.1 Number of countries with strengthened capacities for achieving energy transformation at scale </t>
        </is>
      </c>
      <c r="J32" s="36" t="n"/>
    </row>
    <row r="33" ht="76.5" customHeight="1">
      <c r="F33" s="120" t="inlineStr">
        <is>
          <t>Indicator 3.2 Number of individuals (men and women) trained to install, operate and service solar water pumps; and also on business development and financing  for solar water pump deployment.</t>
        </is>
      </c>
      <c r="J33" s="36" t="n"/>
    </row>
    <row r="34" ht="15" customHeight="1">
      <c r="J34" s="36" t="n"/>
    </row>
    <row r="35" ht="15" customHeight="1">
      <c r="J35" s="36" t="n"/>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4.4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c r="A79" s="120" t="n"/>
      <c r="B79" s="4" t="n"/>
      <c r="C79" s="120" t="n"/>
      <c r="D79" s="120" t="n"/>
    </row>
    <row r="80" ht="15" customHeight="1"/>
  </sheetData>
  <mergeCells count="4">
    <mergeCell ref="B6:B9"/>
    <mergeCell ref="B2:B5"/>
    <mergeCell ref="B11:B15"/>
    <mergeCell ref="B22:B27"/>
  </mergeCells>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3:E27"/>
  <sheetViews>
    <sheetView topLeftCell="A5" workbookViewId="0">
      <selection activeCell="I7" sqref="I7"/>
    </sheetView>
  </sheetViews>
  <sheetFormatPr baseColWidth="8" defaultColWidth="8.85546875" defaultRowHeight="15"/>
  <cols>
    <col width="19.7109375" customWidth="1" min="1" max="1"/>
    <col width="21.42578125" customWidth="1" min="2" max="2"/>
    <col width="22.42578125" customWidth="1" min="3" max="3"/>
    <col width="23" customWidth="1" min="4" max="4"/>
    <col width="15.7109375" customWidth="1" min="5" max="5"/>
  </cols>
  <sheetData>
    <row r="1" ht="14.45" customHeight="1"/>
    <row r="3">
      <c r="A3" s="3" t="inlineStr">
        <is>
          <t>Note SANDI beneficiaries by health centre</t>
        </is>
      </c>
      <c r="B3" s="3" t="n"/>
      <c r="C3" s="3" t="n"/>
      <c r="E3" s="3" t="n"/>
    </row>
    <row r="4">
      <c r="A4" s="3" t="n"/>
      <c r="B4" s="3" t="n"/>
      <c r="C4" s="3" t="n"/>
      <c r="E4" s="3" t="n"/>
    </row>
    <row r="5" ht="32.25" customHeight="1">
      <c r="A5" s="43" t="inlineStr">
        <is>
          <t>Région</t>
        </is>
      </c>
      <c r="B5" s="44" t="inlineStr">
        <is>
          <t>Cercle</t>
        </is>
      </c>
      <c r="C5" s="44" t="inlineStr">
        <is>
          <t>Aire de santé</t>
        </is>
      </c>
      <c r="D5" s="44" t="inlineStr">
        <is>
          <t>Population totale</t>
        </is>
      </c>
      <c r="E5" s="44" t="inlineStr">
        <is>
          <t>Population Femmes</t>
        </is>
      </c>
    </row>
    <row r="6" ht="30.75" customHeight="1">
      <c r="A6" s="45" t="inlineStr">
        <is>
          <t>Bamako</t>
        </is>
      </c>
      <c r="B6" s="46" t="inlineStr">
        <is>
          <t>Commune I</t>
        </is>
      </c>
      <c r="C6" s="47" t="inlineStr">
        <is>
          <t>ASACOSISOU (Sikoroni et Sourakabougou)</t>
        </is>
      </c>
      <c r="D6" s="48" t="inlineStr">
        <is>
          <t>23 706</t>
        </is>
      </c>
      <c r="E6" s="48" t="inlineStr">
        <is>
          <t>12 090</t>
        </is>
      </c>
    </row>
    <row r="7" ht="30.75" customHeight="1">
      <c r="A7" s="45" t="inlineStr">
        <is>
          <t>Bamako</t>
        </is>
      </c>
      <c r="B7" s="46" t="inlineStr">
        <is>
          <t>Commune I</t>
        </is>
      </c>
      <c r="C7" s="47" t="inlineStr">
        <is>
          <t>ASACODOU (Doumanzana)</t>
        </is>
      </c>
      <c r="D7" s="48" t="inlineStr">
        <is>
          <t>44 566</t>
        </is>
      </c>
      <c r="E7" s="48" t="inlineStr">
        <is>
          <t>22 729</t>
        </is>
      </c>
    </row>
    <row r="8">
      <c r="A8" s="45" t="inlineStr">
        <is>
          <t>Bamako</t>
        </is>
      </c>
      <c r="B8" s="46" t="inlineStr">
        <is>
          <t>Commune I</t>
        </is>
      </c>
      <c r="C8" s="47" t="inlineStr">
        <is>
          <t>ASACOS (Sotuba)</t>
        </is>
      </c>
      <c r="D8" s="48" t="inlineStr">
        <is>
          <t>8 472</t>
        </is>
      </c>
      <c r="E8" s="48" t="inlineStr">
        <is>
          <t>4 321</t>
        </is>
      </c>
    </row>
    <row r="9">
      <c r="A9" s="45" t="inlineStr">
        <is>
          <t>Ségou</t>
        </is>
      </c>
      <c r="B9" s="47" t="inlineStr">
        <is>
          <t>Barouéli</t>
        </is>
      </c>
      <c r="C9" s="47" t="inlineStr">
        <is>
          <t>Kalaké</t>
        </is>
      </c>
      <c r="D9" s="48" t="inlineStr">
        <is>
          <t>14 816</t>
        </is>
      </c>
      <c r="E9" s="48" t="inlineStr">
        <is>
          <t>7 556</t>
        </is>
      </c>
    </row>
    <row r="10">
      <c r="A10" s="45" t="inlineStr">
        <is>
          <t>Ségou</t>
        </is>
      </c>
      <c r="B10" s="47" t="inlineStr">
        <is>
          <t>Barouéli</t>
        </is>
      </c>
      <c r="C10" s="47" t="inlineStr">
        <is>
          <t>Kodougouni</t>
        </is>
      </c>
      <c r="D10" s="48" t="inlineStr">
        <is>
          <t>5 790</t>
        </is>
      </c>
      <c r="E10" s="48" t="inlineStr">
        <is>
          <t>2 953</t>
        </is>
      </c>
    </row>
    <row r="11">
      <c r="A11" s="45" t="inlineStr">
        <is>
          <t>Ségou</t>
        </is>
      </c>
      <c r="B11" s="47" t="inlineStr">
        <is>
          <t>Barouéli</t>
        </is>
      </c>
      <c r="C11" s="47" t="inlineStr">
        <is>
          <t>Wondobougou</t>
        </is>
      </c>
      <c r="D11" s="48" t="inlineStr">
        <is>
          <t>10 445</t>
        </is>
      </c>
      <c r="E11" s="48" t="inlineStr">
        <is>
          <t>5 327</t>
        </is>
      </c>
    </row>
    <row r="12">
      <c r="A12" s="45" t="inlineStr">
        <is>
          <t>Kayes</t>
        </is>
      </c>
      <c r="B12" s="47" t="inlineStr">
        <is>
          <t>Kayes</t>
        </is>
      </c>
      <c r="C12" s="47" t="inlineStr">
        <is>
          <t>Batama</t>
        </is>
      </c>
      <c r="D12" s="48" t="inlineStr">
        <is>
          <t>5 103</t>
        </is>
      </c>
      <c r="E12" s="48" t="inlineStr">
        <is>
          <t>2 603</t>
        </is>
      </c>
    </row>
    <row r="13">
      <c r="A13" s="45" t="inlineStr">
        <is>
          <t>Kayes</t>
        </is>
      </c>
      <c r="B13" s="47" t="inlineStr">
        <is>
          <t>Kayes</t>
        </is>
      </c>
      <c r="C13" s="47" t="inlineStr">
        <is>
          <t>Djinkoulou</t>
        </is>
      </c>
      <c r="D13" s="48" t="inlineStr">
        <is>
          <t>11 508</t>
        </is>
      </c>
      <c r="E13" s="48" t="inlineStr">
        <is>
          <t>5 869</t>
        </is>
      </c>
    </row>
    <row r="14">
      <c r="A14" s="45" t="inlineStr">
        <is>
          <t>Kayes</t>
        </is>
      </c>
      <c r="B14" s="47" t="inlineStr">
        <is>
          <t>Kayes</t>
        </is>
      </c>
      <c r="C14" s="47" t="inlineStr">
        <is>
          <t>Segala</t>
        </is>
      </c>
      <c r="D14" s="48" t="inlineStr">
        <is>
          <t>25 997</t>
        </is>
      </c>
      <c r="E14" s="48" t="inlineStr">
        <is>
          <t>13 258</t>
        </is>
      </c>
    </row>
    <row r="15">
      <c r="A15" s="45" t="inlineStr">
        <is>
          <t>Koulikoro</t>
        </is>
      </c>
      <c r="B15" s="47" t="inlineStr">
        <is>
          <t>Kolokani</t>
        </is>
      </c>
      <c r="C15" s="47" t="inlineStr">
        <is>
          <t>Sagabala</t>
        </is>
      </c>
      <c r="D15" s="49" t="inlineStr">
        <is>
          <t>4 454</t>
        </is>
      </c>
      <c r="E15" s="48" t="inlineStr">
        <is>
          <t>2 272</t>
        </is>
      </c>
    </row>
    <row r="16">
      <c r="A16" s="45" t="inlineStr">
        <is>
          <t>Koulikoro</t>
        </is>
      </c>
      <c r="B16" s="47" t="inlineStr">
        <is>
          <t>Kolokani</t>
        </is>
      </c>
      <c r="C16" s="47" t="inlineStr">
        <is>
          <t>Didieni</t>
        </is>
      </c>
      <c r="D16" s="50" t="inlineStr">
        <is>
          <t>24 874</t>
        </is>
      </c>
      <c r="E16" s="48" t="inlineStr">
        <is>
          <t>12 686</t>
        </is>
      </c>
    </row>
    <row r="17">
      <c r="A17" s="45" t="inlineStr">
        <is>
          <t>Koulikoro</t>
        </is>
      </c>
      <c r="B17" s="47" t="inlineStr">
        <is>
          <t>Kolokani</t>
        </is>
      </c>
      <c r="C17" s="47" t="inlineStr">
        <is>
          <t>Samatra</t>
        </is>
      </c>
      <c r="D17" s="48" t="inlineStr">
        <is>
          <t>6 455</t>
        </is>
      </c>
      <c r="E17" s="48" t="inlineStr">
        <is>
          <t>3 292</t>
        </is>
      </c>
    </row>
    <row r="18">
      <c r="A18" s="45" t="inlineStr">
        <is>
          <t>Sikasso</t>
        </is>
      </c>
      <c r="B18" s="47" t="inlineStr">
        <is>
          <t>Sikasso</t>
        </is>
      </c>
      <c r="C18" s="47" t="inlineStr">
        <is>
          <t>Hamdallaye</t>
        </is>
      </c>
      <c r="D18" s="48" t="inlineStr">
        <is>
          <t>20 481</t>
        </is>
      </c>
      <c r="E18" s="48" t="inlineStr">
        <is>
          <t>10 445</t>
        </is>
      </c>
    </row>
    <row r="19">
      <c r="A19" s="45" t="inlineStr">
        <is>
          <t>Sikasso</t>
        </is>
      </c>
      <c r="B19" s="47" t="inlineStr">
        <is>
          <t>Sikasso</t>
        </is>
      </c>
      <c r="C19" s="47" t="inlineStr">
        <is>
          <t>Mankourani</t>
        </is>
      </c>
      <c r="D19" s="48" t="inlineStr">
        <is>
          <t>36 637</t>
        </is>
      </c>
      <c r="E19" s="48" t="inlineStr">
        <is>
          <t>18 685</t>
        </is>
      </c>
    </row>
    <row r="20">
      <c r="A20" s="45" t="inlineStr">
        <is>
          <t>Sikasso</t>
        </is>
      </c>
      <c r="B20" s="47" t="inlineStr">
        <is>
          <t>Sikasso</t>
        </is>
      </c>
      <c r="C20" s="47" t="inlineStr">
        <is>
          <t>Kaboila</t>
        </is>
      </c>
      <c r="D20" s="48" t="inlineStr">
        <is>
          <t>10 850</t>
        </is>
      </c>
      <c r="E20" s="48" t="inlineStr">
        <is>
          <t>5 534</t>
        </is>
      </c>
    </row>
    <row r="21">
      <c r="A21" s="51" t="inlineStr">
        <is>
          <t>Mopti</t>
        </is>
      </c>
      <c r="B21" s="48" t="inlineStr">
        <is>
          <t>Mopti</t>
        </is>
      </c>
      <c r="C21" s="47" t="inlineStr">
        <is>
          <t>Konna</t>
        </is>
      </c>
      <c r="D21" s="48" t="inlineStr">
        <is>
          <t>25 721</t>
        </is>
      </c>
      <c r="E21" s="48" t="inlineStr">
        <is>
          <t>13 118</t>
        </is>
      </c>
    </row>
    <row r="22">
      <c r="A22" s="51" t="inlineStr">
        <is>
          <t>Mopti</t>
        </is>
      </c>
      <c r="B22" s="48" t="inlineStr">
        <is>
          <t>Mopti</t>
        </is>
      </c>
      <c r="C22" s="47" t="inlineStr">
        <is>
          <t>Medina Coura</t>
        </is>
      </c>
      <c r="D22" s="48" t="inlineStr">
        <is>
          <t>12 348</t>
        </is>
      </c>
      <c r="E22" s="48" t="inlineStr">
        <is>
          <t>6 297</t>
        </is>
      </c>
    </row>
    <row r="23">
      <c r="A23" s="51" t="inlineStr">
        <is>
          <t>Mopti</t>
        </is>
      </c>
      <c r="B23" s="48" t="inlineStr">
        <is>
          <t>Mopti</t>
        </is>
      </c>
      <c r="C23" s="47" t="inlineStr">
        <is>
          <t>Sévaré2</t>
        </is>
      </c>
      <c r="D23" s="48" t="inlineStr">
        <is>
          <t>38 765</t>
        </is>
      </c>
      <c r="E23" s="48" t="inlineStr">
        <is>
          <t>19 770</t>
        </is>
      </c>
    </row>
    <row r="24">
      <c r="A24" s="51" t="inlineStr">
        <is>
          <t>Mopti</t>
        </is>
      </c>
      <c r="B24" s="48" t="inlineStr">
        <is>
          <t>Mopti</t>
        </is>
      </c>
      <c r="C24" s="47" t="inlineStr">
        <is>
          <t>Socoura</t>
        </is>
      </c>
      <c r="D24" s="48" t="inlineStr">
        <is>
          <t>22 169</t>
        </is>
      </c>
      <c r="E24" s="48" t="inlineStr">
        <is>
          <t>11 306</t>
        </is>
      </c>
    </row>
    <row r="25">
      <c r="A25" s="51" t="inlineStr">
        <is>
          <t>Bandiagara</t>
        </is>
      </c>
      <c r="B25" s="48" t="inlineStr">
        <is>
          <t>Bandiagara</t>
        </is>
      </c>
      <c r="C25" s="47" t="inlineStr">
        <is>
          <t>Goundaka</t>
        </is>
      </c>
      <c r="D25" s="48" t="inlineStr">
        <is>
          <t>24 372</t>
        </is>
      </c>
      <c r="E25" s="48" t="inlineStr">
        <is>
          <t>12 430</t>
        </is>
      </c>
    </row>
    <row r="26">
      <c r="A26" s="51" t="inlineStr">
        <is>
          <t>Bandiagara</t>
        </is>
      </c>
      <c r="B26" s="48" t="inlineStr">
        <is>
          <t>Bandiagara</t>
        </is>
      </c>
      <c r="C26" s="47" t="inlineStr">
        <is>
          <t>Ondougou</t>
        </is>
      </c>
      <c r="D26" s="48" t="inlineStr">
        <is>
          <t>9 602</t>
        </is>
      </c>
      <c r="E26" s="48" t="inlineStr">
        <is>
          <t>4 897</t>
        </is>
      </c>
    </row>
    <row r="27">
      <c r="A27" s="144" t="inlineStr">
        <is>
          <t>Totale population</t>
        </is>
      </c>
      <c r="B27" s="145" t="n"/>
      <c r="C27" s="146" t="n"/>
      <c r="D27" s="52" t="inlineStr">
        <is>
          <t>387 131</t>
        </is>
      </c>
      <c r="E27" s="52" t="inlineStr">
        <is>
          <t>197 437</t>
        </is>
      </c>
    </row>
  </sheetData>
  <mergeCells count="1">
    <mergeCell ref="A27:C27"/>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147" t="inlineStr">
        <is>
          <t>Beneficiary Category</t>
        </is>
      </c>
      <c r="B1" s="147" t="inlineStr">
        <is>
          <t>Indicator</t>
        </is>
      </c>
    </row>
    <row r="2" ht="45.75" customHeight="1">
      <c r="A2" s="120" t="inlineStr">
        <is>
          <t>Electricity Access</t>
        </is>
      </c>
      <c r="B2" s="120" t="inlineStr">
        <is>
          <t>Number of people, disaggregated by sex, who gain access to clean electricity (direct access to electricity, lighting, cooling, etc.).</t>
        </is>
      </c>
    </row>
    <row r="3">
      <c r="A3" s="120" t="inlineStr">
        <is>
          <t>Energy (MW added)</t>
        </is>
      </c>
      <c r="B3" s="120" t="inlineStr">
        <is>
          <t>Installed renewable or clean-energy power capacity added, in MW.</t>
        </is>
      </c>
    </row>
    <row r="4" ht="30.75" customHeight="1">
      <c r="A4" s="120" t="inlineStr">
        <is>
          <t>Energy Storage (MW)</t>
        </is>
      </c>
      <c r="B4" s="120" t="inlineStr">
        <is>
          <t>Installed energy storage power capacity added, in MW.</t>
        </is>
      </c>
    </row>
    <row r="5" ht="30.75" customHeight="1">
      <c r="A5" s="120" t="inlineStr">
        <is>
          <t>Clean Cooking</t>
        </is>
      </c>
      <c r="B5" s="120" t="inlineStr">
        <is>
          <t>Number of people who gain access to clean cooking (direct access to clean cook stoves, clean fuels, biomass, etc.).</t>
        </is>
      </c>
    </row>
    <row r="6" ht="91.5" customHeight="1">
      <c r="A6" s="120" t="inlineStr">
        <is>
          <t>Clean Heating</t>
        </is>
      </c>
      <c r="B6" s="120" t="inlineStr">
        <is>
          <t>Number of people who gain access to clean heating (direct access to clean electric heaters, clean fuels, etc.).</t>
        </is>
      </c>
    </row>
    <row r="7" ht="45.75" customHeight="1">
      <c r="A7" s="120" t="inlineStr">
        <is>
          <t>Agriculture and Food System</t>
        </is>
      </c>
      <c r="B7" s="120" t="inlineStr">
        <is>
          <t>Number of people who gain access to clean, affordable, and sustainable energy for agricultural and food-system activities.</t>
        </is>
      </c>
    </row>
    <row r="8" ht="45.75" customHeight="1">
      <c r="A8" s="120" t="inlineStr">
        <is>
          <t>Health Services</t>
        </is>
      </c>
      <c r="B8" s="120" t="inlineStr">
        <is>
          <t>Number of people who gain access to health care facilities through clean energy systems.</t>
        </is>
      </c>
    </row>
    <row r="9" ht="45.75" customHeight="1">
      <c r="A9" s="120" t="inlineStr">
        <is>
          <t>Water Services</t>
        </is>
      </c>
      <c r="B9" s="120" t="inlineStr">
        <is>
          <t>Number of people who gain access to water services through clean energy systems.</t>
        </is>
      </c>
    </row>
    <row r="10" ht="30.75" customHeight="1">
      <c r="A10" s="120" t="inlineStr">
        <is>
          <t>Education Services</t>
        </is>
      </c>
      <c r="B10" s="120" t="inlineStr">
        <is>
          <t>Number of people who gain access to education services through clean energy systems, including students and teachers.</t>
        </is>
      </c>
    </row>
    <row r="11" ht="30.75" customHeight="1">
      <c r="A11" s="120" t="inlineStr">
        <is>
          <t>Transportation and E-mobility Services</t>
        </is>
      </c>
      <c r="B11" s="120" t="inlineStr">
        <is>
          <t>Number of people served or energy saved from transport and e-mobility interventions, such as electric vehicles or charging stations.</t>
        </is>
      </c>
    </row>
    <row r="12" ht="45.75" customHeight="1">
      <c r="A12" s="120" t="inlineStr">
        <is>
          <t>Energy Efficiency Services</t>
        </is>
      </c>
      <c r="B12" s="120" t="inlineStr">
        <is>
          <t>Energy saved from energy-efficiency interventions, such as building or industrial efficiency.</t>
        </is>
      </c>
    </row>
    <row r="13" ht="30.75" customHeight="1">
      <c r="A13" s="120" t="inlineStr">
        <is>
          <t>Energy Infrastructure Services</t>
        </is>
      </c>
      <c r="B13" s="120" t="inlineStr">
        <is>
          <t>Number of people benefiting from energy infrastructure interventions, such as streetlights, transmission, and distribution lines.</t>
        </is>
      </c>
    </row>
    <row r="14">
      <c r="A14" s="120" t="inlineStr">
        <is>
          <t>Other Energy Services</t>
        </is>
      </c>
      <c r="B14" s="120" t="inlineStr">
        <is>
          <t>Access to other energy services not captured by the categories above.</t>
        </is>
      </c>
    </row>
    <row r="15" ht="30.75" customHeight="1">
      <c r="A15" s="120" t="inlineStr">
        <is>
          <t>Financing support</t>
        </is>
      </c>
      <c r="B15" s="120" t="inlineStr">
        <is>
          <t>Support for the development of the energy market ecosystem.</t>
        </is>
      </c>
    </row>
    <row r="16" ht="30.75" customHeight="1">
      <c r="A16" s="120" t="inlineStr">
        <is>
          <t>Medium Enterprises</t>
        </is>
      </c>
      <c r="B16" s="120" t="inlineStr">
        <is>
          <t>Support for the development of medium enterprises in the energy transition market.</t>
        </is>
      </c>
    </row>
    <row r="17" ht="30.75" customHeight="1">
      <c r="A17" s="120" t="inlineStr">
        <is>
          <t>Small Enterprises</t>
        </is>
      </c>
      <c r="B17" s="120" t="inlineStr">
        <is>
          <t>Support for the development of small enterprises in the energy transition market.</t>
        </is>
      </c>
    </row>
    <row r="18" ht="30.75" customHeight="1">
      <c r="A18" s="120" t="inlineStr">
        <is>
          <t>Capacity Building Training</t>
        </is>
      </c>
      <c r="B18" s="120" t="inlineStr">
        <is>
          <t>Number of people benefiting from training on energy business, energy finance, or related implementation capacity.</t>
        </is>
      </c>
    </row>
    <row r="19" ht="76.5" customHeight="1">
      <c r="A19" s="120" t="inlineStr">
        <is>
          <t>Entrepreneurship Training</t>
        </is>
      </c>
      <c r="B19" s="120" t="inlineStr">
        <is>
          <t>Training for enterprises on the energy business, assumed to result in direct beneficiaries.</t>
        </is>
      </c>
    </row>
    <row r="20" ht="30.75" customHeight="1">
      <c r="A20" s="120" t="inlineStr">
        <is>
          <t>Market Intervention</t>
        </is>
      </c>
      <c r="B20" s="120" t="inlineStr">
        <is>
          <t>Volume of investment leveraged or barriers removed for clean, reliable, affordable, and sustainable energy solutions.</t>
        </is>
      </c>
    </row>
    <row r="21" ht="45.75" customHeight="1">
      <c r="A21" s="120" t="inlineStr">
        <is>
          <t>Campaign Participant</t>
        </is>
      </c>
      <c r="B21" s="120" t="inlineStr">
        <is>
          <t>Individuals who participate in advocacy or awareness campaigns on energy.</t>
        </is>
      </c>
    </row>
    <row r="22" ht="30.75" customHeight="1">
      <c r="A22" s="120" t="inlineStr">
        <is>
          <t>Policy or Regulatory Framework</t>
        </is>
      </c>
      <c r="B22" s="120" t="inlineStr">
        <is>
          <t>Policies, regulations, strategies, plans, or frameworks developed, approved, implemented, or strengthened.</t>
        </is>
      </c>
    </row>
    <row r="23">
      <c r="A23" s="120" t="inlineStr">
        <is>
          <t>GHG Emissions Reduction</t>
        </is>
      </c>
      <c r="B23" s="120" t="inlineStr">
        <is>
          <t>Greenhouse gas emissions reduced or mitigated, in tCO2e.</t>
        </is>
      </c>
    </row>
    <row r="24">
      <c r="A24" s="120" t="inlineStr">
        <is>
          <t>Other</t>
        </is>
      </c>
      <c r="B24" s="12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Adam Coulibaly</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