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2">
    <numFmt numFmtId="164" formatCode="_(* #,##0_);_(* \(#,##0\);_(* &quot;-&quot;??_);_(@_)"/>
    <numFmt numFmtId="165" formatCode="0.0%"/>
  </numFmts>
  <fonts count="21">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scheme val="minor"/>
    </font>
    <font>
      <name val="Calibri"/>
      <family val="2"/>
      <color theme="1"/>
      <sz val="11"/>
      <u val="single"/>
      <scheme val="minor"/>
    </font>
    <font>
      <name val="Calibri"/>
      <family val="2"/>
      <color theme="10"/>
      <sz val="11"/>
      <u val="single"/>
    </font>
    <font>
      <name val="Calibri"/>
      <family val="2"/>
      <color rgb="FF000000"/>
      <sz val="11"/>
    </font>
    <font>
      <name val="Calibri"/>
      <family val="2"/>
      <sz val="11"/>
      <scheme val="minor"/>
    </font>
    <font>
      <name val="Calibri"/>
      <b val="1"/>
      <color rgb="FFFF0000"/>
      <sz val="11"/>
    </font>
    <font>
      <name val="Calibri"/>
      <b val="1"/>
      <color rgb="FF000000"/>
      <sz val="11"/>
    </font>
    <font>
      <name val="Calibri"/>
      <b val="1"/>
      <color rgb="FF000000"/>
      <sz val="11"/>
      <scheme val="minor"/>
    </font>
    <font>
      <name val="Calibri"/>
      <color rgb="FF000000"/>
      <sz val="11"/>
      <scheme val="minor"/>
    </font>
    <font>
      <name val="Calibri"/>
      <charset val="1"/>
      <family val="2"/>
      <color rgb="FF444444"/>
      <sz val="11"/>
    </font>
    <font>
      <name val="Calibri"/>
      <b val="1"/>
      <color theme="1"/>
      <sz val="11"/>
      <scheme val="minor"/>
    </font>
    <font>
      <name val="Calibri"/>
      <family val="2"/>
      <color theme="1"/>
      <sz val="11"/>
      <scheme val="minor"/>
    </font>
    <font>
      <name val="Calibri"/>
      <family val="2"/>
      <b val="1"/>
      <sz val="11"/>
      <scheme val="minor"/>
    </font>
    <font>
      <name val="Calibri"/>
      <family val="2"/>
      <b val="1"/>
      <color rgb="FF000000"/>
      <sz val="11"/>
    </font>
    <font>
      <name val="Calibri"/>
      <family val="2"/>
      <b val="1"/>
      <sz val="11"/>
    </font>
    <font>
      <name val="Calibri"/>
      <family val="2"/>
      <sz val="11"/>
    </font>
    <font>
      <name val="Calibri"/>
      <color rgb="FF000000"/>
      <sz val="11"/>
    </font>
    <font>
      <b val="1"/>
    </font>
  </fonts>
  <fills count="4">
    <fill>
      <patternFill/>
    </fill>
    <fill>
      <patternFill patternType="gray125"/>
    </fill>
    <fill>
      <patternFill patternType="solid">
        <fgColor theme="0"/>
        <bgColor indexed="64"/>
      </patternFill>
    </fill>
    <fill>
      <patternFill patternType="solid">
        <fgColor rgb="00FFFF00"/>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style="thin">
        <color indexed="64"/>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top/>
      <bottom/>
      <diagonal/>
    </border>
    <border>
      <left style="thin">
        <color rgb="FF000000"/>
      </left>
      <right style="thin">
        <color rgb="FF000000"/>
      </right>
      <top/>
      <bottom/>
      <diagonal/>
    </border>
    <border>
      <left style="thin">
        <color auto="1"/>
      </left>
      <right/>
      <top/>
      <bottom/>
      <diagonal/>
    </border>
    <border>
      <left style="thin">
        <color auto="1"/>
      </left>
      <right style="thin">
        <color auto="1"/>
      </right>
      <top/>
      <bottom style="thin">
        <color rgb="FF000000"/>
      </bottom>
      <diagonal/>
    </border>
  </borders>
  <cellStyleXfs count="4">
    <xf numFmtId="0" fontId="14" fillId="0" borderId="0"/>
    <xf numFmtId="43" fontId="14" fillId="0" borderId="0"/>
    <xf numFmtId="9" fontId="14" fillId="0" borderId="0"/>
    <xf numFmtId="0" fontId="3" fillId="0" borderId="0"/>
  </cellStyleXfs>
  <cellXfs count="162">
    <xf numFmtId="0" fontId="0" fillId="0" borderId="0" pivotButton="0" quotePrefix="0" xfId="0"/>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2" borderId="6" applyAlignment="1" pivotButton="0" quotePrefix="0" xfId="0">
      <alignment horizontal="center" vertical="center"/>
    </xf>
    <xf numFmtId="0" fontId="0" fillId="2" borderId="6" applyAlignment="1" pivotButton="0" quotePrefix="0" xfId="0">
      <alignment horizontal="center" vertical="center" wrapText="1"/>
    </xf>
    <xf numFmtId="0" fontId="13" fillId="0" borderId="6" applyAlignment="1" pivotButton="0" quotePrefix="0" xfId="0">
      <alignment horizontal="center" vertical="top" wrapText="1"/>
    </xf>
    <xf numFmtId="0" fontId="11" fillId="0" borderId="6" applyAlignment="1" pivotButton="0" quotePrefix="0" xfId="0">
      <alignment wrapText="1"/>
    </xf>
    <xf numFmtId="0" fontId="0" fillId="2" borderId="6" applyAlignment="1" pivotButton="0" quotePrefix="0" xfId="0">
      <alignment vertical="center"/>
    </xf>
    <xf numFmtId="0" fontId="0" fillId="2" borderId="8" applyAlignment="1" pivotButton="0" quotePrefix="0" xfId="0">
      <alignment horizontal="center" vertical="center"/>
    </xf>
    <xf numFmtId="0" fontId="0" fillId="2" borderId="9" applyAlignment="1" pivotButton="0" quotePrefix="0" xfId="0">
      <alignment horizontal="center" vertical="center" wrapText="1"/>
    </xf>
    <xf numFmtId="0" fontId="0" fillId="2" borderId="6" applyAlignment="1" pivotButton="0" quotePrefix="0" xfId="0">
      <alignment horizontal="left" vertical="center"/>
    </xf>
    <xf numFmtId="0" fontId="0" fillId="2" borderId="6" applyAlignment="1" pivotButton="0" quotePrefix="0" xfId="0">
      <alignment horizontal="left" vertical="center" wrapText="1"/>
    </xf>
    <xf numFmtId="0" fontId="0" fillId="2" borderId="1" applyAlignment="1" pivotButton="0" quotePrefix="0" xfId="0">
      <alignment vertical="center" wrapText="1"/>
    </xf>
    <xf numFmtId="4" fontId="6" fillId="2" borderId="0" applyAlignment="1" pivotButton="0" quotePrefix="0" xfId="0">
      <alignment vertical="center"/>
    </xf>
    <xf numFmtId="0" fontId="6" fillId="2" borderId="0" applyAlignment="1" pivotButton="0" quotePrefix="0" xfId="0">
      <alignment horizontal="left" vertical="center"/>
    </xf>
    <xf numFmtId="0" fontId="5" fillId="2" borderId="0" applyAlignment="1" pivotButton="0" quotePrefix="0" xfId="3">
      <alignment horizontal="left" vertical="center" wrapText="1"/>
    </xf>
    <xf numFmtId="0" fontId="6" fillId="2" borderId="0" applyAlignment="1" pivotButton="0" quotePrefix="0" xfId="0">
      <alignment horizontal="left" vertical="center" wrapText="1"/>
    </xf>
    <xf numFmtId="0" fontId="0" fillId="2" borderId="0" applyAlignment="1" pivotButton="0" quotePrefix="0" xfId="0">
      <alignment vertical="center" wrapText="1"/>
    </xf>
    <xf numFmtId="0" fontId="6" fillId="2" borderId="0" applyAlignment="1" pivotButton="0" quotePrefix="0" xfId="0">
      <alignment vertical="center"/>
    </xf>
    <xf numFmtId="0" fontId="6" fillId="2" borderId="0" applyAlignment="1" pivotButton="0" quotePrefix="0" xfId="0">
      <alignment vertical="center" wrapText="1"/>
    </xf>
    <xf numFmtId="0" fontId="5" fillId="2" borderId="0" applyAlignment="1" pivotButton="0" quotePrefix="0" xfId="3">
      <alignment vertical="center" wrapText="1"/>
    </xf>
    <xf numFmtId="0" fontId="0" fillId="2" borderId="0" applyAlignment="1" pivotButton="0" quotePrefix="0" xfId="0">
      <alignment vertical="center"/>
    </xf>
    <xf numFmtId="0" fontId="2" fillId="0" borderId="6" applyAlignment="1" pivotButton="0" quotePrefix="0" xfId="0">
      <alignment horizontal="center" vertical="center"/>
    </xf>
    <xf numFmtId="0" fontId="2" fillId="0" borderId="6" applyAlignment="1" pivotButton="0" quotePrefix="0" xfId="0">
      <alignment vertical="center"/>
    </xf>
    <xf numFmtId="0" fontId="2" fillId="0" borderId="6" applyAlignment="1" pivotButton="0" quotePrefix="0" xfId="0">
      <alignment vertical="center" wrapText="1"/>
    </xf>
    <xf numFmtId="0" fontId="11" fillId="2" borderId="6" applyAlignment="1" pivotButton="0" quotePrefix="0" xfId="0">
      <alignment vertical="center" wrapText="1"/>
    </xf>
    <xf numFmtId="0" fontId="4" fillId="2" borderId="0" applyAlignment="1" pivotButton="0" quotePrefix="0" xfId="0">
      <alignment vertical="center"/>
    </xf>
    <xf numFmtId="43" fontId="0" fillId="2" borderId="0" applyAlignment="1" pivotButton="0" quotePrefix="0" xfId="0">
      <alignment vertical="center"/>
    </xf>
    <xf numFmtId="0" fontId="0" fillId="2" borderId="0" applyAlignment="1" pivotButton="0" quotePrefix="0" xfId="0">
      <alignment horizontal="center" vertical="center"/>
    </xf>
    <xf numFmtId="0" fontId="0" fillId="2" borderId="6" applyAlignment="1" pivotButton="0" quotePrefix="0" xfId="0">
      <alignment vertical="center" wrapText="1"/>
    </xf>
    <xf numFmtId="0" fontId="0" fillId="2" borderId="7" applyAlignment="1" pivotButton="0" quotePrefix="0" xfId="0">
      <alignment vertical="center" wrapText="1"/>
    </xf>
    <xf numFmtId="0" fontId="3" fillId="2" borderId="6" applyAlignment="1" pivotButton="0" quotePrefix="0" xfId="3">
      <alignment vertical="center"/>
    </xf>
    <xf numFmtId="0" fontId="5" fillId="2" borderId="0" applyAlignment="1" pivotButton="0" quotePrefix="0" xfId="3">
      <alignment vertical="center" wrapText="1"/>
    </xf>
    <xf numFmtId="0" fontId="6" fillId="2" borderId="0" applyAlignment="1" pivotButton="0" quotePrefix="0" xfId="0">
      <alignment horizontal="center" vertical="center"/>
    </xf>
    <xf numFmtId="0" fontId="0" fillId="2" borderId="0" applyAlignment="1" pivotButton="0" quotePrefix="0" xfId="0">
      <alignment horizontal="center" vertical="center" wrapText="1"/>
    </xf>
    <xf numFmtId="0" fontId="2" fillId="2" borderId="6" applyAlignment="1" pivotButton="0" quotePrefix="0" xfId="0">
      <alignment horizontal="left" vertical="center"/>
    </xf>
    <xf numFmtId="0" fontId="0" fillId="2" borderId="0" applyAlignment="1" pivotButton="0" quotePrefix="0" xfId="0">
      <alignment horizontal="left" vertical="center"/>
    </xf>
    <xf numFmtId="0" fontId="0" fillId="2" borderId="8" applyAlignment="1" pivotButton="0" quotePrefix="0" xfId="0">
      <alignment vertical="center"/>
    </xf>
    <xf numFmtId="0" fontId="3" fillId="2" borderId="6" applyAlignment="1" pivotButton="0" quotePrefix="0" xfId="3">
      <alignment horizontal="left" vertical="center" wrapText="1"/>
    </xf>
    <xf numFmtId="0" fontId="6" fillId="2" borderId="6" applyAlignment="1" pivotButton="0" quotePrefix="0" xfId="0">
      <alignment horizontal="left" vertical="center" wrapText="1"/>
    </xf>
    <xf numFmtId="0" fontId="11" fillId="2" borderId="6" applyAlignment="1" pivotButton="0" quotePrefix="0" xfId="0">
      <alignment horizontal="left" vertical="center" wrapText="1"/>
    </xf>
    <xf numFmtId="0" fontId="0" fillId="2" borderId="0" applyAlignment="1" pivotButton="0" quotePrefix="0" xfId="0">
      <alignment horizontal="left" vertical="center" wrapText="1"/>
    </xf>
    <xf numFmtId="0" fontId="5" fillId="2" borderId="0" applyAlignment="1" pivotButton="0" quotePrefix="0" xfId="3">
      <alignment horizontal="left" vertical="center" wrapText="1"/>
    </xf>
    <xf numFmtId="0" fontId="4" fillId="2" borderId="0" applyAlignment="1" pivotButton="0" quotePrefix="0" xfId="0">
      <alignment horizontal="left" vertical="center"/>
    </xf>
    <xf numFmtId="0" fontId="12" fillId="2" borderId="0" applyAlignment="1" pivotButton="0" quotePrefix="0" xfId="0">
      <alignment horizontal="left" vertical="center"/>
    </xf>
    <xf numFmtId="0" fontId="0" fillId="2" borderId="1" applyAlignment="1" pivotButton="0" quotePrefix="0" xfId="0">
      <alignment horizontal="left" vertical="center"/>
    </xf>
    <xf numFmtId="0" fontId="0" fillId="2" borderId="1" applyAlignment="1" pivotButton="0" quotePrefix="0" xfId="0">
      <alignment horizontal="left" vertical="center" wrapText="1"/>
    </xf>
    <xf numFmtId="0" fontId="6" fillId="2" borderId="1" applyAlignment="1" pivotButton="0" quotePrefix="0" xfId="0">
      <alignment horizontal="left" vertical="center" wrapText="1"/>
    </xf>
    <xf numFmtId="0" fontId="2" fillId="0" borderId="1" applyAlignment="1" pivotButton="0" quotePrefix="0" xfId="0">
      <alignment horizontal="left" vertical="center"/>
    </xf>
    <xf numFmtId="49" fontId="2" fillId="0" borderId="1" applyAlignment="1" pivotButton="0" quotePrefix="0" xfId="1">
      <alignment horizontal="right" vertical="center"/>
    </xf>
    <xf numFmtId="49" fontId="6" fillId="2" borderId="0" applyAlignment="1" pivotButton="0" quotePrefix="0" xfId="1">
      <alignment horizontal="right" vertical="center"/>
    </xf>
    <xf numFmtId="49" fontId="0" fillId="2" borderId="0" applyAlignment="1" pivotButton="0" quotePrefix="0" xfId="1">
      <alignment horizontal="right" vertical="center"/>
    </xf>
    <xf numFmtId="49" fontId="0" fillId="0" borderId="1" applyAlignment="1" pivotButton="0" quotePrefix="0" xfId="1">
      <alignment horizontal="left" vertical="center" wrapText="1"/>
    </xf>
    <xf numFmtId="49" fontId="2" fillId="2" borderId="6" applyAlignment="1" pivotButton="0" quotePrefix="0" xfId="0">
      <alignment horizontal="left" vertical="center"/>
    </xf>
    <xf numFmtId="49" fontId="0" fillId="2" borderId="6" applyAlignment="1" pivotButton="0" quotePrefix="0" xfId="0">
      <alignment horizontal="left" vertical="center"/>
    </xf>
    <xf numFmtId="49" fontId="6" fillId="2" borderId="0" applyAlignment="1" pivotButton="0" quotePrefix="0" xfId="0">
      <alignment horizontal="left" vertical="center"/>
    </xf>
    <xf numFmtId="49" fontId="0" fillId="2" borderId="0" applyAlignment="1" pivotButton="0" quotePrefix="0" xfId="0">
      <alignment horizontal="left" vertical="center"/>
    </xf>
    <xf numFmtId="49" fontId="2" fillId="0" borderId="6" applyAlignment="1" pivotButton="0" quotePrefix="0" xfId="0">
      <alignment horizontal="left" vertical="center"/>
    </xf>
    <xf numFmtId="49" fontId="2" fillId="0" borderId="1" applyAlignment="1" pivotButton="0" quotePrefix="0" xfId="0">
      <alignment horizontal="left" vertical="center"/>
    </xf>
    <xf numFmtId="49" fontId="0" fillId="0" borderId="1" applyAlignment="1" pivotButton="0" quotePrefix="0" xfId="0">
      <alignment horizontal="left" vertical="center"/>
    </xf>
    <xf numFmtId="0" fontId="3" fillId="0" borderId="1" applyAlignment="1" pivotButton="0" quotePrefix="0" xfId="3">
      <alignment horizontal="left" vertical="center"/>
    </xf>
    <xf numFmtId="0" fontId="0" fillId="2" borderId="8" applyAlignment="1" pivotButton="0" quotePrefix="0" xfId="0">
      <alignment horizontal="center" vertical="center" wrapText="1"/>
    </xf>
    <xf numFmtId="9" fontId="0" fillId="2" borderId="6" applyAlignment="1" pivotButton="0" quotePrefix="0" xfId="0">
      <alignment horizontal="center" vertical="center" wrapText="1"/>
    </xf>
    <xf numFmtId="0" fontId="2" fillId="2" borderId="6" applyAlignment="1" pivotButton="0" quotePrefix="0" xfId="0">
      <alignment horizontal="center" vertical="center" wrapText="1"/>
    </xf>
    <xf numFmtId="0" fontId="2" fillId="2" borderId="7" applyAlignment="1" pivotButton="0" quotePrefix="0" xfId="0">
      <alignment horizontal="center" vertical="center" wrapText="1"/>
    </xf>
    <xf numFmtId="0" fontId="2" fillId="2" borderId="8" applyAlignment="1" pivotButton="0" quotePrefix="0" xfId="0">
      <alignment horizontal="center" vertical="center" wrapText="1"/>
    </xf>
    <xf numFmtId="0" fontId="0" fillId="2" borderId="11" applyAlignment="1" pivotButton="0" quotePrefix="0" xfId="0">
      <alignment horizontal="center" vertical="center" wrapText="1"/>
    </xf>
    <xf numFmtId="0" fontId="0" fillId="2" borderId="7" applyAlignment="1" pivotButton="0" quotePrefix="0" xfId="0">
      <alignment horizontal="center" vertical="center" wrapText="1"/>
    </xf>
    <xf numFmtId="0" fontId="0" fillId="2" borderId="12" applyAlignment="1" pivotButton="0" quotePrefix="0" xfId="0">
      <alignment horizontal="center" vertical="center"/>
    </xf>
    <xf numFmtId="164" fontId="2" fillId="0" borderId="6" applyAlignment="1" pivotButton="0" quotePrefix="0" xfId="1">
      <alignment horizontal="center" vertical="center"/>
    </xf>
    <xf numFmtId="164" fontId="0" fillId="2" borderId="6" applyAlignment="1" pivotButton="0" quotePrefix="0" xfId="1">
      <alignment horizontal="center" vertical="center" wrapText="1"/>
    </xf>
    <xf numFmtId="164" fontId="6" fillId="2" borderId="6" applyAlignment="1" pivotButton="0" quotePrefix="0" xfId="1">
      <alignment horizontal="center" vertical="center" wrapText="1"/>
    </xf>
    <xf numFmtId="164" fontId="0" fillId="2" borderId="6" applyAlignment="1" pivotButton="0" quotePrefix="0" xfId="1">
      <alignment horizontal="center" vertical="center"/>
    </xf>
    <xf numFmtId="164" fontId="6" fillId="2" borderId="0" applyAlignment="1" pivotButton="0" quotePrefix="0" xfId="1">
      <alignment horizontal="center" vertical="center"/>
    </xf>
    <xf numFmtId="164" fontId="12" fillId="2" borderId="0" applyAlignment="1" pivotButton="0" quotePrefix="0" xfId="1">
      <alignment horizontal="center" vertical="center"/>
    </xf>
    <xf numFmtId="164" fontId="0" fillId="2" borderId="0" applyAlignment="1" pivotButton="0" quotePrefix="0" xfId="1">
      <alignment horizontal="center" vertical="center" wrapText="1"/>
    </xf>
    <xf numFmtId="164" fontId="2" fillId="2" borderId="6" applyAlignment="1" pivotButton="0" quotePrefix="0" xfId="1">
      <alignment horizontal="left" vertical="center"/>
    </xf>
    <xf numFmtId="0" fontId="2" fillId="0" borderId="7" applyAlignment="1" pivotButton="0" quotePrefix="0" xfId="0">
      <alignment horizontal="center" vertical="center" wrapText="1"/>
    </xf>
    <xf numFmtId="9" fontId="0" fillId="2" borderId="1" applyAlignment="1" pivotButton="0" quotePrefix="0" xfId="0">
      <alignment vertical="center" wrapText="1"/>
    </xf>
    <xf numFmtId="9" fontId="6" fillId="2" borderId="0" applyAlignment="1" pivotButton="0" quotePrefix="0" xfId="2">
      <alignment vertical="center"/>
    </xf>
    <xf numFmtId="0" fontId="16" fillId="2" borderId="6" applyAlignment="1" pivotButton="0" quotePrefix="0" xfId="0">
      <alignment vertical="center" wrapText="1"/>
    </xf>
    <xf numFmtId="165" fontId="0" fillId="2" borderId="0" applyAlignment="1" pivotButton="0" quotePrefix="0" xfId="2">
      <alignment vertical="center"/>
    </xf>
    <xf numFmtId="0" fontId="16" fillId="0" borderId="1" applyAlignment="1" pivotButton="0" quotePrefix="0" xfId="0">
      <alignment horizontal="left" vertical="center" wrapText="1"/>
    </xf>
    <xf numFmtId="0" fontId="16" fillId="2" borderId="6" applyAlignment="1" pivotButton="0" quotePrefix="0" xfId="0">
      <alignment horizontal="left" vertical="center" wrapText="1"/>
    </xf>
    <xf numFmtId="0" fontId="0" fillId="2" borderId="15" applyAlignment="1" pivotButton="0" quotePrefix="0" xfId="0">
      <alignment horizontal="left" vertical="center" wrapText="1"/>
    </xf>
    <xf numFmtId="49" fontId="19" fillId="2" borderId="6" applyAlignment="1" pivotButton="0" quotePrefix="0" xfId="0">
      <alignment horizontal="left" vertical="center" wrapText="1"/>
    </xf>
    <xf numFmtId="2" fontId="0" fillId="2" borderId="6" applyAlignment="1" pivotButton="0" quotePrefix="0" xfId="0">
      <alignment horizontal="left" vertical="center" wrapText="1"/>
    </xf>
    <xf numFmtId="2" fontId="19" fillId="2" borderId="6" applyAlignment="1" pivotButton="0" quotePrefix="0" xfId="0">
      <alignment horizontal="left" vertical="center" wrapText="1"/>
    </xf>
    <xf numFmtId="49" fontId="11" fillId="2" borderId="6" applyAlignment="1" pivotButton="0" quotePrefix="0" xfId="0">
      <alignment vertical="center" wrapText="1"/>
    </xf>
    <xf numFmtId="43" fontId="0" fillId="2" borderId="6" applyAlignment="1" pivotButton="0" quotePrefix="0" xfId="0">
      <alignment horizontal="left" vertical="center" wrapText="1"/>
    </xf>
    <xf numFmtId="0" fontId="3" fillId="2" borderId="6" applyAlignment="1" pivotButton="0" quotePrefix="0" xfId="3">
      <alignment horizontal="left" vertical="center"/>
    </xf>
    <xf numFmtId="0" fontId="9" fillId="2" borderId="6" applyAlignment="1" pivotButton="0" quotePrefix="0" xfId="0">
      <alignment horizontal="left" vertical="center" wrapText="1"/>
    </xf>
    <xf numFmtId="0" fontId="0" fillId="0" borderId="1" applyAlignment="1" pivotButton="0" quotePrefix="0" xfId="0">
      <alignment vertical="center" wrapText="1"/>
    </xf>
    <xf numFmtId="49" fontId="0" fillId="0" borderId="7" applyAlignment="1" pivotButton="0" quotePrefix="0" xfId="0">
      <alignment horizontal="left" vertical="center"/>
    </xf>
    <xf numFmtId="49" fontId="0" fillId="0" borderId="10" applyAlignment="1" pivotButton="0" quotePrefix="0" xfId="0">
      <alignment horizontal="left" vertical="center"/>
    </xf>
    <xf numFmtId="0" fontId="0" fillId="0" borderId="7" applyAlignment="1" pivotButton="0" quotePrefix="0" xfId="0">
      <alignment vertical="center"/>
    </xf>
    <xf numFmtId="0" fontId="0" fillId="0" borderId="10" applyAlignment="1" pivotButton="0" quotePrefix="0" xfId="0">
      <alignment vertical="center"/>
    </xf>
    <xf numFmtId="0" fontId="3" fillId="0" borderId="7" applyAlignment="1" pivotButton="0" quotePrefix="0" xfId="3">
      <alignment vertical="center" wrapText="1"/>
    </xf>
    <xf numFmtId="0" fontId="3" fillId="0" borderId="10" applyAlignment="1" pivotButton="0" quotePrefix="0" xfId="3">
      <alignment vertical="center" wrapText="1"/>
    </xf>
    <xf numFmtId="0" fontId="6" fillId="2" borderId="7" applyAlignment="1" pivotButton="0" quotePrefix="0" xfId="0">
      <alignment vertical="center" wrapText="1"/>
    </xf>
    <xf numFmtId="0" fontId="6" fillId="2" borderId="10" applyAlignment="1" pivotButton="0" quotePrefix="0" xfId="0">
      <alignment vertical="center" wrapText="1"/>
    </xf>
    <xf numFmtId="0" fontId="16" fillId="0" borderId="7" applyAlignment="1" pivotButton="0" quotePrefix="0" xfId="0">
      <alignment vertical="center" wrapText="1"/>
    </xf>
    <xf numFmtId="0" fontId="9" fillId="0" borderId="10" applyAlignment="1" pivotButton="0" quotePrefix="0" xfId="0">
      <alignment vertical="center" wrapText="1"/>
    </xf>
    <xf numFmtId="0" fontId="9" fillId="0" borderId="13" applyAlignment="1" pivotButton="0" quotePrefix="0" xfId="0">
      <alignment vertical="center" wrapText="1"/>
    </xf>
    <xf numFmtId="0" fontId="9" fillId="0" borderId="14" applyAlignment="1" pivotButton="0" quotePrefix="0" xfId="0">
      <alignment vertical="center" wrapText="1"/>
    </xf>
    <xf numFmtId="9" fontId="0" fillId="0" borderId="1" applyAlignment="1" pivotButton="0" quotePrefix="0" xfId="0">
      <alignment vertical="center" wrapText="1"/>
    </xf>
    <xf numFmtId="49" fontId="11" fillId="0" borderId="7" applyAlignment="1" pivotButton="0" quotePrefix="0" xfId="0">
      <alignment vertical="center" wrapText="1"/>
    </xf>
    <xf numFmtId="49" fontId="7" fillId="0" borderId="10" applyAlignment="1" pivotButton="0" quotePrefix="0" xfId="0">
      <alignment vertical="center"/>
    </xf>
    <xf numFmtId="49" fontId="0" fillId="0" borderId="7" applyAlignment="1" pivotButton="0" quotePrefix="0" xfId="0">
      <alignment horizontal="left" vertical="center" wrapText="1"/>
    </xf>
    <xf numFmtId="0" fontId="0" fillId="2" borderId="7" applyAlignment="1" pivotButton="0" quotePrefix="0" xfId="0">
      <alignment vertical="center" wrapText="1"/>
    </xf>
    <xf numFmtId="0" fontId="0" fillId="2" borderId="10" applyAlignment="1" pivotButton="0" quotePrefix="0" xfId="0">
      <alignment vertical="center" wrapText="1"/>
    </xf>
    <xf numFmtId="0" fontId="8" fillId="0" borderId="10" applyAlignment="1" pivotButton="0" quotePrefix="0" xfId="0">
      <alignment vertical="center" wrapText="1"/>
    </xf>
    <xf numFmtId="0" fontId="8" fillId="0" borderId="14" applyAlignment="1" pivotButton="0" quotePrefix="0" xfId="0">
      <alignment vertical="center" wrapText="1"/>
    </xf>
    <xf numFmtId="0" fontId="3" fillId="0" borderId="2" applyAlignment="1" pivotButton="0" quotePrefix="0" xfId="3">
      <alignment horizontal="left" vertical="center" wrapText="1"/>
    </xf>
    <xf numFmtId="0" fontId="3" fillId="0" borderId="3" applyAlignment="1" pivotButton="0" quotePrefix="0" xfId="3">
      <alignment horizontal="left" vertical="center" wrapText="1"/>
    </xf>
    <xf numFmtId="0" fontId="0" fillId="0" borderId="1" applyAlignment="1" pivotButton="0" quotePrefix="0" xfId="0">
      <alignment horizontal="left" vertical="center"/>
    </xf>
    <xf numFmtId="49" fontId="0" fillId="0" borderId="1" applyAlignment="1" pivotButton="0" quotePrefix="0" xfId="0">
      <alignment horizontal="left" vertical="center"/>
    </xf>
    <xf numFmtId="0" fontId="0" fillId="2" borderId="2" applyAlignment="1" pivotButton="0" quotePrefix="0" xfId="0">
      <alignment horizontal="left" vertical="center" wrapText="1"/>
    </xf>
    <xf numFmtId="0" fontId="0" fillId="2" borderId="3" applyAlignment="1" pivotButton="0" quotePrefix="0" xfId="0">
      <alignment horizontal="left" vertical="center" wrapText="1"/>
    </xf>
    <xf numFmtId="0" fontId="6" fillId="2" borderId="1" applyAlignment="1" pivotButton="0" quotePrefix="0" xfId="0">
      <alignment horizontal="left" vertical="center" wrapText="1"/>
    </xf>
    <xf numFmtId="0" fontId="3" fillId="0" borderId="4" applyAlignment="1" pivotButton="0" quotePrefix="0" xfId="3">
      <alignment horizontal="left" vertical="center" wrapText="1"/>
    </xf>
    <xf numFmtId="0" fontId="3" fillId="0" borderId="5" applyAlignment="1" pivotButton="0" quotePrefix="0" xfId="3">
      <alignment horizontal="left" vertical="center" wrapText="1"/>
    </xf>
    <xf numFmtId="49" fontId="7" fillId="0" borderId="2" applyAlignment="1" pivotButton="0" quotePrefix="0" xfId="1">
      <alignment horizontal="left" vertical="center" wrapText="1"/>
    </xf>
    <xf numFmtId="49" fontId="7" fillId="0" borderId="3" applyAlignment="1" pivotButton="0" quotePrefix="0" xfId="1">
      <alignment horizontal="left" vertical="center"/>
    </xf>
    <xf numFmtId="0" fontId="9" fillId="0" borderId="2" applyAlignment="1" pivotButton="0" quotePrefix="0" xfId="0">
      <alignment horizontal="center" vertical="center" wrapText="1"/>
    </xf>
    <xf numFmtId="0" fontId="9" fillId="0" borderId="3" applyAlignment="1" pivotButton="0" quotePrefix="0" xfId="0">
      <alignment horizontal="center" vertical="center" wrapText="1"/>
    </xf>
    <xf numFmtId="0" fontId="16" fillId="0" borderId="2" applyAlignment="1" pivotButton="0" quotePrefix="0" xfId="0">
      <alignment horizontal="left" vertical="center" wrapText="1"/>
    </xf>
    <xf numFmtId="0" fontId="9" fillId="0" borderId="3" applyAlignment="1" pivotButton="0" quotePrefix="0" xfId="0">
      <alignment horizontal="left" vertical="center" wrapText="1"/>
    </xf>
    <xf numFmtId="0" fontId="17" fillId="0" borderId="2" applyAlignment="1" pivotButton="0" quotePrefix="0" xfId="0">
      <alignment horizontal="left" vertical="center" wrapText="1"/>
    </xf>
    <xf numFmtId="0" fontId="17" fillId="0" borderId="3" applyAlignment="1" pivotButton="0" quotePrefix="0" xfId="0">
      <alignment horizontal="left" vertical="center" wrapText="1"/>
    </xf>
    <xf numFmtId="0" fontId="8" fillId="0" borderId="2" applyAlignment="1" pivotButton="0" quotePrefix="0" xfId="0">
      <alignment horizontal="center" vertical="center" wrapText="1"/>
    </xf>
    <xf numFmtId="0" fontId="8" fillId="0" borderId="3" applyAlignment="1" pivotButton="0" quotePrefix="0" xfId="0">
      <alignment horizontal="center" vertical="center" wrapText="1"/>
    </xf>
    <xf numFmtId="49" fontId="0" fillId="0" borderId="1" applyAlignment="1" pivotButton="0" quotePrefix="0" xfId="1">
      <alignment horizontal="left" vertical="center" wrapText="1"/>
    </xf>
    <xf numFmtId="49" fontId="0" fillId="0" borderId="1" applyAlignment="1" pivotButton="0" quotePrefix="0" xfId="1">
      <alignment horizontal="left" vertical="center"/>
    </xf>
    <xf numFmtId="0" fontId="1" fillId="0" borderId="6" applyAlignment="1" pivotButton="0" quotePrefix="0" xfId="0">
      <alignment horizontal="left" vertical="center" wrapText="1"/>
    </xf>
    <xf numFmtId="0" fontId="1" fillId="0" borderId="6" applyAlignment="1" pivotButton="0" quotePrefix="0" xfId="0">
      <alignment wrapText="1"/>
    </xf>
    <xf numFmtId="0" fontId="1" fillId="0" borderId="6" applyAlignment="1" pivotButton="0" quotePrefix="0" xfId="0">
      <alignment vertical="center" wrapText="1"/>
    </xf>
    <xf numFmtId="43" fontId="0" fillId="3" borderId="6" applyAlignment="1" pivotButton="0" quotePrefix="0" xfId="0">
      <alignment horizontal="left" vertical="center" wrapText="1"/>
    </xf>
    <xf numFmtId="0" fontId="6" fillId="3" borderId="0" applyAlignment="1" pivotButton="0" quotePrefix="0" xfId="0">
      <alignment horizontal="left" vertical="center"/>
    </xf>
    <xf numFmtId="0" fontId="14" fillId="3" borderId="0" pivotButton="0" quotePrefix="0" xfId="0"/>
    <xf numFmtId="0" fontId="14" fillId="2" borderId="15" applyAlignment="1" pivotButton="0" quotePrefix="0" xfId="0">
      <alignment horizontal="left" vertical="center" wrapText="1"/>
    </xf>
    <xf numFmtId="0" fontId="14" fillId="0" borderId="0" pivotButton="0" quotePrefix="0" xfId="0"/>
    <xf numFmtId="49" fontId="0" fillId="0" borderId="6" applyAlignment="1" pivotButton="0" quotePrefix="0" xfId="0">
      <alignment horizontal="left" vertical="center"/>
    </xf>
    <xf numFmtId="0" fontId="0" fillId="0" borderId="6" applyAlignment="1" pivotButton="0" quotePrefix="0" xfId="0">
      <alignment vertical="center"/>
    </xf>
    <xf numFmtId="0" fontId="3" fillId="0" borderId="6" applyAlignment="1" pivotButton="0" quotePrefix="0" xfId="3">
      <alignment vertical="center" wrapText="1"/>
    </xf>
    <xf numFmtId="49" fontId="0" fillId="0" borderId="6" applyAlignment="1" pivotButton="0" quotePrefix="0" xfId="0">
      <alignment horizontal="left" vertical="center" wrapText="1"/>
    </xf>
    <xf numFmtId="0" fontId="16" fillId="0" borderId="6" applyAlignment="1" pivotButton="0" quotePrefix="0" xfId="0">
      <alignment vertical="center" wrapText="1"/>
    </xf>
    <xf numFmtId="0" fontId="9" fillId="0" borderId="8" applyAlignment="1" pivotButton="0" quotePrefix="0" xfId="0">
      <alignment vertical="center" wrapText="1"/>
    </xf>
    <xf numFmtId="0" fontId="0" fillId="0" borderId="10" pivotButton="0" quotePrefix="0" xfId="0"/>
    <xf numFmtId="0" fontId="0" fillId="0" borderId="14" pivotButton="0" quotePrefix="0" xfId="0"/>
    <xf numFmtId="0" fontId="0" fillId="0" borderId="3" pivotButton="0" quotePrefix="0" xfId="0"/>
    <xf numFmtId="49" fontId="11" fillId="0" borderId="6" applyAlignment="1" pivotButton="0" quotePrefix="0" xfId="0">
      <alignment vertical="center" wrapText="1"/>
    </xf>
    <xf numFmtId="0" fontId="6" fillId="2" borderId="6" applyAlignment="1" pivotButton="0" quotePrefix="0" xfId="0">
      <alignment vertical="center" wrapText="1"/>
    </xf>
    <xf numFmtId="0" fontId="3" fillId="0" borderId="1" applyAlignment="1" pivotButton="0" quotePrefix="0" xfId="3">
      <alignment horizontal="left" vertical="center" wrapText="1"/>
    </xf>
    <xf numFmtId="0" fontId="17" fillId="0" borderId="1" applyAlignment="1" pivotButton="0" quotePrefix="0" xfId="0">
      <alignment horizontal="left" vertical="center" wrapText="1"/>
    </xf>
    <xf numFmtId="0" fontId="8" fillId="0" borderId="1" applyAlignment="1" pivotButton="0" quotePrefix="0" xfId="0">
      <alignment horizontal="center" vertical="center" wrapText="1"/>
    </xf>
    <xf numFmtId="0" fontId="3" fillId="0" borderId="19" applyAlignment="1" pivotButton="0" quotePrefix="0" xfId="3">
      <alignment horizontal="left" vertical="center" wrapText="1"/>
    </xf>
    <xf numFmtId="49" fontId="7" fillId="0" borderId="1" applyAlignment="1" pivotButton="0" quotePrefix="0" xfId="1">
      <alignment horizontal="left" vertical="center" wrapText="1"/>
    </xf>
    <xf numFmtId="0" fontId="9" fillId="0" borderId="1" applyAlignment="1" pivotButton="0" quotePrefix="0" xfId="0">
      <alignment horizontal="center" vertical="center" wrapText="1"/>
    </xf>
    <xf numFmtId="0" fontId="0" fillId="0" borderId="19" pivotButton="0" quotePrefix="0" xfId="0"/>
    <xf numFmtId="0" fontId="20" fillId="0" borderId="0" applyAlignment="1" pivotButton="0" quotePrefix="0" xfId="0">
      <alignment vertical="top" wrapText="1"/>
    </xf>
    <xf numFmtId="0" fontId="0" fillId="0" borderId="0" applyAlignment="1" pivotButton="0" quotePrefix="0" xfId="0">
      <alignment vertical="top" wrapText="1"/>
    </xf>
  </cellXfs>
  <cellStyles count="4">
    <cellStyle name="Normal" xfId="0" builtinId="0"/>
    <cellStyle name="Comma" xfId="1" builtinId="3"/>
    <cellStyle name="Percent" xfId="2" builtinId="5"/>
    <cellStyle name="Hyperlink" xfId="3"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undp.org/es/colombia/news/en-la-guajira-mujeres-rurales-lideran-tiendas-comunitarias-para-su-empoderamiento-econ%C3%B3mico" TargetMode="External" Id="rId1"/><Relationship Type="http://schemas.openxmlformats.org/officeDocument/2006/relationships/hyperlink" Target="https://pnudcolombia.exposure.co/juntas-y-poderosas" TargetMode="External" Id="rId2"/><Relationship Type="http://schemas.openxmlformats.org/officeDocument/2006/relationships/hyperlink" Target="https://open.undp.org/projects/00098331" TargetMode="External" Id="rId3"/></Relationships>
</file>

<file path=xl/worksheets/_rels/sheet2.xml.rels><Relationships xmlns="http://schemas.openxmlformats.org/package/2006/relationships"><Relationship Type="http://schemas.openxmlformats.org/officeDocument/2006/relationships/hyperlink" Target="https://www.undp.org/es/colombia/news/en-la-guajira-mujeres-rurales-lideran-tiendas-comunitarias-para-su-empoderamiento-econ%C3%B3mico" TargetMode="External" Id="rId1"/><Relationship Type="http://schemas.openxmlformats.org/officeDocument/2006/relationships/hyperlink" Target="https://pnudcolombia.exposure.co/juntas-y-poderosas" TargetMode="External" Id="rId2"/><Relationship Type="http://schemas.openxmlformats.org/officeDocument/2006/relationships/hyperlink" Target="https://open.undp.org/projects/00098331" TargetMode="External" Id="rId3"/></Relationships>
</file>

<file path=xl/worksheets/_rels/sheet3.xml.rels><Relationships xmlns="http://schemas.openxmlformats.org/package/2006/relationships"><Relationship Type="http://schemas.openxmlformats.org/officeDocument/2006/relationships/hyperlink" Target="https://www.undp.org/es/colombia/news/en-la-guajira-mujeres-rurales-lideran-tiendas-comunitarias-para-su-empoderamiento-econ%C3%B3mico" TargetMode="External" Id="rId1"/><Relationship Type="http://schemas.openxmlformats.org/officeDocument/2006/relationships/hyperlink" Target="https://pnudcolombia.exposure.co/juntas-y-poderosas" TargetMode="External" Id="rId2"/><Relationship Type="http://schemas.openxmlformats.org/officeDocument/2006/relationships/hyperlink" Target="https://open.undp.org/projects/00098331" TargetMode="External" Id="rId3"/></Relationships>
</file>

<file path=xl/worksheets/sheet1.xml><?xml version="1.0" encoding="utf-8"?>
<worksheet xmlns="http://schemas.openxmlformats.org/spreadsheetml/2006/main">
  <sheetPr>
    <outlinePr summaryBelow="1" summaryRight="1"/>
    <pageSetUpPr/>
  </sheetPr>
  <dimension ref="A1:Y12"/>
  <sheetViews>
    <sheetView tabSelected="1" topLeftCell="C1" zoomScale="70" zoomScaleNormal="70" workbookViewId="0">
      <pane ySplit="1" topLeftCell="D3" activePane="bottomLeft" state="frozen"/>
      <selection pane="bottomLeft" activeCell="I4" sqref="I4"/>
    </sheetView>
  </sheetViews>
  <sheetFormatPr baseColWidth="8" defaultColWidth="8.85546875" defaultRowHeight="15" customHeight="1"/>
  <cols>
    <col width="15.7109375" customWidth="1" style="56" min="1" max="1"/>
    <col width="41.7109375" customWidth="1" style="36" min="2" max="3"/>
    <col width="30.7109375" customWidth="1" style="36" min="4" max="4"/>
    <col width="30.7109375" customWidth="1" style="56" min="5" max="5"/>
    <col width="30.7109375" customWidth="1" style="36" min="6" max="6"/>
    <col width="30.7109375" customWidth="1" style="41" min="7" max="7"/>
    <col width="30.7109375" bestFit="1" customWidth="1" style="36" min="8" max="8"/>
    <col width="6.85546875" bestFit="1" customWidth="1" style="41" min="9" max="9"/>
    <col width="129.42578125" customWidth="1" style="41" min="10" max="10"/>
    <col width="35.28515625" bestFit="1" customWidth="1" style="36" min="11" max="11"/>
    <col width="18" bestFit="1" customWidth="1" style="34" min="12" max="12"/>
    <col width="13" bestFit="1" customWidth="1" style="34" min="13" max="13"/>
    <col width="9.7109375" bestFit="1" customWidth="1" style="34" min="14" max="14"/>
    <col width="14" bestFit="1" customWidth="1" style="34" min="15" max="15"/>
    <col width="14.28515625" bestFit="1" customWidth="1" style="34" min="16" max="16"/>
    <col width="13.7109375" bestFit="1" customWidth="1" style="34" min="17" max="17"/>
    <col width="16.42578125" bestFit="1" customWidth="1" style="34" min="18" max="18"/>
    <col width="17.5703125" bestFit="1" customWidth="1" style="34" min="19" max="19"/>
    <col width="11.140625" bestFit="1" customWidth="1" style="34" min="20" max="20"/>
    <col width="21.140625" customWidth="1" style="34" min="21" max="21"/>
    <col width="16.5703125" bestFit="1" customWidth="1" style="34" min="22" max="22"/>
    <col width="8.85546875" customWidth="1" style="36" min="23" max="16384"/>
  </cols>
  <sheetData>
    <row r="1" ht="40.5" customHeight="1">
      <c r="A1" s="53" t="inlineStr">
        <is>
          <t>Project ID</t>
        </is>
      </c>
      <c r="B1" s="35" t="inlineStr">
        <is>
          <t>Title</t>
        </is>
      </c>
      <c r="C1" s="35" t="inlineStr">
        <is>
          <t>Link</t>
        </is>
      </c>
      <c r="D1" s="35" t="inlineStr">
        <is>
          <t>Budget</t>
        </is>
      </c>
      <c r="E1" s="35" t="inlineStr">
        <is>
          <t>Start Year</t>
        </is>
      </c>
      <c r="F1" s="35" t="inlineStr">
        <is>
          <t>End Year</t>
        </is>
      </c>
      <c r="G1" s="35" t="inlineStr">
        <is>
          <t>Status</t>
        </is>
      </c>
      <c r="H1" s="35" t="inlineStr">
        <is>
          <t>VF or Non-VF</t>
        </is>
      </c>
      <c r="I1" s="53" t="inlineStr">
        <is>
          <t>Budget (Notes)</t>
        </is>
      </c>
      <c r="J1" s="35" t="inlineStr">
        <is>
          <t>Beneficiary Category</t>
        </is>
      </c>
      <c r="K1" s="35" t="inlineStr">
        <is>
          <t>Indicator</t>
        </is>
      </c>
      <c r="L1" s="35" t="inlineStr">
        <is>
          <t>Baseline</t>
        </is>
      </c>
      <c r="M1" s="76" t="inlineStr">
        <is>
          <t>Target</t>
        </is>
      </c>
      <c r="N1" s="35" t="inlineStr">
        <is>
          <t>Notes</t>
        </is>
      </c>
      <c r="O1" s="35" t="inlineStr">
        <is>
          <t>Donors</t>
        </is>
      </c>
      <c r="P1" s="63" t="inlineStr">
        <is>
          <t>Gender (% female)</t>
        </is>
      </c>
      <c r="Q1" s="64" t="inlineStr">
        <is>
          <t>Tag</t>
        </is>
      </c>
      <c r="R1" s="63" t="inlineStr">
        <is>
          <t>SEH Taxonomy</t>
        </is>
      </c>
      <c r="S1" s="63" t="inlineStr">
        <is>
          <t>RISE Taxonomy</t>
        </is>
      </c>
      <c r="T1" s="63" t="inlineStr">
        <is>
          <t>Flagship</t>
        </is>
      </c>
      <c r="U1" s="63" t="inlineStr">
        <is>
          <t>Indirect Category</t>
        </is>
      </c>
      <c r="V1" s="65" t="inlineStr">
        <is>
          <t>Indirect Taxonomy</t>
        </is>
      </c>
      <c r="W1" s="63" t="inlineStr">
        <is>
          <t>Technology</t>
        </is>
      </c>
      <c r="X1" s="65" t="inlineStr">
        <is>
          <t>Policy or Regulatory Framework</t>
        </is>
      </c>
      <c r="Y1" s="63" t="inlineStr">
        <is>
          <t>Policy Population</t>
        </is>
      </c>
    </row>
    <row r="2" ht="201" customHeight="1">
      <c r="A2" s="54" t="inlineStr">
        <is>
          <t>132166</t>
        </is>
      </c>
      <c r="B2" s="10" t="inlineStr">
        <is>
          <t>Tiendas Comunitarias - La Guajira</t>
        </is>
      </c>
      <c r="C2" s="38" t="inlineStr">
        <is>
          <t>https://www.undp.org/es/colombia/news/en-la-guajira-mujeres-rurales-lideran-tiendas-comunitarias-para-su-empoderamiento-econ%C3%B3mico
https://www.youtube.com/watch?v=6vtlQRzqaUw
https://open.undp.org/projects/00132166</t>
        </is>
      </c>
      <c r="D2" s="89" t="n">
        <v>14780</v>
      </c>
      <c r="E2" s="137" t="n"/>
      <c r="F2" s="137" t="n"/>
      <c r="G2" s="137" t="n"/>
      <c r="H2" s="89" t="inlineStr">
        <is>
          <t>Non-VF</t>
        </is>
      </c>
      <c r="I2" s="86" t="inlineStr">
        <is>
          <t xml:space="preserve">"Project Budget 00132166: 
USD 340.151
Output Budget 00124835: 
USD 176.162 
Initiative Budget: 
USD 14,780 (8% of the total approved budget) "
</t>
        </is>
      </c>
      <c r="J2" s="10" t="inlineStr">
        <is>
          <t>Energy Efficiency Services</t>
        </is>
      </c>
      <c r="K2" s="11" t="inlineStr">
        <is>
          <t>Number of people benefited with photovoltaic systems in the rural stores</t>
        </is>
      </c>
      <c r="L2" s="10" t="n">
        <v>0</v>
      </c>
      <c r="M2" s="11" t="n">
        <v>69</v>
      </c>
      <c r="N2" s="11" t="inlineStr">
        <is>
          <t xml:space="preserve">Promote the empowerment of rural women through the implementation of a community store strategy that facilitates access to products from the basic food basket and improves the management capacities of the selected organizations. Said strategy includes modules such as: food security, strengthening of enterprises, digital connectivity and photovoltaic system.
In the case of Guajira, each photovoltaic system had a 1200VA OFF GRID SOLAR SYSTEM + SOLAR REFRIGERATOR-24 VDC - 200 Ah + 150 l freezer.
Project Budget 00132166: 
USD 340.151
Output Budget 00124835: 
USD 176.162 
Initiative Budget: 
USD 14,780 (8% of the total approved budget) </t>
        </is>
      </c>
      <c r="O2" s="35" t="n"/>
      <c r="P2" s="62" t="n">
        <v>0.72</v>
      </c>
      <c r="Q2" s="4" t="inlineStr">
        <is>
          <t>Efficiency</t>
        </is>
      </c>
      <c r="R2" s="9" t="inlineStr">
        <is>
          <t>Accelerating just energy transition</t>
        </is>
      </c>
      <c r="S2" s="4" t="inlineStr">
        <is>
          <t>Electricity Access</t>
        </is>
      </c>
      <c r="T2" s="4" t="inlineStr">
        <is>
          <t>Action Opportunities</t>
        </is>
      </c>
      <c r="U2" s="61" t="inlineStr">
        <is>
          <t>Incentives and Support</t>
        </is>
      </c>
      <c r="V2" s="4" t="inlineStr">
        <is>
          <t>Electricity Access</t>
        </is>
      </c>
      <c r="W2" s="4" t="inlineStr">
        <is>
          <t>Solar</t>
        </is>
      </c>
      <c r="X2" s="66" t="inlineStr">
        <is>
          <t>Community</t>
        </is>
      </c>
      <c r="Y2" s="4" t="inlineStr">
        <is>
          <t>Not applicable</t>
        </is>
      </c>
    </row>
    <row r="3" ht="208.5" customHeight="1">
      <c r="A3" s="54" t="inlineStr">
        <is>
          <t>123292</t>
        </is>
      </c>
      <c r="B3" s="10" t="inlineStr">
        <is>
          <t>Tiendas Comunitarias - Chocó</t>
        </is>
      </c>
      <c r="C3" s="38" t="inlineStr">
        <is>
          <t>https://pnudcolombia.exposure.co/juntas-y-poderosas
https://www.youtube.com/watch?v=h6buc3MubaY
https://open.undp.org/projects/00123292</t>
        </is>
      </c>
      <c r="D3" s="89" t="n">
        <v>9217</v>
      </c>
      <c r="E3" s="137" t="n"/>
      <c r="F3" s="137" t="n"/>
      <c r="G3" s="137" t="n"/>
      <c r="H3" s="89" t="inlineStr">
        <is>
          <t>Non-VF</t>
        </is>
      </c>
      <c r="I3" s="85" t="inlineStr">
        <is>
          <t xml:space="preserve">Project Budget 00123292: 
USD 11.631.345
Output Budget 00118585: 
Total USD 2.213.905,35
TRAC 55.946,27
MPTF 2.056.069,02 
Initiative Budget: 
USD 9.217  (0.4% of the total approved budget) </t>
        </is>
      </c>
      <c r="J3" s="10" t="inlineStr">
        <is>
          <t>Energy Infrastructure Services</t>
        </is>
      </c>
      <c r="K3" s="11" t="inlineStr">
        <is>
          <t>Number of people benefited with photovoltaic systems in the rural stores</t>
        </is>
      </c>
      <c r="L3" s="10" t="n">
        <v>0</v>
      </c>
      <c r="M3" s="39" t="n">
        <v>56</v>
      </c>
      <c r="N3" s="39" t="inlineStr">
        <is>
          <t xml:space="preserve">Promote the empowerment of rural women through the implementation of a community store strategy that facilitates access to products from the basic food basket and improves the management capacities of the selected organizations. Said strategy includes modules such as: food security, strengthening of enterprises, digital connectivity and photovoltaic system.
Project Budget 00123292: 
USD 11,631,345
Output Budget 00118585: 
Total USD 2,213,905.35
TRAC 55,946.27
MPTF 2,056,069.02 
Initiative Budget: 
USD 9,217  (0.4% of the total approved budget) </t>
        </is>
      </c>
      <c r="O3" s="91" t="inlineStr">
        <is>
          <t>Donor 00012: UNDP's Rapid Response Facility (RRF2) program https://www.undp.org/press-releases/covid-19-30-million-rapid-response-facility-launched-vulnerable-countries
Donor 00012: CO UNDP Funding
https://www.undp.org/es/colombia</t>
        </is>
      </c>
      <c r="P3" s="62" t="n">
        <v>0.2</v>
      </c>
      <c r="Q3" s="3" t="inlineStr">
        <is>
          <t>Efficiency</t>
        </is>
      </c>
      <c r="R3" s="9" t="inlineStr">
        <is>
          <t>Accelerating just energy transition</t>
        </is>
      </c>
      <c r="S3" s="4" t="inlineStr">
        <is>
          <t>Electricity Access</t>
        </is>
      </c>
      <c r="T3" s="4" t="inlineStr">
        <is>
          <t>Action Opportunities</t>
        </is>
      </c>
      <c r="U3" s="61" t="inlineStr">
        <is>
          <t>Incentives and Support</t>
        </is>
      </c>
      <c r="V3" s="67" t="inlineStr">
        <is>
          <t>Electricity Access</t>
        </is>
      </c>
      <c r="W3" s="109" t="inlineStr">
        <is>
          <t>Solar</t>
        </is>
      </c>
      <c r="X3" s="68" t="inlineStr">
        <is>
          <t>Community</t>
        </is>
      </c>
      <c r="Y3" s="4" t="inlineStr">
        <is>
          <t>Not applicable</t>
        </is>
      </c>
    </row>
    <row r="4" ht="381.75" customHeight="1">
      <c r="A4" s="54" t="inlineStr">
        <is>
          <t>98331</t>
        </is>
      </c>
      <c r="B4" s="11" t="inlineStr">
        <is>
          <t xml:space="preserve">
Implement collective reparation measures in 7 ethnic communities and one non-ethnic community in photovoltaic power lines and definition of sustainability strategy</t>
        </is>
      </c>
      <c r="C4" s="90" t="inlineStr">
        <is>
          <t>https://open.undp.org/projects/00098331</t>
        </is>
      </c>
      <c r="D4" s="89" t="n">
        <v>3627</v>
      </c>
      <c r="E4" s="137" t="n"/>
      <c r="F4" s="137" t="n"/>
      <c r="G4" s="137" t="n"/>
      <c r="H4" s="89" t="inlineStr">
        <is>
          <t>Non-VF</t>
        </is>
      </c>
      <c r="I4" s="87" t="inlineStr">
        <is>
          <t xml:space="preserve">Project Budget:
USD 16.67M
Output Budget: 
USD 2.567.174
Initiative Budget: 
USD 3.627  (0.1% of the total approved budget) </t>
        </is>
      </c>
      <c r="J4" s="10" t="inlineStr">
        <is>
          <t>Electricity Access</t>
        </is>
      </c>
      <c r="K4" s="11" t="inlineStr">
        <is>
          <t xml:space="preserve">Number of victims of the army conflict with solutions for collective use for social appropriation </t>
        </is>
      </c>
      <c r="L4" s="10" t="n">
        <v>0</v>
      </c>
      <c r="M4" s="10" t="n">
        <v>16571</v>
      </c>
      <c r="N4" s="40" t="inlineStr">
        <is>
          <t xml:space="preserve">CSA UNDP and Unit Victim´s. Donor Victim Unit. Counterpart: Government of Norway                                                                                                                                                                                                                                                                                                          Main Activities of Solar Panel Installation:
1. They were implemented 100% according to World Bank Designs. 
2. The acquisition and import was carried out according to technical specifications. 
3. There was an Audit throughout the project for technical monitoring in the field (stakeout, transport, installation, adaptation and operation). 
4. 8 participatory diagnostics were carried out for the implementation of CR actions in the line of photovoltaic solar energy systems 
5. A technical, financial and community sustainability strategy was designed and implemented 
6. A strategy for the use and enjoyment of goods for collective use for social appropriation was designed and implemented. 
7. A communications strategy, documentary and photographic registration of the entire solar panel process was designed and implemented. 
8. A transfer of the Technical, Financial and Social Sustainability Strategy was carried out to territorial entities and institutions in the Territory. 
9. All solar panel installations had construction of battery rooms and civil works on land and / or sky for proper implementation. 
Beneficiary Communities: Delivery Date of Solar Panels 
1.Community of El Arenillo: November 11, 2021 
2.Honduras Reservation: March 1, 2022 
3.La Gaitana Reservation: March 2, 2022 
4.La Puria Reservation: March 21, 2022 
5.Resguardo Consuelo Lower Part: March 23, 2022 
6.Tanela Reservations: April 30, 2022 
Project Budget:
USD 16.67M
Output Budget: 
USD 2,567,174
Initiative Budget: 
USD 3,627  (0.1% of the total approved budget) </t>
        </is>
      </c>
      <c r="O4" s="83" t="inlineStr">
        <is>
          <t>Donor 12641: The United Nations Multi-Partner Trust Fund for Sustaining Peace in Colombia / (Previously Known As Mptf-Colombia Post-Conflict Unmptf)
https://mptf.undp.org/
Donor 00012: CO UNDP Funding
https://www.undp.org/es/colombia</t>
        </is>
      </c>
      <c r="P4" s="62" t="n">
        <v>0.2</v>
      </c>
      <c r="Q4" s="3" t="inlineStr">
        <is>
          <t>Efficiency</t>
        </is>
      </c>
      <c r="R4" s="9" t="inlineStr">
        <is>
          <t>Close the gap on energy access</t>
        </is>
      </c>
      <c r="S4" s="4" t="inlineStr">
        <is>
          <t>Energy Efficiency</t>
        </is>
      </c>
      <c r="T4" s="4" t="inlineStr">
        <is>
          <t>Action Opportunities</t>
        </is>
      </c>
      <c r="U4" s="61" t="inlineStr">
        <is>
          <t>National Strategy</t>
        </is>
      </c>
      <c r="V4" s="4" t="inlineStr">
        <is>
          <t>Renewable Energy</t>
        </is>
      </c>
      <c r="W4" s="29" t="inlineStr">
        <is>
          <t>Solar</t>
        </is>
      </c>
      <c r="X4" s="4" t="inlineStr">
        <is>
          <t>Community</t>
        </is>
      </c>
      <c r="Y4" s="4" t="inlineStr">
        <is>
          <t>Not applicable</t>
        </is>
      </c>
    </row>
    <row r="5" ht="106.5" customHeight="1">
      <c r="A5" s="55" t="n"/>
      <c r="B5" s="14" t="n"/>
      <c r="C5" s="42" t="n"/>
      <c r="D5" s="42" t="n"/>
      <c r="E5" s="42" t="n"/>
      <c r="F5" s="42" t="n"/>
      <c r="G5" s="42" t="n"/>
      <c r="H5" s="42" t="n"/>
      <c r="I5" s="55" t="n"/>
      <c r="J5" s="14" t="n"/>
      <c r="K5" s="16" t="n"/>
      <c r="L5" s="14" t="n"/>
      <c r="M5" s="14" t="n"/>
      <c r="O5" s="84" t="inlineStr">
        <is>
          <t>Donor 12844 Victims Unit (Government of Colombia) 
https://www.unidadvictimas.gov.co/es/
Donor 10503: Norwegian Government
https://www.regjeringen.no/en/id4/</t>
        </is>
      </c>
    </row>
    <row r="6">
      <c r="A6" s="55" t="n"/>
      <c r="B6" s="14" t="n"/>
      <c r="C6" s="42" t="n"/>
      <c r="D6" s="42" t="n"/>
      <c r="E6" s="42" t="n"/>
      <c r="F6" s="42" t="n"/>
      <c r="G6" s="42" t="n"/>
      <c r="H6" s="42" t="n"/>
      <c r="I6" s="55" t="n"/>
      <c r="J6" s="14" t="inlineStr">
        <is>
          <t>Energy (MW added)</t>
        </is>
      </c>
      <c r="K6" s="16" t="inlineStr">
        <is>
          <t>Installed capacity in MW for access/productive-use outputs</t>
        </is>
      </c>
      <c r="L6" s="14" t="n">
        <v>0</v>
      </c>
      <c r="M6" s="138" t="n"/>
      <c r="N6" s="139" t="inlineStr">
        <is>
          <t>[AUTO-ADDED] Project reports access/productive-use beneficiary numbers but no MW value. Please add installed capacity (MW) or confirm not applicable.</t>
        </is>
      </c>
      <c r="O6" s="140" t="n"/>
      <c r="P6" s="141" t="n"/>
      <c r="Q6" s="141" t="n"/>
      <c r="R6" s="141" t="n"/>
      <c r="S6" s="141" t="n"/>
      <c r="T6" s="141" t="n"/>
      <c r="U6" s="141" t="n"/>
      <c r="V6" s="141" t="n"/>
      <c r="W6" s="141" t="n"/>
      <c r="X6" s="141" t="n"/>
      <c r="Y6" s="141" t="n"/>
    </row>
    <row r="7">
      <c r="A7" s="55" t="n"/>
      <c r="C7" s="42" t="n"/>
      <c r="D7" s="42" t="n"/>
      <c r="E7" s="42" t="n"/>
      <c r="F7" s="42" t="n"/>
      <c r="G7" s="42" t="n"/>
      <c r="H7" s="42" t="n"/>
      <c r="I7" s="55" t="n"/>
      <c r="J7" s="14" t="n"/>
      <c r="K7" s="16" t="n"/>
      <c r="L7" s="14" t="n"/>
      <c r="M7" s="14" t="n"/>
    </row>
    <row r="8">
      <c r="A8" s="55" t="n"/>
      <c r="B8" s="14" t="n"/>
      <c r="C8" s="42" t="n"/>
      <c r="D8" s="42" t="n"/>
      <c r="E8" s="42" t="n"/>
      <c r="F8" s="42" t="n"/>
      <c r="G8" s="42" t="n"/>
      <c r="H8" s="42" t="n"/>
      <c r="I8" s="55" t="n"/>
      <c r="J8" s="14" t="n"/>
      <c r="K8" s="16" t="n"/>
      <c r="L8" s="14" t="n"/>
      <c r="M8" s="14" t="n"/>
    </row>
    <row r="9"/>
    <row r="10"/>
    <row r="11"/>
    <row r="12">
      <c r="B12" s="43" t="n"/>
      <c r="M12" s="44" t="n"/>
    </row>
  </sheetData>
  <dataValidations count="12">
    <dataValidation sqref="R2:R4"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Q2:Q4" showDropDown="0" showInputMessage="1" showErrorMessage="1" allowBlank="1" type="list">
      <formula1>"AMP, PUDC, Solar4Health, Action Opportunities, Italy UNDP Energy Partnership"</formula1>
    </dataValidation>
    <dataValidation sqref="O2:O4" showDropDown="0" showInputMessage="1" showErrorMessage="1" allowBlank="1" type="list">
      <formula1>"Accelerating just energy transition, Close the gap on energy access, Scale up energy finance"</formula1>
    </dataValidation>
    <dataValidation sqref="P2:P4" showDropDown="0" showInputMessage="1" showErrorMessage="1" allowBlank="1" type="list">
      <formula1>"Electricity Access, Energy Efficiency, Clean Cooking, Renewable Energy, Overall"</formula1>
    </dataValidation>
    <dataValidation sqref="U2:U4" showDropDown="0" showInputMessage="1" showErrorMessage="1" allowBlank="1" type="list">
      <formula1>"National, Regional, City, Community"</formula1>
    </dataValidation>
    <dataValidation sqref="N2:N4" showDropDown="0" showInputMessage="1" showErrorMessage="1" allowBlank="1" type="list">
      <formula1>"Finance, Gender, Efficiency, Just, Health"</formula1>
    </dataValidation>
    <dataValidation sqref="M2:M4" showDropDown="0" showInputMessage="1" showErrorMessage="1" allowBlank="1" type="list">
      <formula1>"Non-VF, VF"</formula1>
    </dataValidation>
    <dataValidation sqref="T2:T4" showDropDown="0" showInputMessage="1" showErrorMessage="1" allowBlank="1" type="list">
      <formula1>"Solar, Wind, Bioenergy, Hydro, Geothermal, Waste, Some Sources, Other, Unknown"</formula1>
    </dataValidation>
    <dataValidation sqref="S2:S4"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display="https://www.undp.org/es/colombia/news/en-la-guajira-mujeres-rurales-lideran-tiendas-comunitarias-para-su-empoderamiento-econ%C3%B3mico_x000a__x000a_https://www.youtube.com/watch?v=6vtlQRzqaUw" r:id="rId1"/>
    <hyperlink xmlns:r="http://schemas.openxmlformats.org/officeDocument/2006/relationships" ref="C3" display="https://pnudcolombia.exposure.co/juntas-y-poderosas_x000a__x000a_https://www.youtube.com/watch?v=h6buc3MubaY" r:id="rId2"/>
    <hyperlink xmlns:r="http://schemas.openxmlformats.org/officeDocument/2006/relationships" ref="C4" r:id="rId3"/>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T16"/>
  <sheetViews>
    <sheetView topLeftCell="H1" zoomScale="78" zoomScaleNormal="70" workbookViewId="0">
      <pane ySplit="1" topLeftCell="A6" activePane="bottomLeft" state="frozen"/>
      <selection pane="bottomLeft" activeCell="D6" sqref="D6"/>
    </sheetView>
  </sheetViews>
  <sheetFormatPr baseColWidth="8" defaultColWidth="8.85546875" defaultRowHeight="15"/>
  <cols>
    <col width="15.7109375" customWidth="1" style="56" min="1" max="1"/>
    <col width="41.7109375" customWidth="1" style="21" min="2" max="3"/>
    <col width="31.140625" customWidth="1" style="27" min="4" max="4"/>
    <col width="28.5703125" customWidth="1" style="21" min="5" max="5"/>
    <col width="35" customWidth="1" style="17" min="6" max="6"/>
    <col width="8.5703125" bestFit="1" customWidth="1" style="28" min="7" max="7"/>
    <col width="11.140625" bestFit="1" customWidth="1" style="75" min="8" max="8"/>
    <col width="65.140625" customWidth="1" style="17" min="9" max="9"/>
    <col width="35.28515625" bestFit="1" customWidth="1" style="21" min="10" max="10"/>
    <col width="16.140625" customWidth="1" style="21" min="11" max="11"/>
    <col width="8.85546875" customWidth="1" style="21" min="12" max="13"/>
    <col width="12.140625" customWidth="1" style="21" min="14" max="14"/>
    <col width="8.85546875" customWidth="1" style="21" min="15" max="15"/>
    <col width="12.85546875" customWidth="1" style="21" min="16" max="16"/>
    <col width="11.85546875" customWidth="1" style="21" min="17" max="17"/>
    <col width="15.85546875" customWidth="1" style="21" min="18" max="18"/>
    <col width="15.7109375" customWidth="1" style="21" min="19" max="19"/>
    <col width="13.28515625" customWidth="1" style="21" min="20" max="20"/>
    <col width="8.85546875" customWidth="1" style="21" min="21" max="16384"/>
  </cols>
  <sheetData>
    <row r="1" ht="45" customHeight="1">
      <c r="A1" s="57" t="inlineStr">
        <is>
          <t>Project ID</t>
        </is>
      </c>
      <c r="B1" s="23" t="inlineStr">
        <is>
          <t>Title</t>
        </is>
      </c>
      <c r="C1" s="23" t="inlineStr">
        <is>
          <t>Link</t>
        </is>
      </c>
      <c r="D1" s="23" t="inlineStr">
        <is>
          <t>Budget (USD)</t>
        </is>
      </c>
      <c r="E1" s="23" t="inlineStr">
        <is>
          <t>Beneficiary Category</t>
        </is>
      </c>
      <c r="F1" s="24" t="inlineStr">
        <is>
          <t>Indicator</t>
        </is>
      </c>
      <c r="G1" s="22" t="inlineStr">
        <is>
          <t>Baseline</t>
        </is>
      </c>
      <c r="H1" s="69" t="inlineStr">
        <is>
          <t>Target</t>
        </is>
      </c>
      <c r="I1" s="23" t="inlineStr">
        <is>
          <t>Notes</t>
        </is>
      </c>
      <c r="J1" s="23" t="inlineStr">
        <is>
          <t>Donors</t>
        </is>
      </c>
      <c r="K1" s="23" t="inlineStr">
        <is>
          <t xml:space="preserve">Comments </t>
        </is>
      </c>
      <c r="L1" s="77" t="inlineStr">
        <is>
          <t>Gender (% female)</t>
        </is>
      </c>
      <c r="M1" s="77" t="inlineStr">
        <is>
          <t>Category</t>
        </is>
      </c>
      <c r="N1" s="77" t="inlineStr">
        <is>
          <t>Comments</t>
        </is>
      </c>
      <c r="O1" s="77" t="inlineStr">
        <is>
          <t>Tag</t>
        </is>
      </c>
      <c r="P1" s="77" t="inlineStr">
        <is>
          <t>SEH Taxonomy</t>
        </is>
      </c>
      <c r="Q1" s="77" t="inlineStr">
        <is>
          <t>RISE Taxonomy</t>
        </is>
      </c>
      <c r="R1" s="77" t="inlineStr">
        <is>
          <t>Flagship</t>
        </is>
      </c>
      <c r="S1" s="77" t="inlineStr">
        <is>
          <t>Indirect Category</t>
        </is>
      </c>
      <c r="T1" s="77" t="inlineStr">
        <is>
          <t>Indirect Taxonomy</t>
        </is>
      </c>
    </row>
    <row r="2" ht="141.75" customHeight="1">
      <c r="A2" s="142" t="inlineStr">
        <is>
          <t>00124835</t>
        </is>
      </c>
      <c r="B2" s="143" t="inlineStr">
        <is>
          <t>Tiendas Comunitarias - La Guajira</t>
        </is>
      </c>
      <c r="C2" s="144" t="inlineStr">
        <is>
          <t>https://www.undp.org/es/colombia/news/en-la-guajira-mujeres-rurales-lideran-tiendas-comunitarias-para-su-empoderamiento-econ%C3%B3mico
https://www.youtube.com/watch?v=6vtlQRzqaUw
https://open.undp.org/projects/00132166</t>
        </is>
      </c>
      <c r="D2" s="145" t="inlineStr">
        <is>
          <t xml:space="preserve">Project Budget 00132166: 
USD 340.151
Output Budget 00124835: 
USD 176.162 
Initiative Budget: 
USD 14,780 (8% of the total approved budget) </t>
        </is>
      </c>
      <c r="E2" s="7" t="inlineStr">
        <is>
          <t>Other Energy Services</t>
        </is>
      </c>
      <c r="F2" s="29" t="inlineStr">
        <is>
          <t>Number of stores in operation with photovoltaic system</t>
        </is>
      </c>
      <c r="G2" s="4" t="n">
        <v>0</v>
      </c>
      <c r="H2" s="70" t="n">
        <v>2</v>
      </c>
      <c r="I2" s="29" t="inlineStr">
        <is>
          <t>Promote the empowerment of rural women through the implementation of a community store strategy that facilitates access to products from the basic food basket and improves the management capacities of the selected organizations. Said strategy includes modules such as: food security, strengthening of enterprises, digital connectivity and photovoltaic system.
In the case of Guajira, each photovoltaic system had a 1200VA OFF GRID SOLAR SYSTEM + SOLAR REFRIGERATOR-24 VDC - 200 Ah + 150 l freezer.</t>
        </is>
      </c>
      <c r="J2" s="146" t="inlineStr">
        <is>
          <t>Donor 00012: UNDP's Rapid Response Facility (RRF2) program https://www.undp.org/press-releases/covid-19-30-million-rapid-response-facility-launched-vulnerable-countries
Donor 00012: CO UNDP Funding
https://www.undp.org/es/colombia</t>
        </is>
      </c>
      <c r="K2" s="147" t="n"/>
      <c r="L2" s="105" t="n">
        <v>0.72</v>
      </c>
      <c r="M2" s="92" t="n"/>
      <c r="N2" s="92" t="n"/>
      <c r="O2" s="92" t="inlineStr">
        <is>
          <t>Efficiency</t>
        </is>
      </c>
      <c r="P2" s="92" t="inlineStr">
        <is>
          <t>Accelerating just energy transition</t>
        </is>
      </c>
      <c r="Q2" s="92" t="inlineStr">
        <is>
          <t>Electricity Access</t>
        </is>
      </c>
      <c r="R2" s="92" t="inlineStr">
        <is>
          <t>Action Opportunities</t>
        </is>
      </c>
      <c r="S2" s="92" t="inlineStr">
        <is>
          <t>Incentives and Support</t>
        </is>
      </c>
      <c r="T2" s="92" t="inlineStr">
        <is>
          <t>Electricity Access</t>
        </is>
      </c>
    </row>
    <row r="3" ht="30" customHeight="1">
      <c r="A3" s="148" t="n"/>
      <c r="B3" s="148" t="n"/>
      <c r="C3" s="148" t="n"/>
      <c r="D3" s="148" t="n"/>
      <c r="E3" s="7" t="inlineStr">
        <is>
          <t>Other Energy Services</t>
        </is>
      </c>
      <c r="F3" s="29" t="inlineStr">
        <is>
          <t>Number of people benefited from the stores</t>
        </is>
      </c>
      <c r="G3" s="3" t="n">
        <v>0</v>
      </c>
      <c r="H3" s="70">
        <f>37+32</f>
        <v/>
      </c>
      <c r="I3" s="148" t="n"/>
      <c r="J3" s="148" t="n"/>
      <c r="K3" s="149" t="n"/>
      <c r="L3" s="150" t="n"/>
      <c r="M3" s="150" t="n"/>
      <c r="N3" s="150" t="n"/>
      <c r="O3" s="150" t="n"/>
      <c r="P3" s="150" t="n"/>
      <c r="Q3" s="150" t="n"/>
      <c r="R3" s="150" t="n"/>
      <c r="S3" s="150" t="n"/>
      <c r="T3" s="150" t="n"/>
    </row>
    <row r="4" ht="165" customHeight="1">
      <c r="A4" s="142" t="inlineStr">
        <is>
          <t xml:space="preserve">00118585 </t>
        </is>
      </c>
      <c r="B4" s="143" t="inlineStr">
        <is>
          <t>Tiendas Comunitarias - Chocó</t>
        </is>
      </c>
      <c r="C4" s="144" t="inlineStr">
        <is>
          <t>https://pnudcolombia.exposure.co/juntas-y-poderosas
https://www.youtube.com/watch?v=h6buc3MubaY
https://open.undp.org/projects/00123292</t>
        </is>
      </c>
      <c r="D4" s="151" t="inlineStr">
        <is>
          <t xml:space="preserve">Project Budget 00123292: 
USD 11.631.345
Output Budget 00118585: 
Total USD 2.213.905,35
TRAC 55.946,27
MPTF 2.056.069,02 
Initiative Budget: 
USD 9.217  (0.4% of the total approved budget) </t>
        </is>
      </c>
      <c r="E4" s="7" t="inlineStr">
        <is>
          <t>Other Energy Services</t>
        </is>
      </c>
      <c r="F4" s="29" t="inlineStr">
        <is>
          <t>Number of stores in operation with photovoltaic system</t>
        </is>
      </c>
      <c r="G4" s="4" t="n">
        <v>0</v>
      </c>
      <c r="H4" s="71" t="n">
        <v>1</v>
      </c>
      <c r="I4" s="152" t="inlineStr">
        <is>
          <t>Promote the empowerment of rural women through the implementation of a community store strategy that facilitates access to products from the basic food basket and improves the management capacities of the selected organizations. Said strategy includes modules such as: food security, strengthening of enterprises, digital connectivity and photovoltaic system.</t>
        </is>
      </c>
      <c r="J4" s="146" t="inlineStr">
        <is>
          <t>Donor 12641: The United Nations Multi-Partner Trust Fund for Sustaining Peace in Colombia / (Previously Known As Mptf-Colombia Post-Conflict Unmptf)
https://mptf.undp.org/
Donor 00012: CO UNDP Funding
https://www.undp.org/es/colombia</t>
        </is>
      </c>
      <c r="K4" s="147" t="n"/>
      <c r="L4" s="105" t="n">
        <v>0.2</v>
      </c>
      <c r="M4" s="92" t="n"/>
      <c r="N4" s="92" t="n"/>
      <c r="O4" s="92" t="inlineStr">
        <is>
          <t>Efficiency</t>
        </is>
      </c>
      <c r="P4" s="92" t="inlineStr">
        <is>
          <t>Accelerating just energy transition</t>
        </is>
      </c>
      <c r="Q4" s="92" t="inlineStr">
        <is>
          <t>Electricity Access</t>
        </is>
      </c>
      <c r="R4" s="92" t="inlineStr">
        <is>
          <t>Action Opportunities</t>
        </is>
      </c>
      <c r="S4" s="92" t="inlineStr">
        <is>
          <t>Incentives and Support</t>
        </is>
      </c>
      <c r="T4" s="92" t="inlineStr">
        <is>
          <t>Electricity Access</t>
        </is>
      </c>
    </row>
    <row r="5" ht="30" customHeight="1">
      <c r="A5" s="148" t="n"/>
      <c r="B5" s="148" t="n"/>
      <c r="C5" s="148" t="n"/>
      <c r="D5" s="148" t="n"/>
      <c r="E5" s="7" t="inlineStr">
        <is>
          <t>Other Energy Services</t>
        </is>
      </c>
      <c r="F5" s="29" t="inlineStr">
        <is>
          <t>Number of people benefited from the stores</t>
        </is>
      </c>
      <c r="G5" s="3" t="n">
        <v>0</v>
      </c>
      <c r="H5" s="71" t="n">
        <v>56</v>
      </c>
      <c r="I5" s="148" t="n"/>
      <c r="J5" s="148" t="n"/>
      <c r="K5" s="149" t="n"/>
      <c r="L5" s="150" t="n"/>
      <c r="M5" s="150" t="n"/>
      <c r="N5" s="150" t="n"/>
      <c r="O5" s="150" t="n"/>
      <c r="P5" s="150" t="n"/>
      <c r="Q5" s="150" t="n"/>
      <c r="R5" s="150" t="n"/>
      <c r="S5" s="150" t="n"/>
      <c r="T5" s="150" t="n"/>
    </row>
    <row r="6" ht="409.5" customHeight="1">
      <c r="A6" s="54" t="inlineStr">
        <is>
          <t>00101702</t>
        </is>
      </c>
      <c r="B6" s="29" t="inlineStr">
        <is>
          <t xml:space="preserve">
Implement collective reparation measures in 7 ethnic communities and one non-ethnic community in photovoltaic power lines and definition of sustainability strategy</t>
        </is>
      </c>
      <c r="C6" s="31" t="inlineStr">
        <is>
          <t>https://open.undp.org/projects/00098331</t>
        </is>
      </c>
      <c r="D6" s="88" t="inlineStr">
        <is>
          <t xml:space="preserve">Project Budget:
USD 16.67M
Output Budget: 
USD 2.567.174
Initiative Budget: 
USD 3.627  (0.1% of the total approved budget) </t>
        </is>
      </c>
      <c r="E6" s="7" t="inlineStr">
        <is>
          <t>Energy (MW added)</t>
        </is>
      </c>
      <c r="F6" s="29" t="inlineStr">
        <is>
          <t xml:space="preserve">Number of victims of the army conflict with solutions for collective use for social appropriation </t>
        </is>
      </c>
      <c r="G6" s="3" t="n">
        <v>0</v>
      </c>
      <c r="H6" s="72" t="n">
        <v>16571</v>
      </c>
      <c r="I6" s="25" t="inlineStr">
        <is>
          <t>CSA UNDP and Unit Victim´s. Donor Victim Unit. Counterpart: Government of Norway                                                                                                                                                                                                                                                                                                          Main Activities of Solar Panel Installation:
1. They were implemented 100% according to World Bank Designs. 
2. The acquisition and import was carried out according to technical specifications. 
3. There was an Audit throughout the project for technical monitoring in the field (stakeout, transport, installation, adaptation and operation). 
4. 8 participatory diagnostics were carried out for the implementation of CR actions in the line of photovoltaic solar energy systems 
5. A technical, financial and community sustainability strategy was designed and implemented 
6. A strategy for the use and enjoyment of goods for collective use for social appropriation was designed and implemented. 
7. A communications strategy, documentary and photographic registration of the entire solar panel process was designed and implemented. 
8. A transfer of the Technical, Financial and Social Sustainability Strategy was carried out to territorial entities and institutions in the Territory. 
9. All solar panel installations had construction of battery rooms and civil works on land and / or sky for proper implementation. 
Beneficiary Communities: Delivery Date of Solar Panels 
1.Community of El Arenillo: November 11, 2021 
2.Honduras Reservation: March 1, 2022 
3.La Gaitana Reservation: March 2, 2022 
4.La Puria Reservation: March 21, 2022 
5.Resguardo Consuelo Lower Part: March 23, 2022 
6.Tanela Reservations: April 30, 2022 
Budget: initially 3.627 USD</t>
        </is>
      </c>
      <c r="J6" s="80" t="inlineStr">
        <is>
          <t>Donor 12844 Victims Unit (Government of Colombia) 
https://www.unidadvictimas.gov.co/es/
Donor 10503: Norwegian Government
https://www.regjeringen.no/en/id4/</t>
        </is>
      </c>
      <c r="K6" s="37" t="n"/>
      <c r="L6" s="78" t="n">
        <v>0.2</v>
      </c>
      <c r="M6" s="12" t="n"/>
      <c r="N6" s="12" t="n"/>
      <c r="O6" s="12" t="inlineStr">
        <is>
          <t>Efficiency</t>
        </is>
      </c>
      <c r="P6" s="12" t="inlineStr">
        <is>
          <t>Accelerating just energy transition</t>
        </is>
      </c>
      <c r="Q6" s="12" t="inlineStr">
        <is>
          <t>Electricity Access</t>
        </is>
      </c>
      <c r="R6" s="12" t="inlineStr">
        <is>
          <t>Action Opportunities</t>
        </is>
      </c>
      <c r="S6" s="12" t="inlineStr">
        <is>
          <t>National Strategy</t>
        </is>
      </c>
      <c r="T6" s="12" t="inlineStr">
        <is>
          <t>Electricity Access</t>
        </is>
      </c>
    </row>
    <row r="7">
      <c r="A7" s="55" t="n"/>
      <c r="B7" s="18" t="n"/>
      <c r="C7" s="32" t="n"/>
      <c r="D7" s="13" t="n"/>
      <c r="E7" s="18" t="n"/>
      <c r="F7" s="19" t="n"/>
      <c r="G7" s="33" t="n"/>
      <c r="H7" s="73" t="n"/>
    </row>
    <row r="8">
      <c r="A8" s="55" t="n"/>
      <c r="B8" s="18" t="n"/>
      <c r="C8" s="32" t="n"/>
      <c r="D8" s="13" t="n"/>
      <c r="E8" s="18" t="n"/>
      <c r="F8" s="19" t="n"/>
      <c r="G8" s="33" t="n"/>
      <c r="H8" s="73" t="n"/>
    </row>
    <row r="9">
      <c r="A9" s="55" t="n"/>
      <c r="C9" s="32" t="n"/>
      <c r="D9" s="79" t="n"/>
      <c r="E9" s="18" t="n"/>
      <c r="F9" s="19" t="n"/>
      <c r="G9" s="33" t="n"/>
      <c r="H9" s="73" t="n"/>
    </row>
    <row r="10">
      <c r="A10" s="55" t="n"/>
      <c r="B10" s="18" t="n"/>
      <c r="C10" s="32" t="n"/>
      <c r="D10" s="13" t="n"/>
      <c r="E10" s="18" t="n"/>
      <c r="F10" s="19" t="n"/>
      <c r="G10" s="33" t="n"/>
      <c r="H10" s="73" t="n"/>
    </row>
    <row r="11">
      <c r="D11" s="27" t="n">
        <v>723600</v>
      </c>
      <c r="E11" s="81">
        <f>3627/D16</f>
        <v/>
      </c>
    </row>
    <row r="12">
      <c r="D12" s="27" t="n">
        <v>122417</v>
      </c>
    </row>
    <row r="13">
      <c r="D13" s="27" t="n">
        <v>1150000</v>
      </c>
    </row>
    <row r="14">
      <c r="B14" s="26" t="n"/>
      <c r="D14" s="27" t="n">
        <v>571157</v>
      </c>
      <c r="H14" s="74" t="n"/>
    </row>
    <row r="16">
      <c r="D16" s="27">
        <f>+SUM(D11:D14)</f>
        <v/>
      </c>
    </row>
  </sheetData>
  <mergeCells count="32">
    <mergeCell ref="R4:R5"/>
    <mergeCell ref="C4:C5"/>
    <mergeCell ref="T4:T5"/>
    <mergeCell ref="O4:O5"/>
    <mergeCell ref="M2:M3"/>
    <mergeCell ref="B2:B3"/>
    <mergeCell ref="N2:N3"/>
    <mergeCell ref="D2:D3"/>
    <mergeCell ref="P2:P3"/>
    <mergeCell ref="Q4:Q5"/>
    <mergeCell ref="D4:D5"/>
    <mergeCell ref="J4:J5"/>
    <mergeCell ref="L4:L5"/>
    <mergeCell ref="A2:A3"/>
    <mergeCell ref="T2:T3"/>
    <mergeCell ref="C2:C3"/>
    <mergeCell ref="K2:K3"/>
    <mergeCell ref="A4:A5"/>
    <mergeCell ref="I4:I5"/>
    <mergeCell ref="K4:K5"/>
    <mergeCell ref="O2:O3"/>
    <mergeCell ref="S4:S5"/>
    <mergeCell ref="Q2:Q3"/>
    <mergeCell ref="R2:R3"/>
    <mergeCell ref="J2:J3"/>
    <mergeCell ref="L2:L3"/>
    <mergeCell ref="M4:M5"/>
    <mergeCell ref="B4:B5"/>
    <mergeCell ref="N4:N5"/>
    <mergeCell ref="P4:P5"/>
    <mergeCell ref="S2:S3"/>
    <mergeCell ref="I2:I3"/>
  </mergeCells>
  <hyperlinks>
    <hyperlink xmlns:r="http://schemas.openxmlformats.org/officeDocument/2006/relationships" ref="C2" display="https://www.undp.org/es/colombia/news/en-la-guajira-mujeres-rurales-lideran-tiendas-comunitarias-para-su-empoderamiento-econ%C3%B3mico_x000a__x000a_https://www.youtube.com/watch?v=6vtlQRzqaUw" r:id="rId1"/>
    <hyperlink xmlns:r="http://schemas.openxmlformats.org/officeDocument/2006/relationships" ref="C4" display="https://pnudcolombia.exposure.co/juntas-y-poderosas_x000a__x000a_https://www.youtube.com/watch?v=h6buc3MubaY" r:id="rId2"/>
    <hyperlink xmlns:r="http://schemas.openxmlformats.org/officeDocument/2006/relationships" ref="C6" r:id="rId3"/>
  </hyperlink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K14"/>
  <sheetViews>
    <sheetView topLeftCell="E1" zoomScale="70" zoomScaleNormal="70" workbookViewId="0">
      <pane ySplit="1" topLeftCell="A2" activePane="bottomLeft" state="frozen"/>
      <selection pane="bottomLeft" activeCell="J2" sqref="J2:J3"/>
    </sheetView>
  </sheetViews>
  <sheetFormatPr baseColWidth="8" defaultColWidth="8.85546875" defaultRowHeight="15"/>
  <cols>
    <col width="15.7109375" customWidth="1" style="56" min="1" max="1"/>
    <col width="41.7109375" customWidth="1" style="36" min="2" max="3"/>
    <col width="23.85546875" customWidth="1" style="51" min="4" max="4"/>
    <col width="28.5703125" customWidth="1" style="36" min="5" max="5"/>
    <col width="35" customWidth="1" style="41" min="6" max="6"/>
    <col width="19.85546875" customWidth="1" style="36" min="7" max="7"/>
    <col width="21.5703125" customWidth="1" style="41" min="8" max="8"/>
    <col width="65.140625" customWidth="1" style="41" min="9" max="9"/>
    <col width="35.28515625" bestFit="1" customWidth="1" style="36" min="10" max="10"/>
    <col width="53.28515625" customWidth="1" style="36" min="11" max="11"/>
    <col width="8.85546875" customWidth="1" style="36" min="12" max="16384"/>
  </cols>
  <sheetData>
    <row r="1">
      <c r="A1" s="58" t="inlineStr">
        <is>
          <t>Project ID</t>
        </is>
      </c>
      <c r="B1" s="48" t="inlineStr">
        <is>
          <t>Title</t>
        </is>
      </c>
      <c r="C1" s="48" t="inlineStr">
        <is>
          <t>Link</t>
        </is>
      </c>
      <c r="D1" s="49" t="inlineStr">
        <is>
          <t>Budget (USD)</t>
        </is>
      </c>
      <c r="E1" s="48" t="inlineStr">
        <is>
          <t>Beneficiary Category</t>
        </is>
      </c>
      <c r="F1" s="48" t="inlineStr">
        <is>
          <t>Indicator</t>
        </is>
      </c>
      <c r="G1" s="48" t="inlineStr">
        <is>
          <t>Baseline</t>
        </is>
      </c>
      <c r="H1" s="48" t="inlineStr">
        <is>
          <t>Target</t>
        </is>
      </c>
      <c r="I1" s="48" t="inlineStr">
        <is>
          <t>Notes</t>
        </is>
      </c>
      <c r="J1" s="48" t="inlineStr">
        <is>
          <t>Donors</t>
        </is>
      </c>
      <c r="K1" s="48" t="inlineStr">
        <is>
          <t xml:space="preserve">Comments </t>
        </is>
      </c>
    </row>
    <row r="2" ht="141.75" customHeight="1">
      <c r="A2" s="116" t="inlineStr">
        <is>
          <t>00124835</t>
        </is>
      </c>
      <c r="B2" s="115" t="inlineStr">
        <is>
          <t>Tiendas Comunitarias - La Guajira</t>
        </is>
      </c>
      <c r="C2" s="153" t="inlineStr">
        <is>
          <t>https://www.undp.org/es/colombia/news/en-la-guajira-mujeres-rurales-lideran-tiendas-comunitarias-para-su-empoderamiento-econ%C3%B3mico
https://www.youtube.com/watch?v=6vtlQRzqaUw
https://open.undp.org/projects/00132166</t>
        </is>
      </c>
      <c r="D2" s="132" t="inlineStr">
        <is>
          <t xml:space="preserve">Project Budget 00132166: 
USD 340.151
Output Budget 00124835: 
USD 176.162 
Initiative Budget: 
USD 14,780 (8% of the total approved budget) </t>
        </is>
      </c>
      <c r="E2" s="45" t="inlineStr">
        <is>
          <t>Other Energy Services</t>
        </is>
      </c>
      <c r="F2" s="46" t="inlineStr">
        <is>
          <t>Number of stores in operation with photovoltaic system</t>
        </is>
      </c>
      <c r="G2" s="46" t="inlineStr">
        <is>
          <t xml:space="preserve">0 stores
</t>
        </is>
      </c>
      <c r="H2" s="46" t="inlineStr">
        <is>
          <t>2 store in operation with photovoltaic system</t>
        </is>
      </c>
      <c r="I2" s="46" t="inlineStr">
        <is>
          <t>Promote the empowerment of rural women through the implementation of a community store strategy that facilitates access to products from the basic food basket and improves the management capacities of the selected organizations. Said strategy includes modules such as: food security, strengthening of enterprises, digital connectivity and photovoltaic system.
In the case of Guajira, each photovoltaic system had a 1200VA OFF GRID SOLAR SYSTEM + SOLAR REFRIGERATOR-24 VDC - 200 Ah + 150 l freezer.</t>
        </is>
      </c>
      <c r="J2" s="154" t="inlineStr">
        <is>
          <t>Donor 00012: UNDP's Rapid Response Facility (RRF2) program https://www.undp.org/press-releases/covid-19-30-million-rapid-response-facility-launched-vulnerable-countries
Donor 00012: CO UNDP Funding
https://www.undp.org/es/colombia</t>
        </is>
      </c>
      <c r="K2" s="155" t="n"/>
    </row>
    <row r="3" ht="30" customHeight="1">
      <c r="A3" s="150" t="n"/>
      <c r="B3" s="150" t="n"/>
      <c r="C3" s="150" t="n"/>
      <c r="D3" s="150" t="n"/>
      <c r="E3" s="45" t="inlineStr">
        <is>
          <t>Other Energy Services</t>
        </is>
      </c>
      <c r="F3" s="46" t="inlineStr">
        <is>
          <t>Number of people benefited from the stores</t>
        </is>
      </c>
      <c r="G3" s="45" t="inlineStr">
        <is>
          <t>0 people</t>
        </is>
      </c>
      <c r="H3" s="46" t="inlineStr">
        <is>
          <t>68 people benefited.</t>
        </is>
      </c>
      <c r="I3" s="150" t="n"/>
      <c r="J3" s="150" t="n"/>
      <c r="K3" s="150" t="n"/>
    </row>
    <row r="4" ht="165" customHeight="1">
      <c r="A4" s="116" t="inlineStr">
        <is>
          <t>00118585</t>
        </is>
      </c>
      <c r="B4" s="115" t="inlineStr">
        <is>
          <t>Tiendas Comunitarias - Chocó</t>
        </is>
      </c>
      <c r="C4" s="156" t="inlineStr">
        <is>
          <t>https://pnudcolombia.exposure.co/juntas-y-poderosas
https://www.youtube.com/watch?v=h6buc3MubaY
https://open.undp.org/projects/00123292</t>
        </is>
      </c>
      <c r="D4" s="157" t="inlineStr">
        <is>
          <t xml:space="preserve">Project Budget 00123292: 
USD 11.631.345
Output Budget 00118585: 
Total USD 2.213.905,35
TRAC 55.946,27
MPTF 2.056.069,02 
Initiative Budget: 
USD 9.217 (0.4% of the total approved budget) </t>
        </is>
      </c>
      <c r="E4" s="45" t="inlineStr">
        <is>
          <t>Other Energy Services</t>
        </is>
      </c>
      <c r="F4" s="46" t="inlineStr">
        <is>
          <t>Number of stores in operation with photovoltaic system</t>
        </is>
      </c>
      <c r="G4" s="46" t="inlineStr">
        <is>
          <t xml:space="preserve">0 stores
</t>
        </is>
      </c>
      <c r="H4" s="119" t="inlineStr">
        <is>
          <t>1 store in operation with photovoltaic system</t>
        </is>
      </c>
      <c r="I4" s="119" t="inlineStr">
        <is>
          <t>Promote the empowerment of rural women through the implementation of a community store strategy that facilitates access to products from the basic food basket and improves the management capacities of the selected organizations. Said strategy includes modules such as: food security, strengthening of enterprises, digital connectivity and photovoltaic system.</t>
        </is>
      </c>
      <c r="J4" s="82" t="inlineStr">
        <is>
          <t>Donor 12641: The United Nations Multi-Partner Trust Fund for Sustaining Peace in Colombia / (Previously Known As Mptf-Colombia Post-Conflict Unmptf)
https://mptf.undp.org/
Donor 00012: CO UNDP Funding
https://www.undp.org/es/colombia</t>
        </is>
      </c>
      <c r="K4" s="158" t="n"/>
    </row>
    <row r="5" ht="30" customHeight="1">
      <c r="A5" s="150" t="n"/>
      <c r="B5" s="150" t="n"/>
      <c r="C5" s="159" t="n"/>
      <c r="D5" s="150" t="n"/>
      <c r="E5" s="45" t="inlineStr">
        <is>
          <t>Other Energy Services</t>
        </is>
      </c>
      <c r="F5" s="46" t="inlineStr">
        <is>
          <t>Number of people benefited from the stores</t>
        </is>
      </c>
      <c r="G5" s="45" t="inlineStr">
        <is>
          <t>0 people</t>
        </is>
      </c>
      <c r="H5" s="119" t="inlineStr">
        <is>
          <t xml:space="preserve">56 people benefited. </t>
        </is>
      </c>
      <c r="I5" s="150" t="n"/>
      <c r="J5" s="150" t="n"/>
      <c r="K5" s="150" t="n"/>
    </row>
    <row r="6" ht="409.5" customHeight="1">
      <c r="A6" s="116" t="inlineStr">
        <is>
          <t>00101702</t>
        </is>
      </c>
      <c r="B6" s="2" t="inlineStr">
        <is>
          <t xml:space="preserve">
Implement collective reparation measures in 7 ethnic communities and one non-ethnic community in photovoltaic power lines and definition of sustainability strategy</t>
        </is>
      </c>
      <c r="C6" s="60" t="inlineStr">
        <is>
          <t>https://open.undp.org/projects/00098331</t>
        </is>
      </c>
      <c r="D6" s="132" t="inlineStr">
        <is>
          <t xml:space="preserve">Project Budget:
USD 16.67M
Output Budget: 
USD 2.567.174
Initiative Budget: 
USD 3.627  (0.1% of the total approved budget) </t>
        </is>
      </c>
      <c r="E6" s="45" t="inlineStr">
        <is>
          <t>Energy (MW added)</t>
        </is>
      </c>
      <c r="F6" s="45" t="inlineStr">
        <is>
          <t xml:space="preserve">16.571  (Direct) </t>
        </is>
      </c>
      <c r="G6" s="45" t="n">
        <v>0</v>
      </c>
      <c r="H6" s="46" t="inlineStr">
        <is>
          <t>Collective Communities - Victims of the army conflict.</t>
        </is>
      </c>
      <c r="I6" s="46" t="inlineStr">
        <is>
          <t xml:space="preserve">CSA UNDP and Unit Victim´s. Donor Victim Unit. Counterpart: Government of Norway                                                                                                                                                                                                                                                                                                          Main Activities of Solar Panel Installation:
1. They were implemented 100% according to World Bank Designs. 
2. The acquisition and import was carried out according to technical specifications. 
3. There was an Audit throughout the project for technical monitoring in the field (stakeout, transport, installation, adaptation and operation). 
4. 8 participatory diagnostics were carried out for the implementation of CR actions in the line of photovoltaic solar energy systems 
5. A technical, financial and community sustainability strategy was designed and implemented 
6. A strategy for the use and enjoyment of goods for collective use for social appropriation was designed and implemented. 
7. A communications strategy, documentary and photographic registration of the entire solar panel process was designed and implemented. 
8. A transfer of the Technical, Financial and Social Sustainability Strategy was carried out to territorial entities and institutions in the Territory. 
9. All solar panel installations had construction of battery rooms and civil works on land and / or sky for proper implementation. 
Beneficiary Communities: Delivery Date of Solar Panels 
1.Community of El Arenillo: November 11, 2021 
2.Honduras Reservation: March 1, 2022 
3.La Gaitana Reservation: March 2, 2022 
4.La Puria Reservation: March 21, 2022 
5.Resguardo Consuelo Lower Part: March 23, 2022 
6.Tanela Reservations: April 30, 2022 
</t>
        </is>
      </c>
      <c r="J6" s="82" t="inlineStr">
        <is>
          <t>Donor 12844 Victims Unit (Government of Colombia) 
https://www.unidadvictimas.gov.co/es/
Donor 10503: Norwegian Government
https://www.regjeringen.no/en/id4/</t>
        </is>
      </c>
      <c r="K6" s="115" t="n"/>
    </row>
    <row r="7">
      <c r="A7" s="55" t="n"/>
      <c r="B7" s="14" t="n"/>
      <c r="C7" s="42" t="n"/>
      <c r="D7" s="50" t="n"/>
      <c r="E7" s="14" t="n"/>
      <c r="F7" s="16" t="n"/>
      <c r="G7" s="14" t="n"/>
      <c r="H7" s="14" t="n"/>
    </row>
    <row r="8">
      <c r="A8" s="55" t="n"/>
      <c r="B8" s="14" t="n"/>
      <c r="C8" s="42" t="n"/>
      <c r="D8" s="50" t="n"/>
      <c r="E8" s="14" t="n"/>
      <c r="F8" s="16" t="n"/>
      <c r="G8" s="14" t="n"/>
      <c r="H8" s="14" t="n"/>
    </row>
    <row r="9">
      <c r="A9" s="55" t="n"/>
      <c r="C9" s="42" t="n"/>
      <c r="D9" s="50" t="n"/>
      <c r="E9" s="14" t="n"/>
      <c r="F9" s="16" t="n"/>
      <c r="G9" s="14" t="n"/>
      <c r="H9" s="14" t="n"/>
    </row>
    <row r="10">
      <c r="A10" s="55" t="n"/>
      <c r="B10" s="14" t="n"/>
      <c r="C10" s="42" t="n"/>
      <c r="D10" s="50" t="n"/>
      <c r="E10" s="14" t="n"/>
      <c r="F10" s="16" t="n"/>
      <c r="G10" s="14" t="n"/>
      <c r="H10" s="14" t="n"/>
    </row>
    <row r="14">
      <c r="B14" s="43" t="n"/>
    </row>
  </sheetData>
  <mergeCells count="14">
    <mergeCell ref="B4:B5"/>
    <mergeCell ref="C4:C5"/>
    <mergeCell ref="A4:A5"/>
    <mergeCell ref="D4:D5"/>
    <mergeCell ref="J4:J5"/>
    <mergeCell ref="I4:I5"/>
    <mergeCell ref="K4:K5"/>
    <mergeCell ref="D2:D3"/>
    <mergeCell ref="K2:K3"/>
    <mergeCell ref="B2:B3"/>
    <mergeCell ref="A2:A3"/>
    <mergeCell ref="C2:C3"/>
    <mergeCell ref="J2:J3"/>
    <mergeCell ref="I2:I3"/>
  </mergeCells>
  <hyperlinks>
    <hyperlink xmlns:r="http://schemas.openxmlformats.org/officeDocument/2006/relationships" ref="C2" display="https://www.undp.org/es/colombia/news/en-la-guajira-mujeres-rurales-lideran-tiendas-comunitarias-para-su-empoderamiento-econ%C3%B3mico_x000a__x000a_https://www.youtube.com/watch?v=6vtlQRzqaUw" r:id="rId1"/>
    <hyperlink xmlns:r="http://schemas.openxmlformats.org/officeDocument/2006/relationships" ref="C4" display="https://pnudcolombia.exposure.co/juntas-y-poderosas_x000a__x000a_https://www.youtube.com/watch?v=h6buc3MubaY" r:id="rId2"/>
    <hyperlink xmlns:r="http://schemas.openxmlformats.org/officeDocument/2006/relationships" ref="C6" r:id="rId3"/>
  </hyperlink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B24"/>
  <sheetViews>
    <sheetView topLeftCell="A4" workbookViewId="0">
      <pane ySplit="1" topLeftCell="A2" activePane="bottomLeft" state="frozen"/>
      <selection pane="bottomLeft" activeCell="A1" sqref="A1"/>
    </sheetView>
  </sheetViews>
  <sheetFormatPr baseColWidth="8" defaultColWidth="8.85546875" defaultRowHeight="15"/>
  <cols>
    <col width="36" customWidth="1" min="1" max="1"/>
    <col width="110" customWidth="1" min="2" max="2"/>
  </cols>
  <sheetData>
    <row r="1">
      <c r="A1" s="160" t="inlineStr">
        <is>
          <t>Beneficiary Category</t>
        </is>
      </c>
      <c r="B1" s="160" t="inlineStr">
        <is>
          <t>Indicator</t>
        </is>
      </c>
    </row>
    <row r="2" ht="30" customHeight="1">
      <c r="A2" s="161" t="inlineStr">
        <is>
          <t>Electricity Access</t>
        </is>
      </c>
      <c r="B2" s="161" t="inlineStr">
        <is>
          <t>Number of people, disaggregated by sex, who gain access to clean electricity (direct access to electricity, lighting, cooling, etc.).</t>
        </is>
      </c>
    </row>
    <row r="3">
      <c r="A3" s="161" t="inlineStr">
        <is>
          <t>Energy (MW added)</t>
        </is>
      </c>
      <c r="B3" s="161" t="inlineStr">
        <is>
          <t>Installed renewable or clean-energy power capacity added, in MW.</t>
        </is>
      </c>
    </row>
    <row r="4" ht="30" customHeight="1">
      <c r="A4" s="161" t="inlineStr">
        <is>
          <t>Energy Storage (MW)</t>
        </is>
      </c>
      <c r="B4" s="161" t="inlineStr">
        <is>
          <t>Installed energy storage power capacity added, in MW.</t>
        </is>
      </c>
    </row>
    <row r="5" ht="30" customHeight="1">
      <c r="A5" s="161" t="inlineStr">
        <is>
          <t>Clean Cooking</t>
        </is>
      </c>
      <c r="B5" s="161" t="inlineStr">
        <is>
          <t>Number of people who gain access to clean cooking (direct access to clean cook stoves, clean fuels, biomass, etc.).</t>
        </is>
      </c>
    </row>
    <row r="6" ht="60" customHeight="1">
      <c r="A6" s="161" t="inlineStr">
        <is>
          <t>Clean Heating</t>
        </is>
      </c>
      <c r="B6" s="161" t="inlineStr">
        <is>
          <t>Number of people who gain access to clean heating (direct access to clean electric heaters, clean fuels, etc.).</t>
        </is>
      </c>
    </row>
    <row r="7" ht="30" customHeight="1">
      <c r="A7" s="161" t="inlineStr">
        <is>
          <t>Agriculture and Food System</t>
        </is>
      </c>
      <c r="B7" s="161" t="inlineStr">
        <is>
          <t>Number of people who gain access to clean, affordable, and sustainable energy for agricultural and food-system activities.</t>
        </is>
      </c>
    </row>
    <row r="8" ht="30" customHeight="1">
      <c r="A8" s="161" t="inlineStr">
        <is>
          <t>Health Services</t>
        </is>
      </c>
      <c r="B8" s="161" t="inlineStr">
        <is>
          <t>Number of people who gain access to health care facilities through clean energy systems.</t>
        </is>
      </c>
    </row>
    <row r="9" ht="30" customHeight="1">
      <c r="A9" s="161" t="inlineStr">
        <is>
          <t>Water Services</t>
        </is>
      </c>
      <c r="B9" s="161" t="inlineStr">
        <is>
          <t>Number of people who gain access to water services through clean energy systems.</t>
        </is>
      </c>
    </row>
    <row r="10" ht="30" customHeight="1">
      <c r="A10" s="161" t="inlineStr">
        <is>
          <t>Education Services</t>
        </is>
      </c>
      <c r="B10" s="161" t="inlineStr">
        <is>
          <t>Number of people who gain access to education services through clean energy systems, including students and teachers.</t>
        </is>
      </c>
    </row>
    <row r="11">
      <c r="A11" s="161" t="inlineStr">
        <is>
          <t>Transportation and E-mobility Services</t>
        </is>
      </c>
      <c r="B11" s="161" t="inlineStr">
        <is>
          <t>Number of people served or energy saved from transport and e-mobility interventions, such as electric vehicles or charging stations.</t>
        </is>
      </c>
    </row>
    <row r="12" ht="30" customHeight="1">
      <c r="A12" s="161" t="inlineStr">
        <is>
          <t>Energy Efficiency Services</t>
        </is>
      </c>
      <c r="B12" s="161" t="inlineStr">
        <is>
          <t>Energy saved from energy-efficiency interventions, such as building or industrial efficiency.</t>
        </is>
      </c>
    </row>
    <row r="13">
      <c r="A13" s="161" t="inlineStr">
        <is>
          <t>Energy Infrastructure Services</t>
        </is>
      </c>
      <c r="B13" s="161" t="inlineStr">
        <is>
          <t>Number of people benefiting from energy infrastructure interventions, such as streetlights, transmission, and distribution lines.</t>
        </is>
      </c>
    </row>
    <row r="14">
      <c r="A14" s="161" t="inlineStr">
        <is>
          <t>Other Energy Services</t>
        </is>
      </c>
      <c r="B14" s="161" t="inlineStr">
        <is>
          <t>Access to other energy services not captured by the categories above.</t>
        </is>
      </c>
    </row>
    <row r="15">
      <c r="A15" s="161" t="inlineStr">
        <is>
          <t>Financing support</t>
        </is>
      </c>
      <c r="B15" s="161" t="inlineStr">
        <is>
          <t>Support for the development of the energy market ecosystem.</t>
        </is>
      </c>
    </row>
    <row r="16">
      <c r="A16" s="161" t="inlineStr">
        <is>
          <t>Medium Enterprises</t>
        </is>
      </c>
      <c r="B16" s="161" t="inlineStr">
        <is>
          <t>Support for the development of medium enterprises in the energy transition market.</t>
        </is>
      </c>
    </row>
    <row r="17" ht="30" customHeight="1">
      <c r="A17" s="161" t="inlineStr">
        <is>
          <t>Small Enterprises</t>
        </is>
      </c>
      <c r="B17" s="161" t="inlineStr">
        <is>
          <t>Support for the development of small enterprises in the energy transition market.</t>
        </is>
      </c>
    </row>
    <row r="18">
      <c r="A18" s="161" t="inlineStr">
        <is>
          <t>Capacity Building Training</t>
        </is>
      </c>
      <c r="B18" s="161" t="inlineStr">
        <is>
          <t>Number of people benefiting from training on energy business, energy finance, or related implementation capacity.</t>
        </is>
      </c>
    </row>
    <row r="19" ht="45" customHeight="1">
      <c r="A19" s="161" t="inlineStr">
        <is>
          <t>Entrepreneurship Training</t>
        </is>
      </c>
      <c r="B19" s="161" t="inlineStr">
        <is>
          <t>Training for enterprises on the energy business, assumed to result in direct beneficiaries.</t>
        </is>
      </c>
    </row>
    <row r="20">
      <c r="A20" s="161" t="inlineStr">
        <is>
          <t>Market Intervention</t>
        </is>
      </c>
      <c r="B20" s="161" t="inlineStr">
        <is>
          <t>Volume of investment leveraged or barriers removed for clean, reliable, affordable, and sustainable energy solutions.</t>
        </is>
      </c>
    </row>
    <row r="21" ht="30" customHeight="1">
      <c r="A21" s="161" t="inlineStr">
        <is>
          <t>Campaign Participant</t>
        </is>
      </c>
      <c r="B21" s="161" t="inlineStr">
        <is>
          <t>Individuals who participate in advocacy or awareness campaigns on energy.</t>
        </is>
      </c>
    </row>
    <row r="22">
      <c r="A22" s="161" t="inlineStr">
        <is>
          <t>Policy or Regulatory Framework</t>
        </is>
      </c>
      <c r="B22" s="161" t="inlineStr">
        <is>
          <t>Policies, regulations, strategies, plans, or frameworks developed, approved, implemented, or strengthened.</t>
        </is>
      </c>
    </row>
    <row r="23">
      <c r="A23" s="161" t="inlineStr">
        <is>
          <t>GHG Emissions Reduction</t>
        </is>
      </c>
      <c r="B23" s="161" t="inlineStr">
        <is>
          <t>Greenhouse gas emissions reduced or mitigated, in tCO2e.</t>
        </is>
      </c>
    </row>
    <row r="24">
      <c r="A24" s="161" t="inlineStr">
        <is>
          <t>Other</t>
        </is>
      </c>
      <c r="B24" s="161"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Nazly Gutierrez</dc:creator>
  <dcterms:created xmlns:dcterms="http://purl.org/dc/terms/" xmlns:xsi="http://www.w3.org/2001/XMLSchema-instance" xsi:type="dcterms:W3CDTF">2023-05-05T09:33:41Z</dcterms:created>
  <dcterms:modified xmlns:dcterms="http://purl.org/dc/terms/" xmlns:xsi="http://www.w3.org/2001/XMLSchema-instance" xsi:type="dcterms:W3CDTF">2026-06-08T15:49:45Z</dcterms:modified>
  <cp:lastModifiedBy>Folashade Jaiyeola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