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5)" sheetId="2" state="visible" r:id="rId2"/>
    <sheet xmlns:r="http://schemas.openxmlformats.org/officeDocument/2006/relationships" name="Projects (2)" sheetId="3" state="hidden" r:id="rId3"/>
    <sheet xmlns:r="http://schemas.openxmlformats.org/officeDocument/2006/relationships" name="Projects" sheetId="4" state="hidden"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family val="2"/>
      <b val="1"/>
      <color theme="1"/>
      <sz val="11"/>
      <scheme val="minor"/>
    </font>
    <font>
      <name val="Calibri"/>
      <family val="2"/>
      <color theme="10"/>
      <sz val="11"/>
      <u val="single"/>
    </font>
    <font>
      <name val="Calibri"/>
      <family val="2"/>
      <color rgb="FF000000"/>
      <sz val="11"/>
    </font>
    <font>
      <name val="Calibri"/>
      <family val="2"/>
      <color rgb="FFE26B0A"/>
      <sz val="11"/>
    </font>
    <font>
      <name val="Calibri"/>
      <family val="2"/>
      <color rgb="FFFF0000"/>
      <sz val="11"/>
    </font>
    <font>
      <name val="Calibri"/>
      <family val="2"/>
      <color theme="1"/>
      <sz val="11"/>
    </font>
    <font>
      <name val="Calibri"/>
      <family val="2"/>
      <b val="1"/>
      <color rgb="FFFF0000"/>
      <sz val="11"/>
      <scheme val="minor"/>
    </font>
    <font>
      <name val="Calibri"/>
      <family val="2"/>
      <color rgb="FF000000"/>
      <sz val="11"/>
      <scheme val="minor"/>
    </font>
    <font>
      <name val="Calibri"/>
      <family val="2"/>
      <b val="1"/>
      <color rgb="FF000000"/>
      <sz val="11"/>
      <scheme val="minor"/>
    </font>
    <font>
      <name val="Calibri"/>
      <family val="2"/>
      <color rgb="FFFF0000"/>
      <sz val="11"/>
      <scheme val="minor"/>
    </font>
    <font>
      <name val="Calibri"/>
      <family val="2"/>
      <color rgb="FF00B0F0"/>
      <sz val="11"/>
      <scheme val="minor"/>
    </font>
    <font>
      <name val="Calibri"/>
      <b val="1"/>
      <color rgb="FF000000"/>
      <sz val="11"/>
      <scheme val="minor"/>
    </font>
    <font>
      <name val="Calibri"/>
      <color rgb="FF000000"/>
      <sz val="11"/>
    </font>
    <font>
      <name val="Calibri"/>
      <color rgb="FFFF0000"/>
      <sz val="11"/>
    </font>
    <font>
      <name val="Calibri"/>
      <color theme="1"/>
      <sz val="11"/>
    </font>
    <font>
      <b val="1"/>
    </font>
  </fonts>
  <fills count="7">
    <fill>
      <patternFill/>
    </fill>
    <fill>
      <patternFill patternType="gray125"/>
    </fill>
    <fill>
      <patternFill patternType="solid">
        <fgColor rgb="FFFFE497"/>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E7E6E6"/>
      </left>
      <right style="thin">
        <color rgb="FFE7E6E6"/>
      </right>
      <top style="thin">
        <color rgb="FFE7E6E6"/>
      </top>
      <bottom style="thin">
        <color rgb="FFE7E6E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1" fillId="0" borderId="0"/>
    <xf numFmtId="0" fontId="3" fillId="0" borderId="0" applyAlignment="1" applyProtection="1">
      <alignment vertical="top"/>
      <protection locked="0" hidden="0"/>
    </xf>
  </cellStyleXfs>
  <cellXfs count="108">
    <xf numFmtId="0" fontId="0" fillId="0" borderId="0" pivotButton="0" quotePrefix="0" xfId="0"/>
    <xf numFmtId="0" fontId="2" fillId="0" borderId="1" applyAlignment="1" pivotButton="0" quotePrefix="0" xfId="0">
      <alignment horizontal="center" vertical="top" wrapText="1"/>
    </xf>
    <xf numFmtId="0" fontId="0" fillId="0" borderId="0" applyAlignment="1" pivotButton="0" quotePrefix="0" xfId="0">
      <alignment vertical="top" wrapText="1"/>
    </xf>
    <xf numFmtId="0" fontId="3" fillId="0" borderId="0" applyAlignment="1" pivotButton="0" quotePrefix="0" xfId="1">
      <alignment vertical="top" wrapText="1"/>
    </xf>
    <xf numFmtId="0" fontId="0" fillId="2" borderId="0" applyAlignment="1" pivotButton="0" quotePrefix="0" xfId="0">
      <alignment vertical="top" wrapText="1"/>
    </xf>
    <xf numFmtId="0" fontId="4" fillId="0" borderId="0" applyAlignment="1" pivotButton="0" quotePrefix="0" xfId="0">
      <alignment vertical="top"/>
    </xf>
    <xf numFmtId="3" fontId="0" fillId="0" borderId="0" applyAlignment="1" pivotButton="0" quotePrefix="0" xfId="0">
      <alignment vertical="top" wrapText="1"/>
    </xf>
    <xf numFmtId="0" fontId="7" fillId="0" borderId="0" applyAlignment="1" pivotButton="0" quotePrefix="0" xfId="0">
      <alignment vertical="top" wrapText="1"/>
    </xf>
    <xf numFmtId="0" fontId="0" fillId="3" borderId="0" applyAlignment="1" pivotButton="0" quotePrefix="0" xfId="0">
      <alignment vertical="top" wrapText="1"/>
    </xf>
    <xf numFmtId="0" fontId="7" fillId="0" borderId="3" applyAlignment="1" pivotButton="0" quotePrefix="0" xfId="0">
      <alignment vertical="top" wrapText="1"/>
    </xf>
    <xf numFmtId="0" fontId="0" fillId="0" borderId="3" applyAlignment="1" pivotButton="0" quotePrefix="0" xfId="0">
      <alignment vertical="top" wrapText="1"/>
    </xf>
    <xf numFmtId="3" fontId="0" fillId="0" borderId="3"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0" fontId="0" fillId="3" borderId="0" applyAlignment="1" pivotButton="0" quotePrefix="0" xfId="0">
      <alignment vertical="center" wrapText="1"/>
    </xf>
    <xf numFmtId="3" fontId="0" fillId="0" borderId="0" applyAlignment="1" pivotButton="0" quotePrefix="0" xfId="0">
      <alignment horizontal="center" vertical="center"/>
    </xf>
    <xf numFmtId="0" fontId="0" fillId="3"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3" fontId="0" fillId="3" borderId="0" applyAlignment="1" pivotButton="0" quotePrefix="0" xfId="0">
      <alignment horizontal="left" vertical="center" wrapText="1"/>
    </xf>
    <xf numFmtId="0" fontId="9" fillId="0" borderId="0" applyAlignment="1" pivotButton="0" quotePrefix="0" xfId="0">
      <alignment vertical="center"/>
    </xf>
    <xf numFmtId="0" fontId="4" fillId="0" borderId="3" applyAlignment="1" pivotButton="0" quotePrefix="0" xfId="0">
      <alignment vertical="top" wrapText="1"/>
    </xf>
    <xf numFmtId="0" fontId="4" fillId="3" borderId="0" applyAlignment="1" pivotButton="0" quotePrefix="0" xfId="0">
      <alignment wrapText="1"/>
    </xf>
    <xf numFmtId="0" fontId="4" fillId="3" borderId="0" pivotButton="0" quotePrefix="0" xfId="0"/>
    <xf numFmtId="0" fontId="4" fillId="3" borderId="0" applyAlignment="1" pivotButton="0" quotePrefix="0" xfId="0">
      <alignment vertical="top" wrapText="1"/>
    </xf>
    <xf numFmtId="0" fontId="6" fillId="0" borderId="0" pivotButton="0" quotePrefix="0" xfId="0"/>
    <xf numFmtId="0" fontId="11" fillId="0" borderId="0" applyAlignment="1" pivotButton="0" quotePrefix="0" xfId="0">
      <alignment vertical="top" wrapText="1"/>
    </xf>
    <xf numFmtId="1" fontId="0" fillId="0" borderId="0" applyAlignment="1" pivotButton="0" quotePrefix="0" xfId="0">
      <alignment vertical="top" wrapText="1"/>
    </xf>
    <xf numFmtId="0" fontId="12" fillId="0" borderId="0" applyAlignment="1" pivotButton="0" quotePrefix="0" xfId="0">
      <alignment vertical="top" wrapText="1"/>
    </xf>
    <xf numFmtId="1" fontId="12" fillId="0" borderId="0" applyAlignment="1" pivotButton="0" quotePrefix="0" xfId="0">
      <alignment vertical="top" wrapText="1"/>
    </xf>
    <xf numFmtId="0" fontId="2" fillId="0" borderId="4" applyAlignment="1" pivotButton="0" quotePrefix="0" xfId="0">
      <alignment horizontal="center" vertical="top" wrapText="1"/>
    </xf>
    <xf numFmtId="0" fontId="2" fillId="0" borderId="4" applyAlignment="1" pivotButton="0" quotePrefix="0" xfId="0">
      <alignment vertical="top" wrapText="1"/>
    </xf>
    <xf numFmtId="0" fontId="12" fillId="0" borderId="4" applyAlignment="1" pivotButton="0" quotePrefix="0" xfId="0">
      <alignment vertical="top" wrapText="1"/>
    </xf>
    <xf numFmtId="0" fontId="0" fillId="2" borderId="4" applyAlignment="1" pivotButton="0" quotePrefix="0" xfId="0">
      <alignment vertical="top" wrapText="1"/>
    </xf>
    <xf numFmtId="0" fontId="0" fillId="0" borderId="4" applyAlignment="1" pivotButton="0" quotePrefix="0" xfId="0">
      <alignment vertical="top" wrapText="1"/>
    </xf>
    <xf numFmtId="0" fontId="3" fillId="0" borderId="4" applyAlignment="1" pivotButton="0" quotePrefix="0" xfId="1">
      <alignment vertical="top" wrapText="1"/>
    </xf>
    <xf numFmtId="1" fontId="12" fillId="0" borderId="4" applyAlignment="1" pivotButton="0" quotePrefix="0" xfId="0">
      <alignment vertical="top" wrapText="1"/>
    </xf>
    <xf numFmtId="0" fontId="4" fillId="0" borderId="4" applyAlignment="1" pivotButton="0" quotePrefix="0" xfId="0">
      <alignment vertical="top"/>
    </xf>
    <xf numFmtId="0" fontId="8" fillId="0" borderId="4" applyAlignment="1" pivotButton="0" quotePrefix="0" xfId="0">
      <alignment vertical="top" wrapText="1"/>
    </xf>
    <xf numFmtId="0" fontId="7" fillId="0" borderId="4" applyAlignment="1" pivotButton="0" quotePrefix="0" xfId="0">
      <alignment vertical="top" wrapText="1"/>
    </xf>
    <xf numFmtId="3" fontId="0" fillId="0" borderId="4" applyAlignment="1" pivotButton="0" quotePrefix="0" xfId="0">
      <alignment vertical="top" wrapText="1"/>
    </xf>
    <xf numFmtId="0" fontId="0" fillId="4" borderId="4" applyAlignment="1" pivotButton="0" quotePrefix="0" xfId="0">
      <alignment vertical="top" wrapText="1"/>
    </xf>
    <xf numFmtId="0" fontId="11" fillId="0" borderId="4" applyAlignment="1" pivotButton="0" quotePrefix="0" xfId="0">
      <alignment vertical="top" wrapText="1"/>
    </xf>
    <xf numFmtId="0" fontId="4" fillId="0" borderId="4" applyAlignment="1" pivotButton="0" quotePrefix="0" xfId="0">
      <alignment vertical="top" wrapText="1"/>
    </xf>
    <xf numFmtId="0" fontId="0" fillId="3" borderId="4" applyAlignment="1" pivotButton="0" quotePrefix="0" xfId="0">
      <alignment vertical="top" wrapText="1"/>
    </xf>
    <xf numFmtId="0" fontId="4" fillId="3" borderId="4" applyAlignment="1" pivotButton="0" quotePrefix="0" xfId="0">
      <alignment wrapText="1"/>
    </xf>
    <xf numFmtId="0" fontId="4" fillId="3" borderId="4" pivotButton="0" quotePrefix="0" xfId="0"/>
    <xf numFmtId="0" fontId="4" fillId="3" borderId="4" applyAlignment="1" pivotButton="0" quotePrefix="0" xfId="0">
      <alignment vertical="top" wrapText="1"/>
    </xf>
    <xf numFmtId="0" fontId="0" fillId="3" borderId="4" applyAlignment="1" pivotButton="0" quotePrefix="0" xfId="0">
      <alignment horizontal="left" vertical="center" wrapText="1"/>
    </xf>
    <xf numFmtId="3" fontId="0" fillId="0" borderId="4" applyAlignment="1" pivotButton="0" quotePrefix="0" xfId="0">
      <alignment horizontal="center" vertical="center"/>
    </xf>
    <xf numFmtId="0" fontId="0" fillId="3" borderId="4" applyAlignment="1" pivotButton="0" quotePrefix="0" xfId="0">
      <alignment vertical="center" wrapText="1"/>
    </xf>
    <xf numFmtId="0" fontId="0" fillId="0" borderId="4" applyAlignment="1" pivotButton="0" quotePrefix="0" xfId="0">
      <alignment horizontal="left" vertical="center" wrapText="1"/>
    </xf>
    <xf numFmtId="0" fontId="0" fillId="0" borderId="4" applyAlignment="1" pivotButton="0" quotePrefix="0" xfId="0">
      <alignment vertical="center" wrapText="1"/>
    </xf>
    <xf numFmtId="3" fontId="0" fillId="3" borderId="4" applyAlignment="1" pivotButton="0" quotePrefix="0" xfId="0">
      <alignment horizontal="left" vertical="center" wrapText="1"/>
    </xf>
    <xf numFmtId="0" fontId="9" fillId="0" borderId="4" applyAlignment="1" pivotButton="0" quotePrefix="0" xfId="0">
      <alignment vertical="center"/>
    </xf>
    <xf numFmtId="0" fontId="0" fillId="0" borderId="2" applyAlignment="1" pivotButton="0" quotePrefix="0" xfId="0">
      <alignment vertical="top" wrapText="1"/>
    </xf>
    <xf numFmtId="0" fontId="2" fillId="0" borderId="4" applyAlignment="1" pivotButton="0" quotePrefix="0" xfId="0">
      <alignment horizontal="center"/>
    </xf>
    <xf numFmtId="0" fontId="2" fillId="0" borderId="5" applyAlignment="1" pivotButton="0" quotePrefix="0" xfId="0">
      <alignment horizontal="center"/>
    </xf>
    <xf numFmtId="0" fontId="2" fillId="0" borderId="6" applyAlignment="1" pivotButton="0" quotePrefix="0" xfId="0">
      <alignment horizontal="center"/>
    </xf>
    <xf numFmtId="0" fontId="2" fillId="0" borderId="5" pivotButton="0" quotePrefix="0" xfId="0"/>
    <xf numFmtId="0" fontId="0" fillId="0" borderId="7" applyAlignment="1" pivotButton="0" quotePrefix="0" xfId="0">
      <alignment horizontal="center" vertical="center"/>
    </xf>
    <xf numFmtId="0" fontId="0" fillId="0" borderId="4" applyAlignment="1" pivotButton="0" quotePrefix="0" xfId="0">
      <alignment horizontal="center" vertical="center"/>
    </xf>
    <xf numFmtId="0" fontId="0" fillId="0" borderId="8" applyAlignment="1" pivotButton="0" quotePrefix="0" xfId="0">
      <alignment horizontal="center" vertical="center" wrapText="1"/>
    </xf>
    <xf numFmtId="0" fontId="0" fillId="0" borderId="4" applyAlignment="1" pivotButton="0" quotePrefix="0" xfId="0">
      <alignment vertical="center"/>
    </xf>
    <xf numFmtId="0" fontId="2" fillId="0" borderId="4" pivotButton="0" quotePrefix="0" xfId="0"/>
    <xf numFmtId="0" fontId="3" fillId="0" borderId="2" applyAlignment="1" pivotButton="0" quotePrefix="0" xfId="1">
      <alignment vertical="top" wrapText="1"/>
    </xf>
    <xf numFmtId="0" fontId="0" fillId="0" borderId="4" applyAlignment="1" pivotButton="0" quotePrefix="0" xfId="0">
      <alignment wrapText="1"/>
    </xf>
    <xf numFmtId="0" fontId="0" fillId="5" borderId="0" applyAlignment="1" pivotButton="0" quotePrefix="0" xfId="0">
      <alignment vertical="top" wrapText="1"/>
    </xf>
    <xf numFmtId="0" fontId="4" fillId="4" borderId="3" applyAlignment="1" pivotButton="0" quotePrefix="0" xfId="0">
      <alignment vertical="top" wrapText="1"/>
    </xf>
    <xf numFmtId="0" fontId="0" fillId="4" borderId="3" applyAlignment="1" pivotButton="0" quotePrefix="0" xfId="0">
      <alignment vertical="top" wrapText="1"/>
    </xf>
    <xf numFmtId="0" fontId="1" fillId="0" borderId="4" applyAlignment="1" pivotButton="0" quotePrefix="0" xfId="0">
      <alignment horizontal="left" vertical="center" wrapText="1"/>
    </xf>
    <xf numFmtId="0" fontId="1" fillId="0" borderId="4" applyAlignment="1" pivotButton="0" quotePrefix="0" xfId="0">
      <alignment wrapText="1"/>
    </xf>
    <xf numFmtId="0" fontId="1" fillId="0" borderId="4" applyAlignment="1" pivotButton="0" quotePrefix="0" xfId="0">
      <alignment vertical="center" wrapText="1"/>
    </xf>
    <xf numFmtId="0" fontId="11" fillId="3" borderId="0" applyAlignment="1" pivotButton="0" quotePrefix="0" xfId="0">
      <alignment vertical="top" wrapText="1"/>
    </xf>
    <xf numFmtId="0" fontId="11" fillId="0" borderId="0" applyAlignment="1" pivotButton="0" quotePrefix="0" xfId="0">
      <alignment horizontal="left" vertical="center" wrapText="1"/>
    </xf>
    <xf numFmtId="0" fontId="13" fillId="0" borderId="0" applyAlignment="1" pivotButton="0" quotePrefix="0" xfId="0">
      <alignment vertical="top" wrapText="1"/>
    </xf>
    <xf numFmtId="0" fontId="9" fillId="0" borderId="4" applyAlignment="1" pivotButton="0" quotePrefix="0" xfId="0">
      <alignment wrapText="1"/>
    </xf>
    <xf numFmtId="0" fontId="0" fillId="4" borderId="0" applyAlignment="1" pivotButton="0" quotePrefix="0" xfId="0">
      <alignment horizontal="left" vertical="center" wrapText="1"/>
    </xf>
    <xf numFmtId="0" fontId="11" fillId="3" borderId="0" applyAlignment="1" pivotButton="0" quotePrefix="0" xfId="0">
      <alignment horizontal="left" vertical="center" wrapText="1"/>
    </xf>
    <xf numFmtId="3" fontId="11" fillId="3" borderId="0" applyAlignment="1" pivotButton="0" quotePrefix="0" xfId="0">
      <alignment horizontal="left" vertical="center" wrapText="1"/>
    </xf>
    <xf numFmtId="0" fontId="11" fillId="0" borderId="7" applyAlignment="1" pivotButton="0" quotePrefix="0" xfId="0">
      <alignment horizontal="left" vertical="center"/>
    </xf>
    <xf numFmtId="0" fontId="16" fillId="0" borderId="0" applyAlignment="1" pivotButton="0" quotePrefix="0" xfId="0">
      <alignment vertical="top" wrapText="1"/>
    </xf>
    <xf numFmtId="0" fontId="3" fillId="3" borderId="0" applyAlignment="1" pivotButton="0" quotePrefix="0" xfId="1">
      <alignment vertical="top" wrapText="1"/>
    </xf>
    <xf numFmtId="0" fontId="0" fillId="0" borderId="4" applyAlignment="1" pivotButton="0" quotePrefix="0" xfId="0">
      <alignment horizontal="center" vertical="top" wrapText="1"/>
    </xf>
    <xf numFmtId="0" fontId="0" fillId="0" borderId="4" applyAlignment="1" pivotButton="0" quotePrefix="0" xfId="0">
      <alignment horizontal="left" vertical="top" wrapText="1"/>
    </xf>
    <xf numFmtId="0" fontId="0" fillId="2" borderId="4" applyAlignment="1" pivotButton="0" quotePrefix="0" xfId="0">
      <alignment horizontal="left" vertical="top" wrapText="1"/>
    </xf>
    <xf numFmtId="0" fontId="0" fillId="0" borderId="0" applyAlignment="1" pivotButton="0" quotePrefix="0" xfId="0">
      <alignment horizontal="center" vertical="top" wrapText="1"/>
    </xf>
    <xf numFmtId="0" fontId="0" fillId="0" borderId="2" applyAlignment="1" pivotButton="0" quotePrefix="0" xfId="0">
      <alignment horizontal="left" vertical="top"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6" fillId="0" borderId="0" applyAlignment="1" pivotButton="0" quotePrefix="0" xfId="0">
      <alignment horizontal="left" vertical="top" wrapText="1"/>
    </xf>
    <xf numFmtId="0" fontId="11" fillId="0" borderId="0" applyAlignment="1" pivotButton="0" quotePrefix="0" xfId="0">
      <alignment horizontal="left" vertical="top" wrapText="1"/>
    </xf>
    <xf numFmtId="0" fontId="0" fillId="6" borderId="2" applyAlignment="1" pivotButton="0" quotePrefix="0" xfId="0">
      <alignment vertical="top" wrapText="1"/>
    </xf>
    <xf numFmtId="0" fontId="0" fillId="6"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7" fillId="6" borderId="0" applyAlignment="1" pivotButton="0" quotePrefix="0" xfId="0">
      <alignment vertical="top" wrapText="1"/>
    </xf>
    <xf numFmtId="0" fontId="1" fillId="6" borderId="0" applyAlignment="1" pivotButton="0" quotePrefix="0" xfId="0">
      <alignment vertical="top" wrapText="1"/>
    </xf>
    <xf numFmtId="0" fontId="1" fillId="0" borderId="4" applyAlignment="1" pivotButton="0" quotePrefix="0" xfId="0">
      <alignment horizontal="center" vertical="center"/>
    </xf>
    <xf numFmtId="0" fontId="1" fillId="0" borderId="8" applyAlignment="1" pivotButton="0" quotePrefix="0" xfId="0">
      <alignment horizontal="center" vertical="center" wrapText="1"/>
    </xf>
    <xf numFmtId="0" fontId="1" fillId="0" borderId="4" applyAlignment="1" pivotButton="0" quotePrefix="0" xfId="0">
      <alignment vertical="center"/>
    </xf>
    <xf numFmtId="3" fontId="0" fillId="6" borderId="0" applyAlignment="1" pivotButton="0" quotePrefix="0" xfId="0">
      <alignment vertical="top" wrapText="1"/>
    </xf>
    <xf numFmtId="3" fontId="0" fillId="6" borderId="0" applyAlignment="1" pivotButton="0" quotePrefix="0" xfId="0">
      <alignment horizontal="center" vertical="center"/>
    </xf>
    <xf numFmtId="0" fontId="11" fillId="6" borderId="0" applyAlignment="1" pivotButton="0" quotePrefix="0" xfId="0">
      <alignment vertical="top" wrapText="1"/>
    </xf>
    <xf numFmtId="0" fontId="0" fillId="0" borderId="10" pivotButton="0" quotePrefix="0" xfId="0"/>
    <xf numFmtId="0" fontId="0" fillId="0" borderId="11" pivotButton="0" quotePrefix="0" xfId="0"/>
    <xf numFmtId="0" fontId="17"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tc={DFF87492-011A-4DFF-B2A2-0767EFA86F14}</author>
    <author>Folashade Jaiyeola</author>
    <author>tc={079A32D1-D600-4A60-B4CE-F2D4598DC6F2}</author>
    <author>tc={32BF67D8-AF94-4243-BB0C-9121426D1E0C}</author>
    <author>tc={2D8B2591-10A3-4BD9-800A-1F7644AFF05C}</author>
    <author>tc={A0D25A78-FA1F-4143-B02D-7892CF711E91}</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this is project is now cancelled in accordance's with GEF's directives</t>
      </text>
    </comment>
    <comment ref="L2" authorId="1" shapeId="0">
      <text>
        <t>Folashade Jaiyeola:
Former: 2.89
Deleted because project has been cancelled</t>
      </text>
    </comment>
    <comment ref="B5" authorId="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project is now operationally closed</t>
      </text>
    </comment>
    <comment ref="B9" authorId="1" shapeId="0">
      <text>
        <t xml:space="preserve">Folashade Jaiyeola:
We should not include this project as it is not fully approved
</t>
      </text>
    </comment>
    <comment ref="M9" authorId="3" shapeId="0">
      <text>
        <t xml:space="preserve">[Threaded comment]
Your version of Excel allows you to read this threaded comment; however, any edits to it will get removed if the file is opened in a newer version of Excel. Learn more: https://go.microsoft.com/fwlink/?linkid=870924
Comment:
    @Stefano Pistolese the CO is no longer pursuing this partnership. We can remove it from here. Noted that all your questions are related to this particular project. </t>
      </text>
    </comment>
    <comment ref="B19" authorId="1" shapeId="0">
      <text>
        <t xml:space="preserve">Folashade Jaiyeola:
We should not include this project as it is still in approval stage
</t>
      </text>
    </comment>
    <comment ref="B31" authorId="4"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project is now operationally closed</t>
      </text>
    </comment>
    <comment ref="B32"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@Stefano Pistolese new</t>
      </text>
    </comment>
  </commentList>
</comments>
</file>

<file path=xl/comments/comment2.xml><?xml version="1.0" encoding="utf-8"?>
<comments xmlns="http://schemas.openxmlformats.org/spreadsheetml/2006/main">
  <authors>
    <author>tc={2E7CBD10-59CA-44C3-A4AD-E25CABF81504}</author>
  </authors>
  <commentList>
    <comment ref="I8" authorId="0" shapeId="0">
      <text>
        <t xml:space="preserve">[Threaded comment]
Your version of Excel allows you to read this threaded comment; however, any edits to it will get removed if the file is opened in a newer version of Excel. Learn more: https://go.microsoft.com/fwlink/?linkid=870924
Comment:
    @Stefano Pistolese the CO is no longer pursuing this partnership. We can remove it from here. Noted that all your questions are related to this particular project.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04187" TargetMode="External" Id="rId1"/><Relationship Type="http://schemas.openxmlformats.org/officeDocument/2006/relationships/hyperlink" Target="https://open.undp.org/projects/00111777"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pen.undp.org/projects/00111777" TargetMode="External" Id="rId1"/><Relationship Type="http://schemas.openxmlformats.org/officeDocument/2006/relationships/hyperlink" Target="https://open.undp.org/projects/00111777" TargetMode="External" Id="rId2"/></Relationships>
</file>

<file path=xl/worksheets/_rels/sheet3.xml.rels><Relationships xmlns="http://schemas.openxmlformats.org/package/2006/relationships"><Relationship Type="http://schemas.openxmlformats.org/officeDocument/2006/relationships/hyperlink" Target="https://open.undp.org/projects/00111777" TargetMode="External" Id="rId1"/><Relationship Type="http://schemas.openxmlformats.org/officeDocument/2006/relationships/hyperlink" Target="https://open.undp.org/projects/00111777" TargetMode="External" Id="rId2"/></Relationships>
</file>

<file path=xl/worksheets/_rels/sheet4.xml.rels><Relationships xmlns="http://schemas.openxmlformats.org/package/2006/relationships"><Relationship Type="http://schemas.openxmlformats.org/officeDocument/2006/relationships/hyperlink" Target="https://open.undp.org/projects/00111777" TargetMode="Externa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Z71"/>
  <sheetViews>
    <sheetView tabSelected="1" zoomScale="70" zoomScaleNormal="70" workbookViewId="0">
      <pane xSplit="2" ySplit="1" topLeftCell="D18" activePane="bottomRight" state="frozen"/>
      <selection pane="bottomRight" activeCell="E24" sqref="E24"/>
      <selection pane="bottomLeft" activeCell="A1" sqref="A1"/>
      <selection pane="topRight" activeCell="A1" sqref="A1"/>
    </sheetView>
  </sheetViews>
  <sheetFormatPr baseColWidth="8" defaultColWidth="9.140625" defaultRowHeight="15"/>
  <cols>
    <col width="14.85546875" customWidth="1" style="2" min="1" max="1"/>
    <col width="48.140625" bestFit="1" customWidth="1" style="2" min="2" max="2"/>
    <col width="22.28515625" customWidth="1" style="2" min="3" max="3"/>
    <col width="10.85546875" customWidth="1" style="2" min="4" max="4"/>
    <col width="12" customWidth="1" style="2" min="5" max="5"/>
    <col width="12" customWidth="1" style="2" min="6" max="6"/>
    <col width="12" customWidth="1" style="2" min="7" max="8"/>
    <col width="12" customWidth="1" min="8" max="8"/>
    <col width="32.7109375" customWidth="1" style="2" min="9" max="9"/>
    <col width="23.85546875" customWidth="1" style="2" min="10" max="10"/>
    <col width="13" customWidth="1" style="2" min="11" max="11"/>
    <col width="12.85546875" bestFit="1" customWidth="1" style="2" min="12" max="12"/>
    <col width="11.42578125" bestFit="1" customWidth="1" style="2" min="13" max="13"/>
    <col width="14.42578125" bestFit="1" customWidth="1" style="2" min="14" max="14"/>
    <col width="9.140625" customWidth="1" style="2" min="15" max="18"/>
    <col width="13.42578125" bestFit="1" customWidth="1" style="2" min="19" max="19"/>
    <col width="9.140625" customWidth="1" style="2" min="20" max="21"/>
    <col width="16.140625" customWidth="1" style="2" min="22" max="22"/>
    <col width="9.140625" customWidth="1" style="2" min="23" max="16384"/>
  </cols>
  <sheetData>
    <row r="1" ht="35.25" customHeight="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1" t="inlineStr">
        <is>
          <t>Indicator</t>
        </is>
      </c>
      <c r="K1" s="1" t="inlineStr">
        <is>
          <t>Baseline</t>
        </is>
      </c>
      <c r="L1" s="1" t="inlineStr">
        <is>
          <t>Target</t>
        </is>
      </c>
      <c r="M1" s="1" t="inlineStr">
        <is>
          <t>Notes</t>
        </is>
      </c>
      <c r="N1" s="13" t="inlineStr">
        <is>
          <t>Donors</t>
        </is>
      </c>
      <c r="O1" s="65" t="inlineStr">
        <is>
          <t>Gender (% female)</t>
        </is>
      </c>
      <c r="P1" s="58" t="inlineStr">
        <is>
          <t>Tag</t>
        </is>
      </c>
      <c r="Q1" s="57" t="inlineStr">
        <is>
          <t>SEH Taxonomy</t>
        </is>
      </c>
      <c r="R1" s="57" t="inlineStr">
        <is>
          <t>RISE Taxonomy</t>
        </is>
      </c>
      <c r="S1" s="58" t="inlineStr">
        <is>
          <t>Flagship</t>
        </is>
      </c>
      <c r="T1" s="58" t="inlineStr">
        <is>
          <t>Indirect Category</t>
        </is>
      </c>
      <c r="U1" s="59" t="inlineStr">
        <is>
          <t>Indirect Taxonomy</t>
        </is>
      </c>
      <c r="V1" s="60" t="inlineStr">
        <is>
          <t>Technology</t>
        </is>
      </c>
      <c r="W1" s="59" t="inlineStr">
        <is>
          <t>Policy or Regulatory Framework</t>
        </is>
      </c>
      <c r="X1" s="60" t="inlineStr">
        <is>
          <t>Policy Population</t>
        </is>
      </c>
      <c r="Y1" s="76" t="inlineStr">
        <is>
          <t>Project Document</t>
        </is>
      </c>
    </row>
    <row r="2" ht="139.5" customHeight="1">
      <c r="A2" s="56" t="n">
        <v>104187</v>
      </c>
      <c r="B2" s="56" t="inlineStr">
        <is>
          <t>(Suspended until Nov 2023) Rural Renewable Energy</t>
        </is>
      </c>
      <c r="C2" s="66" t="inlineStr">
        <is>
          <t>https://open.undp.org/projects/00104187</t>
        </is>
      </c>
      <c r="D2" s="56" t="n">
        <v>4934228</v>
      </c>
      <c r="E2" s="93" t="n"/>
      <c r="F2" s="93" t="n"/>
      <c r="G2" s="93" t="n"/>
      <c r="H2" s="56" t="inlineStr">
        <is>
          <t>Non-VF</t>
        </is>
      </c>
      <c r="I2" s="4" t="inlineStr">
        <is>
          <t>Energy (MW added)</t>
        </is>
      </c>
      <c r="J2" s="4" t="inlineStr">
        <is>
          <t>MW</t>
        </is>
      </c>
      <c r="K2" s="4" t="inlineStr">
        <is>
          <t>N/A</t>
        </is>
      </c>
      <c r="L2" s="94" t="n"/>
      <c r="M2" s="94" t="inlineStr">
        <is>
          <t>Suspension of project likely to be extended
246,094 tCO2 over the 12-yr lifetime of small hydro and solar mini-grids (20,508 tCO2 per year), and corresponding energy production of 25,341 MWh per year -&gt; 2.89 MW added
[AUTO-ADDED] Project reports access/productive-use beneficiary numbers but no MW value. Please add installed capacity (MW) or confirm not applicable.</t>
        </is>
      </c>
      <c r="P2" s="62" t="n"/>
      <c r="Q2" s="63" t="inlineStr">
        <is>
          <t>Close the gap on energy access</t>
        </is>
      </c>
      <c r="R2" s="62" t="n"/>
      <c r="S2" s="62" t="n"/>
      <c r="T2" s="62" t="n"/>
      <c r="U2" s="62" t="n"/>
      <c r="V2" s="64" t="inlineStr">
        <is>
          <t>Some Sources</t>
        </is>
      </c>
      <c r="W2" s="62" t="n"/>
      <c r="X2" s="64" t="n"/>
      <c r="Y2" s="2" t="inlineStr">
        <is>
          <t>yes</t>
        </is>
      </c>
    </row>
    <row r="3" ht="75" customHeight="1">
      <c r="I3" s="67" t="inlineStr">
        <is>
          <t>GHG Emissions Reduction</t>
        </is>
      </c>
      <c r="J3" s="2" t="inlineStr">
        <is>
          <t>Lifetime consequential GHG emissions avoided as a result of energy access projects</t>
        </is>
      </c>
      <c r="K3" s="2" t="inlineStr">
        <is>
          <t>N/A</t>
        </is>
      </c>
      <c r="L3" s="2" t="n">
        <v>20508</v>
      </c>
      <c r="M3" s="4" t="inlineStr">
        <is>
          <t>Indirect (consequential) emissions are 738,281 tCO2 over the 12-yr lifetime of the equipment</t>
        </is>
      </c>
      <c r="P3" s="62" t="n"/>
      <c r="Q3" s="63" t="inlineStr">
        <is>
          <t>Close the gap on energy access</t>
        </is>
      </c>
      <c r="R3" s="62" t="n"/>
      <c r="S3" s="62" t="n"/>
      <c r="T3" s="62" t="n"/>
      <c r="U3" s="62" t="n"/>
      <c r="V3" s="64" t="n"/>
      <c r="W3" s="62" t="n"/>
      <c r="X3" s="64" t="n"/>
    </row>
    <row r="4" ht="75" customHeight="1">
      <c r="I4" s="2" t="inlineStr">
        <is>
          <t>Agriculture and Food System</t>
        </is>
      </c>
      <c r="J4" s="2" t="inlineStr">
        <is>
          <t>Number of households (and # of female-headed HH) provided with electricity services</t>
        </is>
      </c>
      <c r="K4" s="2" t="inlineStr">
        <is>
          <t>N/A</t>
        </is>
      </c>
      <c r="L4" s="2" t="inlineStr">
        <is>
          <t>56200 HH</t>
        </is>
      </c>
      <c r="M4" s="4" t="inlineStr">
        <is>
          <t>56,200 households in 281 villages  will be connected (RE mini-grids plus SHS). At 4.4 person per HH, beneficiaries are 247,280 (50% male and 50% female).</t>
        </is>
      </c>
      <c r="P4" s="62" t="n"/>
      <c r="Q4" s="63" t="inlineStr">
        <is>
          <t>Close the gap on energy access</t>
        </is>
      </c>
      <c r="R4" s="62" t="n"/>
      <c r="S4" s="62" t="n"/>
      <c r="T4" s="62" t="n"/>
      <c r="U4" s="62" t="n"/>
      <c r="V4" s="64" t="n"/>
      <c r="W4" s="62" t="n"/>
      <c r="X4" s="64" t="n"/>
    </row>
    <row r="5" ht="91.5" customHeight="1">
      <c r="A5" s="2" t="n">
        <v>111777</v>
      </c>
      <c r="B5" s="2" t="inlineStr">
        <is>
          <t xml:space="preserve">Governance for Resilience and Sustainability Project </t>
        </is>
      </c>
      <c r="C5" s="3" t="inlineStr">
        <is>
          <t>https://open.undp.org/projects/00111777</t>
        </is>
      </c>
      <c r="D5" s="2" t="n">
        <v>716641</v>
      </c>
      <c r="E5" s="94" t="n"/>
      <c r="F5" s="94" t="n"/>
      <c r="G5" s="94" t="n"/>
      <c r="H5" s="2" t="inlineStr">
        <is>
          <t>Non-VF</t>
        </is>
      </c>
      <c r="I5" s="2" t="inlineStr">
        <is>
          <t>Electricity Access</t>
        </is>
      </c>
      <c r="J5" s="2" t="inlineStr">
        <is>
          <t>Number of households provided with electricity services</t>
        </is>
      </c>
      <c r="K5" s="2" t="inlineStr">
        <is>
          <t>N/A</t>
        </is>
      </c>
      <c r="L5" s="2" t="inlineStr">
        <is>
          <t>827 HH</t>
        </is>
      </c>
      <c r="M5" s="2" t="inlineStr">
        <is>
          <t xml:space="preserve">GRSP's budget for 2022 was $716,641.
Installed solar home systems (SHS) in 827 households in Mon state and Magway region </t>
        </is>
      </c>
      <c r="P5" s="62" t="n"/>
      <c r="Q5" s="63" t="inlineStr">
        <is>
          <t>Accelerating just energy transition</t>
        </is>
      </c>
      <c r="R5" s="62" t="n"/>
      <c r="S5" s="62" t="n"/>
      <c r="T5" s="62" t="n"/>
      <c r="U5" s="62" t="n"/>
      <c r="V5" s="64" t="inlineStr">
        <is>
          <t>Solar</t>
        </is>
      </c>
      <c r="W5" s="62" t="n"/>
      <c r="X5" s="64" t="n"/>
      <c r="Y5" s="2" t="inlineStr">
        <is>
          <t>yes</t>
        </is>
      </c>
    </row>
    <row r="6" ht="105" customHeight="1">
      <c r="C6" s="3" t="n"/>
      <c r="D6" s="5" t="n"/>
      <c r="E6" s="5" t="n"/>
      <c r="F6" s="5" t="n"/>
      <c r="G6" s="5" t="n"/>
      <c r="H6" s="5" t="n"/>
      <c r="I6" s="2" t="inlineStr">
        <is>
          <t>Clean Cooking</t>
        </is>
      </c>
      <c r="J6" s="2" t="inlineStr">
        <is>
          <t>Number of households  provided with improved cookstoves</t>
        </is>
      </c>
      <c r="K6" s="2" t="inlineStr">
        <is>
          <t>N/A</t>
        </is>
      </c>
      <c r="L6" s="2" t="inlineStr">
        <is>
          <t>827 HH</t>
        </is>
      </c>
      <c r="M6" s="2" t="inlineStr">
        <is>
          <t>GRSP's budget for 2022 was $716,641. The project was concluded in 2022. 
A total of 827 houselholds in Mon state and Tanintharyi received improved cookstoves</t>
        </is>
      </c>
      <c r="P6" s="62" t="n"/>
      <c r="Q6" s="63" t="inlineStr">
        <is>
          <t>Close the gap on energy access</t>
        </is>
      </c>
      <c r="R6" s="62" t="n"/>
      <c r="S6" s="62" t="n"/>
      <c r="T6" s="62" t="n"/>
      <c r="U6" s="62" t="n"/>
      <c r="V6" s="64" t="n"/>
      <c r="W6" s="62" t="n"/>
      <c r="X6" s="64" t="n"/>
    </row>
    <row r="7" ht="244.5" customHeight="1">
      <c r="C7" s="3" t="n"/>
      <c r="D7" s="5" t="n"/>
      <c r="E7" s="5" t="n"/>
      <c r="F7" s="5" t="n"/>
      <c r="G7" s="5" t="n"/>
      <c r="H7" s="5" t="n"/>
      <c r="I7" s="2" t="inlineStr">
        <is>
          <t>Agriculture and Food System</t>
        </is>
      </c>
      <c r="J7" s="2" t="inlineStr">
        <is>
          <t xml:space="preserve">Number of household  provided with solar pumping system and solar bubble dryer </t>
        </is>
      </c>
      <c r="K7" s="2" t="inlineStr">
        <is>
          <t>N/A</t>
        </is>
      </c>
      <c r="L7" s="7" t="inlineStr">
        <is>
          <t>30 HH</t>
        </is>
      </c>
      <c r="M7" s="2" t="inlineStr">
        <is>
          <t xml:space="preserve">GRSP's budget for 2022 was $716,641. The project was concluded in 2022. 
Solar pumping capacity - Generate watt 3300 and water storage pond with the capacity of about 20,000 gallons of water.
3 villages in Shan state were supported with 1 solar pumping system and 2 solar bubble dryers. 
Solar pumping - 15 HH
Solar dryers - 30 HH in total (two villages) </t>
        </is>
      </c>
      <c r="P7" s="62" t="n"/>
      <c r="Q7" s="63" t="inlineStr">
        <is>
          <t>Close the gap on energy access</t>
        </is>
      </c>
      <c r="R7" s="62" t="n"/>
      <c r="S7" s="62" t="n"/>
      <c r="T7" s="62" t="n"/>
      <c r="U7" s="62" t="n"/>
      <c r="V7" s="64" t="n"/>
      <c r="W7" s="62" t="n"/>
      <c r="X7" s="64" t="n"/>
      <c r="Z7" s="14" t="n"/>
    </row>
    <row r="8" ht="45.75" customHeight="1">
      <c r="A8" s="95" t="n"/>
      <c r="B8" s="95" t="n"/>
      <c r="C8" s="3" t="n"/>
      <c r="D8" s="5" t="n"/>
      <c r="E8" s="5" t="n"/>
      <c r="F8" s="5" t="n"/>
      <c r="G8" s="5" t="n"/>
      <c r="H8" s="5" t="n"/>
      <c r="I8" s="96" t="inlineStr">
        <is>
          <t>Energy (MW added)</t>
        </is>
      </c>
      <c r="J8" s="96" t="inlineStr">
        <is>
          <t>Installed capacity in MW for access/productive-use outputs</t>
        </is>
      </c>
      <c r="K8" s="96" t="n">
        <v>0</v>
      </c>
      <c r="L8" s="97" t="n"/>
      <c r="M8" s="98" t="inlineStr">
        <is>
          <t>[AUTO-ADDED] Project reports access/productive-use beneficiary numbers but no MW value. Please add installed capacity (MW) or confirm not applicable.</t>
        </is>
      </c>
      <c r="N8" s="95" t="n"/>
      <c r="O8" s="95" t="n"/>
      <c r="P8" s="99" t="n"/>
      <c r="Q8" s="100" t="n"/>
      <c r="R8" s="99" t="n"/>
      <c r="S8" s="99" t="n"/>
      <c r="T8" s="99" t="n"/>
      <c r="U8" s="99" t="n"/>
      <c r="V8" s="101" t="n"/>
      <c r="W8" s="99" t="n"/>
      <c r="X8" s="101" t="n"/>
      <c r="Y8" s="95" t="n"/>
      <c r="Z8" s="14" t="n"/>
    </row>
    <row r="9" ht="45.75" customHeight="1">
      <c r="A9" s="12" t="inlineStr">
        <is>
          <t>missing-MMR-1</t>
        </is>
      </c>
      <c r="B9" s="82" t="inlineStr">
        <is>
          <t>UNDP-SPM Partnership for rural electrification
(Concept developed subject to resource mobilization)</t>
        </is>
      </c>
      <c r="D9" s="6" t="n">
        <v>1348200</v>
      </c>
      <c r="E9" s="102" t="n"/>
      <c r="F9" s="102" t="n"/>
      <c r="G9" s="102" t="n"/>
      <c r="H9" s="6" t="inlineStr">
        <is>
          <t>Non-VF</t>
        </is>
      </c>
      <c r="I9" s="2" t="inlineStr">
        <is>
          <t>Electricity Access</t>
        </is>
      </c>
      <c r="J9" s="2" t="inlineStr">
        <is>
          <t xml:space="preserve">Number of HH provided with Solar home lighting systems </t>
        </is>
      </c>
      <c r="K9" s="2" t="inlineStr">
        <is>
          <t>N/A</t>
        </is>
      </c>
      <c r="L9" s="2" t="n">
        <v>0</v>
      </c>
      <c r="M9" s="2" t="inlineStr">
        <is>
          <t>the project document was developed and resources in pipeline.
Projected target: 5000</t>
        </is>
      </c>
      <c r="N9" s="12" t="inlineStr">
        <is>
          <t>in search of donor</t>
        </is>
      </c>
      <c r="P9" s="62" t="n"/>
      <c r="Q9" s="63" t="n"/>
      <c r="R9" s="62" t="n"/>
      <c r="S9" s="62" t="n"/>
      <c r="T9" s="62" t="n"/>
      <c r="U9" s="62" t="n"/>
      <c r="V9" s="64" t="inlineStr">
        <is>
          <t>Solar</t>
        </is>
      </c>
      <c r="W9" s="62" t="n"/>
      <c r="X9" s="64" t="n"/>
      <c r="Y9" s="2" t="inlineStr">
        <is>
          <t>no</t>
        </is>
      </c>
    </row>
    <row r="10" ht="76.5" customHeight="1">
      <c r="B10" s="7" t="n"/>
      <c r="D10" s="6" t="n"/>
      <c r="E10" s="6" t="n"/>
      <c r="F10" s="6" t="n"/>
      <c r="G10" s="6" t="n"/>
      <c r="H10" s="6" t="n"/>
      <c r="I10" s="2" t="inlineStr">
        <is>
          <t>Clean Cooking</t>
        </is>
      </c>
      <c r="J10" s="2" t="inlineStr">
        <is>
          <t>number of HHs provided with energy efficient cookstoves</t>
        </is>
      </c>
      <c r="K10" s="2" t="inlineStr">
        <is>
          <t>N/A</t>
        </is>
      </c>
      <c r="L10" s="6" t="n">
        <v>0</v>
      </c>
      <c r="M10" s="2" t="inlineStr">
        <is>
          <t>Projected target: 50000</t>
        </is>
      </c>
      <c r="N10" s="68" t="n"/>
      <c r="P10" s="62" t="n"/>
      <c r="Q10" s="63" t="n"/>
      <c r="R10" s="62" t="n"/>
      <c r="S10" s="62" t="n"/>
      <c r="T10" s="62" t="n"/>
      <c r="U10" s="62" t="n"/>
      <c r="V10" s="64" t="n"/>
      <c r="W10" s="62" t="n"/>
      <c r="X10" s="64" t="n"/>
    </row>
    <row r="11" ht="76.5" customHeight="1">
      <c r="B11" s="7" t="n"/>
      <c r="D11" s="6" t="n"/>
      <c r="E11" s="6" t="n"/>
      <c r="F11" s="6" t="n"/>
      <c r="G11" s="6" t="n"/>
      <c r="H11" s="6" t="n"/>
      <c r="I11" s="2" t="inlineStr">
        <is>
          <t>Water Services</t>
        </is>
      </c>
      <c r="J11" s="12" t="inlineStr">
        <is>
          <t xml:space="preserve">number of village water supply systems upgraded to solar-powered applications </t>
        </is>
      </c>
      <c r="K11" s="12" t="inlineStr">
        <is>
          <t>N/A</t>
        </is>
      </c>
      <c r="L11" s="12" t="n">
        <v>0</v>
      </c>
      <c r="M11" t="inlineStr">
        <is>
          <t>Projected target: 100</t>
        </is>
      </c>
      <c r="N11" s="68" t="n"/>
      <c r="P11" s="62" t="n"/>
      <c r="Q11" s="63" t="n"/>
      <c r="R11" s="62" t="n"/>
      <c r="S11" s="62" t="n"/>
      <c r="T11" s="62" t="n"/>
      <c r="U11" s="62" t="n"/>
      <c r="V11" s="64" t="n"/>
      <c r="W11" s="62" t="n"/>
      <c r="X11" s="64" t="n"/>
      <c r="Z11" s="27" t="inlineStr">
        <is>
          <t>Estimate # of beneficiaries / village</t>
        </is>
      </c>
    </row>
    <row r="12" ht="91.5" customHeight="1">
      <c r="B12" s="7" t="n"/>
      <c r="D12" s="6" t="n"/>
      <c r="E12" s="6" t="n"/>
      <c r="F12" s="6" t="n"/>
      <c r="G12" s="6" t="n"/>
      <c r="H12" s="6" t="n"/>
      <c r="I12" s="2" t="inlineStr">
        <is>
          <t>Water Services</t>
        </is>
      </c>
      <c r="J12" s="12" t="inlineStr">
        <is>
          <t>number of villages provided with a new solar-powered village water supply system</t>
        </is>
      </c>
      <c r="K12" s="12" t="n"/>
      <c r="L12" s="12" t="n">
        <v>0</v>
      </c>
      <c r="M12" t="inlineStr">
        <is>
          <t>Projected target: 168</t>
        </is>
      </c>
      <c r="N12" s="68" t="n"/>
      <c r="P12" s="62" t="n"/>
      <c r="Q12" s="63" t="n"/>
      <c r="R12" s="62" t="n"/>
      <c r="S12" s="62" t="n"/>
      <c r="T12" s="62" t="n"/>
      <c r="U12" s="62" t="n"/>
      <c r="V12" s="64" t="n"/>
      <c r="W12" s="62" t="n"/>
      <c r="X12" s="64" t="n"/>
      <c r="Z12" s="27" t="inlineStr">
        <is>
          <t>Estimate # of beneficiaries / village</t>
        </is>
      </c>
    </row>
    <row r="13" ht="106.5" customHeight="1">
      <c r="B13" s="7" t="n"/>
      <c r="D13" s="6" t="n"/>
      <c r="E13" s="6" t="n"/>
      <c r="F13" s="6" t="n"/>
      <c r="G13" s="6" t="n"/>
      <c r="H13" s="6" t="n"/>
      <c r="I13" s="2" t="inlineStr">
        <is>
          <t>Agriculture and Food System</t>
        </is>
      </c>
      <c r="J13" s="12" t="inlineStr">
        <is>
          <t xml:space="preserve">number of villages provided with a new small-scale solar irrigation system to improve agricultural production </t>
        </is>
      </c>
      <c r="K13" s="12" t="inlineStr">
        <is>
          <t>N/A</t>
        </is>
      </c>
      <c r="L13" s="12" t="n">
        <v>0</v>
      </c>
      <c r="M13" s="2" t="inlineStr">
        <is>
          <t>Projected target: 56</t>
        </is>
      </c>
      <c r="N13" s="68" t="n"/>
      <c r="P13" s="62" t="n"/>
      <c r="Q13" s="63" t="n"/>
      <c r="R13" s="62" t="n"/>
      <c r="S13" s="62" t="n"/>
      <c r="T13" s="62" t="n"/>
      <c r="U13" s="62" t="n"/>
      <c r="V13" s="64" t="n"/>
      <c r="W13" s="62" t="n"/>
      <c r="X13" s="64" t="n"/>
      <c r="Z13" s="27" t="inlineStr">
        <is>
          <t>Estimate # of beneficiaries / village</t>
        </is>
      </c>
    </row>
    <row r="14" ht="91.5" customHeight="1">
      <c r="B14" s="7" t="n"/>
      <c r="D14" s="6" t="n"/>
      <c r="E14" s="6" t="n"/>
      <c r="F14" s="6" t="n"/>
      <c r="G14" s="6" t="n"/>
      <c r="H14" s="6" t="n"/>
      <c r="I14" s="2" t="inlineStr">
        <is>
          <t>Agriculture and Food System</t>
        </is>
      </c>
      <c r="J14" s="12" t="inlineStr">
        <is>
          <t>number of small-scale irrigation systems upgraded to solar-powered applications to improve the efficiency of agricultural production</t>
        </is>
      </c>
      <c r="K14" s="12" t="inlineStr">
        <is>
          <t>N/A</t>
        </is>
      </c>
      <c r="L14" s="12" t="n">
        <v>0</v>
      </c>
      <c r="M14" s="2" t="inlineStr">
        <is>
          <t>Projected target: 56</t>
        </is>
      </c>
      <c r="N14" s="68" t="n"/>
      <c r="P14" s="62" t="n"/>
      <c r="Q14" s="63" t="n"/>
      <c r="R14" s="62" t="n"/>
      <c r="S14" s="62" t="n"/>
      <c r="T14" s="62" t="n"/>
      <c r="U14" s="62" t="n"/>
      <c r="V14" s="64" t="n"/>
      <c r="W14" s="62" t="n"/>
      <c r="X14" s="64" t="n"/>
      <c r="Z14" s="27" t="inlineStr">
        <is>
          <t>Estimate # of beneficiaries / system</t>
        </is>
      </c>
    </row>
    <row r="15" ht="91.5" customHeight="1">
      <c r="B15" s="7" t="n"/>
      <c r="D15" s="6" t="n"/>
      <c r="E15" s="6" t="n"/>
      <c r="F15" s="6" t="n"/>
      <c r="G15" s="6" t="n"/>
      <c r="H15" s="6" t="n"/>
      <c r="I15" s="2" t="inlineStr">
        <is>
          <t>Other energy services</t>
        </is>
      </c>
      <c r="J15" s="12" t="inlineStr">
        <is>
          <t xml:space="preserve">number of women's start-up livelihood groups provided with productive use of energy (PUE) inputs/applications </t>
        </is>
      </c>
      <c r="K15" s="12" t="inlineStr">
        <is>
          <t>N/A</t>
        </is>
      </c>
      <c r="L15" s="12" t="n">
        <v>0</v>
      </c>
      <c r="M15" s="2" t="inlineStr">
        <is>
          <t>Projected target: 100</t>
        </is>
      </c>
      <c r="N15" s="68" t="n"/>
      <c r="P15" s="62" t="n"/>
      <c r="Q15" s="63" t="n"/>
      <c r="R15" s="62" t="n"/>
      <c r="S15" s="62" t="n"/>
      <c r="T15" s="62" t="n"/>
      <c r="U15" s="62" t="n"/>
      <c r="V15" s="64" t="n"/>
      <c r="W15" s="62" t="n"/>
      <c r="X15" s="64" t="n"/>
    </row>
    <row r="16" ht="76.5" customHeight="1">
      <c r="B16" s="9" t="n"/>
      <c r="C16" s="10" t="n"/>
      <c r="D16" s="11" t="n"/>
      <c r="E16" s="11" t="n"/>
      <c r="F16" s="11" t="n"/>
      <c r="G16" s="11" t="n"/>
      <c r="H16" s="11" t="n"/>
      <c r="I16" s="10" t="inlineStr">
        <is>
          <t>Electricity Access</t>
        </is>
      </c>
      <c r="J16" s="69" t="inlineStr">
        <is>
          <t xml:space="preserve">number of villages supported with community-led last-mile connection to the national grid 
</t>
        </is>
      </c>
      <c r="K16" s="70" t="inlineStr">
        <is>
          <t>N/A</t>
        </is>
      </c>
      <c r="L16" s="70" t="n">
        <v>0</v>
      </c>
      <c r="M16" s="2" t="inlineStr">
        <is>
          <t>Projected target: 56</t>
        </is>
      </c>
      <c r="N16" s="68" t="n"/>
      <c r="P16" s="62" t="n"/>
      <c r="Q16" s="63" t="n"/>
      <c r="R16" s="62" t="n"/>
      <c r="S16" s="62" t="n"/>
      <c r="T16" s="62" t="n"/>
      <c r="U16" s="62" t="n"/>
      <c r="V16" s="64" t="n"/>
      <c r="W16" s="62" t="n"/>
      <c r="X16" s="64" t="n"/>
      <c r="Z16" s="27" t="inlineStr">
        <is>
          <t>Estimate # of beneficiaries / village</t>
        </is>
      </c>
    </row>
    <row r="17" ht="76.5" customHeight="1">
      <c r="B17" s="9" t="n"/>
      <c r="C17" s="10" t="n"/>
      <c r="D17" s="11" t="n"/>
      <c r="E17" s="11" t="n"/>
      <c r="F17" s="11" t="n"/>
      <c r="G17" s="11" t="n"/>
      <c r="H17" s="11" t="n"/>
      <c r="I17" s="10" t="inlineStr">
        <is>
          <t>Electricity Access</t>
        </is>
      </c>
      <c r="J17" s="69" t="inlineStr">
        <is>
          <t>number of villages supported for connection to a nearby mini-grid</t>
        </is>
      </c>
      <c r="K17" s="70" t="inlineStr">
        <is>
          <t>N/A</t>
        </is>
      </c>
      <c r="L17" s="70" t="n">
        <v>0</v>
      </c>
      <c r="M17" s="2" t="inlineStr">
        <is>
          <t>Projected target: 34</t>
        </is>
      </c>
      <c r="N17" s="68" t="n"/>
      <c r="P17" s="62" t="n"/>
      <c r="Q17" s="63" t="n"/>
      <c r="R17" s="62" t="n"/>
      <c r="S17" s="62" t="n"/>
      <c r="T17" s="62" t="n"/>
      <c r="U17" s="62" t="n"/>
      <c r="V17" s="64" t="n"/>
      <c r="W17" s="62" t="n"/>
      <c r="X17" s="64" t="n"/>
      <c r="Z17" s="27" t="inlineStr">
        <is>
          <t>Estimate # of beneficiaries / village</t>
        </is>
      </c>
    </row>
    <row r="18" ht="60.75" customHeight="1">
      <c r="B18" s="9" t="n"/>
      <c r="C18" s="10" t="n"/>
      <c r="D18" s="11" t="n"/>
      <c r="E18" s="11" t="n"/>
      <c r="F18" s="11" t="n"/>
      <c r="G18" s="11" t="n"/>
      <c r="H18" s="11" t="n"/>
      <c r="I18" s="10" t="inlineStr">
        <is>
          <t>Electricity Access</t>
        </is>
      </c>
      <c r="J18" s="22" t="inlineStr">
        <is>
          <t>number of new mini-grid systems tested to support livelihood recovery in broader areas</t>
        </is>
      </c>
      <c r="K18" s="10" t="inlineStr">
        <is>
          <t>N/A</t>
        </is>
      </c>
      <c r="L18" s="10" t="n">
        <v>0</v>
      </c>
      <c r="M18" s="2" t="inlineStr">
        <is>
          <t>Projected target: 4</t>
        </is>
      </c>
      <c r="N18" s="68" t="n"/>
      <c r="P18" s="62" t="n"/>
      <c r="Q18" s="63" t="n"/>
      <c r="R18" s="62" t="n"/>
      <c r="S18" s="62" t="n"/>
      <c r="T18" s="62" t="n"/>
      <c r="U18" s="62" t="n"/>
      <c r="V18" s="64" t="n"/>
      <c r="W18" s="62" t="n"/>
      <c r="X18" s="64" t="n"/>
      <c r="Z18" s="27" t="inlineStr">
        <is>
          <t>Estimate # of beneficiaries / system</t>
        </is>
      </c>
    </row>
    <row r="19">
      <c r="A19" s="12" t="n"/>
      <c r="B19" s="23" t="n"/>
      <c r="C19" s="23" t="inlineStr">
        <is>
          <t xml:space="preserve"> </t>
        </is>
      </c>
      <c r="D19" s="23" t="n"/>
      <c r="E19" s="23" t="n"/>
      <c r="F19" s="23" t="n"/>
      <c r="G19" s="23" t="n"/>
      <c r="H19" s="23" t="n"/>
      <c r="I19" s="24" t="inlineStr">
        <is>
          <t>Electricity Access</t>
        </is>
      </c>
      <c r="J19" s="23" t="inlineStr">
        <is>
          <t>TBD</t>
        </is>
      </c>
      <c r="K19" s="23" t="inlineStr">
        <is>
          <t>TBD</t>
        </is>
      </c>
      <c r="L19" s="23" t="inlineStr">
        <is>
          <t>TBD</t>
        </is>
      </c>
      <c r="M19" s="8" t="n"/>
      <c r="N19" s="12" t="inlineStr">
        <is>
          <t>in search of donor</t>
        </is>
      </c>
      <c r="P19" s="62" t="n"/>
      <c r="Q19" s="63" t="n"/>
      <c r="R19" s="62" t="n"/>
      <c r="S19" s="62" t="n"/>
      <c r="T19" s="62" t="n"/>
      <c r="U19" s="62" t="n"/>
      <c r="V19" s="64" t="n"/>
      <c r="W19" s="62" t="n"/>
      <c r="X19" s="64" t="n"/>
      <c r="Y19" s="2" t="inlineStr">
        <is>
          <t>no</t>
        </is>
      </c>
    </row>
    <row r="20">
      <c r="A20" s="8" t="n"/>
      <c r="B20" s="23" t="n"/>
      <c r="C20" s="23" t="inlineStr">
        <is>
          <t xml:space="preserve"> </t>
        </is>
      </c>
      <c r="D20" s="23" t="n"/>
      <c r="E20" s="23" t="n"/>
      <c r="F20" s="23" t="n"/>
      <c r="G20" s="23" t="n"/>
      <c r="H20" s="23" t="n"/>
      <c r="I20" s="24" t="inlineStr">
        <is>
          <t>Energy (MW added)</t>
        </is>
      </c>
      <c r="J20" s="23" t="inlineStr">
        <is>
          <t>TBD</t>
        </is>
      </c>
      <c r="K20" s="23" t="inlineStr">
        <is>
          <t>TBD</t>
        </is>
      </c>
      <c r="L20" s="23" t="inlineStr">
        <is>
          <t>TBD</t>
        </is>
      </c>
      <c r="M20" s="8" t="n"/>
      <c r="N20" s="68" t="n"/>
      <c r="P20" s="62" t="n"/>
      <c r="Q20" s="63" t="n"/>
      <c r="R20" s="62" t="n"/>
      <c r="S20" s="62" t="n"/>
      <c r="T20" s="62" t="n"/>
      <c r="U20" s="62" t="n"/>
      <c r="V20" s="64" t="n"/>
      <c r="W20" s="62" t="n"/>
      <c r="X20" s="64" t="n"/>
      <c r="Z20" s="26" t="inlineStr">
        <is>
          <t>Great job, but for any output that has "# of villages" as the output, please specify the average village population in the Notes column</t>
        </is>
      </c>
    </row>
    <row r="21">
      <c r="A21" s="8" t="n"/>
      <c r="B21" s="23" t="n"/>
      <c r="C21" s="23" t="inlineStr">
        <is>
          <t xml:space="preserve"> </t>
        </is>
      </c>
      <c r="D21" s="23" t="n"/>
      <c r="E21" s="23" t="n"/>
      <c r="F21" s="23" t="n"/>
      <c r="G21" s="23" t="n"/>
      <c r="H21" s="23" t="n"/>
      <c r="I21" s="24" t="inlineStr">
        <is>
          <t>Clean Cooking</t>
        </is>
      </c>
      <c r="J21" s="23" t="inlineStr">
        <is>
          <t>TBD</t>
        </is>
      </c>
      <c r="K21" s="23" t="inlineStr">
        <is>
          <t>TBD</t>
        </is>
      </c>
      <c r="L21" s="23" t="inlineStr">
        <is>
          <t>TBD</t>
        </is>
      </c>
      <c r="M21" s="8" t="n"/>
      <c r="N21" s="68" t="n"/>
      <c r="P21" s="62" t="n"/>
      <c r="Q21" s="63" t="n"/>
      <c r="R21" s="62" t="n"/>
      <c r="S21" s="62" t="n"/>
      <c r="T21" s="62" t="n"/>
      <c r="U21" s="62" t="n"/>
      <c r="V21" s="64" t="n"/>
      <c r="W21" s="62" t="n"/>
      <c r="X21" s="64" t="n"/>
    </row>
    <row r="22">
      <c r="A22" s="8" t="n"/>
      <c r="B22" s="23" t="n"/>
      <c r="C22" s="23" t="inlineStr">
        <is>
          <t xml:space="preserve"> </t>
        </is>
      </c>
      <c r="D22" s="23" t="n"/>
      <c r="E22" s="23" t="n"/>
      <c r="F22" s="23" t="n"/>
      <c r="G22" s="23" t="n"/>
      <c r="H22" s="23" t="n"/>
      <c r="I22" s="24" t="inlineStr">
        <is>
          <t>Agriculture and Food System</t>
        </is>
      </c>
      <c r="J22" s="23" t="inlineStr">
        <is>
          <t>TBD</t>
        </is>
      </c>
      <c r="K22" s="23" t="inlineStr">
        <is>
          <t>TBD</t>
        </is>
      </c>
      <c r="L22" s="23" t="inlineStr">
        <is>
          <t>TBD</t>
        </is>
      </c>
      <c r="M22" s="8" t="n"/>
      <c r="N22" s="68" t="n"/>
      <c r="P22" s="62" t="n"/>
      <c r="Q22" s="63" t="n"/>
      <c r="R22" s="62" t="n"/>
      <c r="S22" s="62" t="n"/>
      <c r="T22" s="62" t="n"/>
      <c r="U22" s="62" t="n"/>
      <c r="V22" s="64" t="n"/>
      <c r="W22" s="62" t="n"/>
      <c r="X22" s="64" t="n"/>
    </row>
    <row r="23">
      <c r="A23" s="25" t="n"/>
      <c r="B23" s="23" t="n"/>
      <c r="C23" s="23" t="inlineStr">
        <is>
          <t xml:space="preserve"> </t>
        </is>
      </c>
      <c r="D23" s="23" t="n"/>
      <c r="E23" s="23" t="n"/>
      <c r="F23" s="23" t="n"/>
      <c r="G23" s="23" t="n"/>
      <c r="H23" s="23" t="n"/>
      <c r="I23" s="24" t="inlineStr">
        <is>
          <t>Health Services</t>
        </is>
      </c>
      <c r="J23" s="23" t="inlineStr">
        <is>
          <t>TBD</t>
        </is>
      </c>
      <c r="K23" s="23" t="inlineStr">
        <is>
          <t>TBD</t>
        </is>
      </c>
      <c r="L23" s="23" t="inlineStr">
        <is>
          <t>TBD</t>
        </is>
      </c>
      <c r="M23" s="8" t="n"/>
      <c r="N23" s="68" t="n"/>
      <c r="P23" s="62" t="n"/>
      <c r="Q23" s="63" t="n"/>
      <c r="R23" s="62" t="n"/>
      <c r="S23" s="62" t="n"/>
      <c r="T23" s="62" t="n"/>
      <c r="U23" s="62" t="n"/>
      <c r="V23" s="64" t="n"/>
      <c r="W23" s="62" t="n"/>
      <c r="X23" s="64" t="n"/>
    </row>
    <row r="24">
      <c r="A24" s="25" t="n"/>
      <c r="B24" s="23" t="n"/>
      <c r="C24" s="23" t="inlineStr">
        <is>
          <t xml:space="preserve"> </t>
        </is>
      </c>
      <c r="D24" s="23" t="n"/>
      <c r="E24" s="23" t="n"/>
      <c r="F24" s="23" t="n"/>
      <c r="G24" s="23" t="n"/>
      <c r="H24" s="23" t="n"/>
      <c r="I24" s="24" t="inlineStr">
        <is>
          <t>Water Services</t>
        </is>
      </c>
      <c r="J24" s="23" t="inlineStr">
        <is>
          <t>TBD</t>
        </is>
      </c>
      <c r="K24" s="23" t="inlineStr">
        <is>
          <t>TBD</t>
        </is>
      </c>
      <c r="L24" s="23" t="inlineStr">
        <is>
          <t>TBD</t>
        </is>
      </c>
      <c r="M24" s="8" t="n"/>
      <c r="N24" s="68" t="n"/>
      <c r="P24" s="62" t="n"/>
      <c r="Q24" s="63" t="n"/>
      <c r="R24" s="62" t="n"/>
      <c r="S24" s="62" t="n"/>
      <c r="T24" s="62" t="n"/>
      <c r="U24" s="62" t="n"/>
      <c r="V24" s="64" t="n"/>
      <c r="W24" s="62" t="n"/>
      <c r="X24" s="64" t="n"/>
    </row>
    <row r="25">
      <c r="A25" s="25" t="n"/>
      <c r="B25" s="23" t="n"/>
      <c r="C25" s="23" t="inlineStr">
        <is>
          <t xml:space="preserve"> </t>
        </is>
      </c>
      <c r="D25" s="23" t="n"/>
      <c r="E25" s="23" t="n"/>
      <c r="F25" s="23" t="n"/>
      <c r="G25" s="23" t="n"/>
      <c r="H25" s="23" t="n"/>
      <c r="I25" s="24" t="inlineStr">
        <is>
          <t>Education Services</t>
        </is>
      </c>
      <c r="J25" s="23" t="inlineStr">
        <is>
          <t>TBD</t>
        </is>
      </c>
      <c r="K25" s="23" t="inlineStr">
        <is>
          <t>TBD</t>
        </is>
      </c>
      <c r="L25" s="23" t="inlineStr">
        <is>
          <t>TBD</t>
        </is>
      </c>
      <c r="M25" s="8" t="n"/>
      <c r="N25" s="68" t="n"/>
      <c r="P25" s="62" t="n"/>
      <c r="Q25" s="63" t="n"/>
      <c r="R25" s="62" t="n"/>
      <c r="S25" s="62" t="n"/>
      <c r="T25" s="62" t="n"/>
      <c r="U25" s="62" t="n"/>
      <c r="V25" s="64" t="n"/>
      <c r="W25" s="62" t="n"/>
      <c r="X25" s="64" t="n"/>
    </row>
    <row r="26">
      <c r="A26" s="25" t="n"/>
      <c r="B26" s="23" t="n"/>
      <c r="C26" s="23" t="inlineStr">
        <is>
          <t xml:space="preserve"> </t>
        </is>
      </c>
      <c r="D26" s="23" t="n"/>
      <c r="E26" s="23" t="n"/>
      <c r="F26" s="23" t="n"/>
      <c r="G26" s="23" t="n"/>
      <c r="H26" s="23" t="n"/>
      <c r="I26" s="24" t="inlineStr">
        <is>
          <t>Small Enterprises</t>
        </is>
      </c>
      <c r="J26" s="23" t="inlineStr">
        <is>
          <t>TBD</t>
        </is>
      </c>
      <c r="K26" s="23" t="inlineStr">
        <is>
          <t>TBD</t>
        </is>
      </c>
      <c r="L26" s="23" t="inlineStr">
        <is>
          <t>TBD</t>
        </is>
      </c>
      <c r="M26" s="8" t="n"/>
      <c r="N26" s="68" t="n"/>
      <c r="P26" s="62" t="n"/>
      <c r="Q26" s="63" t="n"/>
      <c r="R26" s="62" t="n"/>
      <c r="S26" s="62" t="n"/>
      <c r="T26" s="62" t="n"/>
      <c r="U26" s="62" t="n"/>
      <c r="V26" s="64" t="n"/>
      <c r="W26" s="62" t="n"/>
      <c r="X26" s="64" t="n"/>
    </row>
    <row r="27">
      <c r="A27" s="25" t="n"/>
      <c r="B27" s="23" t="n"/>
      <c r="C27" s="23" t="inlineStr">
        <is>
          <t xml:space="preserve"> </t>
        </is>
      </c>
      <c r="D27" s="23" t="n"/>
      <c r="E27" s="23" t="n"/>
      <c r="F27" s="23" t="n"/>
      <c r="G27" s="23" t="n"/>
      <c r="H27" s="23" t="n"/>
      <c r="I27" s="24" t="inlineStr">
        <is>
          <t>Capacity Building Training</t>
        </is>
      </c>
      <c r="J27" s="23" t="inlineStr">
        <is>
          <t>TBD</t>
        </is>
      </c>
      <c r="K27" s="23" t="inlineStr">
        <is>
          <t>TBD</t>
        </is>
      </c>
      <c r="L27" s="23" t="inlineStr">
        <is>
          <t>TBD</t>
        </is>
      </c>
      <c r="M27" s="8" t="n"/>
      <c r="N27" s="68" t="n"/>
      <c r="P27" s="62" t="n"/>
      <c r="Q27" s="63" t="n"/>
      <c r="R27" s="62" t="n"/>
      <c r="S27" s="62" t="n"/>
      <c r="T27" s="62" t="n"/>
      <c r="U27" s="62" t="n"/>
      <c r="V27" s="64" t="n"/>
      <c r="W27" s="62" t="n"/>
      <c r="X27" s="64" t="n"/>
    </row>
    <row r="28">
      <c r="A28" s="25" t="n"/>
      <c r="B28" s="23" t="n"/>
      <c r="C28" s="23" t="inlineStr">
        <is>
          <t xml:space="preserve"> </t>
        </is>
      </c>
      <c r="D28" s="23" t="n"/>
      <c r="E28" s="23" t="n"/>
      <c r="F28" s="23" t="n"/>
      <c r="G28" s="23" t="n"/>
      <c r="H28" s="23" t="n"/>
      <c r="I28" s="24" t="inlineStr">
        <is>
          <t>Entrepreneurship Training</t>
        </is>
      </c>
      <c r="J28" s="23" t="inlineStr">
        <is>
          <t>TBD</t>
        </is>
      </c>
      <c r="K28" s="23" t="inlineStr">
        <is>
          <t>TBD</t>
        </is>
      </c>
      <c r="L28" s="23" t="inlineStr">
        <is>
          <t>TBD</t>
        </is>
      </c>
      <c r="M28" s="8" t="n"/>
      <c r="N28" s="68" t="n"/>
      <c r="P28" s="62" t="n"/>
      <c r="Q28" s="63" t="n"/>
      <c r="R28" s="62" t="n"/>
      <c r="S28" s="62" t="n"/>
      <c r="T28" s="62" t="n"/>
      <c r="U28" s="62" t="n"/>
      <c r="V28" s="64" t="n"/>
      <c r="W28" s="62" t="n"/>
      <c r="X28" s="64" t="n"/>
    </row>
    <row r="29">
      <c r="A29" s="25" t="n"/>
      <c r="B29" s="23" t="n"/>
      <c r="C29" s="23" t="inlineStr">
        <is>
          <t xml:space="preserve"> </t>
        </is>
      </c>
      <c r="D29" s="23" t="n"/>
      <c r="E29" s="23" t="n"/>
      <c r="F29" s="23" t="n"/>
      <c r="G29" s="23" t="n"/>
      <c r="H29" s="23" t="n"/>
      <c r="I29" s="24" t="inlineStr">
        <is>
          <t>Campaign Participant</t>
        </is>
      </c>
      <c r="J29" s="23" t="inlineStr">
        <is>
          <t>TBD</t>
        </is>
      </c>
      <c r="K29" s="23" t="inlineStr">
        <is>
          <t>TBD</t>
        </is>
      </c>
      <c r="L29" s="23" t="inlineStr">
        <is>
          <t>TBD</t>
        </is>
      </c>
      <c r="M29" s="8" t="n"/>
      <c r="N29" s="68" t="n"/>
      <c r="P29" s="62" t="n"/>
      <c r="Q29" s="63" t="n"/>
      <c r="R29" s="62" t="n"/>
      <c r="S29" s="62" t="n"/>
      <c r="T29" s="62" t="n"/>
      <c r="U29" s="62" t="n"/>
      <c r="V29" s="64" t="n"/>
      <c r="W29" s="62" t="n"/>
      <c r="X29" s="64" t="n"/>
    </row>
    <row r="30" ht="100.5" customHeight="1">
      <c r="A30" s="25" t="n"/>
      <c r="B30" s="23" t="n"/>
      <c r="C30" s="23" t="n"/>
      <c r="D30" s="23" t="n"/>
      <c r="E30" s="23" t="n"/>
      <c r="F30" s="23" t="n"/>
      <c r="G30" s="23" t="n"/>
      <c r="H30" s="23" t="n"/>
      <c r="I30" s="24" t="inlineStr">
        <is>
          <t>Policy or Regulatory Framework</t>
        </is>
      </c>
      <c r="J30" s="23" t="inlineStr">
        <is>
          <t>TBD</t>
        </is>
      </c>
      <c r="K30" s="23" t="inlineStr">
        <is>
          <t>TBD</t>
        </is>
      </c>
      <c r="L30" s="23" t="inlineStr">
        <is>
          <t>TBD</t>
        </is>
      </c>
      <c r="M30" s="8" t="n"/>
      <c r="N30" s="68" t="n"/>
      <c r="P30" s="62" t="n"/>
      <c r="Q30" s="63" t="n"/>
      <c r="R30" s="62" t="n"/>
      <c r="S30" s="62" t="n"/>
      <c r="T30" s="62" t="n"/>
      <c r="U30" s="62" t="n"/>
      <c r="V30" s="64" t="n"/>
      <c r="W30" s="62" t="n"/>
      <c r="X30" s="64" t="n"/>
    </row>
    <row r="31" ht="60.75" customFormat="1" customHeight="1" s="18">
      <c r="A31" s="17" t="n">
        <v>112026</v>
      </c>
      <c r="B31" s="17" t="inlineStr">
        <is>
          <t>Promoting the use of solar technologies for agricultural and rural development in Cambodia and Myanmar</t>
        </is>
      </c>
      <c r="C31" s="83" t="inlineStr">
        <is>
          <t>https://open.undp.org/projects/00112026</t>
        </is>
      </c>
      <c r="D31" s="16" t="n">
        <v>2285334</v>
      </c>
      <c r="E31" s="103" t="n"/>
      <c r="F31" s="103" t="n"/>
      <c r="G31" s="103" t="n"/>
      <c r="H31" s="16" t="inlineStr">
        <is>
          <t>Non-VF</t>
        </is>
      </c>
      <c r="I31" s="15" t="inlineStr">
        <is>
          <t>Agriculture and Food System</t>
        </is>
      </c>
      <c r="J31" s="18" t="inlineStr">
        <is>
          <t>Number of households provided agricultural service and Solar Water Pumping Systems</t>
        </is>
      </c>
      <c r="K31" s="19" t="inlineStr">
        <is>
          <t>N/A</t>
        </is>
      </c>
      <c r="L31" s="20" t="n">
        <v>65000</v>
      </c>
      <c r="M31" s="21" t="inlineStr">
        <is>
          <t>01 Nov 2020 - 31 Dec 2023</t>
        </is>
      </c>
      <c r="N31" s="19" t="inlineStr">
        <is>
          <t>Ministry of Agriculture, Food and Rural Affairs (MAFRA), Republic of Korea</t>
        </is>
      </c>
      <c r="P31" s="62" t="n"/>
      <c r="Q31" s="63" t="inlineStr">
        <is>
          <t>Close the gap on energy access</t>
        </is>
      </c>
      <c r="R31" s="62" t="n"/>
      <c r="S31" s="62" t="n"/>
      <c r="T31" s="62" t="n"/>
      <c r="U31" s="62" t="n"/>
      <c r="V31" s="64" t="n"/>
      <c r="W31" s="62" t="n"/>
      <c r="X31" s="64" t="n"/>
      <c r="Y31" s="2" t="inlineStr">
        <is>
          <t>yes</t>
        </is>
      </c>
      <c r="Z31" s="19" t="inlineStr">
        <is>
          <t>Ongoing</t>
        </is>
      </c>
    </row>
    <row r="32" ht="91.5" customHeight="1">
      <c r="A32" s="78" t="n"/>
      <c r="B32" s="79" t="n"/>
      <c r="C32" s="79" t="n"/>
      <c r="D32" s="80" t="n"/>
      <c r="E32" s="80" t="n"/>
      <c r="F32" s="80" t="n"/>
      <c r="G32" s="80" t="n"/>
      <c r="H32" s="80" t="n"/>
      <c r="I32" s="79" t="inlineStr">
        <is>
          <t>Electricity Access</t>
        </is>
      </c>
      <c r="J32" s="75" t="inlineStr">
        <is>
          <t>Number of households with access to energy through with solar home systems</t>
        </is>
      </c>
      <c r="K32" s="79" t="inlineStr">
        <is>
          <t>N/A</t>
        </is>
      </c>
      <c r="L32" s="79" t="n">
        <v>0</v>
      </c>
      <c r="M32" s="79" t="inlineStr">
        <is>
          <t>Projected target: 2000</t>
        </is>
      </c>
      <c r="N32" s="75" t="inlineStr">
        <is>
          <t>in search of donor</t>
        </is>
      </c>
      <c r="Y32" s="18" t="inlineStr">
        <is>
          <t>no</t>
        </is>
      </c>
    </row>
    <row r="33" ht="91.5" customHeight="1">
      <c r="A33" s="8" t="n"/>
      <c r="B33" s="74" t="n"/>
      <c r="C33" s="74" t="n"/>
      <c r="D33" s="74" t="n"/>
      <c r="E33" s="74" t="n"/>
      <c r="F33" s="74" t="n"/>
      <c r="G33" s="74" t="n"/>
      <c r="H33" s="74" t="n"/>
      <c r="I33" s="74" t="n"/>
      <c r="J33" s="74" t="inlineStr">
        <is>
          <t xml:space="preserve">Number of women livelihoods groups whose productive efficiency have improved through PUE inputs  </t>
        </is>
      </c>
      <c r="K33" s="74" t="inlineStr">
        <is>
          <t>N/A</t>
        </is>
      </c>
      <c r="L33" s="74" t="n">
        <v>0</v>
      </c>
      <c r="M33" s="74" t="inlineStr">
        <is>
          <t>Projected target: 20</t>
        </is>
      </c>
      <c r="N33" s="27" t="n"/>
    </row>
    <row r="34">
      <c r="B34" s="74" t="n"/>
      <c r="C34" s="74" t="n"/>
      <c r="D34" s="74" t="n"/>
      <c r="E34" s="74" t="n"/>
      <c r="F34" s="74" t="n"/>
      <c r="G34" s="74" t="n"/>
      <c r="H34" s="74" t="n"/>
      <c r="I34" s="27" t="n"/>
      <c r="J34" s="74" t="inlineStr">
        <is>
          <t>Number of villages with improved lighting, water supply and irrigation services through solar/RE applications</t>
        </is>
      </c>
      <c r="K34" s="74" t="inlineStr">
        <is>
          <t>N/A</t>
        </is>
      </c>
      <c r="L34" s="74" t="n">
        <v>0</v>
      </c>
      <c r="M34" s="74" t="inlineStr">
        <is>
          <t>Projected target: 10</t>
        </is>
      </c>
      <c r="N34" s="27" t="n"/>
    </row>
    <row r="35">
      <c r="A35" s="95" t="n"/>
      <c r="B35" s="74" t="n"/>
      <c r="C35" s="74" t="n"/>
      <c r="D35" s="74" t="n"/>
      <c r="E35" s="74" t="n"/>
      <c r="F35" s="74" t="n"/>
      <c r="G35" s="74" t="n"/>
      <c r="H35" s="74" t="n"/>
      <c r="I35" s="27" t="inlineStr">
        <is>
          <t>Energy (MW added)</t>
        </is>
      </c>
      <c r="J35" s="74" t="inlineStr">
        <is>
          <t>Installed capacity in MW for access/productive-use outputs</t>
        </is>
      </c>
      <c r="K35" s="74" t="n">
        <v>0</v>
      </c>
      <c r="L35" s="104" t="n"/>
      <c r="M35" s="104" t="inlineStr">
        <is>
          <t>[AUTO-ADDED] Project reports access/productive-use beneficiary numbers but no MW value. Please add installed capacity (MW) or confirm not applicable.</t>
        </is>
      </c>
      <c r="N35" s="27" t="n"/>
      <c r="O35" s="95" t="n"/>
      <c r="P35" s="95" t="n"/>
      <c r="Q35" s="95" t="n"/>
      <c r="R35" s="95" t="n"/>
      <c r="S35" s="95" t="n"/>
      <c r="T35" s="95" t="n"/>
      <c r="U35" s="95" t="n"/>
      <c r="V35" s="95" t="n"/>
      <c r="W35" s="95" t="n"/>
      <c r="X35" s="95" t="n"/>
      <c r="Y35" s="95" t="n"/>
      <c r="Z35" s="95" t="n"/>
    </row>
    <row r="36">
      <c r="A36" s="8" t="n"/>
      <c r="B36" s="8" t="n"/>
      <c r="C36" s="8" t="n"/>
      <c r="D36" s="8" t="n"/>
      <c r="E36" s="8" t="n"/>
      <c r="F36" s="8" t="n"/>
      <c r="G36" s="8" t="n"/>
      <c r="H36" s="8" t="n"/>
      <c r="I36" s="8" t="n"/>
      <c r="J36" s="8" t="n"/>
      <c r="K36" s="8" t="n"/>
      <c r="L36" s="8" t="n"/>
      <c r="M36" s="8" t="n"/>
    </row>
    <row r="37">
      <c r="A37" s="8" t="n"/>
      <c r="B37" s="8" t="n"/>
      <c r="C37" s="8" t="n"/>
      <c r="D37" s="8" t="n"/>
      <c r="E37" s="8" t="n"/>
      <c r="F37" s="8" t="n"/>
      <c r="G37" s="8" t="n"/>
      <c r="H37" s="8" t="n"/>
      <c r="I37" s="8" t="n"/>
      <c r="J37" s="8" t="n"/>
      <c r="K37" s="8" t="n"/>
      <c r="L37" s="8" t="n"/>
      <c r="M37" s="8" t="n"/>
    </row>
    <row r="38">
      <c r="A38" s="8" t="n"/>
      <c r="B38" s="8" t="n"/>
      <c r="C38" s="8" t="n"/>
      <c r="D38" s="8" t="n"/>
      <c r="E38" s="8" t="n"/>
      <c r="F38" s="8" t="n"/>
      <c r="G38" s="8" t="n"/>
      <c r="H38" s="8" t="n"/>
      <c r="I38" s="8" t="n"/>
      <c r="J38" s="8" t="n"/>
      <c r="K38" s="8" t="n"/>
      <c r="L38" s="8" t="n"/>
      <c r="M38" s="8" t="n"/>
    </row>
    <row r="39">
      <c r="A39" s="8" t="n"/>
      <c r="B39" s="8" t="n"/>
      <c r="C39" s="8" t="n"/>
      <c r="D39" s="8" t="n"/>
      <c r="E39" s="8" t="n"/>
      <c r="F39" s="8" t="n"/>
      <c r="G39" s="8" t="n"/>
      <c r="H39" s="8" t="n"/>
      <c r="I39" s="8" t="n"/>
      <c r="J39" s="8" t="n"/>
      <c r="K39" s="8" t="n"/>
      <c r="L39" s="8" t="n"/>
      <c r="M39" s="8" t="n"/>
    </row>
    <row r="40">
      <c r="A40" s="8" t="n"/>
      <c r="B40" s="8" t="n"/>
      <c r="C40" s="8" t="n"/>
      <c r="D40" s="8" t="n"/>
      <c r="E40" s="8" t="n"/>
      <c r="F40" s="8" t="n"/>
      <c r="G40" s="8" t="n"/>
      <c r="H40" s="8" t="n"/>
      <c r="I40" s="8" t="n"/>
      <c r="J40" s="8" t="n"/>
      <c r="K40" s="8" t="n"/>
      <c r="L40" s="8" t="n"/>
      <c r="M40" s="8" t="n"/>
    </row>
    <row r="41">
      <c r="A41" s="8" t="n"/>
      <c r="B41" s="8" t="n"/>
      <c r="C41" s="8" t="n"/>
      <c r="D41" s="8" t="n"/>
      <c r="E41" s="8" t="n"/>
      <c r="F41" s="8" t="n"/>
      <c r="G41" s="8" t="n"/>
      <c r="H41" s="8" t="n"/>
      <c r="I41" s="8" t="n"/>
      <c r="J41" s="8" t="n"/>
      <c r="K41" s="8" t="n"/>
      <c r="L41" s="8" t="n"/>
      <c r="M41" s="8" t="n"/>
    </row>
    <row r="42">
      <c r="A42" s="8" t="n"/>
      <c r="B42" s="8" t="n"/>
      <c r="C42" s="8" t="n"/>
      <c r="D42" s="8" t="n"/>
      <c r="E42" s="8" t="n"/>
      <c r="F42" s="8" t="n"/>
      <c r="G42" s="8" t="n"/>
      <c r="H42" s="8" t="n"/>
      <c r="I42" s="8" t="n"/>
      <c r="J42" s="8" t="n"/>
      <c r="K42" s="8" t="n"/>
      <c r="L42" s="8" t="n"/>
      <c r="M42" s="8" t="n"/>
    </row>
    <row r="43">
      <c r="A43" s="8" t="n"/>
      <c r="B43" s="8" t="n"/>
      <c r="C43" s="8" t="n"/>
      <c r="D43" s="8" t="n"/>
      <c r="E43" s="8" t="n"/>
      <c r="F43" s="8" t="n"/>
      <c r="G43" s="8" t="n"/>
      <c r="H43" s="8" t="n"/>
      <c r="I43" s="8" t="n"/>
      <c r="J43" s="8" t="n"/>
      <c r="K43" s="8" t="n"/>
      <c r="L43" s="8" t="n"/>
      <c r="M43" s="8" t="n"/>
    </row>
    <row r="44">
      <c r="A44" s="8" t="n"/>
      <c r="B44" s="8" t="n"/>
      <c r="C44" s="8" t="n"/>
      <c r="D44" s="8" t="n"/>
      <c r="E44" s="8" t="n"/>
      <c r="F44" s="8" t="n"/>
      <c r="G44" s="8" t="n"/>
      <c r="H44" s="8" t="n"/>
      <c r="I44" s="8" t="n"/>
      <c r="J44" s="8" t="n"/>
      <c r="K44" s="8" t="n"/>
      <c r="L44" s="8" t="n"/>
      <c r="M44" s="8" t="n"/>
    </row>
    <row r="45">
      <c r="A45" s="8" t="n"/>
      <c r="B45" s="8" t="n"/>
      <c r="C45" s="8" t="n"/>
      <c r="D45" s="8" t="n"/>
      <c r="E45" s="8" t="n"/>
      <c r="F45" s="8" t="n"/>
      <c r="G45" s="8" t="n"/>
      <c r="H45" s="8" t="n"/>
      <c r="I45" s="8" t="n"/>
      <c r="J45" s="8" t="n"/>
      <c r="K45" s="8" t="n"/>
      <c r="L45" s="8" t="n"/>
      <c r="M45" s="8" t="n"/>
    </row>
    <row r="46">
      <c r="A46" s="8" t="n"/>
      <c r="B46" s="8" t="n"/>
      <c r="C46" s="8" t="n"/>
      <c r="D46" s="8" t="n"/>
      <c r="E46" s="8" t="n"/>
      <c r="F46" s="8" t="n"/>
      <c r="G46" s="8" t="n"/>
      <c r="H46" s="8" t="n"/>
      <c r="I46" s="8" t="n"/>
      <c r="J46" s="8" t="n"/>
      <c r="K46" s="8" t="n"/>
      <c r="L46" s="8" t="n"/>
      <c r="M46" s="8" t="n"/>
    </row>
    <row r="47">
      <c r="A47" s="8" t="n"/>
      <c r="B47" s="8" t="n"/>
      <c r="C47" s="8" t="n"/>
      <c r="D47" s="8" t="n"/>
      <c r="E47" s="8" t="n"/>
      <c r="F47" s="8" t="n"/>
      <c r="G47" s="8" t="n"/>
      <c r="H47" s="8" t="n"/>
      <c r="I47" s="8" t="n"/>
      <c r="J47" s="8" t="n"/>
      <c r="K47" s="8" t="n"/>
      <c r="L47" s="8" t="n"/>
      <c r="M47" s="8" t="n"/>
    </row>
    <row r="48">
      <c r="A48" s="8" t="n"/>
      <c r="B48" s="8" t="n"/>
      <c r="C48" s="8" t="n"/>
      <c r="D48" s="8" t="n"/>
      <c r="E48" s="8" t="n"/>
      <c r="F48" s="8" t="n"/>
      <c r="G48" s="8" t="n"/>
      <c r="H48" s="8" t="n"/>
      <c r="I48" s="8" t="n"/>
      <c r="J48" s="8" t="n"/>
      <c r="K48" s="8" t="n"/>
      <c r="L48" s="8" t="n"/>
      <c r="M48" s="8" t="n"/>
    </row>
    <row r="49">
      <c r="A49" s="8" t="n"/>
      <c r="B49" s="8" t="n"/>
      <c r="C49" s="8" t="n"/>
      <c r="D49" s="8" t="n"/>
      <c r="E49" s="8" t="n"/>
      <c r="F49" s="8" t="n"/>
      <c r="G49" s="8" t="n"/>
      <c r="H49" s="8" t="n"/>
      <c r="I49" s="8" t="n"/>
      <c r="J49" s="8" t="n"/>
      <c r="K49" s="8" t="n"/>
      <c r="L49" s="8" t="n"/>
      <c r="M49" s="8" t="n"/>
    </row>
    <row r="50">
      <c r="A50" s="8" t="n"/>
      <c r="B50" s="8" t="n"/>
      <c r="C50" s="8" t="n"/>
      <c r="D50" s="8" t="n"/>
      <c r="E50" s="8" t="n"/>
      <c r="F50" s="8" t="n"/>
      <c r="G50" s="8" t="n"/>
      <c r="H50" s="8" t="n"/>
      <c r="I50" s="8" t="n"/>
      <c r="J50" s="8" t="n"/>
      <c r="K50" s="8" t="n"/>
      <c r="L50" s="8" t="n"/>
      <c r="M50" s="8" t="n"/>
    </row>
    <row r="51">
      <c r="A51" s="8" t="n"/>
      <c r="B51" s="8" t="n"/>
      <c r="C51" s="8" t="n"/>
      <c r="D51" s="8" t="n"/>
      <c r="E51" s="8" t="n"/>
      <c r="F51" s="8" t="n"/>
      <c r="G51" s="8" t="n"/>
      <c r="H51" s="8" t="n"/>
      <c r="I51" s="8" t="n"/>
      <c r="J51" s="8" t="n"/>
      <c r="K51" s="8" t="n"/>
      <c r="L51" s="8" t="n"/>
      <c r="M51" s="8" t="n"/>
    </row>
    <row r="52">
      <c r="A52" s="8" t="n"/>
      <c r="B52" s="8" t="n"/>
      <c r="C52" s="8" t="n"/>
      <c r="D52" s="8" t="n"/>
      <c r="E52" s="8" t="n"/>
      <c r="F52" s="8" t="n"/>
      <c r="G52" s="8" t="n"/>
      <c r="H52" s="8" t="n"/>
      <c r="I52" s="8" t="n"/>
      <c r="J52" s="8" t="n"/>
      <c r="K52" s="8" t="n"/>
      <c r="L52" s="8" t="n"/>
      <c r="M52" s="8" t="n"/>
    </row>
    <row r="53">
      <c r="A53" s="8" t="n"/>
      <c r="B53" s="8" t="n"/>
      <c r="C53" s="8" t="n"/>
      <c r="D53" s="8" t="n"/>
      <c r="E53" s="8" t="n"/>
      <c r="F53" s="8" t="n"/>
      <c r="G53" s="8" t="n"/>
      <c r="H53" s="8" t="n"/>
      <c r="I53" s="8" t="n"/>
      <c r="J53" s="8" t="n"/>
      <c r="K53" s="8" t="n"/>
      <c r="L53" s="8" t="n"/>
      <c r="M53" s="8" t="n"/>
    </row>
    <row r="54">
      <c r="A54" s="8" t="n"/>
      <c r="B54" s="8" t="n"/>
      <c r="C54" s="8" t="n"/>
      <c r="D54" s="8" t="n"/>
      <c r="E54" s="8" t="n"/>
      <c r="F54" s="8" t="n"/>
      <c r="G54" s="8" t="n"/>
      <c r="H54" s="8" t="n"/>
      <c r="I54" s="8" t="n"/>
      <c r="J54" s="8" t="n"/>
      <c r="K54" s="8" t="n"/>
      <c r="L54" s="8" t="n"/>
      <c r="M54" s="8" t="n"/>
    </row>
    <row r="55">
      <c r="A55" s="8" t="n"/>
      <c r="B55" s="8" t="n"/>
      <c r="C55" s="8" t="n"/>
      <c r="D55" s="8" t="n"/>
      <c r="E55" s="8" t="n"/>
      <c r="F55" s="8" t="n"/>
      <c r="G55" s="8" t="n"/>
      <c r="H55" s="8" t="n"/>
      <c r="I55" s="8" t="n"/>
      <c r="J55" s="8" t="n"/>
      <c r="K55" s="8" t="n"/>
      <c r="L55" s="8" t="n"/>
      <c r="M55" s="8" t="n"/>
    </row>
    <row r="56">
      <c r="A56" s="8" t="n"/>
      <c r="B56" s="8" t="n"/>
      <c r="C56" s="8" t="n"/>
      <c r="D56" s="8" t="n"/>
      <c r="E56" s="8" t="n"/>
      <c r="F56" s="8" t="n"/>
      <c r="G56" s="8" t="n"/>
      <c r="H56" s="8" t="n"/>
      <c r="I56" s="8" t="n"/>
      <c r="J56" s="8" t="n"/>
      <c r="K56" s="8" t="n"/>
      <c r="L56" s="8" t="n"/>
      <c r="M56" s="8" t="n"/>
    </row>
    <row r="57">
      <c r="A57" s="8" t="n"/>
      <c r="B57" s="8" t="n"/>
      <c r="C57" s="8" t="n"/>
      <c r="D57" s="8" t="n"/>
      <c r="E57" s="8" t="n"/>
      <c r="F57" s="8" t="n"/>
      <c r="G57" s="8" t="n"/>
      <c r="H57" s="8" t="n"/>
      <c r="I57" s="8" t="n"/>
      <c r="J57" s="8" t="n"/>
      <c r="K57" s="8" t="n"/>
      <c r="L57" s="8" t="n"/>
      <c r="M57" s="8" t="n"/>
    </row>
    <row r="58">
      <c r="A58" s="8" t="n"/>
      <c r="B58" s="8" t="n"/>
      <c r="C58" s="8" t="n"/>
      <c r="D58" s="8" t="n"/>
      <c r="E58" s="8" t="n"/>
      <c r="F58" s="8" t="n"/>
      <c r="G58" s="8" t="n"/>
      <c r="H58" s="8" t="n"/>
      <c r="I58" s="8" t="n"/>
      <c r="J58" s="8" t="n"/>
      <c r="K58" s="8" t="n"/>
      <c r="L58" s="8" t="n"/>
      <c r="M58" s="8" t="n"/>
    </row>
    <row r="59">
      <c r="A59" s="8" t="n"/>
      <c r="B59" s="8" t="n"/>
      <c r="C59" s="8" t="n"/>
      <c r="D59" s="8" t="n"/>
      <c r="E59" s="8" t="n"/>
      <c r="F59" s="8" t="n"/>
      <c r="G59" s="8" t="n"/>
      <c r="H59" s="8" t="n"/>
      <c r="I59" s="8" t="n"/>
      <c r="J59" s="8" t="n"/>
      <c r="K59" s="8" t="n"/>
      <c r="L59" s="8" t="n"/>
      <c r="M59" s="8" t="n"/>
    </row>
    <row r="60">
      <c r="A60" s="8" t="n"/>
      <c r="B60" s="8" t="n"/>
      <c r="C60" s="8" t="n"/>
      <c r="D60" s="8" t="n"/>
      <c r="E60" s="8" t="n"/>
      <c r="F60" s="8" t="n"/>
      <c r="G60" s="8" t="n"/>
      <c r="H60" s="8" t="n"/>
      <c r="I60" s="8" t="n"/>
      <c r="J60" s="8" t="n"/>
      <c r="K60" s="8" t="n"/>
      <c r="L60" s="8" t="n"/>
      <c r="M60" s="8" t="n"/>
    </row>
    <row r="61">
      <c r="A61" s="8" t="n"/>
      <c r="B61" s="8" t="n"/>
      <c r="C61" s="8" t="n"/>
      <c r="D61" s="8" t="n"/>
      <c r="E61" s="8" t="n"/>
      <c r="F61" s="8" t="n"/>
      <c r="G61" s="8" t="n"/>
      <c r="H61" s="8" t="n"/>
      <c r="I61" s="8" t="n"/>
      <c r="J61" s="8" t="n"/>
      <c r="K61" s="8" t="n"/>
      <c r="L61" s="8" t="n"/>
      <c r="M61" s="8" t="n"/>
    </row>
    <row r="62">
      <c r="A62" s="8" t="n"/>
      <c r="B62" s="8" t="n"/>
      <c r="C62" s="8" t="n"/>
      <c r="D62" s="8" t="n"/>
      <c r="E62" s="8" t="n"/>
      <c r="F62" s="8" t="n"/>
      <c r="G62" s="8" t="n"/>
      <c r="H62" s="8" t="n"/>
      <c r="I62" s="8" t="n"/>
      <c r="J62" s="8" t="n"/>
      <c r="K62" s="8" t="n"/>
      <c r="L62" s="8" t="n"/>
      <c r="M62" s="8" t="n"/>
    </row>
    <row r="63">
      <c r="A63" s="8" t="n"/>
      <c r="B63" s="8" t="n"/>
      <c r="C63" s="8" t="n"/>
      <c r="D63" s="8" t="n"/>
      <c r="E63" s="8" t="n"/>
      <c r="F63" s="8" t="n"/>
      <c r="G63" s="8" t="n"/>
      <c r="H63" s="8" t="n"/>
      <c r="I63" s="8" t="n"/>
      <c r="J63" s="8" t="n"/>
      <c r="K63" s="8" t="n"/>
      <c r="L63" s="8" t="n"/>
      <c r="M63" s="8" t="n"/>
    </row>
    <row r="64">
      <c r="A64" s="8" t="n"/>
      <c r="B64" s="8" t="n"/>
      <c r="C64" s="8" t="n"/>
      <c r="D64" s="8" t="n"/>
      <c r="E64" s="8" t="n"/>
      <c r="F64" s="8" t="n"/>
      <c r="G64" s="8" t="n"/>
      <c r="H64" s="8" t="n"/>
      <c r="I64" s="8" t="n"/>
      <c r="J64" s="8" t="n"/>
      <c r="K64" s="8" t="n"/>
      <c r="L64" s="8" t="n"/>
      <c r="M64" s="8" t="n"/>
    </row>
    <row r="65">
      <c r="A65" s="8" t="n"/>
      <c r="B65" s="8" t="n"/>
      <c r="C65" s="8" t="n"/>
      <c r="D65" s="8" t="n"/>
      <c r="E65" s="8" t="n"/>
      <c r="F65" s="8" t="n"/>
      <c r="G65" s="8" t="n"/>
      <c r="H65" s="8" t="n"/>
      <c r="I65" s="8" t="n"/>
      <c r="J65" s="8" t="n"/>
      <c r="K65" s="8" t="n"/>
      <c r="L65" s="8" t="n"/>
      <c r="M65" s="8" t="n"/>
    </row>
    <row r="66">
      <c r="A66" s="8" t="n"/>
      <c r="B66" s="8" t="n"/>
      <c r="C66" s="8" t="n"/>
      <c r="D66" s="8" t="n"/>
      <c r="E66" s="8" t="n"/>
      <c r="F66" s="8" t="n"/>
      <c r="G66" s="8" t="n"/>
      <c r="H66" s="8" t="n"/>
      <c r="I66" s="8" t="n"/>
      <c r="J66" s="8" t="n"/>
      <c r="K66" s="8" t="n"/>
      <c r="L66" s="8" t="n"/>
      <c r="M66" s="8" t="n"/>
    </row>
    <row r="67">
      <c r="A67" s="8" t="n"/>
      <c r="B67" s="8" t="n"/>
      <c r="C67" s="8" t="n"/>
      <c r="D67" s="8" t="n"/>
      <c r="E67" s="8" t="n"/>
      <c r="F67" s="8" t="n"/>
      <c r="G67" s="8" t="n"/>
      <c r="H67" s="8" t="n"/>
      <c r="I67" s="8" t="n"/>
      <c r="J67" s="8" t="n"/>
      <c r="K67" s="8" t="n"/>
      <c r="L67" s="8" t="n"/>
      <c r="M67" s="8" t="n"/>
    </row>
    <row r="68">
      <c r="A68" s="8" t="n"/>
      <c r="B68" s="8" t="n"/>
      <c r="C68" s="8" t="n"/>
      <c r="D68" s="8" t="n"/>
      <c r="E68" s="8" t="n"/>
      <c r="F68" s="8" t="n"/>
      <c r="G68" s="8" t="n"/>
      <c r="H68" s="8" t="n"/>
      <c r="I68" s="8" t="n"/>
      <c r="J68" s="8" t="n"/>
      <c r="K68" s="8" t="n"/>
      <c r="L68" s="8" t="n"/>
      <c r="M68" s="8" t="n"/>
    </row>
    <row r="69">
      <c r="A69" s="8" t="n"/>
      <c r="B69" s="8" t="n"/>
      <c r="C69" s="8" t="n"/>
      <c r="D69" s="8" t="n"/>
      <c r="E69" s="8" t="n"/>
      <c r="F69" s="8" t="n"/>
      <c r="G69" s="8" t="n"/>
      <c r="H69" s="8" t="n"/>
      <c r="I69" s="8" t="n"/>
      <c r="J69" s="8" t="n"/>
      <c r="K69" s="8" t="n"/>
      <c r="L69" s="8" t="n"/>
      <c r="M69" s="8" t="n"/>
    </row>
    <row r="70">
      <c r="A70" s="8" t="n"/>
      <c r="B70" s="8" t="n"/>
      <c r="C70" s="8" t="n"/>
      <c r="D70" s="8" t="n"/>
      <c r="E70" s="8" t="n"/>
      <c r="F70" s="8" t="n"/>
      <c r="G70" s="8" t="n"/>
      <c r="H70" s="8" t="n"/>
      <c r="I70" s="8" t="n"/>
      <c r="J70" s="8" t="n"/>
      <c r="K70" s="8" t="n"/>
      <c r="L70" s="8" t="n"/>
      <c r="M70" s="8" t="n"/>
    </row>
    <row r="71">
      <c r="A71" s="8" t="n"/>
      <c r="B71" s="8" t="n"/>
      <c r="C71" s="8" t="n"/>
      <c r="D71" s="8" t="n"/>
      <c r="E71" s="8" t="n"/>
      <c r="F71" s="8" t="n"/>
      <c r="G71" s="8" t="n"/>
      <c r="H71" s="8" t="n"/>
      <c r="I71" s="8" t="n"/>
      <c r="J71" s="8" t="n"/>
      <c r="K71" s="8" t="n"/>
      <c r="L71" s="8" t="n"/>
      <c r="M71" s="8" t="n"/>
    </row>
  </sheetData>
  <dataValidations count="12">
    <dataValidation sqref="Q2:Q3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0" showDropDown="0" showInputMessage="1" showErrorMessage="1" allowBlank="1" type="list">
      <formula1>"AMP, PUDC, Solar4Health, Action Opportunities, Italy UNDP Energy Partnership"</formula1>
    </dataValidation>
    <dataValidation sqref="N2:N30" showDropDown="0" showInputMessage="1" showErrorMessage="1" allowBlank="1" type="list">
      <formula1>"Accelerating just energy transition, Close the gap on energy access, Scale up energy finance"</formula1>
    </dataValidation>
    <dataValidation sqref="O2:O30" showDropDown="0" showInputMessage="1" showErrorMessage="1" allowBlank="1" type="list">
      <formula1>"Electricity Access, Energy Efficiency, Clean Cooking, Renewable Energy, Overall"</formula1>
    </dataValidation>
    <dataValidation sqref="L2:L31" showDropDown="0" showInputMessage="1" showErrorMessage="1" allowBlank="1" type="list">
      <formula1>"Non-VF, VF"</formula1>
    </dataValidation>
    <dataValidation sqref="M2:M30" showDropDown="0" showInputMessage="1" showErrorMessage="1" allowBlank="1" type="list">
      <formula1>"Finance, Gender, Efficiency, Just, Health"</formula1>
    </dataValidation>
    <dataValidation sqref="T2:T30" showDropDown="0" showInputMessage="1" showErrorMessage="1" allowBlank="1" type="list">
      <formula1>"National, Regional, City, Community"</formula1>
    </dataValidation>
    <dataValidation sqref="R2:R3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5" r:id="rId2"/>
  </hyperlinks>
  <pageMargins left="0.7" right="0.7" top="0.75" bottom="0.75" header="0.3" footer="0.3"/>
  <pageSetup orientation="portrait" horizontalDpi="300"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O69"/>
  <sheetViews>
    <sheetView topLeftCell="B1" zoomScale="70" zoomScaleNormal="70" workbookViewId="0">
      <pane ySplit="1" topLeftCell="L2" activePane="bottomLeft" state="frozen"/>
      <selection pane="bottomLeft" activeCell="L1" sqref="L1"/>
    </sheetView>
  </sheetViews>
  <sheetFormatPr baseColWidth="8" defaultColWidth="9.140625" defaultRowHeight="15"/>
  <cols>
    <col width="13.42578125" customWidth="1" style="2" min="1" max="1"/>
    <col width="48.140625" bestFit="1" customWidth="1" style="2" min="2" max="2"/>
    <col width="22.28515625" customWidth="1" style="2" min="3" max="3"/>
    <col width="10.85546875" customWidth="1" style="2" min="4" max="4"/>
    <col width="32.42578125" customWidth="1" style="2" min="5" max="5"/>
    <col width="20.7109375" customWidth="1" style="2" min="6" max="6"/>
    <col width="12.7109375" customWidth="1" style="2" min="7" max="8"/>
    <col width="32.7109375" customWidth="1" style="2" min="9" max="9"/>
    <col width="23.85546875" customWidth="1" style="2" min="10" max="10"/>
    <col width="13" customWidth="1" style="2" min="11" max="11"/>
    <col width="14.7109375" customWidth="1" style="2" min="12" max="12"/>
    <col width="31.7109375" customWidth="1" style="2" min="13" max="13"/>
    <col width="9.140625" customWidth="1" style="2" min="14" max="14"/>
    <col width="11.42578125" bestFit="1" customWidth="1" style="2" min="15" max="15"/>
    <col width="9.140625" customWidth="1" style="2" min="16" max="16384"/>
  </cols>
  <sheetData>
    <row r="1" ht="75" customHeight="1">
      <c r="A1" s="31" t="inlineStr">
        <is>
          <t>Project ID</t>
        </is>
      </c>
      <c r="B1" s="31" t="inlineStr">
        <is>
          <t>Title</t>
        </is>
      </c>
      <c r="C1" s="31" t="inlineStr">
        <is>
          <t>Link</t>
        </is>
      </c>
      <c r="D1" s="31" t="inlineStr">
        <is>
          <t>Budget</t>
        </is>
      </c>
      <c r="E1" s="31" t="inlineStr">
        <is>
          <t>Beneficiary Category</t>
        </is>
      </c>
      <c r="F1" s="31" t="inlineStr">
        <is>
          <t>Indicator</t>
        </is>
      </c>
      <c r="G1" s="31" t="inlineStr">
        <is>
          <t>Baseline</t>
        </is>
      </c>
      <c r="H1" s="31" t="inlineStr">
        <is>
          <t>Target</t>
        </is>
      </c>
      <c r="I1" s="31" t="inlineStr">
        <is>
          <t>Notes</t>
        </is>
      </c>
      <c r="J1" s="32" t="inlineStr">
        <is>
          <t>Donors</t>
        </is>
      </c>
      <c r="K1" s="32" t="inlineStr">
        <is>
          <t xml:space="preserve">Comments </t>
        </is>
      </c>
      <c r="L1" s="33" t="inlineStr">
        <is>
          <t>Unit price USD/ piece derived from the data in this table, D/H</t>
        </is>
      </c>
      <c r="M1" s="33" t="inlineStr">
        <is>
          <t>SN Srinivas comments</t>
        </is>
      </c>
    </row>
    <row r="2" ht="225" customHeight="1">
      <c r="A2" s="85" t="n">
        <v>104187</v>
      </c>
      <c r="B2" s="85" t="inlineStr">
        <is>
          <t>(Suspended until Nov 2023) Rural Renewable Energy</t>
        </is>
      </c>
      <c r="C2" s="85" t="inlineStr">
        <is>
          <t>PIMS+</t>
        </is>
      </c>
      <c r="D2" s="85" t="n">
        <v>4934228</v>
      </c>
      <c r="E2" s="34" t="inlineStr">
        <is>
          <t>Policy or Regulatory Framework</t>
        </is>
      </c>
      <c r="F2" s="34" t="inlineStr">
        <is>
          <t>Lifetime direct GHG emissions avoided as a result of energy access projects</t>
        </is>
      </c>
      <c r="G2" s="34" t="inlineStr">
        <is>
          <t>N/A</t>
        </is>
      </c>
      <c r="H2" s="34" t="inlineStr">
        <is>
          <t>246,094 tCO2 over the 12-yr lifetime of small hydro and solar mini-grids (20,508 tCO2 per year), and corresponding energy production of 25,341 MWh per year</t>
        </is>
      </c>
      <c r="I2" s="86" t="inlineStr">
        <is>
          <t>Suspension of project likely to be extended</t>
        </is>
      </c>
      <c r="J2" s="35" t="n"/>
      <c r="K2" s="35" t="n"/>
      <c r="L2" s="33" t="n"/>
      <c r="M2" s="33" t="inlineStr">
        <is>
          <t>Is the budget in USD?</t>
        </is>
      </c>
      <c r="O2" s="28" t="n"/>
    </row>
    <row r="3" ht="135" customHeight="1">
      <c r="A3" s="105" t="n"/>
      <c r="B3" s="105" t="n"/>
      <c r="C3" s="105" t="n"/>
      <c r="D3" s="105" t="n"/>
      <c r="E3" s="35" t="inlineStr">
        <is>
          <t>Policy or Regulatory Framework</t>
        </is>
      </c>
      <c r="F3" s="35" t="inlineStr">
        <is>
          <t>Lifetime consequential GHG emissions avoided as a result of energy access projects</t>
        </is>
      </c>
      <c r="G3" s="35" t="inlineStr">
        <is>
          <t>N/A</t>
        </is>
      </c>
      <c r="H3" s="35" t="inlineStr">
        <is>
          <t>Indirect (consequential) emissions are 738,281 tCO2 over the 12-yr lifetime of the equipment</t>
        </is>
      </c>
      <c r="I3" s="105" t="n"/>
      <c r="J3" s="35" t="n"/>
      <c r="K3" s="35" t="n"/>
      <c r="L3" s="33" t="n"/>
      <c r="M3" s="33" t="n"/>
    </row>
    <row r="4" ht="240" customHeight="1">
      <c r="A4" s="106" t="n"/>
      <c r="B4" s="106" t="n"/>
      <c r="C4" s="106" t="n"/>
      <c r="D4" s="106" t="n"/>
      <c r="E4" s="35" t="inlineStr">
        <is>
          <t>Agricultural Services</t>
        </is>
      </c>
      <c r="F4" s="35" t="inlineStr">
        <is>
          <t>Number of households (and # of female-headed HH) provided with electricity services</t>
        </is>
      </c>
      <c r="G4" s="35" t="inlineStr">
        <is>
          <t>N/A</t>
        </is>
      </c>
      <c r="H4" s="35" t="inlineStr">
        <is>
          <t>56,200 households in 281 villages  will be connected (RE mini-grids plus SHS). At 4.4 person per HH, beneficiaries are 247,280 (50% male and 50% female).</t>
        </is>
      </c>
      <c r="I4" s="106" t="n"/>
      <c r="J4" s="35" t="n"/>
      <c r="K4" s="35" t="n"/>
      <c r="L4" s="33" t="n"/>
      <c r="M4" s="33" t="n"/>
    </row>
    <row r="5" ht="150" customHeight="1">
      <c r="A5" s="35" t="n">
        <v>111777</v>
      </c>
      <c r="B5" s="35" t="inlineStr">
        <is>
          <t xml:space="preserve">Governance for Resilience and Sustainability Project </t>
        </is>
      </c>
      <c r="C5" s="36" t="inlineStr">
        <is>
          <t>https://open.undp.org/projects/00111777</t>
        </is>
      </c>
      <c r="D5" s="35" t="n">
        <v>716641</v>
      </c>
      <c r="E5" s="35" t="inlineStr">
        <is>
          <t>Electricity Access</t>
        </is>
      </c>
      <c r="F5" s="35" t="inlineStr">
        <is>
          <t>Number of households provided with electricity services</t>
        </is>
      </c>
      <c r="G5" s="35" t="inlineStr">
        <is>
          <t>N/A</t>
        </is>
      </c>
      <c r="H5" s="35" t="inlineStr">
        <is>
          <t xml:space="preserve">Installed solar home systems (SHS) in 827 households in Mon state and Magway region </t>
        </is>
      </c>
      <c r="I5" s="35" t="inlineStr">
        <is>
          <t>GRSP's budget for 2022 was $716,641.</t>
        </is>
      </c>
      <c r="J5" s="35" t="n"/>
      <c r="K5" s="35" t="n"/>
      <c r="L5" s="37">
        <f>D5/827</f>
        <v/>
      </c>
      <c r="M5" s="33" t="inlineStr">
        <is>
          <t>With a budget of 716,641 USD for 827 SHS systems. This works out to be USD 867 USD per system. Solar home systems range from 100 to 500 USD per set. This is slightly on higher side. It can be reduced to about 500 USD per home giving about 75W of lights. However, this is based on the cost in India.</t>
        </is>
      </c>
    </row>
    <row r="6" ht="225" customHeight="1">
      <c r="A6" s="35" t="n">
        <v>111777</v>
      </c>
      <c r="B6" s="35" t="inlineStr">
        <is>
          <t xml:space="preserve">Governance for Resilience and Sustainability Project </t>
        </is>
      </c>
      <c r="C6" s="36" t="inlineStr">
        <is>
          <t>https://open.undp.org/projects/00111777</t>
        </is>
      </c>
      <c r="D6" s="38" t="n">
        <v>716641</v>
      </c>
      <c r="E6" s="35" t="inlineStr">
        <is>
          <t>Clean Cooking</t>
        </is>
      </c>
      <c r="F6" s="35" t="inlineStr">
        <is>
          <t>Number of households  provided with improved cookstoves</t>
        </is>
      </c>
      <c r="G6" s="35" t="inlineStr">
        <is>
          <t>N/A</t>
        </is>
      </c>
      <c r="H6" s="35" t="inlineStr">
        <is>
          <t>A total of 827 houselholds in Mon state and Tanintharyi received improved cookstoves</t>
        </is>
      </c>
      <c r="I6" s="35" t="inlineStr">
        <is>
          <t xml:space="preserve">GRSP's budget for 2022 was $716,641. The project was concluded in 2022. </t>
        </is>
      </c>
      <c r="J6" s="35" t="n"/>
      <c r="K6" s="35" t="n"/>
      <c r="L6" s="37">
        <f>D6/827</f>
        <v/>
      </c>
      <c r="M6" s="33" t="inlineStr">
        <is>
          <t>With a budget of 716,641 USD for 827 SHS systems. This works out to be USD 867 USD per system. This is signficantly high for a improved cookstove for home use. However, if it is solar induction stove, the price is all right. If it is improved cookstove with forced draft, it can be about 150 USD per piece. If it is natural draft, the cost is about 40 USD per piece. From the description, I am unable to make out what kind of cookstoves are being considered here</t>
        </is>
      </c>
    </row>
    <row r="7" ht="255" customHeight="1">
      <c r="A7" s="35" t="n"/>
      <c r="B7" s="35" t="n"/>
      <c r="C7" s="36" t="n"/>
      <c r="D7" s="38" t="n"/>
      <c r="E7" s="35" t="inlineStr">
        <is>
          <t>Agricultural Services</t>
        </is>
      </c>
      <c r="F7" s="35" t="inlineStr">
        <is>
          <t xml:space="preserve">Number of household  provided with solar pumping system and solar bubble dryer </t>
        </is>
      </c>
      <c r="G7" s="35" t="inlineStr">
        <is>
          <t>N/A</t>
        </is>
      </c>
      <c r="H7" s="40" t="inlineStr">
        <is>
          <t xml:space="preserve">3 villages in Shan state were supported with 1 solar pumping system and 2 solar bubble dryers. 
Solar pumping - 15 HH
Solar dryers - 30 HH in total (two villages) </t>
        </is>
      </c>
      <c r="I7" s="35" t="inlineStr">
        <is>
          <t>GRSP's budget for 2022 was $716,641. The project was concluded in 2022. 
Solar pumping capacity - Generate watt 3300 and water storage pond with the capacity of about 20,000 gallons of water.</t>
        </is>
      </c>
      <c r="J7" s="35" t="n"/>
      <c r="K7" s="39" t="n"/>
      <c r="L7" s="33" t="n"/>
      <c r="M7" s="33" t="n"/>
    </row>
    <row r="8" ht="60" customHeight="1">
      <c r="A8" s="52" t="inlineStr">
        <is>
          <t>missing-MMR-1</t>
        </is>
      </c>
      <c r="B8" s="40" t="inlineStr">
        <is>
          <t>UNDP-SPM Partnership for rural electrification
(Concept developed subject to resource mobilization)</t>
        </is>
      </c>
      <c r="C8" s="35" t="n"/>
      <c r="D8" s="41" t="n">
        <v>1348200</v>
      </c>
      <c r="E8" s="35" t="inlineStr">
        <is>
          <t>Electricity Access</t>
        </is>
      </c>
      <c r="F8" s="35" t="inlineStr">
        <is>
          <t xml:space="preserve">Number of HH provided with Solar home lighting systems </t>
        </is>
      </c>
      <c r="G8" s="35" t="inlineStr">
        <is>
          <t>N/A</t>
        </is>
      </c>
      <c r="H8" s="35" t="n">
        <v>5000</v>
      </c>
      <c r="I8" s="84" t="inlineStr">
        <is>
          <t>the project document was developed and resources in pipeline.</t>
        </is>
      </c>
      <c r="J8" s="42" t="inlineStr">
        <is>
          <t>in search of donor</t>
        </is>
      </c>
      <c r="K8" s="35" t="n"/>
      <c r="L8" s="33">
        <f>D8/H8</f>
        <v/>
      </c>
      <c r="M8" s="33" t="inlineStr">
        <is>
          <t>This appears ok</t>
        </is>
      </c>
    </row>
    <row r="9" ht="45" customHeight="1">
      <c r="A9" s="35" t="n"/>
      <c r="B9" s="40" t="n"/>
      <c r="C9" s="35" t="n"/>
      <c r="D9" s="41" t="n">
        <v>1624000</v>
      </c>
      <c r="E9" s="35" t="inlineStr">
        <is>
          <t>Clean Cooking</t>
        </is>
      </c>
      <c r="F9" s="35" t="inlineStr">
        <is>
          <t>number of HHs provided with energy efficient cookstoves</t>
        </is>
      </c>
      <c r="G9" s="35" t="inlineStr">
        <is>
          <t>N/A</t>
        </is>
      </c>
      <c r="H9" s="41" t="n">
        <v>50000</v>
      </c>
      <c r="I9" s="105" t="n"/>
      <c r="J9" s="42" t="inlineStr">
        <is>
          <t>in search of donor</t>
        </is>
      </c>
      <c r="K9" s="35" t="n"/>
      <c r="L9" s="33">
        <f>D9/H9</f>
        <v/>
      </c>
      <c r="M9" s="33" t="inlineStr">
        <is>
          <t>If the energy efficient cookstove is natural draft, the price is ok</t>
        </is>
      </c>
    </row>
    <row r="10" ht="60" customHeight="1">
      <c r="A10" s="35" t="n"/>
      <c r="B10" s="40" t="n"/>
      <c r="C10" s="35" t="n"/>
      <c r="D10" s="41" t="n">
        <v>753600</v>
      </c>
      <c r="E10" s="35" t="inlineStr">
        <is>
          <t>water services</t>
        </is>
      </c>
      <c r="F10" s="35" t="inlineStr">
        <is>
          <t xml:space="preserve">number of village water supply systems upgraded to solar-powered applications </t>
        </is>
      </c>
      <c r="G10" s="35" t="inlineStr">
        <is>
          <t>N/A</t>
        </is>
      </c>
      <c r="H10" s="35" t="n">
        <v>100</v>
      </c>
      <c r="I10" s="105" t="n"/>
      <c r="J10" s="42" t="inlineStr">
        <is>
          <t>in search of donor</t>
        </is>
      </c>
      <c r="K10" s="43" t="inlineStr">
        <is>
          <t>Estimate # of beneficiaries / village</t>
        </is>
      </c>
      <c r="L10" s="33">
        <f>D10/H10</f>
        <v/>
      </c>
      <c r="M10" s="33" t="inlineStr">
        <is>
          <t>The cost appears ok for small water pump for small village.</t>
        </is>
      </c>
    </row>
    <row r="11" ht="60" customHeight="1">
      <c r="A11" s="35" t="n"/>
      <c r="B11" s="40" t="n"/>
      <c r="C11" s="35" t="n"/>
      <c r="D11" s="41" t="n">
        <v>1906800</v>
      </c>
      <c r="E11" s="35" t="inlineStr">
        <is>
          <t>water services</t>
        </is>
      </c>
      <c r="F11" s="35" t="inlineStr">
        <is>
          <t>number of villages provided with a new solar-powered village water supply system</t>
        </is>
      </c>
      <c r="G11" s="35" t="n"/>
      <c r="H11" s="35" t="n">
        <v>168</v>
      </c>
      <c r="I11" s="105" t="n"/>
      <c r="J11" s="42" t="inlineStr">
        <is>
          <t>in search of donor</t>
        </is>
      </c>
      <c r="K11" s="43" t="inlineStr">
        <is>
          <t>Estimate # of beneficiaries / village</t>
        </is>
      </c>
      <c r="L11" s="33">
        <f>D11/H11</f>
        <v/>
      </c>
      <c r="M11" s="33" t="inlineStr">
        <is>
          <t>This appears to be for slightly larger village. The cost appears ok</t>
        </is>
      </c>
    </row>
    <row r="12" ht="90" customHeight="1">
      <c r="A12" s="35" t="n"/>
      <c r="B12" s="40" t="n"/>
      <c r="C12" s="35" t="n"/>
      <c r="D12" s="41" t="n">
        <v>682360</v>
      </c>
      <c r="E12" s="35" t="inlineStr">
        <is>
          <t>Agricultural Services</t>
        </is>
      </c>
      <c r="F12" s="35" t="inlineStr">
        <is>
          <t xml:space="preserve">number of villages provided with a new small-scale solar irrigation system to improve agricultural production </t>
        </is>
      </c>
      <c r="G12" s="35" t="inlineStr">
        <is>
          <t>N/A</t>
        </is>
      </c>
      <c r="H12" s="35" t="n">
        <v>56</v>
      </c>
      <c r="I12" s="105" t="n"/>
      <c r="J12" s="42" t="inlineStr">
        <is>
          <t>in search of donor</t>
        </is>
      </c>
      <c r="K12" s="43" t="inlineStr">
        <is>
          <t>Estimate # of beneficiaries / village</t>
        </is>
      </c>
      <c r="L12" s="33">
        <f>D12/H12</f>
        <v/>
      </c>
      <c r="M12" s="33" t="inlineStr">
        <is>
          <t>If it is solar pump, the cost is ok.</t>
        </is>
      </c>
    </row>
    <row r="13" ht="135" customHeight="1">
      <c r="A13" s="35" t="n"/>
      <c r="B13" s="40" t="n"/>
      <c r="C13" s="35" t="n"/>
      <c r="D13" s="41" t="n">
        <v>529200</v>
      </c>
      <c r="E13" s="35" t="inlineStr">
        <is>
          <t>Agricultural Services</t>
        </is>
      </c>
      <c r="F13" s="35" t="inlineStr">
        <is>
          <t>number of small-scale irrigation systems upgraded to solar-powered applications to improve the efficiency of agricultural production</t>
        </is>
      </c>
      <c r="G13" s="35" t="inlineStr">
        <is>
          <t>N/A</t>
        </is>
      </c>
      <c r="H13" s="35" t="n">
        <v>56</v>
      </c>
      <c r="I13" s="105" t="n"/>
      <c r="J13" s="42" t="inlineStr">
        <is>
          <t>in search of donor</t>
        </is>
      </c>
      <c r="K13" s="43" t="inlineStr">
        <is>
          <t>Estimate # of beneficiaries / system</t>
        </is>
      </c>
      <c r="L13" s="33">
        <f>D13/H13</f>
        <v/>
      </c>
      <c r="M13" s="33" t="inlineStr">
        <is>
          <t>It is not clear what is the product being considered. So cannot comment on the cost.</t>
        </is>
      </c>
    </row>
    <row r="14" ht="90" customHeight="1">
      <c r="A14" s="35" t="n"/>
      <c r="B14" s="40" t="n"/>
      <c r="C14" s="35" t="n"/>
      <c r="D14" s="41" t="n">
        <v>1030400</v>
      </c>
      <c r="E14" s="35" t="inlineStr">
        <is>
          <t>Other energy services</t>
        </is>
      </c>
      <c r="F14" s="35" t="inlineStr">
        <is>
          <t xml:space="preserve">number of women's start-up livelihood groups provided with productive use of energy (PUE) inputs/applications </t>
        </is>
      </c>
      <c r="G14" s="35" t="inlineStr">
        <is>
          <t>N/A</t>
        </is>
      </c>
      <c r="H14" s="35" t="n">
        <v>100</v>
      </c>
      <c r="I14" s="105" t="n"/>
      <c r="J14" s="42" t="inlineStr">
        <is>
          <t>in search of donor</t>
        </is>
      </c>
      <c r="K14" s="35" t="n"/>
      <c r="L14" s="33">
        <f>D14/H14</f>
        <v/>
      </c>
      <c r="M14" s="33" t="inlineStr">
        <is>
          <t>It is not clear what is the product being considered. So cannot comment on the cost.</t>
        </is>
      </c>
    </row>
    <row r="15" ht="90" customHeight="1">
      <c r="A15" s="35" t="n"/>
      <c r="B15" s="40" t="n"/>
      <c r="C15" s="35" t="n"/>
      <c r="D15" s="41" t="n">
        <v>599760</v>
      </c>
      <c r="E15" s="35" t="inlineStr">
        <is>
          <t>Electricity Access</t>
        </is>
      </c>
      <c r="F15" s="44" t="inlineStr">
        <is>
          <t xml:space="preserve">number of villages supported with community-led last-mile connection to the national grid 
</t>
        </is>
      </c>
      <c r="G15" s="35" t="inlineStr">
        <is>
          <t>N/A</t>
        </is>
      </c>
      <c r="H15" s="35" t="n">
        <v>56</v>
      </c>
      <c r="I15" s="105" t="n"/>
      <c r="J15" s="42" t="inlineStr">
        <is>
          <t>in search of donor</t>
        </is>
      </c>
      <c r="K15" s="43" t="inlineStr">
        <is>
          <t>Estimate # of beneficiaries / village</t>
        </is>
      </c>
      <c r="L15" s="33">
        <f>D15/H15</f>
        <v/>
      </c>
      <c r="M15" s="33" t="inlineStr">
        <is>
          <t>It is not clear whether it is the grid extension cost. Cannot comment</t>
        </is>
      </c>
    </row>
    <row r="16" ht="60" customHeight="1">
      <c r="A16" s="35" t="n"/>
      <c r="B16" s="40" t="n"/>
      <c r="C16" s="35" t="n"/>
      <c r="D16" s="41" t="n">
        <v>299540</v>
      </c>
      <c r="E16" s="35" t="inlineStr">
        <is>
          <t>Electricity Access</t>
        </is>
      </c>
      <c r="F16" s="44" t="inlineStr">
        <is>
          <t>number of villages supported for connection to a nearby mini-grid</t>
        </is>
      </c>
      <c r="G16" s="35" t="inlineStr">
        <is>
          <t>N/A</t>
        </is>
      </c>
      <c r="H16" s="35" t="n">
        <v>34</v>
      </c>
      <c r="I16" s="105" t="n"/>
      <c r="J16" s="42" t="inlineStr">
        <is>
          <t>in search of donor</t>
        </is>
      </c>
      <c r="K16" s="43" t="inlineStr">
        <is>
          <t>Estimate # of beneficiaries / village</t>
        </is>
      </c>
      <c r="L16" s="33">
        <f>D16/H16</f>
        <v/>
      </c>
      <c r="M16" s="33" t="inlineStr">
        <is>
          <t>Does the mini-grid already exist? Is it only the households to be connected? Not clear. Hence, cannot comment on the cost</t>
        </is>
      </c>
    </row>
    <row r="17" ht="75" customHeight="1">
      <c r="A17" s="35" t="n"/>
      <c r="B17" s="40" t="n"/>
      <c r="C17" s="35" t="n"/>
      <c r="D17" s="41" t="n">
        <v>1205640</v>
      </c>
      <c r="E17" s="35" t="inlineStr">
        <is>
          <t>Electricity Access</t>
        </is>
      </c>
      <c r="F17" s="44" t="inlineStr">
        <is>
          <t>number of new mini-grid systems tested to support livelihood recovery in broader areas</t>
        </is>
      </c>
      <c r="G17" s="35" t="inlineStr">
        <is>
          <t>N/A</t>
        </is>
      </c>
      <c r="H17" s="35" t="n">
        <v>4</v>
      </c>
      <c r="I17" s="106" t="n"/>
      <c r="J17" s="42" t="inlineStr">
        <is>
          <t>in search of donor</t>
        </is>
      </c>
      <c r="K17" s="43" t="inlineStr">
        <is>
          <t>Estimate # of beneficiaries / system</t>
        </is>
      </c>
      <c r="L17" s="33">
        <f>D17/H17</f>
        <v/>
      </c>
      <c r="M17" s="33" t="inlineStr">
        <is>
          <t>It is not clear what is the capacity of the system. Hence, hard to comment on cost.</t>
        </is>
      </c>
    </row>
    <row r="18" ht="60" customHeight="1">
      <c r="A18" s="52" t="inlineStr">
        <is>
          <t>missing-MMR-1</t>
        </is>
      </c>
      <c r="B18" s="46" t="inlineStr">
        <is>
          <t>Integration of Renewable Energy Interventions into Community-Based Crisis Responses in collaboration with the Sustainable Energy Hub (at concept development stage)</t>
        </is>
      </c>
      <c r="C18" s="46" t="inlineStr">
        <is>
          <t xml:space="preserve"> </t>
        </is>
      </c>
      <c r="D18" s="46" t="inlineStr">
        <is>
          <t>TBD</t>
        </is>
      </c>
      <c r="E18" s="47" t="inlineStr">
        <is>
          <t>Electricity Access</t>
        </is>
      </c>
      <c r="F18" s="46" t="inlineStr">
        <is>
          <t>TBD</t>
        </is>
      </c>
      <c r="G18" s="46" t="inlineStr">
        <is>
          <t>TBD</t>
        </is>
      </c>
      <c r="H18" s="46" t="inlineStr">
        <is>
          <t>TBD</t>
        </is>
      </c>
      <c r="I18" s="45" t="n"/>
      <c r="J18" s="42" t="inlineStr">
        <is>
          <t>in search of donor</t>
        </is>
      </c>
      <c r="K18" s="35" t="n"/>
      <c r="L18" s="33" t="n"/>
      <c r="M18" s="33" t="n"/>
    </row>
    <row r="19">
      <c r="A19" s="45" t="n"/>
      <c r="B19" s="46" t="n"/>
      <c r="C19" s="46" t="inlineStr">
        <is>
          <t xml:space="preserve"> </t>
        </is>
      </c>
      <c r="D19" s="46" t="inlineStr">
        <is>
          <t>TBD</t>
        </is>
      </c>
      <c r="E19" s="47" t="inlineStr">
        <is>
          <t>Energy (MW added)</t>
        </is>
      </c>
      <c r="F19" s="46" t="inlineStr">
        <is>
          <t>TBD</t>
        </is>
      </c>
      <c r="G19" s="46" t="inlineStr">
        <is>
          <t>TBD</t>
        </is>
      </c>
      <c r="H19" s="46" t="inlineStr">
        <is>
          <t>TBD</t>
        </is>
      </c>
      <c r="I19" s="45" t="n"/>
      <c r="J19" s="42" t="inlineStr">
        <is>
          <t>in search of donor</t>
        </is>
      </c>
      <c r="K19" s="35" t="n"/>
      <c r="L19" s="33" t="n"/>
      <c r="M19" s="33" t="n"/>
    </row>
    <row r="20">
      <c r="A20" s="45" t="n"/>
      <c r="B20" s="46" t="n"/>
      <c r="C20" s="46" t="inlineStr">
        <is>
          <t xml:space="preserve"> </t>
        </is>
      </c>
      <c r="D20" s="46" t="inlineStr">
        <is>
          <t>TBD</t>
        </is>
      </c>
      <c r="E20" s="47" t="inlineStr">
        <is>
          <t>Clean Cooking</t>
        </is>
      </c>
      <c r="F20" s="46" t="inlineStr">
        <is>
          <t>TBD</t>
        </is>
      </c>
      <c r="G20" s="46" t="inlineStr">
        <is>
          <t>TBD</t>
        </is>
      </c>
      <c r="H20" s="46" t="inlineStr">
        <is>
          <t>TBD</t>
        </is>
      </c>
      <c r="I20" s="45" t="n"/>
      <c r="J20" s="42" t="inlineStr">
        <is>
          <t>in search of donor</t>
        </is>
      </c>
      <c r="K20" s="35" t="n"/>
      <c r="L20" s="33" t="n"/>
      <c r="M20" s="33" t="n"/>
    </row>
    <row r="21">
      <c r="A21" s="45" t="n"/>
      <c r="B21" s="46" t="n"/>
      <c r="C21" s="46" t="inlineStr">
        <is>
          <t xml:space="preserve"> </t>
        </is>
      </c>
      <c r="D21" s="46" t="inlineStr">
        <is>
          <t>TBD</t>
        </is>
      </c>
      <c r="E21" s="47" t="inlineStr">
        <is>
          <t>Agricultural Services</t>
        </is>
      </c>
      <c r="F21" s="46" t="inlineStr">
        <is>
          <t>TBD</t>
        </is>
      </c>
      <c r="G21" s="46" t="inlineStr">
        <is>
          <t>TBD</t>
        </is>
      </c>
      <c r="H21" s="46" t="inlineStr">
        <is>
          <t>TBD</t>
        </is>
      </c>
      <c r="I21" s="45" t="n"/>
      <c r="J21" s="42" t="inlineStr">
        <is>
          <t>in search of donor</t>
        </is>
      </c>
      <c r="K21" s="35" t="n"/>
      <c r="L21" s="33" t="n"/>
      <c r="M21" s="33" t="n"/>
    </row>
    <row r="22">
      <c r="A22" s="48" t="n"/>
      <c r="B22" s="46" t="n"/>
      <c r="C22" s="46" t="inlineStr">
        <is>
          <t xml:space="preserve"> </t>
        </is>
      </c>
      <c r="D22" s="46" t="inlineStr">
        <is>
          <t>TBD</t>
        </is>
      </c>
      <c r="E22" s="47" t="inlineStr">
        <is>
          <t>Health Services</t>
        </is>
      </c>
      <c r="F22" s="46" t="inlineStr">
        <is>
          <t>TBD</t>
        </is>
      </c>
      <c r="G22" s="46" t="inlineStr">
        <is>
          <t>TBD</t>
        </is>
      </c>
      <c r="H22" s="46" t="inlineStr">
        <is>
          <t>TBD</t>
        </is>
      </c>
      <c r="I22" s="45" t="n"/>
      <c r="J22" s="42" t="inlineStr">
        <is>
          <t>in search of donor</t>
        </is>
      </c>
      <c r="K22" s="35" t="n"/>
      <c r="L22" s="33" t="n"/>
      <c r="M22" s="33" t="n"/>
    </row>
    <row r="23">
      <c r="A23" s="48" t="n"/>
      <c r="B23" s="46" t="n"/>
      <c r="C23" s="46" t="inlineStr">
        <is>
          <t xml:space="preserve"> </t>
        </is>
      </c>
      <c r="D23" s="46" t="inlineStr">
        <is>
          <t>TBD</t>
        </is>
      </c>
      <c r="E23" s="47" t="inlineStr">
        <is>
          <t>Water Services</t>
        </is>
      </c>
      <c r="F23" s="46" t="inlineStr">
        <is>
          <t>TBD</t>
        </is>
      </c>
      <c r="G23" s="46" t="inlineStr">
        <is>
          <t>TBD</t>
        </is>
      </c>
      <c r="H23" s="46" t="inlineStr">
        <is>
          <t>TBD</t>
        </is>
      </c>
      <c r="I23" s="45" t="n"/>
      <c r="J23" s="42" t="inlineStr">
        <is>
          <t>in search of donor</t>
        </is>
      </c>
      <c r="K23" s="35" t="n"/>
      <c r="L23" s="33" t="n"/>
      <c r="M23" s="33" t="n"/>
    </row>
    <row r="24">
      <c r="A24" s="48" t="n"/>
      <c r="B24" s="46" t="n"/>
      <c r="C24" s="46" t="inlineStr">
        <is>
          <t xml:space="preserve"> </t>
        </is>
      </c>
      <c r="D24" s="46" t="inlineStr">
        <is>
          <t>TBD</t>
        </is>
      </c>
      <c r="E24" s="47" t="inlineStr">
        <is>
          <t>Education Services</t>
        </is>
      </c>
      <c r="F24" s="46" t="inlineStr">
        <is>
          <t>TBD</t>
        </is>
      </c>
      <c r="G24" s="46" t="inlineStr">
        <is>
          <t>TBD</t>
        </is>
      </c>
      <c r="H24" s="46" t="inlineStr">
        <is>
          <t>TBD</t>
        </is>
      </c>
      <c r="I24" s="45" t="n"/>
      <c r="J24" s="42" t="inlineStr">
        <is>
          <t>in search of donor</t>
        </is>
      </c>
      <c r="K24" s="35" t="n"/>
      <c r="L24" s="33" t="n"/>
      <c r="M24" s="33" t="n"/>
    </row>
    <row r="25">
      <c r="A25" s="48" t="n"/>
      <c r="B25" s="46" t="n"/>
      <c r="C25" s="46" t="inlineStr">
        <is>
          <t xml:space="preserve"> </t>
        </is>
      </c>
      <c r="D25" s="46" t="inlineStr">
        <is>
          <t>TBD</t>
        </is>
      </c>
      <c r="E25" s="47" t="inlineStr">
        <is>
          <t>Small Enterprises</t>
        </is>
      </c>
      <c r="F25" s="46" t="inlineStr">
        <is>
          <t>TBD</t>
        </is>
      </c>
      <c r="G25" s="46" t="inlineStr">
        <is>
          <t>TBD</t>
        </is>
      </c>
      <c r="H25" s="46" t="inlineStr">
        <is>
          <t>TBD</t>
        </is>
      </c>
      <c r="I25" s="45" t="n"/>
      <c r="J25" s="42" t="inlineStr">
        <is>
          <t>in search of donor</t>
        </is>
      </c>
      <c r="K25" s="35" t="n"/>
      <c r="L25" s="33" t="n"/>
      <c r="M25" s="33" t="n"/>
    </row>
    <row r="26">
      <c r="A26" s="48" t="n"/>
      <c r="B26" s="46" t="n"/>
      <c r="C26" s="46" t="inlineStr">
        <is>
          <t xml:space="preserve"> </t>
        </is>
      </c>
      <c r="D26" s="46" t="inlineStr">
        <is>
          <t>TBD</t>
        </is>
      </c>
      <c r="E26" s="47" t="inlineStr">
        <is>
          <t>Capacity Training</t>
        </is>
      </c>
      <c r="F26" s="46" t="inlineStr">
        <is>
          <t>TBD</t>
        </is>
      </c>
      <c r="G26" s="46" t="inlineStr">
        <is>
          <t>TBD</t>
        </is>
      </c>
      <c r="H26" s="46" t="inlineStr">
        <is>
          <t>TBD</t>
        </is>
      </c>
      <c r="I26" s="45" t="n"/>
      <c r="J26" s="42" t="inlineStr">
        <is>
          <t>in search of donor</t>
        </is>
      </c>
      <c r="K26" s="35" t="n"/>
      <c r="L26" s="33" t="n"/>
      <c r="M26" s="33" t="n"/>
    </row>
    <row r="27">
      <c r="A27" s="48" t="n"/>
      <c r="B27" s="46" t="n"/>
      <c r="C27" s="46" t="inlineStr">
        <is>
          <t xml:space="preserve"> </t>
        </is>
      </c>
      <c r="D27" s="46" t="inlineStr">
        <is>
          <t>TBD</t>
        </is>
      </c>
      <c r="E27" s="47" t="inlineStr">
        <is>
          <t>Entrepreneurship Training</t>
        </is>
      </c>
      <c r="F27" s="46" t="inlineStr">
        <is>
          <t>TBD</t>
        </is>
      </c>
      <c r="G27" s="46" t="inlineStr">
        <is>
          <t>TBD</t>
        </is>
      </c>
      <c r="H27" s="46" t="inlineStr">
        <is>
          <t>TBD</t>
        </is>
      </c>
      <c r="I27" s="45" t="n"/>
      <c r="J27" s="42" t="inlineStr">
        <is>
          <t>in search of donor</t>
        </is>
      </c>
      <c r="K27" s="35" t="n"/>
      <c r="L27" s="33" t="n"/>
      <c r="M27" s="33" t="n"/>
    </row>
    <row r="28">
      <c r="A28" s="48" t="n"/>
      <c r="B28" s="46" t="n"/>
      <c r="C28" s="46" t="inlineStr">
        <is>
          <t xml:space="preserve"> </t>
        </is>
      </c>
      <c r="D28" s="46" t="inlineStr">
        <is>
          <t>TBD</t>
        </is>
      </c>
      <c r="E28" s="47" t="inlineStr">
        <is>
          <t>Campaign Participant</t>
        </is>
      </c>
      <c r="F28" s="46" t="inlineStr">
        <is>
          <t>TBD</t>
        </is>
      </c>
      <c r="G28" s="46" t="inlineStr">
        <is>
          <t>TBD</t>
        </is>
      </c>
      <c r="H28" s="46" t="inlineStr">
        <is>
          <t>TBD</t>
        </is>
      </c>
      <c r="I28" s="45" t="n"/>
      <c r="J28" s="42" t="inlineStr">
        <is>
          <t>in search of donor</t>
        </is>
      </c>
      <c r="K28" s="35" t="n"/>
      <c r="L28" s="33" t="n"/>
      <c r="M28" s="33" t="n"/>
    </row>
    <row r="29">
      <c r="A29" s="48" t="n"/>
      <c r="B29" s="46" t="n"/>
      <c r="C29" s="46" t="inlineStr">
        <is>
          <t xml:space="preserve"> </t>
        </is>
      </c>
      <c r="D29" s="46" t="inlineStr">
        <is>
          <t>TBD</t>
        </is>
      </c>
      <c r="E29" s="47" t="inlineStr">
        <is>
          <t>Policy or Regulatory Framework</t>
        </is>
      </c>
      <c r="F29" s="46" t="inlineStr">
        <is>
          <t>TBD</t>
        </is>
      </c>
      <c r="G29" s="46" t="inlineStr">
        <is>
          <t>TBD</t>
        </is>
      </c>
      <c r="H29" s="46" t="inlineStr">
        <is>
          <t>TBD</t>
        </is>
      </c>
      <c r="I29" s="45" t="n"/>
      <c r="J29" s="42" t="inlineStr">
        <is>
          <t>in search of donor</t>
        </is>
      </c>
      <c r="K29" s="35" t="n"/>
      <c r="L29" s="33" t="n"/>
      <c r="M29" s="33" t="n"/>
    </row>
    <row r="30" ht="100.5" customHeight="1">
      <c r="A30" s="49" t="n">
        <v>112026</v>
      </c>
      <c r="B30" s="49" t="inlineStr">
        <is>
          <t>Promoting the use of solar technologies for agricultural and rural development in Cambodia and Myanmar</t>
        </is>
      </c>
      <c r="C30" s="45" t="n"/>
      <c r="D30" s="50" t="n">
        <v>2285334</v>
      </c>
      <c r="E30" s="51" t="inlineStr">
        <is>
          <t>Agricultural Services</t>
        </is>
      </c>
      <c r="F30" s="52" t="inlineStr">
        <is>
          <t>Number of households provided agricultural service and Solar Water Pumping Systems</t>
        </is>
      </c>
      <c r="G30" s="53" t="inlineStr">
        <is>
          <t>N/A</t>
        </is>
      </c>
      <c r="H30" s="54" t="n">
        <v>65000</v>
      </c>
      <c r="I30" s="55" t="inlineStr">
        <is>
          <t>01 Nov 2020 - 31 Dec 2023</t>
        </is>
      </c>
      <c r="J30" s="53" t="inlineStr">
        <is>
          <t>Ministry of Agriculture, Food and Rural Affairs (MAFRA), Republic of Korea</t>
        </is>
      </c>
      <c r="K30" s="53" t="inlineStr">
        <is>
          <t>Ongoing</t>
        </is>
      </c>
      <c r="L30" s="37">
        <f>D30/H30</f>
        <v/>
      </c>
      <c r="M30" s="33" t="inlineStr">
        <is>
          <t>The number of households serviced is 65,000. Thus the budget per household is 35 USD. This appears too small to make meaningful intervention.</t>
        </is>
      </c>
    </row>
    <row r="31">
      <c r="A31" s="8" t="n"/>
      <c r="B31" s="8" t="n"/>
      <c r="C31" s="8" t="n"/>
      <c r="D31" s="8" t="n"/>
      <c r="E31" s="8" t="n"/>
      <c r="F31" s="8" t="n"/>
      <c r="G31" s="8" t="n"/>
      <c r="H31" s="8" t="n"/>
      <c r="I31" s="8" t="n"/>
    </row>
    <row r="32">
      <c r="A32" s="8" t="n"/>
      <c r="B32" s="8" t="n"/>
      <c r="C32" s="8" t="n"/>
      <c r="D32" s="8" t="n"/>
      <c r="E32" s="8" t="n"/>
      <c r="F32" s="8" t="n"/>
      <c r="G32" s="8" t="n"/>
      <c r="H32" s="8" t="n"/>
      <c r="I32" s="8" t="n"/>
    </row>
    <row r="33">
      <c r="A33" s="26" t="inlineStr">
        <is>
          <t>Great job, but for any output that has "# of villages" as the output, please specify the average village population in the Notes column</t>
        </is>
      </c>
      <c r="B33" s="8" t="n"/>
      <c r="C33" s="8" t="n"/>
      <c r="D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sheetData>
  <mergeCells count="6">
    <mergeCell ref="I2:I4"/>
    <mergeCell ref="A2:A4"/>
    <mergeCell ref="C2:C4"/>
    <mergeCell ref="I8:I17"/>
    <mergeCell ref="B2:B4"/>
    <mergeCell ref="D2:D4"/>
  </mergeCells>
  <hyperlinks>
    <hyperlink xmlns:r="http://schemas.openxmlformats.org/officeDocument/2006/relationships" ref="C5" r:id="rId1"/>
    <hyperlink xmlns:r="http://schemas.openxmlformats.org/officeDocument/2006/relationships" ref="C6" r:id="rId2"/>
  </hyperlinks>
  <pageMargins left="0.7" right="0.7" top="0.75" bottom="0.75" header="0.3" footer="0.3"/>
  <pageSetup orientation="portrait" horizontalDpi="300" verticalDpi="0"/>
</worksheet>
</file>

<file path=xl/worksheets/sheet3.xml><?xml version="1.0" encoding="utf-8"?>
<worksheet xmlns="http://schemas.openxmlformats.org/spreadsheetml/2006/main">
  <sheetPr>
    <outlinePr summaryBelow="1" summaryRight="1"/>
    <pageSetUpPr/>
  </sheetPr>
  <dimension ref="A1:O69"/>
  <sheetViews>
    <sheetView zoomScale="70" zoomScaleNormal="70" workbookViewId="0">
      <pane ySplit="1" topLeftCell="A9" activePane="bottomLeft" state="frozen"/>
      <selection pane="bottomLeft" activeCell="A9" sqref="A9:B15"/>
    </sheetView>
  </sheetViews>
  <sheetFormatPr baseColWidth="8" defaultColWidth="9.140625" defaultRowHeight="15"/>
  <cols>
    <col width="13.42578125" customWidth="1" style="2" min="1" max="1"/>
    <col width="48.140625" bestFit="1" customWidth="1" style="2" min="2" max="2"/>
    <col width="22.28515625" customWidth="1" style="2" min="3" max="3"/>
    <col width="10.85546875" customWidth="1" style="2" min="4" max="4"/>
    <col width="32.42578125" customWidth="1" style="2" min="5" max="5"/>
    <col width="20.7109375" customWidth="1" style="2" min="6" max="6"/>
    <col width="12.7109375" customWidth="1" style="2" min="7" max="8"/>
    <col width="32.7109375" customWidth="1" style="2" min="9" max="9"/>
    <col width="23.85546875" customWidth="1" style="2" min="10" max="10"/>
    <col width="13" customWidth="1" style="2" min="11" max="11"/>
    <col width="14.7109375" customWidth="1" style="2" min="12" max="12"/>
    <col width="31.7109375" customWidth="1" style="2" min="13" max="13"/>
    <col width="9.140625" customWidth="1" style="2" min="14" max="14"/>
    <col width="11.42578125" bestFit="1" customWidth="1" style="2" min="15" max="15"/>
    <col width="9.140625" customWidth="1" style="2" min="16" max="16384"/>
  </cols>
  <sheetData>
    <row r="1" ht="7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3" t="inlineStr">
        <is>
          <t>Donors</t>
        </is>
      </c>
      <c r="K1" s="13" t="inlineStr">
        <is>
          <t xml:space="preserve">Comments </t>
        </is>
      </c>
      <c r="L1" s="29" t="inlineStr">
        <is>
          <t>Unit price USD/ piece derived from the data in this table, D/H</t>
        </is>
      </c>
      <c r="M1" s="29" t="inlineStr">
        <is>
          <t>SN Srinivas comments</t>
        </is>
      </c>
    </row>
    <row r="2" ht="225" customHeight="1">
      <c r="A2" s="88" t="n">
        <v>104187</v>
      </c>
      <c r="B2" s="88" t="inlineStr">
        <is>
          <t>(Suspended until Nov 2023) Rural Renewable Energy</t>
        </is>
      </c>
      <c r="C2" s="88" t="inlineStr">
        <is>
          <t>PIMS+</t>
        </is>
      </c>
      <c r="D2" s="88" t="n">
        <v>4934228</v>
      </c>
      <c r="E2" s="4" t="inlineStr">
        <is>
          <t>Policy or Regulatory Framework</t>
        </is>
      </c>
      <c r="F2" s="4" t="inlineStr">
        <is>
          <t>Lifetime direct GHG emissions avoided as a result of energy access projects</t>
        </is>
      </c>
      <c r="G2" s="4" t="inlineStr">
        <is>
          <t>N/A</t>
        </is>
      </c>
      <c r="H2" s="4" t="inlineStr">
        <is>
          <t>246,094 tCO2 over the 12-yr lifetime of small hydro and solar mini-grids (20,508 tCO2 per year), and corresponding energy production of 25,341 MWh per year</t>
        </is>
      </c>
      <c r="I2" s="90" t="inlineStr">
        <is>
          <t>Suspension of project likely to be extended</t>
        </is>
      </c>
      <c r="L2" s="29" t="n"/>
      <c r="M2" s="29" t="inlineStr">
        <is>
          <t>Is the budget in USD?</t>
        </is>
      </c>
      <c r="O2" s="28" t="n"/>
    </row>
    <row r="3" ht="135" customHeight="1">
      <c r="E3" s="2" t="inlineStr">
        <is>
          <t>Policy or Regulatory Framework</t>
        </is>
      </c>
      <c r="F3" s="2" t="inlineStr">
        <is>
          <t>Lifetime consequential GHG emissions avoided as a result of energy access projects</t>
        </is>
      </c>
      <c r="G3" s="2" t="inlineStr">
        <is>
          <t>N/A</t>
        </is>
      </c>
      <c r="H3" s="2" t="inlineStr">
        <is>
          <t>Indirect (consequential) emissions are 738,281 tCO2 over the 12-yr lifetime of the equipment</t>
        </is>
      </c>
      <c r="L3" s="29" t="n"/>
      <c r="M3" s="29" t="n"/>
    </row>
    <row r="4" ht="240" customHeight="1">
      <c r="E4" s="2" t="inlineStr">
        <is>
          <t>Agricultural Services</t>
        </is>
      </c>
      <c r="F4" s="2" t="inlineStr">
        <is>
          <t>Number of households (and # of female-headed HH) provided with electricity services</t>
        </is>
      </c>
      <c r="G4" s="2" t="inlineStr">
        <is>
          <t>N/A</t>
        </is>
      </c>
      <c r="H4" s="2" t="inlineStr">
        <is>
          <t>56,200 households in 281 villages  will be connected (RE mini-grids plus SHS). At 4.4 person per HH, beneficiaries are 247,280 (50% male and 50% female).</t>
        </is>
      </c>
      <c r="L4" s="29" t="n"/>
      <c r="M4" s="29" t="n"/>
    </row>
    <row r="5" ht="150" customHeight="1">
      <c r="A5" s="2" t="n">
        <v>111777</v>
      </c>
      <c r="B5" s="2" t="inlineStr">
        <is>
          <t xml:space="preserve">Governance for Resilience and Sustainability Project </t>
        </is>
      </c>
      <c r="C5" s="3" t="inlineStr">
        <is>
          <t>https://open.undp.org/projects/00111777</t>
        </is>
      </c>
      <c r="D5" s="2" t="n">
        <v>716641</v>
      </c>
      <c r="E5" s="2" t="inlineStr">
        <is>
          <t>Electricity Access</t>
        </is>
      </c>
      <c r="F5" s="2" t="inlineStr">
        <is>
          <t>Number of households provided with electricity services</t>
        </is>
      </c>
      <c r="G5" s="2" t="inlineStr">
        <is>
          <t>N/A</t>
        </is>
      </c>
      <c r="H5" s="2" t="inlineStr">
        <is>
          <t xml:space="preserve">Installed solar home systems (SHS) in 827 households in Mon state and Magway region </t>
        </is>
      </c>
      <c r="I5" s="2" t="inlineStr">
        <is>
          <t>GRSP's budget for 2022 was $716,641.</t>
        </is>
      </c>
      <c r="L5" s="30">
        <f>D5/827</f>
        <v/>
      </c>
      <c r="M5" s="29" t="inlineStr">
        <is>
          <t>With a budget of 716,641 USD for 827 SHS systems. This works out to be USD 867 USD per system. Solar home systems range from 100 to 500 USD per set. This is slightly on higher side. It can be reduced to about 500 USD per home giving about 75W of lights. However, this is based on the cost in India.</t>
        </is>
      </c>
    </row>
    <row r="6" ht="225" customHeight="1">
      <c r="A6" s="2" t="n">
        <v>111777</v>
      </c>
      <c r="B6" s="2" t="inlineStr">
        <is>
          <t xml:space="preserve">Governance for Resilience and Sustainability Project </t>
        </is>
      </c>
      <c r="C6" s="3" t="inlineStr">
        <is>
          <t>https://open.undp.org/projects/00111777</t>
        </is>
      </c>
      <c r="D6" s="5" t="n">
        <v>716641</v>
      </c>
      <c r="E6" s="2" t="inlineStr">
        <is>
          <t>Clean Cooking</t>
        </is>
      </c>
      <c r="F6" s="2" t="inlineStr">
        <is>
          <t>Number of households  provided with improved cookstoves</t>
        </is>
      </c>
      <c r="G6" s="2" t="inlineStr">
        <is>
          <t>N/A</t>
        </is>
      </c>
      <c r="H6" s="2" t="inlineStr">
        <is>
          <t>A total of 827 houselholds in Mon state and Tanintharyi received improved cookstoves</t>
        </is>
      </c>
      <c r="I6" s="2" t="inlineStr">
        <is>
          <t xml:space="preserve">GRSP's budget for 2022 was $716,641. The project was concluded in 2022. </t>
        </is>
      </c>
      <c r="L6" s="30">
        <f>D6/827</f>
        <v/>
      </c>
      <c r="M6" s="29" t="inlineStr">
        <is>
          <t>With a budget of 716,641 USD for 827 SHS systems. This works out to be USD 867 USD per system. This is signficantly high for a improved cookstove for home use. However, if it is solar induction stove, the price is all right. If it is improved cookstove with forced draft, it can be about 150 USD per piece. If it is natural draft, the cost is about 40 USD per piece. From the description, I am unable to make out what kind of cookstoves are being considered here</t>
        </is>
      </c>
    </row>
    <row r="7" ht="255" customHeight="1">
      <c r="C7" s="3" t="n"/>
      <c r="D7" s="5" t="n"/>
      <c r="E7" s="2" t="inlineStr">
        <is>
          <t>Agricultural Services</t>
        </is>
      </c>
      <c r="F7" s="2" t="inlineStr">
        <is>
          <t xml:space="preserve">Number of household  provided with solar pumping system and solar bubble dryer </t>
        </is>
      </c>
      <c r="G7" s="2" t="inlineStr">
        <is>
          <t>N/A</t>
        </is>
      </c>
      <c r="H7" s="7" t="inlineStr">
        <is>
          <t xml:space="preserve">3 villages in Shan state were supported with 1 solar pumping system and 2 solar bubble dryers. 
Solar pumping - 15 HH
Solar dryers - 30 HH in total (two villages) </t>
        </is>
      </c>
      <c r="I7" s="2" t="inlineStr">
        <is>
          <t>GRSP's budget for 2022 was $716,641. The project was concluded in 2022. 
Solar pumping capacity - Generate watt 3300 and water storage pond with the capacity of about 20,000 gallons of water.</t>
        </is>
      </c>
      <c r="K7" s="14" t="n"/>
      <c r="L7" s="29" t="n"/>
      <c r="M7" s="29" t="n"/>
    </row>
    <row r="8" ht="60" customHeight="1">
      <c r="A8" s="2" t="inlineStr">
        <is>
          <t>No project ID yet</t>
        </is>
      </c>
      <c r="B8" s="7" t="inlineStr">
        <is>
          <t>UNDP-SPM Partnership for rural electrification
(Concept developed subject to resource mobilization)</t>
        </is>
      </c>
      <c r="D8" s="6" t="n">
        <v>1348200</v>
      </c>
      <c r="E8" s="2" t="inlineStr">
        <is>
          <t>Electricity Access</t>
        </is>
      </c>
      <c r="F8" s="2" t="inlineStr">
        <is>
          <t xml:space="preserve">Number of HH provided with Solar home lighting systems </t>
        </is>
      </c>
      <c r="G8" s="2" t="inlineStr">
        <is>
          <t>N/A</t>
        </is>
      </c>
      <c r="H8" s="2" t="n">
        <v>5000</v>
      </c>
      <c r="I8" s="87" t="inlineStr">
        <is>
          <t>the project document was developed and resources in pipeline.</t>
        </is>
      </c>
      <c r="J8" s="12" t="inlineStr">
        <is>
          <t>in search of donor</t>
        </is>
      </c>
      <c r="L8" s="29">
        <f>D8/H8</f>
        <v/>
      </c>
      <c r="M8" s="29" t="inlineStr">
        <is>
          <t>This appears ok</t>
        </is>
      </c>
    </row>
    <row r="9" ht="45" customHeight="1">
      <c r="A9" s="2" t="inlineStr">
        <is>
          <t>No project ID yet</t>
        </is>
      </c>
      <c r="B9" s="7" t="inlineStr">
        <is>
          <t>UNDP-SPM Partnership for rural electrification
(Concept developed subject to resource mobilization)</t>
        </is>
      </c>
      <c r="D9" s="6" t="n">
        <v>1624000</v>
      </c>
      <c r="E9" s="2" t="inlineStr">
        <is>
          <t>Clean Cooking</t>
        </is>
      </c>
      <c r="F9" s="2" t="inlineStr">
        <is>
          <t>number of HHs provided with energy efficient cookstoves</t>
        </is>
      </c>
      <c r="G9" s="2" t="inlineStr">
        <is>
          <t>N/A</t>
        </is>
      </c>
      <c r="H9" s="6" t="n">
        <v>50000</v>
      </c>
      <c r="J9" s="12" t="inlineStr">
        <is>
          <t>in search of donor</t>
        </is>
      </c>
      <c r="L9" s="29">
        <f>D9/H9</f>
        <v/>
      </c>
      <c r="M9" s="29" t="inlineStr">
        <is>
          <t>If the energy efficient cookstove is natural draft, the price is ok</t>
        </is>
      </c>
    </row>
    <row r="10" ht="60" customHeight="1">
      <c r="A10" s="2" t="inlineStr">
        <is>
          <t>No project ID yet</t>
        </is>
      </c>
      <c r="B10" s="7" t="inlineStr">
        <is>
          <t>UNDP-SPM Partnership for rural electrification
(Concept developed subject to resource mobilization)</t>
        </is>
      </c>
      <c r="D10" s="6" t="n">
        <v>753600</v>
      </c>
      <c r="E10" s="2" t="inlineStr">
        <is>
          <t>water services</t>
        </is>
      </c>
      <c r="F10" s="2" t="inlineStr">
        <is>
          <t xml:space="preserve">number of village water supply systems upgraded to solar-powered applications </t>
        </is>
      </c>
      <c r="G10" s="2" t="inlineStr">
        <is>
          <t>N/A</t>
        </is>
      </c>
      <c r="H10" s="2" t="n">
        <v>100</v>
      </c>
      <c r="J10" s="12" t="inlineStr">
        <is>
          <t>in search of donor</t>
        </is>
      </c>
      <c r="K10" s="27" t="inlineStr">
        <is>
          <t>Estimate # of beneficiaries / village</t>
        </is>
      </c>
      <c r="L10" s="29">
        <f>D10/H10</f>
        <v/>
      </c>
      <c r="M10" s="29" t="inlineStr">
        <is>
          <t>The cost appears ok for small water pump for small village.</t>
        </is>
      </c>
    </row>
    <row r="11" ht="60" customHeight="1">
      <c r="A11" s="2" t="inlineStr">
        <is>
          <t>No project ID yet</t>
        </is>
      </c>
      <c r="B11" s="7" t="inlineStr">
        <is>
          <t>UNDP-SPM Partnership for rural electrification
(Concept developed subject to resource mobilization)</t>
        </is>
      </c>
      <c r="D11" s="6" t="n">
        <v>1906800</v>
      </c>
      <c r="E11" s="2" t="inlineStr">
        <is>
          <t>water services</t>
        </is>
      </c>
      <c r="F11" s="2" t="inlineStr">
        <is>
          <t>number of villages provided with a new solar-powered village water supply system</t>
        </is>
      </c>
      <c r="H11" s="2" t="n">
        <v>168</v>
      </c>
      <c r="J11" s="12" t="inlineStr">
        <is>
          <t>in search of donor</t>
        </is>
      </c>
      <c r="K11" s="27" t="inlineStr">
        <is>
          <t>Estimate # of beneficiaries / village</t>
        </is>
      </c>
      <c r="L11" s="29">
        <f>D11/H11</f>
        <v/>
      </c>
      <c r="M11" s="29" t="inlineStr">
        <is>
          <t>This appears to be for slightly larger village. The cost appears ok</t>
        </is>
      </c>
    </row>
    <row r="12" ht="90" customHeight="1">
      <c r="A12" s="2" t="inlineStr">
        <is>
          <t>No project ID yet</t>
        </is>
      </c>
      <c r="B12" s="7" t="inlineStr">
        <is>
          <t>UNDP-SPM Partnership for rural electrification
(Concept developed subject to resource mobilization)</t>
        </is>
      </c>
      <c r="D12" s="6" t="n">
        <v>682360</v>
      </c>
      <c r="E12" s="2" t="inlineStr">
        <is>
          <t>Agricultural Services</t>
        </is>
      </c>
      <c r="F12" s="2" t="inlineStr">
        <is>
          <t xml:space="preserve">number of villages provided with a new small-scale solar irrigation system to improve agricultural production </t>
        </is>
      </c>
      <c r="G12" s="2" t="inlineStr">
        <is>
          <t>N/A</t>
        </is>
      </c>
      <c r="H12" s="2" t="n">
        <v>56</v>
      </c>
      <c r="J12" s="12" t="inlineStr">
        <is>
          <t>in search of donor</t>
        </is>
      </c>
      <c r="K12" s="27" t="inlineStr">
        <is>
          <t>Estimate # of beneficiaries / village</t>
        </is>
      </c>
      <c r="L12" s="29">
        <f>D12/H12</f>
        <v/>
      </c>
      <c r="M12" s="29" t="inlineStr">
        <is>
          <t>If it is solar pump, the cost is ok.</t>
        </is>
      </c>
    </row>
    <row r="13" ht="135" customHeight="1">
      <c r="A13" s="2" t="inlineStr">
        <is>
          <t>No project ID yet</t>
        </is>
      </c>
      <c r="B13" s="7" t="inlineStr">
        <is>
          <t>UNDP-SPM Partnership for rural electrification
(Concept developed subject to resource mobilization)</t>
        </is>
      </c>
      <c r="D13" s="6" t="n">
        <v>529200</v>
      </c>
      <c r="E13" s="2" t="inlineStr">
        <is>
          <t>Agricultural Services</t>
        </is>
      </c>
      <c r="F13" s="2" t="inlineStr">
        <is>
          <t>number of small-scale irrigation systems upgraded to solar-powered applications to improve the efficiency of agricultural production</t>
        </is>
      </c>
      <c r="G13" s="2" t="inlineStr">
        <is>
          <t>N/A</t>
        </is>
      </c>
      <c r="H13" s="2" t="n">
        <v>56</v>
      </c>
      <c r="J13" s="12" t="inlineStr">
        <is>
          <t>in search of donor</t>
        </is>
      </c>
      <c r="K13" s="27" t="inlineStr">
        <is>
          <t>Estimate # of beneficiaries / system</t>
        </is>
      </c>
      <c r="L13" s="29">
        <f>D13/H13</f>
        <v/>
      </c>
      <c r="M13" s="29" t="inlineStr">
        <is>
          <t>It is not clear what is the product being considered. So cannot comment on the cost.</t>
        </is>
      </c>
    </row>
    <row r="14" ht="90" customHeight="1">
      <c r="A14" s="2" t="inlineStr">
        <is>
          <t>No project ID yet</t>
        </is>
      </c>
      <c r="B14" s="7" t="inlineStr">
        <is>
          <t>UNDP-SPM Partnership for rural electrification
(Concept developed subject to resource mobilization)</t>
        </is>
      </c>
      <c r="D14" s="6" t="n">
        <v>1030400</v>
      </c>
      <c r="E14" s="2" t="inlineStr">
        <is>
          <t>Other energy services</t>
        </is>
      </c>
      <c r="F14" s="2" t="inlineStr">
        <is>
          <t xml:space="preserve">number of women's start-up livelihood groups provided with productive use of energy (PUE) inputs/applications </t>
        </is>
      </c>
      <c r="G14" s="2" t="inlineStr">
        <is>
          <t>N/A</t>
        </is>
      </c>
      <c r="H14" s="2" t="n">
        <v>100</v>
      </c>
      <c r="J14" s="12" t="inlineStr">
        <is>
          <t>in search of donor</t>
        </is>
      </c>
      <c r="L14" s="29">
        <f>D14/H14</f>
        <v/>
      </c>
      <c r="M14" s="29" t="inlineStr">
        <is>
          <t>It is not clear what is the product being considered. So cannot comment on the cost.</t>
        </is>
      </c>
    </row>
    <row r="15" ht="90" customHeight="1">
      <c r="A15" s="2" t="inlineStr">
        <is>
          <t>No project ID yet</t>
        </is>
      </c>
      <c r="B15" s="9" t="inlineStr">
        <is>
          <t>UNDP-SPM Partnership for rural electrification
(Concept developed subject to resource mobilization)</t>
        </is>
      </c>
      <c r="C15" s="10" t="n"/>
      <c r="D15" s="11" t="n">
        <v>599760</v>
      </c>
      <c r="E15" s="10" t="inlineStr">
        <is>
          <t>Electricity Access</t>
        </is>
      </c>
      <c r="F15" s="22" t="inlineStr">
        <is>
          <t xml:space="preserve">number of villages supported with community-led last-mile connection to the national grid 
</t>
        </is>
      </c>
      <c r="G15" s="10" t="inlineStr">
        <is>
          <t>N/A</t>
        </is>
      </c>
      <c r="H15" s="10" t="n">
        <v>56</v>
      </c>
      <c r="J15" s="12" t="inlineStr">
        <is>
          <t>in search of donor</t>
        </is>
      </c>
      <c r="K15" s="27" t="inlineStr">
        <is>
          <t>Estimate # of beneficiaries / village</t>
        </is>
      </c>
      <c r="L15" s="29">
        <f>D15/H15</f>
        <v/>
      </c>
      <c r="M15" s="29" t="inlineStr">
        <is>
          <t>It is not clear whether it is the grid extension cost. Cannot comment</t>
        </is>
      </c>
    </row>
    <row r="16" ht="60" customHeight="1">
      <c r="A16" s="2" t="inlineStr">
        <is>
          <t>No project ID yet</t>
        </is>
      </c>
      <c r="B16" s="9" t="inlineStr">
        <is>
          <t>UNDP-SPM Partnership for rural electrification
(Concept developed subject to resource mobilization)</t>
        </is>
      </c>
      <c r="C16" s="10" t="n"/>
      <c r="D16" s="11" t="n">
        <v>299540</v>
      </c>
      <c r="E16" s="10" t="inlineStr">
        <is>
          <t>Electricity Access</t>
        </is>
      </c>
      <c r="F16" s="22" t="inlineStr">
        <is>
          <t>number of villages supported for connection to a nearby mini-grid</t>
        </is>
      </c>
      <c r="G16" s="10" t="inlineStr">
        <is>
          <t>N/A</t>
        </is>
      </c>
      <c r="H16" s="10" t="n">
        <v>34</v>
      </c>
      <c r="J16" s="12" t="inlineStr">
        <is>
          <t>in search of donor</t>
        </is>
      </c>
      <c r="K16" s="27" t="inlineStr">
        <is>
          <t>Estimate # of beneficiaries / village</t>
        </is>
      </c>
      <c r="L16" s="29">
        <f>D16/H16</f>
        <v/>
      </c>
      <c r="M16" s="29" t="inlineStr">
        <is>
          <t>Does the mini-grid already exist? Is it only the households to be connected? Not clear. Hence, cannot comment on the cost</t>
        </is>
      </c>
    </row>
    <row r="17" ht="75" customHeight="1">
      <c r="A17" s="2" t="inlineStr">
        <is>
          <t>No project ID yet</t>
        </is>
      </c>
      <c r="B17" s="9" t="inlineStr">
        <is>
          <t>UNDP-SPM Partnership for rural electrification
(Concept developed subject to resource mobilization)</t>
        </is>
      </c>
      <c r="C17" s="10" t="n"/>
      <c r="D17" s="11" t="n">
        <v>1205640</v>
      </c>
      <c r="E17" s="10" t="inlineStr">
        <is>
          <t>Electricity Access</t>
        </is>
      </c>
      <c r="F17" s="22" t="inlineStr">
        <is>
          <t>number of new mini-grid systems tested to support livelihood recovery in broader areas</t>
        </is>
      </c>
      <c r="G17" s="10" t="inlineStr">
        <is>
          <t>N/A</t>
        </is>
      </c>
      <c r="H17" s="10" t="n">
        <v>4</v>
      </c>
      <c r="J17" s="12" t="inlineStr">
        <is>
          <t>in search of donor</t>
        </is>
      </c>
      <c r="K17" s="27" t="inlineStr">
        <is>
          <t>Estimate # of beneficiaries / system</t>
        </is>
      </c>
      <c r="L17" s="29">
        <f>D17/H17</f>
        <v/>
      </c>
      <c r="M17" s="29" t="inlineStr">
        <is>
          <t>It is not clear what is the capacity of the system. Hence, hard to comment on cost.</t>
        </is>
      </c>
    </row>
    <row r="18" ht="60" customHeight="1">
      <c r="A18" s="8" t="inlineStr">
        <is>
          <t>No project ID yet</t>
        </is>
      </c>
      <c r="B18" s="23" t="inlineStr">
        <is>
          <t>Integration of Renewable Energy Interventions into Community-Based Crisis Responses in collaboration with the Sustainable Energy Hub (at concept development stage)</t>
        </is>
      </c>
      <c r="C18" s="23" t="inlineStr">
        <is>
          <t xml:space="preserve"> </t>
        </is>
      </c>
      <c r="D18" s="23" t="inlineStr">
        <is>
          <t>TBD</t>
        </is>
      </c>
      <c r="E18" s="24" t="inlineStr">
        <is>
          <t>Electricity Access</t>
        </is>
      </c>
      <c r="F18" s="23" t="inlineStr">
        <is>
          <t>TBD</t>
        </is>
      </c>
      <c r="G18" s="23" t="inlineStr">
        <is>
          <t>TBD</t>
        </is>
      </c>
      <c r="H18" s="23" t="inlineStr">
        <is>
          <t>TBD</t>
        </is>
      </c>
      <c r="I18" s="8" t="n"/>
      <c r="J18" s="12" t="inlineStr">
        <is>
          <t>in search of donor</t>
        </is>
      </c>
      <c r="L18" s="29" t="n"/>
      <c r="M18" s="29" t="n"/>
    </row>
    <row r="19" ht="60" customHeight="1">
      <c r="A19" s="8" t="inlineStr">
        <is>
          <t>No project ID yet</t>
        </is>
      </c>
      <c r="B19" s="23" t="inlineStr">
        <is>
          <t>Integration of Renewable Energy Interventions into Community-Based Crisis Responses in collaboration with the Sustainable Energy Hub (at concept development stage)</t>
        </is>
      </c>
      <c r="C19" s="23" t="inlineStr">
        <is>
          <t xml:space="preserve"> </t>
        </is>
      </c>
      <c r="D19" s="23" t="inlineStr">
        <is>
          <t>TBD</t>
        </is>
      </c>
      <c r="E19" s="24" t="inlineStr">
        <is>
          <t>Energy (MW added)</t>
        </is>
      </c>
      <c r="F19" s="23" t="inlineStr">
        <is>
          <t>TBD</t>
        </is>
      </c>
      <c r="G19" s="23" t="inlineStr">
        <is>
          <t>TBD</t>
        </is>
      </c>
      <c r="H19" s="23" t="inlineStr">
        <is>
          <t>TBD</t>
        </is>
      </c>
      <c r="I19" s="8" t="n"/>
      <c r="J19" s="12" t="inlineStr">
        <is>
          <t>in search of donor</t>
        </is>
      </c>
      <c r="L19" s="29" t="n"/>
      <c r="M19" s="29" t="n"/>
    </row>
    <row r="20" ht="60" customHeight="1">
      <c r="A20" s="8" t="inlineStr">
        <is>
          <t>No project ID yet</t>
        </is>
      </c>
      <c r="B20" s="23" t="inlineStr">
        <is>
          <t>Integration of Renewable Energy Interventions into Community-Based Crisis Responses in collaboration with the Sustainable Energy Hub (at concept development stage)</t>
        </is>
      </c>
      <c r="C20" s="23" t="inlineStr">
        <is>
          <t xml:space="preserve"> </t>
        </is>
      </c>
      <c r="D20" s="23" t="inlineStr">
        <is>
          <t>TBD</t>
        </is>
      </c>
      <c r="E20" s="24" t="inlineStr">
        <is>
          <t>Clean Cooking</t>
        </is>
      </c>
      <c r="F20" s="23" t="inlineStr">
        <is>
          <t>TBD</t>
        </is>
      </c>
      <c r="G20" s="23" t="inlineStr">
        <is>
          <t>TBD</t>
        </is>
      </c>
      <c r="H20" s="23" t="inlineStr">
        <is>
          <t>TBD</t>
        </is>
      </c>
      <c r="I20" s="8" t="n"/>
      <c r="J20" s="12" t="inlineStr">
        <is>
          <t>in search of donor</t>
        </is>
      </c>
      <c r="L20" s="29" t="n"/>
      <c r="M20" s="29" t="n"/>
    </row>
    <row r="21" ht="60" customHeight="1">
      <c r="A21" s="8" t="inlineStr">
        <is>
          <t>No project ID yet</t>
        </is>
      </c>
      <c r="B21" s="23" t="inlineStr">
        <is>
          <t>Integration of Renewable Energy Interventions into Community-Based Crisis Responses in collaboration with the Sustainable Energy Hub (at concept development stage)</t>
        </is>
      </c>
      <c r="C21" s="23" t="inlineStr">
        <is>
          <t xml:space="preserve"> </t>
        </is>
      </c>
      <c r="D21" s="23" t="inlineStr">
        <is>
          <t>TBD</t>
        </is>
      </c>
      <c r="E21" s="24" t="inlineStr">
        <is>
          <t>Agricultural Services</t>
        </is>
      </c>
      <c r="F21" s="23" t="inlineStr">
        <is>
          <t>TBD</t>
        </is>
      </c>
      <c r="G21" s="23" t="inlineStr">
        <is>
          <t>TBD</t>
        </is>
      </c>
      <c r="H21" s="23" t="inlineStr">
        <is>
          <t>TBD</t>
        </is>
      </c>
      <c r="I21" s="8" t="n"/>
      <c r="J21" s="12" t="inlineStr">
        <is>
          <t>in search of donor</t>
        </is>
      </c>
      <c r="L21" s="29" t="n"/>
      <c r="M21" s="29" t="n"/>
    </row>
    <row r="22" ht="60" customHeight="1">
      <c r="A22" s="25" t="inlineStr">
        <is>
          <t>No project ID yet</t>
        </is>
      </c>
      <c r="B22" s="23" t="inlineStr">
        <is>
          <t>Integration of Renewable Energy Interventions into Community-Based Crisis Responses in collaboration with the Sustainable Energy Hub (at concept development stage)</t>
        </is>
      </c>
      <c r="C22" s="23" t="inlineStr">
        <is>
          <t xml:space="preserve"> </t>
        </is>
      </c>
      <c r="D22" s="23" t="inlineStr">
        <is>
          <t>TBD</t>
        </is>
      </c>
      <c r="E22" s="24" t="inlineStr">
        <is>
          <t>Health Services</t>
        </is>
      </c>
      <c r="F22" s="23" t="inlineStr">
        <is>
          <t>TBD</t>
        </is>
      </c>
      <c r="G22" s="23" t="inlineStr">
        <is>
          <t>TBD</t>
        </is>
      </c>
      <c r="H22" s="23" t="inlineStr">
        <is>
          <t>TBD</t>
        </is>
      </c>
      <c r="I22" s="8" t="n"/>
      <c r="J22" s="12" t="inlineStr">
        <is>
          <t>in search of donor</t>
        </is>
      </c>
      <c r="L22" s="29" t="n"/>
      <c r="M22" s="29" t="n"/>
    </row>
    <row r="23" ht="60" customHeight="1">
      <c r="A23" s="25" t="inlineStr">
        <is>
          <t>No project ID yet</t>
        </is>
      </c>
      <c r="B23" s="23" t="inlineStr">
        <is>
          <t>Integration of Renewable Energy Interventions into Community-Based Crisis Responses in collaboration with the Sustainable Energy Hub (at concept development stage)</t>
        </is>
      </c>
      <c r="C23" s="23" t="inlineStr">
        <is>
          <t xml:space="preserve"> </t>
        </is>
      </c>
      <c r="D23" s="23" t="inlineStr">
        <is>
          <t>TBD</t>
        </is>
      </c>
      <c r="E23" s="24" t="inlineStr">
        <is>
          <t>Water Services</t>
        </is>
      </c>
      <c r="F23" s="23" t="inlineStr">
        <is>
          <t>TBD</t>
        </is>
      </c>
      <c r="G23" s="23" t="inlineStr">
        <is>
          <t>TBD</t>
        </is>
      </c>
      <c r="H23" s="23" t="inlineStr">
        <is>
          <t>TBD</t>
        </is>
      </c>
      <c r="I23" s="8" t="n"/>
      <c r="J23" s="12" t="inlineStr">
        <is>
          <t>in search of donor</t>
        </is>
      </c>
      <c r="L23" s="29" t="n"/>
      <c r="M23" s="29" t="n"/>
    </row>
    <row r="24" ht="60" customHeight="1">
      <c r="A24" s="25" t="inlineStr">
        <is>
          <t>No project ID yet</t>
        </is>
      </c>
      <c r="B24" s="23" t="inlineStr">
        <is>
          <t>Integration of Renewable Energy Interventions into Community-Based Crisis Responses in collaboration with the Sustainable Energy Hub (at concept development stage)</t>
        </is>
      </c>
      <c r="C24" s="23" t="inlineStr">
        <is>
          <t xml:space="preserve"> </t>
        </is>
      </c>
      <c r="D24" s="23" t="inlineStr">
        <is>
          <t>TBD</t>
        </is>
      </c>
      <c r="E24" s="24" t="inlineStr">
        <is>
          <t>Education Services</t>
        </is>
      </c>
      <c r="F24" s="23" t="inlineStr">
        <is>
          <t>TBD</t>
        </is>
      </c>
      <c r="G24" s="23" t="inlineStr">
        <is>
          <t>TBD</t>
        </is>
      </c>
      <c r="H24" s="23" t="inlineStr">
        <is>
          <t>TBD</t>
        </is>
      </c>
      <c r="I24" s="8" t="n"/>
      <c r="J24" s="12" t="inlineStr">
        <is>
          <t>in search of donor</t>
        </is>
      </c>
      <c r="L24" s="29" t="n"/>
      <c r="M24" s="29" t="n"/>
    </row>
    <row r="25" ht="60" customHeight="1">
      <c r="A25" s="25" t="inlineStr">
        <is>
          <t>No project ID yet</t>
        </is>
      </c>
      <c r="B25" s="23" t="inlineStr">
        <is>
          <t>Integration of Renewable Energy Interventions into Community-Based Crisis Responses in collaboration with the Sustainable Energy Hub (at concept development stage)</t>
        </is>
      </c>
      <c r="C25" s="23" t="inlineStr">
        <is>
          <t xml:space="preserve"> </t>
        </is>
      </c>
      <c r="D25" s="23" t="inlineStr">
        <is>
          <t>TBD</t>
        </is>
      </c>
      <c r="E25" s="24" t="inlineStr">
        <is>
          <t>Small Enterprises</t>
        </is>
      </c>
      <c r="F25" s="23" t="inlineStr">
        <is>
          <t>TBD</t>
        </is>
      </c>
      <c r="G25" s="23" t="inlineStr">
        <is>
          <t>TBD</t>
        </is>
      </c>
      <c r="H25" s="23" t="inlineStr">
        <is>
          <t>TBD</t>
        </is>
      </c>
      <c r="I25" s="8" t="n"/>
      <c r="J25" s="12" t="inlineStr">
        <is>
          <t>in search of donor</t>
        </is>
      </c>
      <c r="L25" s="29" t="n"/>
      <c r="M25" s="29" t="n"/>
    </row>
    <row r="26" ht="60" customHeight="1">
      <c r="A26" s="25" t="inlineStr">
        <is>
          <t>No project ID yet</t>
        </is>
      </c>
      <c r="B26" s="23" t="inlineStr">
        <is>
          <t>Integration of Renewable Energy Interventions into Community-Based Crisis Responses in collaboration with the Sustainable Energy Hub (at concept development stage)</t>
        </is>
      </c>
      <c r="C26" s="23" t="inlineStr">
        <is>
          <t xml:space="preserve"> </t>
        </is>
      </c>
      <c r="D26" s="23" t="inlineStr">
        <is>
          <t>TBD</t>
        </is>
      </c>
      <c r="E26" s="24" t="inlineStr">
        <is>
          <t>Capacity Training</t>
        </is>
      </c>
      <c r="F26" s="23" t="inlineStr">
        <is>
          <t>TBD</t>
        </is>
      </c>
      <c r="G26" s="23" t="inlineStr">
        <is>
          <t>TBD</t>
        </is>
      </c>
      <c r="H26" s="23" t="inlineStr">
        <is>
          <t>TBD</t>
        </is>
      </c>
      <c r="I26" s="8" t="n"/>
      <c r="J26" s="12" t="inlineStr">
        <is>
          <t>in search of donor</t>
        </is>
      </c>
      <c r="L26" s="29" t="n"/>
      <c r="M26" s="29" t="n"/>
    </row>
    <row r="27" ht="60" customHeight="1">
      <c r="A27" s="25" t="inlineStr">
        <is>
          <t>No project ID yet</t>
        </is>
      </c>
      <c r="B27" s="23" t="inlineStr">
        <is>
          <t>Integration of Renewable Energy Interventions into Community-Based Crisis Responses in collaboration with the Sustainable Energy Hub (at concept development stage)</t>
        </is>
      </c>
      <c r="C27" s="23" t="inlineStr">
        <is>
          <t xml:space="preserve"> </t>
        </is>
      </c>
      <c r="D27" s="23" t="inlineStr">
        <is>
          <t>TBD</t>
        </is>
      </c>
      <c r="E27" s="24" t="inlineStr">
        <is>
          <t>Entrepreneurship Training</t>
        </is>
      </c>
      <c r="F27" s="23" t="inlineStr">
        <is>
          <t>TBD</t>
        </is>
      </c>
      <c r="G27" s="23" t="inlineStr">
        <is>
          <t>TBD</t>
        </is>
      </c>
      <c r="H27" s="23" t="inlineStr">
        <is>
          <t>TBD</t>
        </is>
      </c>
      <c r="I27" s="8" t="n"/>
      <c r="J27" s="12" t="inlineStr">
        <is>
          <t>in search of donor</t>
        </is>
      </c>
      <c r="L27" s="29" t="n"/>
      <c r="M27" s="29" t="n"/>
    </row>
    <row r="28" ht="60" customHeight="1">
      <c r="A28" s="25" t="inlineStr">
        <is>
          <t>No project ID yet</t>
        </is>
      </c>
      <c r="B28" s="23" t="inlineStr">
        <is>
          <t>Integration of Renewable Energy Interventions into Community-Based Crisis Responses in collaboration with the Sustainable Energy Hub (at concept development stage)</t>
        </is>
      </c>
      <c r="C28" s="23" t="inlineStr">
        <is>
          <t xml:space="preserve"> </t>
        </is>
      </c>
      <c r="D28" s="23" t="inlineStr">
        <is>
          <t>TBD</t>
        </is>
      </c>
      <c r="E28" s="24" t="inlineStr">
        <is>
          <t>Campaign Participant</t>
        </is>
      </c>
      <c r="F28" s="23" t="inlineStr">
        <is>
          <t>TBD</t>
        </is>
      </c>
      <c r="G28" s="23" t="inlineStr">
        <is>
          <t>TBD</t>
        </is>
      </c>
      <c r="H28" s="23" t="inlineStr">
        <is>
          <t>TBD</t>
        </is>
      </c>
      <c r="I28" s="8" t="n"/>
      <c r="J28" s="12" t="inlineStr">
        <is>
          <t>in search of donor</t>
        </is>
      </c>
      <c r="L28" s="29" t="n"/>
      <c r="M28" s="29" t="n"/>
    </row>
    <row r="29" ht="60" customHeight="1">
      <c r="A29" s="25" t="inlineStr">
        <is>
          <t>No project ID yet</t>
        </is>
      </c>
      <c r="B29" s="23" t="inlineStr">
        <is>
          <t>Integration of Renewable Energy Interventions into Community-Based Crisis Responses in collaboration with the Sustainable Energy Hub (at concept development stage)</t>
        </is>
      </c>
      <c r="C29" s="23" t="inlineStr">
        <is>
          <t xml:space="preserve"> </t>
        </is>
      </c>
      <c r="D29" s="23" t="inlineStr">
        <is>
          <t>TBD</t>
        </is>
      </c>
      <c r="E29" s="24" t="inlineStr">
        <is>
          <t>Policy or Regulatory Framework</t>
        </is>
      </c>
      <c r="F29" s="23" t="inlineStr">
        <is>
          <t>TBD</t>
        </is>
      </c>
      <c r="G29" s="23" t="inlineStr">
        <is>
          <t>TBD</t>
        </is>
      </c>
      <c r="H29" s="23" t="inlineStr">
        <is>
          <t>TBD</t>
        </is>
      </c>
      <c r="I29" s="8" t="n"/>
      <c r="J29" s="12" t="inlineStr">
        <is>
          <t>in search of donor</t>
        </is>
      </c>
      <c r="L29" s="29" t="n"/>
      <c r="M29" s="29" t="n"/>
    </row>
    <row r="30" ht="100.5" customHeight="1">
      <c r="A30" s="17" t="n">
        <v>112026</v>
      </c>
      <c r="B30" s="17" t="inlineStr">
        <is>
          <t>Promoting the use of solar technologies for agricultural and rural development in Cambodia and Myanmar</t>
        </is>
      </c>
      <c r="C30" s="8" t="n"/>
      <c r="D30" s="16" t="n">
        <v>2285334</v>
      </c>
      <c r="E30" s="15" t="inlineStr">
        <is>
          <t>Agricultural Services</t>
        </is>
      </c>
      <c r="F30" s="18" t="inlineStr">
        <is>
          <t>Number of households provided agricultural service and Solar Water Pumping Systems</t>
        </is>
      </c>
      <c r="G30" s="19" t="inlineStr">
        <is>
          <t>N/A</t>
        </is>
      </c>
      <c r="H30" s="20" t="n">
        <v>65000</v>
      </c>
      <c r="I30" s="21" t="inlineStr">
        <is>
          <t>01 Nov 2020 - 31 Dec 2023</t>
        </is>
      </c>
      <c r="J30" s="19" t="inlineStr">
        <is>
          <t>Ministry of Agriculture, Food and Rural Affairs (MAFRA), Republic of Korea</t>
        </is>
      </c>
      <c r="K30" s="19" t="inlineStr">
        <is>
          <t>Ongoing</t>
        </is>
      </c>
      <c r="L30" s="30">
        <f>D30/H30</f>
        <v/>
      </c>
      <c r="M30" s="29" t="inlineStr">
        <is>
          <t>The number of households serviced is 65,000. Thus the budget per household is 35 USD. This appears too small to make meaningful intervention.</t>
        </is>
      </c>
    </row>
    <row r="31">
      <c r="A31" s="8" t="n"/>
      <c r="B31" s="8" t="n"/>
      <c r="C31" s="8" t="n"/>
      <c r="D31" s="8" t="n"/>
      <c r="E31" s="8" t="n"/>
      <c r="F31" s="8" t="n"/>
      <c r="G31" s="8" t="n"/>
      <c r="H31" s="8" t="n"/>
      <c r="I31" s="8" t="n"/>
    </row>
    <row r="32">
      <c r="A32" s="8" t="n"/>
      <c r="B32" s="8" t="n"/>
      <c r="C32" s="8" t="n"/>
      <c r="D32" s="8" t="n"/>
      <c r="E32" s="8" t="n"/>
      <c r="F32" s="8" t="n"/>
      <c r="G32" s="8" t="n"/>
      <c r="H32" s="8" t="n"/>
      <c r="I32" s="8" t="n"/>
    </row>
    <row r="33">
      <c r="A33" s="26" t="inlineStr">
        <is>
          <t>Great job, but for any output that has "# of villages" as the output, please specify the average village population in the Notes column</t>
        </is>
      </c>
      <c r="B33" s="8" t="n"/>
      <c r="C33" s="8" t="n"/>
      <c r="D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sheetData>
  <mergeCells count="6">
    <mergeCell ref="I2:I4"/>
    <mergeCell ref="A2:A4"/>
    <mergeCell ref="C2:C4"/>
    <mergeCell ref="I8:I17"/>
    <mergeCell ref="B2:B4"/>
    <mergeCell ref="D2:D4"/>
  </mergeCells>
  <hyperlinks>
    <hyperlink xmlns:r="http://schemas.openxmlformats.org/officeDocument/2006/relationships" ref="C5" r:id="rId1"/>
    <hyperlink xmlns:r="http://schemas.openxmlformats.org/officeDocument/2006/relationships" ref="C6" r:id="rId2"/>
  </hyperlinks>
  <pageMargins left="0.7" right="0.7" top="0.75" bottom="0.75" header="0.3" footer="0.3"/>
  <pageSetup orientation="portrait" horizontalDpi="300" verticalDpi="0"/>
</worksheet>
</file>

<file path=xl/worksheets/sheet4.xml><?xml version="1.0" encoding="utf-8"?>
<worksheet xmlns="http://schemas.openxmlformats.org/spreadsheetml/2006/main">
  <sheetPr>
    <outlinePr summaryBelow="1" summaryRight="1"/>
    <pageSetUpPr/>
  </sheetPr>
  <dimension ref="A1:M69"/>
  <sheetViews>
    <sheetView zoomScale="70" zoomScaleNormal="70" workbookViewId="0">
      <pane ySplit="1" topLeftCell="A2" activePane="bottomLeft" state="frozen"/>
      <selection pane="bottomLeft" activeCell="L2" sqref="L2"/>
    </sheetView>
  </sheetViews>
  <sheetFormatPr baseColWidth="8" defaultColWidth="9.140625" defaultRowHeight="15"/>
  <cols>
    <col width="13.42578125" customWidth="1" style="2" min="1" max="1"/>
    <col width="48.140625" bestFit="1" customWidth="1" style="2" min="2" max="2"/>
    <col width="22.28515625" customWidth="1" style="2" min="3" max="3"/>
    <col width="10.85546875" customWidth="1" style="2" min="4" max="4"/>
    <col width="32.42578125" customWidth="1" style="2" min="5" max="5"/>
    <col width="20.7109375" customWidth="1" style="2" min="6" max="6"/>
    <col width="12.7109375" customWidth="1" style="2" min="7" max="8"/>
    <col width="32.7109375" customWidth="1" style="2" min="9" max="9"/>
    <col width="23.85546875" customWidth="1" style="2" min="10" max="10"/>
    <col width="13" customWidth="1" style="2" min="11" max="11"/>
    <col width="19.5703125" customWidth="1" style="2" min="12" max="12"/>
    <col width="11.42578125" bestFit="1" customWidth="1" style="2" min="13" max="13"/>
    <col width="9.140625" customWidth="1" style="2" min="14" max="16384"/>
  </cols>
  <sheetData>
    <row r="1" ht="30"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3" t="inlineStr">
        <is>
          <t>Donors</t>
        </is>
      </c>
      <c r="K1" s="13" t="inlineStr">
        <is>
          <t xml:space="preserve">Comments </t>
        </is>
      </c>
      <c r="L1" s="2" t="inlineStr">
        <is>
          <t>CO Comments (Jan 2024)</t>
        </is>
      </c>
    </row>
    <row r="2" ht="225" customHeight="1">
      <c r="A2" s="88" t="n">
        <v>104187</v>
      </c>
      <c r="B2" s="88" t="inlineStr">
        <is>
          <t>(Suspended until Nov 2023) Rural Renewable Energy</t>
        </is>
      </c>
      <c r="C2" s="88" t="inlineStr">
        <is>
          <t>PIMS+</t>
        </is>
      </c>
      <c r="D2" s="88" t="n">
        <v>4934228</v>
      </c>
      <c r="E2" s="4" t="inlineStr">
        <is>
          <t>Policy or Regulatory Framework</t>
        </is>
      </c>
      <c r="F2" s="4" t="inlineStr">
        <is>
          <t>Lifetime direct GHG emissions avoided as a result of energy access projects</t>
        </is>
      </c>
      <c r="G2" s="4" t="inlineStr">
        <is>
          <t>N/A</t>
        </is>
      </c>
      <c r="H2" s="4" t="inlineStr">
        <is>
          <t>246,094 tCO2 over the 12-yr lifetime of small hydro and solar mini-grids (20,508 tCO2 per year), and corresponding energy production of 25,341 MWh per year</t>
        </is>
      </c>
      <c r="I2" s="90" t="inlineStr">
        <is>
          <t>Suspension of project likely to be extended</t>
        </is>
      </c>
      <c r="L2" s="27" t="inlineStr">
        <is>
          <t xml:space="preserve">Suspension extended </t>
        </is>
      </c>
      <c r="M2" s="28" t="n"/>
    </row>
    <row r="3" ht="135" customHeight="1">
      <c r="E3" s="2" t="inlineStr">
        <is>
          <t>Policy or Regulatory Framework</t>
        </is>
      </c>
      <c r="F3" s="2" t="inlineStr">
        <is>
          <t>Lifetime consequential GHG emissions avoided as a result of energy access projects</t>
        </is>
      </c>
      <c r="G3" s="2" t="inlineStr">
        <is>
          <t>N/A</t>
        </is>
      </c>
      <c r="H3" s="2" t="inlineStr">
        <is>
          <t>Indirect (consequential) emissions are 738,281 tCO2 over the 12-yr lifetime of the equipment</t>
        </is>
      </c>
    </row>
    <row r="4" ht="240" customHeight="1">
      <c r="E4" s="2" t="inlineStr">
        <is>
          <t>Agricultural Services</t>
        </is>
      </c>
      <c r="F4" s="2" t="inlineStr">
        <is>
          <t>Number of households (and # of female-headed HH) provided with electricity services</t>
        </is>
      </c>
      <c r="G4" s="2" t="inlineStr">
        <is>
          <t>N/A</t>
        </is>
      </c>
      <c r="H4" s="2" t="inlineStr">
        <is>
          <t>56,200 households in 281 villages  will be connected (RE mini-grids plus SHS). At 4.4 person per HH, beneficiaries are 247,280 (50% male and 50% female).</t>
        </is>
      </c>
    </row>
    <row r="5" ht="120" customHeight="1">
      <c r="A5" s="2" t="n">
        <v>111777</v>
      </c>
      <c r="B5" s="2" t="inlineStr">
        <is>
          <t xml:space="preserve">Governance for Resilience and Sustainability Project </t>
        </is>
      </c>
      <c r="C5" s="3" t="inlineStr">
        <is>
          <t>https://open.undp.org/projects/00111777</t>
        </is>
      </c>
      <c r="D5" s="2" t="n">
        <v>716641</v>
      </c>
      <c r="E5" s="2" t="inlineStr">
        <is>
          <t>Electricity Access</t>
        </is>
      </c>
      <c r="F5" s="2" t="inlineStr">
        <is>
          <t>Number of households provided with electricity services</t>
        </is>
      </c>
      <c r="G5" s="2" t="inlineStr">
        <is>
          <t>N/A</t>
        </is>
      </c>
      <c r="H5" s="2" t="inlineStr">
        <is>
          <t xml:space="preserve">Installed solar home systems (SHS) in 827 households in Mon state and Magway region </t>
        </is>
      </c>
      <c r="I5" s="2" t="inlineStr">
        <is>
          <t>GRSP's budget for 2022 was $716,641.</t>
        </is>
      </c>
    </row>
    <row r="6" ht="120" customHeight="1">
      <c r="C6" s="3" t="n"/>
      <c r="D6" s="5" t="n"/>
      <c r="E6" s="2" t="inlineStr">
        <is>
          <t>Clean Cooking</t>
        </is>
      </c>
      <c r="F6" s="2" t="inlineStr">
        <is>
          <t>Number of households  provided with improved cookstoves</t>
        </is>
      </c>
      <c r="G6" s="2" t="inlineStr">
        <is>
          <t>N/A</t>
        </is>
      </c>
      <c r="H6" s="2" t="inlineStr">
        <is>
          <t>A total of 827 houselholds in Mon state and Tanintharyi received improved cookstoves</t>
        </is>
      </c>
      <c r="I6" s="2" t="inlineStr">
        <is>
          <t xml:space="preserve">GRSP's budget for 2022 was $716,641. The project was concluded in 2022. </t>
        </is>
      </c>
    </row>
    <row r="7" ht="255" customHeight="1">
      <c r="C7" s="3" t="n"/>
      <c r="D7" s="5" t="n"/>
      <c r="E7" s="2" t="inlineStr">
        <is>
          <t>Agricultural Services</t>
        </is>
      </c>
      <c r="F7" s="2" t="inlineStr">
        <is>
          <t xml:space="preserve">Number of household  provided with solar pumping system and solar bubble dryer </t>
        </is>
      </c>
      <c r="G7" s="2" t="inlineStr">
        <is>
          <t>N/A</t>
        </is>
      </c>
      <c r="H7" s="7" t="inlineStr">
        <is>
          <t xml:space="preserve">3 villages in Shan state were supported with 1 solar pumping system and 2 solar bubble dryers. 
Solar pumping - 15 HH
Solar dryers - 30 HH in total (two villages) </t>
        </is>
      </c>
      <c r="I7" s="2" t="inlineStr">
        <is>
          <t>GRSP's budget for 2022 was $716,641. The project was concluded in 2022. 
Solar pumping capacity - Generate watt 3300 and water storage pond with the capacity of about 20,000 gallons of water.</t>
        </is>
      </c>
      <c r="K7" s="14" t="n"/>
    </row>
    <row r="8" ht="120" customHeight="1">
      <c r="A8" s="2" t="inlineStr">
        <is>
          <t>No project ID yet</t>
        </is>
      </c>
      <c r="B8" s="7" t="inlineStr">
        <is>
          <t>UNDP-SPM Partnership for rural electrification
(Concept developed subject to resource mobilization)</t>
        </is>
      </c>
      <c r="D8" s="6" t="n">
        <v>1348200</v>
      </c>
      <c r="E8" s="2" t="inlineStr">
        <is>
          <t>Electricity Access</t>
        </is>
      </c>
      <c r="F8" s="2" t="inlineStr">
        <is>
          <t xml:space="preserve">Number of HH provided with Solar home lighting systems </t>
        </is>
      </c>
      <c r="G8" s="2" t="inlineStr">
        <is>
          <t>N/A</t>
        </is>
      </c>
      <c r="H8" s="2" t="n">
        <v>5000</v>
      </c>
      <c r="I8" s="87" t="inlineStr">
        <is>
          <t>the project document was developed and resources in pipeline.</t>
        </is>
      </c>
      <c r="J8" s="12" t="inlineStr">
        <is>
          <t>in search of donor</t>
        </is>
      </c>
      <c r="L8" s="27" t="inlineStr">
        <is>
          <t>the CO is no longer pursuing this partnership. We can remove it from here. Noted that all your questions are related to this particular project.</t>
        </is>
      </c>
    </row>
    <row r="9" ht="45" customHeight="1">
      <c r="B9" s="7" t="n"/>
      <c r="D9" s="6" t="n">
        <v>1624000</v>
      </c>
      <c r="E9" s="2" t="inlineStr">
        <is>
          <t>Clean Cooking</t>
        </is>
      </c>
      <c r="F9" s="2" t="inlineStr">
        <is>
          <t>number of HHs provided with energy efficient cookstoves</t>
        </is>
      </c>
      <c r="G9" s="2" t="inlineStr">
        <is>
          <t>N/A</t>
        </is>
      </c>
      <c r="H9" s="6" t="n">
        <v>50000</v>
      </c>
      <c r="J9" s="12" t="inlineStr">
        <is>
          <t>in search of donor</t>
        </is>
      </c>
    </row>
    <row r="10" ht="60" customHeight="1">
      <c r="B10" s="7" t="n"/>
      <c r="D10" s="6" t="n">
        <v>753600</v>
      </c>
      <c r="E10" s="2" t="inlineStr">
        <is>
          <t>water services</t>
        </is>
      </c>
      <c r="F10" s="2" t="inlineStr">
        <is>
          <t xml:space="preserve">number of village water supply systems upgraded to solar-powered applications </t>
        </is>
      </c>
      <c r="G10" s="2" t="inlineStr">
        <is>
          <t>N/A</t>
        </is>
      </c>
      <c r="H10" s="2" t="n">
        <v>100</v>
      </c>
      <c r="J10" s="12" t="inlineStr">
        <is>
          <t>in search of donor</t>
        </is>
      </c>
      <c r="K10" s="27" t="inlineStr">
        <is>
          <t>Estimate # of beneficiaries / village</t>
        </is>
      </c>
    </row>
    <row r="11" ht="60" customHeight="1">
      <c r="B11" s="7" t="n"/>
      <c r="D11" s="6" t="n">
        <v>1906800</v>
      </c>
      <c r="E11" s="2" t="inlineStr">
        <is>
          <t>water services</t>
        </is>
      </c>
      <c r="F11" s="2" t="inlineStr">
        <is>
          <t>number of villages provided with a new solar-powered village water supply system</t>
        </is>
      </c>
      <c r="H11" s="2" t="n">
        <v>168</v>
      </c>
      <c r="J11" s="12" t="inlineStr">
        <is>
          <t>in search of donor</t>
        </is>
      </c>
      <c r="K11" s="27" t="inlineStr">
        <is>
          <t>Estimate # of beneficiaries / village</t>
        </is>
      </c>
    </row>
    <row r="12" ht="90" customHeight="1">
      <c r="B12" s="7" t="n"/>
      <c r="D12" s="6" t="n">
        <v>682360</v>
      </c>
      <c r="E12" s="2" t="inlineStr">
        <is>
          <t>Agricultural Services</t>
        </is>
      </c>
      <c r="F12" s="2" t="inlineStr">
        <is>
          <t xml:space="preserve">number of villages provided with a new small-scale solar irrigation system to improve agricultural production </t>
        </is>
      </c>
      <c r="G12" s="2" t="inlineStr">
        <is>
          <t>N/A</t>
        </is>
      </c>
      <c r="H12" s="2" t="n">
        <v>56</v>
      </c>
      <c r="J12" s="12" t="inlineStr">
        <is>
          <t>in search of donor</t>
        </is>
      </c>
      <c r="K12" s="27" t="inlineStr">
        <is>
          <t>Estimate # of beneficiaries / village</t>
        </is>
      </c>
    </row>
    <row r="13" ht="135" customHeight="1">
      <c r="B13" s="7" t="n"/>
      <c r="D13" s="6" t="n">
        <v>529200</v>
      </c>
      <c r="E13" s="2" t="inlineStr">
        <is>
          <t>Agricultural Services</t>
        </is>
      </c>
      <c r="F13" s="2" t="inlineStr">
        <is>
          <t>number of small-scale irrigation systems upgraded to solar-powered applications to improve the efficiency of agricultural production</t>
        </is>
      </c>
      <c r="G13" s="2" t="inlineStr">
        <is>
          <t>N/A</t>
        </is>
      </c>
      <c r="H13" s="2" t="n">
        <v>56</v>
      </c>
      <c r="J13" s="12" t="inlineStr">
        <is>
          <t>in search of donor</t>
        </is>
      </c>
      <c r="K13" s="27" t="inlineStr">
        <is>
          <t>Estimate # of beneficiaries / system</t>
        </is>
      </c>
    </row>
    <row r="14" ht="90" customHeight="1">
      <c r="B14" s="7" t="n"/>
      <c r="D14" s="6" t="n">
        <v>1030400</v>
      </c>
      <c r="E14" s="2" t="inlineStr">
        <is>
          <t>Other energy services</t>
        </is>
      </c>
      <c r="F14" s="2" t="inlineStr">
        <is>
          <t xml:space="preserve">number of women's start-up livelihood groups provided with productive use of energy (PUE) inputs/applications </t>
        </is>
      </c>
      <c r="G14" s="2" t="inlineStr">
        <is>
          <t>N/A</t>
        </is>
      </c>
      <c r="H14" s="2" t="n">
        <v>100</v>
      </c>
      <c r="J14" s="12" t="inlineStr">
        <is>
          <t>in search of donor</t>
        </is>
      </c>
    </row>
    <row r="15" ht="90" customHeight="1">
      <c r="B15" s="9" t="n"/>
      <c r="C15" s="10" t="n"/>
      <c r="D15" s="11" t="n">
        <v>599760</v>
      </c>
      <c r="E15" s="10" t="inlineStr">
        <is>
          <t>Electricity Access</t>
        </is>
      </c>
      <c r="F15" s="22" t="inlineStr">
        <is>
          <t xml:space="preserve">number of villages supported with community-led last-mile connection to the national grid 
</t>
        </is>
      </c>
      <c r="G15" s="10" t="inlineStr">
        <is>
          <t>N/A</t>
        </is>
      </c>
      <c r="H15" s="10" t="n">
        <v>56</v>
      </c>
      <c r="J15" s="12" t="inlineStr">
        <is>
          <t>in search of donor</t>
        </is>
      </c>
      <c r="K15" s="27" t="inlineStr">
        <is>
          <t>Estimate # of beneficiaries / village</t>
        </is>
      </c>
    </row>
    <row r="16" ht="60" customHeight="1">
      <c r="B16" s="9" t="n"/>
      <c r="C16" s="10" t="n"/>
      <c r="D16" s="11" t="n">
        <v>299540</v>
      </c>
      <c r="E16" s="10" t="inlineStr">
        <is>
          <t>Electricity Access</t>
        </is>
      </c>
      <c r="F16" s="22" t="inlineStr">
        <is>
          <t>number of villages supported for connection to a nearby mini-grid</t>
        </is>
      </c>
      <c r="G16" s="10" t="inlineStr">
        <is>
          <t>N/A</t>
        </is>
      </c>
      <c r="H16" s="10" t="n">
        <v>34</v>
      </c>
      <c r="J16" s="12" t="inlineStr">
        <is>
          <t>in search of donor</t>
        </is>
      </c>
      <c r="K16" s="27" t="inlineStr">
        <is>
          <t>Estimate # of beneficiaries / village</t>
        </is>
      </c>
    </row>
    <row r="17" ht="75" customHeight="1">
      <c r="B17" s="9" t="n"/>
      <c r="C17" s="10" t="n"/>
      <c r="D17" s="11" t="n">
        <v>1205640</v>
      </c>
      <c r="E17" s="10" t="inlineStr">
        <is>
          <t>Electricity Access</t>
        </is>
      </c>
      <c r="F17" s="22" t="inlineStr">
        <is>
          <t>number of new mini-grid systems tested to support livelihood recovery in broader areas</t>
        </is>
      </c>
      <c r="G17" s="10" t="inlineStr">
        <is>
          <t>N/A</t>
        </is>
      </c>
      <c r="H17" s="10" t="n">
        <v>4</v>
      </c>
      <c r="J17" s="12" t="inlineStr">
        <is>
          <t>in search of donor</t>
        </is>
      </c>
      <c r="K17" s="27" t="inlineStr">
        <is>
          <t>Estimate # of beneficiaries / system</t>
        </is>
      </c>
    </row>
    <row r="18" ht="76.5" customHeight="1">
      <c r="A18" s="8" t="inlineStr">
        <is>
          <t>No project ID yet</t>
        </is>
      </c>
      <c r="B18" s="23" t="inlineStr">
        <is>
          <t>Integration of Renewable Energy Interventions into Community-Based Crisis Responses in collaboration with the Sustainable Energy Hub (at concept development stage)</t>
        </is>
      </c>
      <c r="C18" s="23" t="inlineStr">
        <is>
          <t xml:space="preserve"> </t>
        </is>
      </c>
      <c r="D18" s="23" t="inlineStr">
        <is>
          <t>TBD</t>
        </is>
      </c>
      <c r="E18" s="24" t="inlineStr">
        <is>
          <t>Electricity Access</t>
        </is>
      </c>
      <c r="F18" s="23" t="inlineStr">
        <is>
          <t>TBD</t>
        </is>
      </c>
      <c r="G18" s="23" t="inlineStr">
        <is>
          <t>TBD</t>
        </is>
      </c>
      <c r="H18" s="23" t="inlineStr">
        <is>
          <t>TBD</t>
        </is>
      </c>
      <c r="I18" s="8" t="n"/>
      <c r="J18" s="12" t="inlineStr">
        <is>
          <t>in search of donor</t>
        </is>
      </c>
      <c r="L18" s="92" t="inlineStr">
        <is>
          <t>Concept note still at development stage. Consultant onboarded in Dec 2023. Expected in April 2024.</t>
        </is>
      </c>
    </row>
    <row r="19" ht="183" customHeight="1">
      <c r="A19" s="8" t="n"/>
      <c r="B19" s="23" t="n"/>
      <c r="C19" s="23" t="inlineStr">
        <is>
          <t xml:space="preserve"> </t>
        </is>
      </c>
      <c r="D19" s="23" t="inlineStr">
        <is>
          <t>TBD</t>
        </is>
      </c>
      <c r="E19" s="24" t="inlineStr">
        <is>
          <t>Energy (MW added)</t>
        </is>
      </c>
      <c r="F19" s="23" t="inlineStr">
        <is>
          <t>TBD</t>
        </is>
      </c>
      <c r="G19" s="23" t="inlineStr">
        <is>
          <t>TBD</t>
        </is>
      </c>
      <c r="H19" s="23" t="inlineStr">
        <is>
          <t>TBD</t>
        </is>
      </c>
      <c r="I19" s="8" t="n"/>
      <c r="J19" s="12" t="inlineStr">
        <is>
          <t>in search of donor</t>
        </is>
      </c>
      <c r="K19" s="91" t="inlineStr">
        <is>
          <t>Great job, but for any output that has "# of villages" as the output, please specify the average village population in the Notes column</t>
        </is>
      </c>
    </row>
    <row r="20">
      <c r="A20" s="8" t="n"/>
      <c r="B20" s="23" t="n"/>
      <c r="C20" s="23" t="inlineStr">
        <is>
          <t xml:space="preserve"> </t>
        </is>
      </c>
      <c r="D20" s="23" t="inlineStr">
        <is>
          <t>TBD</t>
        </is>
      </c>
      <c r="E20" s="24" t="inlineStr">
        <is>
          <t>Clean Cooking</t>
        </is>
      </c>
      <c r="F20" s="23" t="inlineStr">
        <is>
          <t>TBD</t>
        </is>
      </c>
      <c r="G20" s="23" t="inlineStr">
        <is>
          <t>TBD</t>
        </is>
      </c>
      <c r="H20" s="23" t="inlineStr">
        <is>
          <t>TBD</t>
        </is>
      </c>
      <c r="I20" s="8" t="n"/>
      <c r="J20" s="12" t="inlineStr">
        <is>
          <t>in search of donor</t>
        </is>
      </c>
    </row>
    <row r="21">
      <c r="A21" s="8" t="n"/>
      <c r="B21" s="23" t="n"/>
      <c r="C21" s="23" t="inlineStr">
        <is>
          <t xml:space="preserve"> </t>
        </is>
      </c>
      <c r="D21" s="23" t="inlineStr">
        <is>
          <t>TBD</t>
        </is>
      </c>
      <c r="E21" s="24" t="inlineStr">
        <is>
          <t>Agricultural Services</t>
        </is>
      </c>
      <c r="F21" s="23" t="inlineStr">
        <is>
          <t>TBD</t>
        </is>
      </c>
      <c r="G21" s="23" t="inlineStr">
        <is>
          <t>TBD</t>
        </is>
      </c>
      <c r="H21" s="23" t="inlineStr">
        <is>
          <t>TBD</t>
        </is>
      </c>
      <c r="I21" s="8" t="n"/>
      <c r="J21" s="12" t="inlineStr">
        <is>
          <t>in search of donor</t>
        </is>
      </c>
    </row>
    <row r="22">
      <c r="A22" s="25" t="n"/>
      <c r="B22" s="23" t="n"/>
      <c r="C22" s="23" t="inlineStr">
        <is>
          <t xml:space="preserve"> </t>
        </is>
      </c>
      <c r="D22" s="23" t="inlineStr">
        <is>
          <t>TBD</t>
        </is>
      </c>
      <c r="E22" s="24" t="inlineStr">
        <is>
          <t>Health Services</t>
        </is>
      </c>
      <c r="F22" s="23" t="inlineStr">
        <is>
          <t>TBD</t>
        </is>
      </c>
      <c r="G22" s="23" t="inlineStr">
        <is>
          <t>TBD</t>
        </is>
      </c>
      <c r="H22" s="23" t="inlineStr">
        <is>
          <t>TBD</t>
        </is>
      </c>
      <c r="I22" s="8" t="n"/>
      <c r="J22" s="12" t="inlineStr">
        <is>
          <t>in search of donor</t>
        </is>
      </c>
    </row>
    <row r="23">
      <c r="A23" s="25" t="n"/>
      <c r="B23" s="23" t="n"/>
      <c r="C23" s="23" t="inlineStr">
        <is>
          <t xml:space="preserve"> </t>
        </is>
      </c>
      <c r="D23" s="23" t="inlineStr">
        <is>
          <t>TBD</t>
        </is>
      </c>
      <c r="E23" s="24" t="inlineStr">
        <is>
          <t>Water Services</t>
        </is>
      </c>
      <c r="F23" s="23" t="inlineStr">
        <is>
          <t>TBD</t>
        </is>
      </c>
      <c r="G23" s="23" t="inlineStr">
        <is>
          <t>TBD</t>
        </is>
      </c>
      <c r="H23" s="23" t="inlineStr">
        <is>
          <t>TBD</t>
        </is>
      </c>
      <c r="I23" s="8" t="n"/>
      <c r="J23" s="12" t="inlineStr">
        <is>
          <t>in search of donor</t>
        </is>
      </c>
    </row>
    <row r="24">
      <c r="A24" s="25" t="n"/>
      <c r="B24" s="23" t="n"/>
      <c r="C24" s="23" t="inlineStr">
        <is>
          <t xml:space="preserve"> </t>
        </is>
      </c>
      <c r="D24" s="23" t="inlineStr">
        <is>
          <t>TBD</t>
        </is>
      </c>
      <c r="E24" s="24" t="inlineStr">
        <is>
          <t>Education Services</t>
        </is>
      </c>
      <c r="F24" s="23" t="inlineStr">
        <is>
          <t>TBD</t>
        </is>
      </c>
      <c r="G24" s="23" t="inlineStr">
        <is>
          <t>TBD</t>
        </is>
      </c>
      <c r="H24" s="23" t="inlineStr">
        <is>
          <t>TBD</t>
        </is>
      </c>
      <c r="I24" s="8" t="n"/>
      <c r="J24" s="12" t="inlineStr">
        <is>
          <t>in search of donor</t>
        </is>
      </c>
    </row>
    <row r="25">
      <c r="A25" s="25" t="n"/>
      <c r="B25" s="23" t="n"/>
      <c r="C25" s="23" t="inlineStr">
        <is>
          <t xml:space="preserve"> </t>
        </is>
      </c>
      <c r="D25" s="23" t="inlineStr">
        <is>
          <t>TBD</t>
        </is>
      </c>
      <c r="E25" s="24" t="inlineStr">
        <is>
          <t>Small Enterprises</t>
        </is>
      </c>
      <c r="F25" s="23" t="inlineStr">
        <is>
          <t>TBD</t>
        </is>
      </c>
      <c r="G25" s="23" t="inlineStr">
        <is>
          <t>TBD</t>
        </is>
      </c>
      <c r="H25" s="23" t="inlineStr">
        <is>
          <t>TBD</t>
        </is>
      </c>
      <c r="I25" s="8" t="n"/>
      <c r="J25" s="12" t="inlineStr">
        <is>
          <t>in search of donor</t>
        </is>
      </c>
    </row>
    <row r="26">
      <c r="A26" s="25" t="n"/>
      <c r="B26" s="23" t="n"/>
      <c r="C26" s="23" t="inlineStr">
        <is>
          <t xml:space="preserve"> </t>
        </is>
      </c>
      <c r="D26" s="23" t="inlineStr">
        <is>
          <t>TBD</t>
        </is>
      </c>
      <c r="E26" s="24" t="inlineStr">
        <is>
          <t>Capacity Training</t>
        </is>
      </c>
      <c r="F26" s="23" t="inlineStr">
        <is>
          <t>TBD</t>
        </is>
      </c>
      <c r="G26" s="23" t="inlineStr">
        <is>
          <t>TBD</t>
        </is>
      </c>
      <c r="H26" s="23" t="inlineStr">
        <is>
          <t>TBD</t>
        </is>
      </c>
      <c r="I26" s="8" t="n"/>
      <c r="J26" s="12" t="inlineStr">
        <is>
          <t>in search of donor</t>
        </is>
      </c>
    </row>
    <row r="27">
      <c r="A27" s="25" t="n"/>
      <c r="B27" s="23" t="n"/>
      <c r="C27" s="23" t="inlineStr">
        <is>
          <t xml:space="preserve"> </t>
        </is>
      </c>
      <c r="D27" s="23" t="inlineStr">
        <is>
          <t>TBD</t>
        </is>
      </c>
      <c r="E27" s="24" t="inlineStr">
        <is>
          <t>Entrepreneurship Training</t>
        </is>
      </c>
      <c r="F27" s="23" t="inlineStr">
        <is>
          <t>TBD</t>
        </is>
      </c>
      <c r="G27" s="23" t="inlineStr">
        <is>
          <t>TBD</t>
        </is>
      </c>
      <c r="H27" s="23" t="inlineStr">
        <is>
          <t>TBD</t>
        </is>
      </c>
      <c r="I27" s="8" t="n"/>
      <c r="J27" s="12" t="inlineStr">
        <is>
          <t>in search of donor</t>
        </is>
      </c>
    </row>
    <row r="28">
      <c r="A28" s="25" t="n"/>
      <c r="B28" s="23" t="n"/>
      <c r="C28" s="23" t="inlineStr">
        <is>
          <t xml:space="preserve"> </t>
        </is>
      </c>
      <c r="D28" s="23" t="inlineStr">
        <is>
          <t>TBD</t>
        </is>
      </c>
      <c r="E28" s="24" t="inlineStr">
        <is>
          <t>Campaign Participant</t>
        </is>
      </c>
      <c r="F28" s="23" t="inlineStr">
        <is>
          <t>TBD</t>
        </is>
      </c>
      <c r="G28" s="23" t="inlineStr">
        <is>
          <t>TBD</t>
        </is>
      </c>
      <c r="H28" s="23" t="inlineStr">
        <is>
          <t>TBD</t>
        </is>
      </c>
      <c r="I28" s="8" t="n"/>
      <c r="J28" s="12" t="inlineStr">
        <is>
          <t>in search of donor</t>
        </is>
      </c>
    </row>
    <row r="29">
      <c r="A29" s="25" t="n"/>
      <c r="B29" s="23" t="n"/>
      <c r="C29" s="23" t="inlineStr">
        <is>
          <t xml:space="preserve"> </t>
        </is>
      </c>
      <c r="D29" s="23" t="inlineStr">
        <is>
          <t>TBD</t>
        </is>
      </c>
      <c r="E29" s="24" t="inlineStr">
        <is>
          <t>Policy or Regulatory Framework</t>
        </is>
      </c>
      <c r="F29" s="23" t="inlineStr">
        <is>
          <t>TBD</t>
        </is>
      </c>
      <c r="G29" s="23" t="inlineStr">
        <is>
          <t>TBD</t>
        </is>
      </c>
      <c r="H29" s="23" t="inlineStr">
        <is>
          <t>TBD</t>
        </is>
      </c>
      <c r="I29" s="8" t="n"/>
      <c r="J29" s="12" t="inlineStr">
        <is>
          <t>in search of donor</t>
        </is>
      </c>
    </row>
    <row r="30" ht="100.5" customHeight="1">
      <c r="A30" s="17" t="n">
        <v>112026</v>
      </c>
      <c r="B30" s="17" t="inlineStr">
        <is>
          <t>Promoting the use of solar technologies for agricultural and rural development in Cambodia and Myanmar</t>
        </is>
      </c>
      <c r="C30" s="8" t="n"/>
      <c r="D30" s="16" t="n">
        <v>2285334</v>
      </c>
      <c r="E30" s="15" t="inlineStr">
        <is>
          <t>Agricultural Services</t>
        </is>
      </c>
      <c r="F30" s="18" t="inlineStr">
        <is>
          <t>Number of households provided agricultural service and Solar Water Pumping Systems</t>
        </is>
      </c>
      <c r="G30" s="19" t="inlineStr">
        <is>
          <t>N/A</t>
        </is>
      </c>
      <c r="H30" s="20" t="n">
        <v>65000</v>
      </c>
      <c r="I30" s="21" t="inlineStr">
        <is>
          <t>01 Nov 2020 - 31 Dec 2023</t>
        </is>
      </c>
      <c r="J30" s="19" t="inlineStr">
        <is>
          <t>Ministry of Agriculture, Food and Rural Affairs (MAFRA), Republic of Korea</t>
        </is>
      </c>
      <c r="K30" s="19" t="inlineStr">
        <is>
          <t>Ongoing</t>
        </is>
      </c>
      <c r="L30" s="27" t="inlineStr">
        <is>
          <t xml:space="preserve">Project closed as of 31 Dec 2023
No of beneficiaries - 44,799 HHs ( original target was 26,551 HHs) 
No. of direct beneficiaries –80,000
</t>
        </is>
      </c>
    </row>
    <row r="31">
      <c r="A31" s="8" t="n"/>
      <c r="B31" s="8" t="n"/>
      <c r="C31" s="8" t="n"/>
      <c r="D31" s="8" t="n"/>
      <c r="E31" s="8" t="n"/>
      <c r="F31" s="8" t="n"/>
      <c r="G31" s="8" t="n"/>
      <c r="H31" s="8" t="n"/>
      <c r="I31" s="8" t="n"/>
    </row>
    <row r="32">
      <c r="A32" s="8" t="n"/>
      <c r="B32" s="8" t="n"/>
      <c r="C32" s="8" t="n"/>
      <c r="D32" s="8" t="n"/>
      <c r="E32" s="8" t="n"/>
      <c r="F32" s="8" t="n"/>
      <c r="G32" s="8" t="n"/>
      <c r="H32" s="8" t="n"/>
      <c r="I32" s="8" t="n"/>
    </row>
    <row r="33">
      <c r="B33" s="8" t="n"/>
      <c r="C33" s="8" t="n"/>
      <c r="D33" s="8" t="n"/>
      <c r="F33" s="8" t="n"/>
      <c r="G33" s="8" t="n"/>
      <c r="H33" s="8" t="n"/>
      <c r="I33" s="8" t="n"/>
    </row>
    <row r="34">
      <c r="A34" s="8" t="n"/>
      <c r="B34" s="8" t="n"/>
      <c r="C34" s="8" t="n"/>
      <c r="D34" s="8" t="n"/>
      <c r="E34" s="8" t="n"/>
      <c r="F34" s="8" t="n"/>
      <c r="G34" s="8" t="n"/>
      <c r="H34" s="8" t="n"/>
      <c r="I34" s="8" t="n"/>
    </row>
    <row r="35">
      <c r="A35" s="8" t="n"/>
      <c r="B35" s="8" t="n"/>
      <c r="C35" s="8" t="n"/>
      <c r="D35" s="8" t="n"/>
      <c r="E35" s="8" t="n"/>
      <c r="F35" s="8" t="n"/>
      <c r="G35" s="8" t="n"/>
      <c r="H35" s="8" t="n"/>
      <c r="I35" s="8" t="n"/>
    </row>
    <row r="36">
      <c r="A36" s="8" t="n"/>
      <c r="B36" s="8" t="n"/>
      <c r="C36" s="8" t="n"/>
      <c r="D36" s="8" t="n"/>
      <c r="E36" s="8" t="n"/>
      <c r="F36" s="8" t="n"/>
      <c r="G36" s="8" t="n"/>
      <c r="H36" s="8" t="n"/>
      <c r="I36" s="8" t="n"/>
    </row>
    <row r="37">
      <c r="A37" s="8" t="n"/>
      <c r="B37" s="8" t="n"/>
      <c r="C37" s="8" t="n"/>
      <c r="D37" s="8" t="n"/>
      <c r="E37" s="8" t="n"/>
      <c r="F37" s="8" t="n"/>
      <c r="G37" s="8" t="n"/>
      <c r="H37" s="8" t="n"/>
      <c r="I37" s="8" t="n"/>
    </row>
    <row r="38">
      <c r="A38" s="8" t="n"/>
      <c r="B38" s="8" t="n"/>
      <c r="C38" s="8" t="n"/>
      <c r="D38" s="8" t="n"/>
      <c r="E38" s="8" t="n"/>
      <c r="F38" s="8" t="n"/>
      <c r="G38" s="8" t="n"/>
      <c r="H38" s="8" t="n"/>
      <c r="I38" s="8" t="n"/>
    </row>
    <row r="39">
      <c r="A39" s="8" t="n"/>
      <c r="B39" s="8" t="n"/>
      <c r="C39" s="8" t="n"/>
      <c r="D39" s="8" t="n"/>
      <c r="E39" s="8" t="n"/>
      <c r="F39" s="8" t="n"/>
      <c r="G39" s="8" t="n"/>
      <c r="H39" s="8" t="n"/>
      <c r="I39" s="8" t="n"/>
    </row>
    <row r="40">
      <c r="A40" s="8" t="n"/>
      <c r="B40" s="8" t="n"/>
      <c r="C40" s="8" t="n"/>
      <c r="D40" s="8" t="n"/>
      <c r="E40" s="8" t="n"/>
      <c r="F40" s="8" t="n"/>
      <c r="G40" s="8" t="n"/>
      <c r="H40" s="8" t="n"/>
      <c r="I40" s="8" t="n"/>
    </row>
    <row r="41">
      <c r="A41" s="8" t="n"/>
      <c r="B41" s="8" t="n"/>
      <c r="C41" s="8" t="n"/>
      <c r="D41" s="8" t="n"/>
      <c r="E41" s="8" t="n"/>
      <c r="F41" s="8" t="n"/>
      <c r="G41" s="8" t="n"/>
      <c r="H41" s="8" t="n"/>
      <c r="I41" s="8" t="n"/>
    </row>
    <row r="42">
      <c r="A42" s="8" t="n"/>
      <c r="B42" s="8" t="n"/>
      <c r="C42" s="8" t="n"/>
      <c r="D42" s="8" t="n"/>
      <c r="E42" s="8" t="n"/>
      <c r="F42" s="8" t="n"/>
      <c r="G42" s="8" t="n"/>
      <c r="H42" s="8" t="n"/>
      <c r="I42" s="8" t="n"/>
    </row>
    <row r="43">
      <c r="A43" s="8" t="n"/>
      <c r="B43" s="8" t="n"/>
      <c r="C43" s="8" t="n"/>
      <c r="D43" s="8" t="n"/>
      <c r="E43" s="8" t="n"/>
      <c r="F43" s="8" t="n"/>
      <c r="G43" s="8" t="n"/>
      <c r="H43" s="8" t="n"/>
      <c r="I43" s="8" t="n"/>
    </row>
    <row r="44">
      <c r="A44" s="8" t="n"/>
      <c r="B44" s="8" t="n"/>
      <c r="C44" s="8" t="n"/>
      <c r="D44" s="8" t="n"/>
      <c r="E44" s="8" t="n"/>
      <c r="F44" s="8" t="n"/>
      <c r="G44" s="8" t="n"/>
      <c r="H44" s="8" t="n"/>
      <c r="I44" s="8" t="n"/>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n"/>
      <c r="B47" s="8" t="n"/>
      <c r="C47" s="8" t="n"/>
      <c r="D47" s="8" t="n"/>
      <c r="E47" s="8" t="n"/>
      <c r="F47" s="8" t="n"/>
      <c r="G47" s="8" t="n"/>
      <c r="H47" s="8" t="n"/>
      <c r="I47" s="8" t="n"/>
    </row>
    <row r="48">
      <c r="A48" s="8" t="n"/>
      <c r="B48" s="8" t="n"/>
      <c r="C48" s="8" t="n"/>
      <c r="D48" s="8" t="n"/>
      <c r="E48" s="8" t="n"/>
      <c r="F48" s="8" t="n"/>
      <c r="G48" s="8" t="n"/>
      <c r="H48" s="8" t="n"/>
      <c r="I48" s="8" t="n"/>
    </row>
    <row r="49">
      <c r="A49" s="8" t="n"/>
      <c r="B49" s="8" t="n"/>
      <c r="C49" s="8" t="n"/>
      <c r="D49" s="8" t="n"/>
      <c r="E49" s="8" t="n"/>
      <c r="F49" s="8" t="n"/>
      <c r="G49" s="8" t="n"/>
      <c r="H49" s="8" t="n"/>
      <c r="I49" s="8" t="n"/>
    </row>
    <row r="50">
      <c r="A50" s="8" t="n"/>
      <c r="B50" s="8" t="n"/>
      <c r="C50" s="8" t="n"/>
      <c r="D50" s="8" t="n"/>
      <c r="E50" s="8" t="n"/>
      <c r="F50" s="8" t="n"/>
      <c r="G50" s="8" t="n"/>
      <c r="H50" s="8" t="n"/>
      <c r="I50" s="8" t="n"/>
    </row>
    <row r="51">
      <c r="A51" s="8" t="n"/>
      <c r="B51" s="8" t="n"/>
      <c r="C51" s="8" t="n"/>
      <c r="D51" s="8" t="n"/>
      <c r="E51" s="8" t="n"/>
      <c r="F51" s="8" t="n"/>
      <c r="G51" s="8" t="n"/>
      <c r="H51" s="8" t="n"/>
      <c r="I51" s="8" t="n"/>
    </row>
    <row r="52">
      <c r="A52" s="8" t="n"/>
      <c r="B52" s="8" t="n"/>
      <c r="C52" s="8" t="n"/>
      <c r="D52" s="8" t="n"/>
      <c r="E52" s="8" t="n"/>
      <c r="F52" s="8" t="n"/>
      <c r="G52" s="8" t="n"/>
      <c r="H52" s="8" t="n"/>
      <c r="I52" s="8" t="n"/>
    </row>
    <row r="53">
      <c r="A53" s="8" t="n"/>
      <c r="B53" s="8" t="n"/>
      <c r="C53" s="8" t="n"/>
      <c r="D53" s="8" t="n"/>
      <c r="E53" s="8" t="n"/>
      <c r="F53" s="8" t="n"/>
      <c r="G53" s="8" t="n"/>
      <c r="H53" s="8" t="n"/>
      <c r="I53" s="8" t="n"/>
    </row>
    <row r="54">
      <c r="A54" s="8" t="n"/>
      <c r="B54" s="8" t="n"/>
      <c r="C54" s="8" t="n"/>
      <c r="D54" s="8" t="n"/>
      <c r="E54" s="8" t="n"/>
      <c r="F54" s="8" t="n"/>
      <c r="G54" s="8" t="n"/>
      <c r="H54" s="8" t="n"/>
      <c r="I54" s="8" t="n"/>
    </row>
    <row r="55">
      <c r="A55" s="8" t="n"/>
      <c r="B55" s="8" t="n"/>
      <c r="C55" s="8" t="n"/>
      <c r="D55" s="8" t="n"/>
      <c r="E55" s="8" t="n"/>
      <c r="F55" s="8" t="n"/>
      <c r="G55" s="8" t="n"/>
      <c r="H55" s="8" t="n"/>
      <c r="I55" s="8" t="n"/>
    </row>
    <row r="56">
      <c r="A56" s="8" t="n"/>
      <c r="B56" s="8" t="n"/>
      <c r="C56" s="8" t="n"/>
      <c r="D56" s="8" t="n"/>
      <c r="E56" s="8" t="n"/>
      <c r="F56" s="8" t="n"/>
      <c r="G56" s="8" t="n"/>
      <c r="H56" s="8" t="n"/>
      <c r="I56" s="8" t="n"/>
    </row>
    <row r="57">
      <c r="A57" s="8" t="n"/>
      <c r="B57" s="8" t="n"/>
      <c r="C57" s="8" t="n"/>
      <c r="D57" s="8" t="n"/>
      <c r="E57" s="8" t="n"/>
      <c r="F57" s="8" t="n"/>
      <c r="G57" s="8" t="n"/>
      <c r="H57" s="8" t="n"/>
      <c r="I57" s="8" t="n"/>
    </row>
    <row r="58">
      <c r="A58" s="8" t="n"/>
      <c r="B58" s="8" t="n"/>
      <c r="C58" s="8" t="n"/>
      <c r="D58" s="8" t="n"/>
      <c r="E58" s="8" t="n"/>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n"/>
      <c r="B61" s="8" t="n"/>
      <c r="C61" s="8" t="n"/>
      <c r="D61" s="8" t="n"/>
      <c r="E61" s="8" t="n"/>
      <c r="F61" s="8" t="n"/>
      <c r="G61" s="8" t="n"/>
      <c r="H61" s="8" t="n"/>
      <c r="I61" s="8" t="n"/>
    </row>
    <row r="62">
      <c r="A62" s="8" t="n"/>
      <c r="B62" s="8" t="n"/>
      <c r="C62" s="8" t="n"/>
      <c r="D62" s="8" t="n"/>
      <c r="E62" s="8" t="n"/>
      <c r="F62" s="8" t="n"/>
      <c r="G62" s="8" t="n"/>
      <c r="H62" s="8" t="n"/>
      <c r="I62" s="8" t="n"/>
    </row>
    <row r="63">
      <c r="A63" s="8" t="n"/>
      <c r="B63" s="8" t="n"/>
      <c r="C63" s="8" t="n"/>
      <c r="D63" s="8" t="n"/>
      <c r="E63" s="8" t="n"/>
      <c r="F63" s="8" t="n"/>
      <c r="G63" s="8" t="n"/>
      <c r="H63" s="8" t="n"/>
      <c r="I63" s="8" t="n"/>
    </row>
    <row r="64">
      <c r="A64" s="8" t="n"/>
      <c r="B64" s="8" t="n"/>
      <c r="C64" s="8" t="n"/>
      <c r="D64" s="8" t="n"/>
      <c r="E64" s="8" t="n"/>
      <c r="F64" s="8" t="n"/>
      <c r="G64" s="8" t="n"/>
      <c r="H64" s="8" t="n"/>
      <c r="I64" s="8" t="n"/>
    </row>
    <row r="65">
      <c r="A65" s="8" t="n"/>
      <c r="B65" s="8" t="n"/>
      <c r="C65" s="8" t="n"/>
      <c r="D65" s="8" t="n"/>
      <c r="E65" s="8" t="n"/>
      <c r="F65" s="8" t="n"/>
      <c r="G65" s="8" t="n"/>
      <c r="H65" s="8" t="n"/>
      <c r="I65" s="8" t="n"/>
    </row>
    <row r="66">
      <c r="A66" s="8" t="n"/>
      <c r="B66" s="8" t="n"/>
      <c r="C66" s="8" t="n"/>
      <c r="D66" s="8" t="n"/>
      <c r="E66" s="8" t="n"/>
      <c r="F66" s="8" t="n"/>
      <c r="G66" s="8" t="n"/>
      <c r="H66" s="8" t="n"/>
      <c r="I66" s="8" t="n"/>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n"/>
      <c r="B69" s="8" t="n"/>
      <c r="C69" s="8" t="n"/>
      <c r="D69" s="8" t="n"/>
      <c r="E69" s="8" t="n"/>
      <c r="F69" s="8" t="n"/>
      <c r="G69" s="8" t="n"/>
      <c r="H69" s="8" t="n"/>
      <c r="I69" s="8" t="n"/>
    </row>
  </sheetData>
  <mergeCells count="8">
    <mergeCell ref="I2:I4"/>
    <mergeCell ref="L18:L28"/>
    <mergeCell ref="A2:A4"/>
    <mergeCell ref="C2:C4"/>
    <mergeCell ref="I8:I17"/>
    <mergeCell ref="K19:K29"/>
    <mergeCell ref="D2:D4"/>
    <mergeCell ref="B2:B4"/>
  </mergeCells>
  <hyperlinks>
    <hyperlink xmlns:r="http://schemas.openxmlformats.org/officeDocument/2006/relationships" ref="C5" r:id="rId1"/>
  </hyperlinks>
  <pageMargins left="0.7" right="0.7" top="0.75" bottom="0.75" header="0.3" footer="0.3"/>
  <pageSetup orientation="portrait" horizontalDpi="300" verticalDpi="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ols>
    <col width="36" customWidth="1" min="1" max="2"/>
    <col width="110" customWidth="1" min="2" max="2"/>
  </cols>
  <sheetData>
    <row r="1">
      <c r="A1" s="107" t="inlineStr">
        <is>
          <t>Beneficiary Category</t>
        </is>
      </c>
      <c r="B1" s="107" t="inlineStr">
        <is>
          <t>Indicator</t>
        </is>
      </c>
    </row>
    <row r="2" ht="4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45" customHeight="1">
      <c r="A4" s="2" t="inlineStr">
        <is>
          <t>Energy Storage (MW)</t>
        </is>
      </c>
      <c r="B4" s="2" t="inlineStr">
        <is>
          <t>Installed energy storage power capacity added, in MW.</t>
        </is>
      </c>
    </row>
    <row r="5" ht="30" customHeight="1">
      <c r="A5" s="2" t="inlineStr">
        <is>
          <t>Clean Cooking</t>
        </is>
      </c>
      <c r="B5" s="2" t="inlineStr">
        <is>
          <t>Number of people who gain access to clean cooking (direct access to clean cook stoves, clean fuels, biomass, etc.).</t>
        </is>
      </c>
    </row>
    <row r="6" ht="90" customHeight="1">
      <c r="A6" s="2" t="inlineStr">
        <is>
          <t>Clean Heating</t>
        </is>
      </c>
      <c r="B6" s="2" t="inlineStr">
        <is>
          <t>Number of people who gain access to clean heating (direct access to clean electric heaters, clean fuels, etc.).</t>
        </is>
      </c>
    </row>
    <row r="7" ht="45" customHeight="1">
      <c r="A7" s="2" t="inlineStr">
        <is>
          <t>Agriculture and Food System</t>
        </is>
      </c>
      <c r="B7" s="2" t="inlineStr">
        <is>
          <t>Number of people who gain access to clean, affordable, and sustainable energy for agricultural and food-system activities.</t>
        </is>
      </c>
    </row>
    <row r="8" ht="45" customHeight="1">
      <c r="A8" s="2" t="inlineStr">
        <is>
          <t>Health Services</t>
        </is>
      </c>
      <c r="B8" s="2" t="inlineStr">
        <is>
          <t>Number of people who gain access to health care facilities through clean energy systems.</t>
        </is>
      </c>
    </row>
    <row r="9" ht="45" customHeight="1">
      <c r="A9" s="2" t="inlineStr">
        <is>
          <t>Water Services</t>
        </is>
      </c>
      <c r="B9" s="2" t="inlineStr">
        <is>
          <t>Number of people who gain access to water services through clean energy systems.</t>
        </is>
      </c>
    </row>
    <row r="10" ht="45" customHeight="1">
      <c r="A10" s="2" t="inlineStr">
        <is>
          <t>Education Services</t>
        </is>
      </c>
      <c r="B10" s="2" t="inlineStr">
        <is>
          <t>Number of people who gain access to education services through clean energy systems, including students and teachers.</t>
        </is>
      </c>
    </row>
    <row r="11" ht="30" customHeight="1">
      <c r="A11" s="2" t="inlineStr">
        <is>
          <t>Transportation and E-mobility Services</t>
        </is>
      </c>
      <c r="B11" s="2" t="inlineStr">
        <is>
          <t>Number of people served or energy saved from transport and e-mobility interventions, such as electric vehicles or charging stations.</t>
        </is>
      </c>
    </row>
    <row r="12" ht="45" customHeight="1">
      <c r="A12" s="2" t="inlineStr">
        <is>
          <t>Energy Efficiency Services</t>
        </is>
      </c>
      <c r="B12" s="2" t="inlineStr">
        <is>
          <t>Energy saved from energy-efficiency interventions, such as building or industrial efficiency.</t>
        </is>
      </c>
    </row>
    <row r="13" ht="30" customHeight="1">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ht="30" customHeight="1">
      <c r="A15" s="2" t="inlineStr">
        <is>
          <t>Financing support</t>
        </is>
      </c>
      <c r="B15" s="2" t="inlineStr">
        <is>
          <t>Support for the development of the energy market ecosystem.</t>
        </is>
      </c>
    </row>
    <row r="16" ht="30" customHeight="1">
      <c r="A16" s="2" t="inlineStr">
        <is>
          <t>Medium Enterprises</t>
        </is>
      </c>
      <c r="B16" s="2" t="inlineStr">
        <is>
          <t>Support for the development of medium enterprises in the energy transition market.</t>
        </is>
      </c>
    </row>
    <row r="17" ht="30" customHeight="1">
      <c r="A17" s="2" t="inlineStr">
        <is>
          <t>Small Enterprises</t>
        </is>
      </c>
      <c r="B17" s="2" t="inlineStr">
        <is>
          <t>Support for the development of small enterprises in the energy transition market.</t>
        </is>
      </c>
    </row>
    <row r="18" ht="30" customHeight="1">
      <c r="A18" s="2" t="inlineStr">
        <is>
          <t>Capacity Building Training</t>
        </is>
      </c>
      <c r="B18" s="2" t="inlineStr">
        <is>
          <t>Number of people benefiting from training on energy business, energy finance, or related implementation capacity.</t>
        </is>
      </c>
    </row>
    <row r="19" ht="75" customHeight="1">
      <c r="A19" s="2" t="inlineStr">
        <is>
          <t>Entrepreneurship Training</t>
        </is>
      </c>
      <c r="B19" s="2" t="inlineStr">
        <is>
          <t>Training for enterprises on the energy business, assumed to result in direct beneficiaries.</t>
        </is>
      </c>
    </row>
    <row r="20" ht="30" customHeight="1">
      <c r="A20" s="2" t="inlineStr">
        <is>
          <t>Market Intervention</t>
        </is>
      </c>
      <c r="B20" s="2" t="inlineStr">
        <is>
          <t>Volume of investment leveraged or barriers removed for clean, reliable, affordable, and sustainable energy solutions.</t>
        </is>
      </c>
    </row>
    <row r="21" ht="45" customHeight="1">
      <c r="A21" s="2" t="inlineStr">
        <is>
          <t>Campaign Participant</t>
        </is>
      </c>
      <c r="B21" s="2" t="inlineStr">
        <is>
          <t>Individuals who participate in advocacy or awareness campaigns on energy.</t>
        </is>
      </c>
    </row>
    <row r="22" ht="30" customHeight="1">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