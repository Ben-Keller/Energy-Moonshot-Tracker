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Aptos"/>
      <charset val="1"/>
      <family val="2"/>
      <b val="1"/>
      <color theme="1"/>
      <sz val="14"/>
    </font>
    <font>
      <name val="Calibri"/>
      <family val="2"/>
      <color rgb="FFFF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4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" pivotButton="0" quotePrefix="0" xfId="0"/>
    <xf numFmtId="0" fontId="0" fillId="3" borderId="0" pivotButton="0" quotePrefix="0" xfId="0"/>
    <xf numFmtId="0" fontId="2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wrapText="1"/>
    </xf>
    <xf numFmtId="0" fontId="3" fillId="0" borderId="3" applyAlignment="1" pivotButton="0" quotePrefix="0" xfId="1">
      <alignment wrapText="1"/>
    </xf>
    <xf numFmtId="0" fontId="0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 wrapText="1"/>
    </xf>
    <xf numFmtId="43" fontId="2" fillId="0" borderId="3" applyAlignment="1" pivotButton="0" quotePrefix="0" xfId="0">
      <alignment horizontal="center" vertical="top" wrapText="1"/>
    </xf>
    <xf numFmtId="43" fontId="0" fillId="0" borderId="0" pivotButton="0" quotePrefix="0" xfId="0"/>
    <xf numFmtId="0" fontId="0" fillId="0" borderId="3" applyAlignment="1" pivotButton="0" quotePrefix="0" xfId="0">
      <alignment vertical="center" wrapText="1"/>
    </xf>
    <xf numFmtId="43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 wrapText="1"/>
    </xf>
    <xf numFmtId="0" fontId="5" fillId="0" borderId="2" applyAlignment="1" pivotButton="0" quotePrefix="0" xfId="0">
      <alignment vertical="center" wrapText="1"/>
    </xf>
    <xf numFmtId="0" fontId="6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3" applyAlignment="1" pivotButton="0" quotePrefix="0" xfId="0">
      <alignment vertical="center" wrapText="1"/>
    </xf>
    <xf numFmtId="0" fontId="1" fillId="0" borderId="3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vertical="center" wrapText="1"/>
    </xf>
    <xf numFmtId="43" fontId="0" fillId="4" borderId="3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wrapText="1"/>
    </xf>
    <xf numFmtId="0" fontId="7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82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28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tabSelected="1" workbookViewId="0">
      <selection activeCell="I8" sqref="I8"/>
    </sheetView>
  </sheetViews>
  <sheetFormatPr baseColWidth="8" defaultRowHeight="15"/>
  <cols>
    <col width="22.85546875" customWidth="1" min="1" max="1"/>
    <col width="38.85546875" customWidth="1" min="2" max="2"/>
    <col width="20.7109375" customWidth="1" min="3" max="3"/>
    <col width="14.85546875" customWidth="1" style="24" min="4" max="4"/>
    <col width="14.85546875" customWidth="1" min="5" max="5"/>
    <col width="14.85546875" customWidth="1" min="6" max="6"/>
    <col width="14.85546875" customWidth="1" min="7" max="7"/>
    <col width="14.85546875" customWidth="1" style="5" min="8" max="8"/>
    <col width="32.7109375" customWidth="1" min="9" max="9"/>
    <col width="11.85546875" customWidth="1" style="33" min="10" max="10"/>
    <col width="10.28515625" customWidth="1" style="5" min="11" max="11"/>
    <col width="14.42578125" customWidth="1" min="14" max="14"/>
    <col width="17" customWidth="1" min="15" max="15"/>
    <col width="16.8554687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7.5703125" customWidth="1" min="21" max="21"/>
  </cols>
  <sheetData>
    <row r="1" ht="27" customHeight="1">
      <c r="A1" s="8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23" t="inlineStr">
        <is>
          <t>Budget</t>
        </is>
      </c>
      <c r="E1" s="23" t="inlineStr">
        <is>
          <t>Start Year</t>
        </is>
      </c>
      <c r="F1" s="23" t="inlineStr">
        <is>
          <t>End Year</t>
        </is>
      </c>
      <c r="G1" s="23" t="inlineStr">
        <is>
          <t>Status</t>
        </is>
      </c>
      <c r="H1" s="23" t="inlineStr">
        <is>
          <t>VF or Non-VF</t>
        </is>
      </c>
      <c r="I1" s="8" t="inlineStr">
        <is>
          <t>Beneficiary Category</t>
        </is>
      </c>
      <c r="J1" s="8" t="inlineStr">
        <is>
          <t>Indicator</t>
        </is>
      </c>
      <c r="K1" s="8" t="inlineStr">
        <is>
          <t>Baseline</t>
        </is>
      </c>
      <c r="L1" s="8" t="inlineStr">
        <is>
          <t>Target</t>
        </is>
      </c>
      <c r="M1" s="8" t="inlineStr">
        <is>
          <t>Notes</t>
        </is>
      </c>
      <c r="N1" s="32" t="inlineStr">
        <is>
          <t>Donors</t>
        </is>
      </c>
      <c r="O1" s="21" t="inlineStr">
        <is>
          <t>Gender (% female)</t>
        </is>
      </c>
      <c r="P1" s="15" t="inlineStr">
        <is>
          <t>Tag</t>
        </is>
      </c>
      <c r="Q1" s="14" t="inlineStr">
        <is>
          <t>SEH Taxonomy</t>
        </is>
      </c>
      <c r="R1" s="14" t="inlineStr">
        <is>
          <t>RISE Taxonomy</t>
        </is>
      </c>
      <c r="S1" s="15" t="inlineStr">
        <is>
          <t>Flagship</t>
        </is>
      </c>
      <c r="T1" s="15" t="inlineStr">
        <is>
          <t>Indirect Category</t>
        </is>
      </c>
      <c r="U1" s="16" t="inlineStr">
        <is>
          <t>Indirect Taxonomy</t>
        </is>
      </c>
      <c r="V1" s="17" t="inlineStr">
        <is>
          <t>Technology</t>
        </is>
      </c>
      <c r="W1" s="16" t="inlineStr">
        <is>
          <t>Policy or Regulatory Framework</t>
        </is>
      </c>
      <c r="X1" s="17" t="inlineStr">
        <is>
          <t>Policy Population</t>
        </is>
      </c>
    </row>
    <row r="2" ht="45" customHeight="1">
      <c r="A2" s="25" t="n">
        <v>128213</v>
      </c>
      <c r="B2" s="25" t="inlineStr">
        <is>
          <t>Greening the RFM Hospital Demonstration</t>
        </is>
      </c>
      <c r="C2" s="10" t="inlineStr">
        <is>
          <t>http://open.undp.org/projects/00128213</t>
        </is>
      </c>
      <c r="D2" s="26" t="n">
        <v>1870871</v>
      </c>
      <c r="E2" s="39" t="n"/>
      <c r="F2" s="39" t="n"/>
      <c r="G2" s="39" t="n"/>
      <c r="H2" s="26" t="inlineStr">
        <is>
          <t>Non-VF</t>
        </is>
      </c>
      <c r="I2" s="25" t="inlineStr">
        <is>
          <t>Energy (MW added)</t>
        </is>
      </c>
      <c r="J2" s="34" t="inlineStr">
        <is>
          <t>Number of MW installed capacity</t>
        </is>
      </c>
      <c r="K2" s="22" t="n">
        <v>0</v>
      </c>
      <c r="L2" s="22" t="n">
        <v>1</v>
      </c>
      <c r="M2" s="9" t="n"/>
      <c r="N2" s="25" t="inlineStr">
        <is>
          <t>Gov. of Italy</t>
        </is>
      </c>
      <c r="O2" s="22" t="n">
        <v>50</v>
      </c>
      <c r="P2" s="11" t="inlineStr">
        <is>
          <t>Health</t>
        </is>
      </c>
      <c r="Q2" s="19" t="inlineStr">
        <is>
          <t>Close the gap on energy access</t>
        </is>
      </c>
      <c r="R2" s="11" t="inlineStr">
        <is>
          <t>Renewable Energy</t>
        </is>
      </c>
      <c r="S2" s="11" t="n"/>
      <c r="T2" s="11" t="n"/>
      <c r="U2" s="22" t="inlineStr">
        <is>
          <t>Energy Efficiency</t>
        </is>
      </c>
      <c r="V2" s="20" t="inlineStr">
        <is>
          <t>Solar</t>
        </is>
      </c>
      <c r="W2" s="11" t="n"/>
      <c r="X2" s="20" t="n"/>
    </row>
    <row r="3" ht="60.75" customHeight="1">
      <c r="A3" s="25" t="n">
        <v>6432</v>
      </c>
      <c r="B3" s="25" t="inlineStr">
        <is>
          <t>National project under the AMP</t>
        </is>
      </c>
      <c r="C3" s="25" t="inlineStr">
        <is>
          <t>PIMS+</t>
        </is>
      </c>
      <c r="D3" s="26" t="n">
        <v>863242</v>
      </c>
      <c r="E3" s="39" t="n"/>
      <c r="F3" s="39" t="n"/>
      <c r="G3" s="39" t="n"/>
      <c r="H3" s="26" t="inlineStr">
        <is>
          <t>VF</t>
        </is>
      </c>
      <c r="I3" s="25" t="inlineStr">
        <is>
          <t>Electricity Access</t>
        </is>
      </c>
      <c r="J3" s="13" t="inlineStr">
        <is>
          <t xml:space="preserve">Number of people, disaggregated by sex, who gain access to clean electricity (direct access to electricity, lighting, cooling, etc.) </t>
        </is>
      </c>
      <c r="K3" s="22" t="n">
        <v>0</v>
      </c>
      <c r="L3" s="22" t="n">
        <v>459</v>
      </c>
      <c r="M3" s="9" t="n"/>
      <c r="N3" s="25" t="inlineStr">
        <is>
          <t>Global Environment Fund</t>
        </is>
      </c>
      <c r="O3" s="22" t="n">
        <v>50</v>
      </c>
      <c r="P3" s="11" t="inlineStr">
        <is>
          <t>Just</t>
        </is>
      </c>
      <c r="Q3" s="19" t="inlineStr">
        <is>
          <t>Close the gap on energy access</t>
        </is>
      </c>
      <c r="R3" s="11" t="inlineStr">
        <is>
          <t>Renewable Energy</t>
        </is>
      </c>
      <c r="S3" s="11" t="inlineStr">
        <is>
          <t>AMP</t>
        </is>
      </c>
      <c r="T3" s="11" t="n"/>
      <c r="U3" s="22" t="inlineStr">
        <is>
          <t>Off-Grid</t>
        </is>
      </c>
      <c r="V3" s="20" t="inlineStr">
        <is>
          <t>Solar</t>
        </is>
      </c>
      <c r="W3" s="11" t="inlineStr">
        <is>
          <t>National</t>
        </is>
      </c>
      <c r="X3" s="20" t="n"/>
    </row>
    <row r="4" ht="45.75" customHeight="1">
      <c r="A4" s="25" t="n"/>
      <c r="B4" s="25" t="n"/>
      <c r="C4" s="25" t="n"/>
      <c r="D4" s="26" t="n"/>
      <c r="E4" s="26" t="n"/>
      <c r="F4" s="26" t="n"/>
      <c r="G4" s="26" t="n"/>
      <c r="H4" s="26" t="n"/>
      <c r="I4" s="25" t="inlineStr">
        <is>
          <t>Energy (MW added)</t>
        </is>
      </c>
      <c r="J4" s="13" t="inlineStr">
        <is>
          <t>Installed capacity in MW for access/productive-use outputs</t>
        </is>
      </c>
      <c r="K4" s="22" t="n">
        <v>0</v>
      </c>
      <c r="L4" s="40" t="n"/>
      <c r="M4" s="41" t="inlineStr">
        <is>
          <t>[AUTO-ADDED] Project reports access/productive-use beneficiary numbers but no MW value. Please add installed capacity (MW) or confirm not applicable.</t>
        </is>
      </c>
      <c r="N4" s="25" t="n"/>
      <c r="O4" s="22" t="n"/>
      <c r="P4" s="11" t="n"/>
      <c r="Q4" s="19" t="n"/>
      <c r="R4" s="11" t="n"/>
      <c r="S4" s="11" t="n"/>
      <c r="T4" s="11" t="n"/>
      <c r="U4" s="22" t="n"/>
      <c r="V4" s="20" t="n"/>
      <c r="W4" s="11" t="n"/>
      <c r="X4" s="20" t="n"/>
    </row>
    <row r="5" ht="60.75" customHeight="1">
      <c r="A5" s="25" t="n">
        <v>80963</v>
      </c>
      <c r="B5" s="25" t="inlineStr">
        <is>
          <t>UNDP Moonshot: Greening the UN House</t>
        </is>
      </c>
      <c r="C5" s="9" t="n"/>
      <c r="D5" s="26" t="n">
        <v>156514.85</v>
      </c>
      <c r="E5" s="39" t="n"/>
      <c r="F5" s="39" t="n"/>
      <c r="G5" s="39" t="n"/>
      <c r="H5" s="26" t="inlineStr">
        <is>
          <t>Non-VF</t>
        </is>
      </c>
      <c r="I5" s="25" t="inlineStr">
        <is>
          <t>Energy (MW added)</t>
        </is>
      </c>
      <c r="J5" s="34" t="inlineStr">
        <is>
          <t>Number of MW installed capacity</t>
        </is>
      </c>
      <c r="K5" s="22" t="n">
        <v>0</v>
      </c>
      <c r="L5" s="22" t="n">
        <v>0.116</v>
      </c>
      <c r="M5" s="9" t="n"/>
      <c r="N5" s="25" t="inlineStr">
        <is>
          <t>UNDP</t>
        </is>
      </c>
      <c r="O5" s="22" t="inlineStr">
        <is>
          <t>N/A</t>
        </is>
      </c>
      <c r="P5" s="11" t="inlineStr">
        <is>
          <t>Efficiency</t>
        </is>
      </c>
      <c r="Q5" s="19" t="inlineStr">
        <is>
          <t>Close the gap on energy access</t>
        </is>
      </c>
      <c r="R5" s="11" t="inlineStr">
        <is>
          <t>Renewable Energy</t>
        </is>
      </c>
      <c r="S5" s="11" t="n"/>
      <c r="T5" s="11" t="n"/>
      <c r="U5" s="22" t="inlineStr">
        <is>
          <t>Infrastructure</t>
        </is>
      </c>
      <c r="V5" s="20" t="inlineStr">
        <is>
          <t>Solar</t>
        </is>
      </c>
      <c r="W5" s="11" t="n"/>
      <c r="X5" s="20" t="n"/>
    </row>
    <row r="6" ht="45.75" customHeight="1">
      <c r="A6" s="25" t="n">
        <v>80963</v>
      </c>
      <c r="B6" s="25" t="inlineStr">
        <is>
          <t>UNDP Moonshot: Electric Vehicle</t>
        </is>
      </c>
      <c r="C6" s="9" t="n"/>
      <c r="D6" s="26">
        <f>43030+4818</f>
        <v/>
      </c>
      <c r="E6" s="39" t="n"/>
      <c r="F6" s="39" t="n"/>
      <c r="G6" s="39" t="n"/>
      <c r="H6" s="26" t="inlineStr">
        <is>
          <t>Non-VF</t>
        </is>
      </c>
      <c r="I6" s="27" t="inlineStr">
        <is>
          <t>Transportation and E-mobility Services</t>
        </is>
      </c>
      <c r="J6" s="35" t="inlineStr">
        <is>
          <t xml:space="preserve">Number of MJ saved from transport and e-mobility interventions (e.g., electric vehicles, charging stations, etc.)  </t>
        </is>
      </c>
      <c r="K6" s="22" t="n">
        <v>0</v>
      </c>
      <c r="L6" s="22" t="n">
        <v>1</v>
      </c>
      <c r="M6" s="9" t="n"/>
      <c r="N6" s="25" t="inlineStr">
        <is>
          <t>UNDP</t>
        </is>
      </c>
      <c r="O6" s="22" t="inlineStr">
        <is>
          <t>N/A</t>
        </is>
      </c>
      <c r="P6" s="11" t="inlineStr">
        <is>
          <t>Just</t>
        </is>
      </c>
      <c r="Q6" s="19" t="inlineStr">
        <is>
          <t>Accelerating just energy transition</t>
        </is>
      </c>
      <c r="R6" s="11" t="inlineStr">
        <is>
          <t>Renewable Energy</t>
        </is>
      </c>
      <c r="S6" s="11" t="n"/>
      <c r="T6" s="11" t="n"/>
      <c r="U6" s="22" t="inlineStr">
        <is>
          <t>Decarbonization</t>
        </is>
      </c>
      <c r="V6" s="20" t="inlineStr">
        <is>
          <t>Solar</t>
        </is>
      </c>
      <c r="W6" s="11" t="n"/>
      <c r="X6" s="20" t="n"/>
    </row>
    <row r="7" ht="30.75" customHeight="1">
      <c r="A7" s="25" t="n"/>
      <c r="B7" s="25" t="n"/>
      <c r="C7" s="9" t="n"/>
      <c r="D7" s="26" t="n"/>
      <c r="E7" s="26" t="n"/>
      <c r="F7" s="26" t="n"/>
      <c r="G7" s="26" t="n"/>
      <c r="H7" s="26" t="n"/>
      <c r="I7" s="27" t="inlineStr">
        <is>
          <t>Energy (MW added)</t>
        </is>
      </c>
      <c r="J7" s="35" t="inlineStr">
        <is>
          <t>Installed capacity in MW for access/productive-use outputs</t>
        </is>
      </c>
      <c r="K7" s="22" t="n">
        <v>0</v>
      </c>
      <c r="L7" s="40" t="n"/>
      <c r="M7" s="41" t="inlineStr">
        <is>
          <t>[AUTO-ADDED] Project reports access/productive-use beneficiary numbers but no MW value. Please add installed capacity (MW) or confirm not applicable.</t>
        </is>
      </c>
      <c r="N7" s="25" t="n"/>
      <c r="O7" s="22" t="n"/>
      <c r="P7" s="11" t="n"/>
      <c r="Q7" s="19" t="n"/>
      <c r="R7" s="11" t="n"/>
      <c r="S7" s="11" t="n"/>
      <c r="T7" s="11" t="n"/>
      <c r="U7" s="22" t="n"/>
      <c r="V7" s="20" t="n"/>
      <c r="W7" s="11" t="n"/>
      <c r="X7" s="20" t="n"/>
    </row>
    <row r="8" ht="152.25" customHeight="1">
      <c r="A8" s="25" t="n">
        <v>1000549</v>
      </c>
      <c r="B8" s="25" t="inlineStr">
        <is>
          <t>Powering Gender Equality</t>
        </is>
      </c>
      <c r="C8" s="9" t="n"/>
      <c r="D8" s="26" t="n">
        <v>130000</v>
      </c>
      <c r="E8" s="39" t="n"/>
      <c r="F8" s="39" t="n"/>
      <c r="G8" s="39" t="n"/>
      <c r="H8" s="26" t="inlineStr">
        <is>
          <t>Non-VF</t>
        </is>
      </c>
      <c r="I8" s="27" t="inlineStr">
        <is>
          <t>Capacity Building Training</t>
        </is>
      </c>
      <c r="J8" s="13" t="inlineStr">
        <is>
          <t xml:space="preserve">Number of people who benefit from training for enterprises on the energy business and energy finance. </t>
        </is>
      </c>
      <c r="K8" s="22" t="n">
        <v>0</v>
      </c>
      <c r="L8" s="22" t="n">
        <v>5</v>
      </c>
      <c r="M8" s="9" t="n"/>
      <c r="N8" s="25" t="inlineStr">
        <is>
          <t>UNDP</t>
        </is>
      </c>
      <c r="O8" s="22" t="n">
        <v>100</v>
      </c>
      <c r="P8" s="11" t="inlineStr">
        <is>
          <t>Gender</t>
        </is>
      </c>
      <c r="Q8" s="19" t="inlineStr">
        <is>
          <t>Accelerating just energy transition</t>
        </is>
      </c>
      <c r="R8" s="11" t="inlineStr">
        <is>
          <t>Renewable Energy</t>
        </is>
      </c>
      <c r="S8" s="11" t="n"/>
      <c r="T8" s="11" t="n"/>
      <c r="U8" s="22" t="inlineStr">
        <is>
          <t>Research &amp; Innovation</t>
        </is>
      </c>
      <c r="V8" s="20" t="inlineStr">
        <is>
          <t>Bioenergy</t>
        </is>
      </c>
      <c r="W8" s="11" t="inlineStr">
        <is>
          <t>National</t>
        </is>
      </c>
      <c r="X8" s="20" t="n"/>
    </row>
    <row r="9" ht="152.25" customHeight="1">
      <c r="A9" s="25" t="n">
        <v>117244</v>
      </c>
      <c r="B9" s="25" t="inlineStr">
        <is>
          <t>Italy-UNDP Energy Partnership</t>
        </is>
      </c>
      <c r="C9" s="9" t="n"/>
      <c r="D9" s="26" t="n">
        <v>100000</v>
      </c>
      <c r="E9" s="39" t="n"/>
      <c r="F9" s="39" t="n"/>
      <c r="G9" s="39" t="n"/>
      <c r="H9" s="26" t="inlineStr">
        <is>
          <t>Non-VF</t>
        </is>
      </c>
      <c r="I9" s="27" t="inlineStr">
        <is>
          <t xml:space="preserve">Financing support </t>
        </is>
      </c>
      <c r="J9" s="25" t="inlineStr">
        <is>
          <t>Number of proposals developed</t>
        </is>
      </c>
      <c r="K9" s="22" t="n">
        <v>0</v>
      </c>
      <c r="L9" s="22" t="n">
        <v>5</v>
      </c>
      <c r="M9" s="9" t="n"/>
      <c r="N9" s="25" t="inlineStr">
        <is>
          <t>UNDP</t>
        </is>
      </c>
      <c r="O9" s="22" t="inlineStr">
        <is>
          <t>N/A</t>
        </is>
      </c>
      <c r="P9" s="11" t="inlineStr">
        <is>
          <t>Finance</t>
        </is>
      </c>
      <c r="Q9" s="19" t="inlineStr">
        <is>
          <t>Scale up energy finance</t>
        </is>
      </c>
      <c r="R9" s="11" t="inlineStr">
        <is>
          <t>Renewable Energy</t>
        </is>
      </c>
      <c r="S9" s="22" t="inlineStr">
        <is>
          <t>Italy UNDP Energy Partnership</t>
        </is>
      </c>
      <c r="T9" s="11" t="n"/>
      <c r="U9" s="22" t="inlineStr">
        <is>
          <t>Research &amp; Innovation</t>
        </is>
      </c>
      <c r="V9" s="20" t="inlineStr">
        <is>
          <t>Solar</t>
        </is>
      </c>
      <c r="W9" s="11" t="n"/>
      <c r="X9" s="20" t="n"/>
    </row>
    <row r="10">
      <c r="A10" s="28" t="inlineStr">
        <is>
          <t>TBD</t>
        </is>
      </c>
      <c r="B10" s="29" t="inlineStr">
        <is>
          <t>Catalysing Renewable Energy Access and Transition in Eswatini.</t>
        </is>
      </c>
      <c r="C10" s="9" t="n"/>
      <c r="D10" s="26" t="n">
        <v>820000</v>
      </c>
      <c r="E10" s="39" t="n"/>
      <c r="F10" s="39" t="n"/>
      <c r="G10" s="39" t="n"/>
      <c r="H10" s="26" t="inlineStr">
        <is>
          <t>Non-VF</t>
        </is>
      </c>
      <c r="I10" s="27" t="inlineStr">
        <is>
          <t>Agriculture and Food System</t>
        </is>
      </c>
      <c r="J10" s="13" t="inlineStr">
        <is>
          <t xml:space="preserve">Number of people who gain access to clean, affordable, and sustainable electricity for agricultural and food system activities (direct access to power machines for crop, processing, milling, grinding, de-husking, pressing, canning, sealing and packaging electricity, heating, cooling, solar water pumping for irrigation etc.) </t>
        </is>
      </c>
      <c r="K10" s="22" t="n">
        <v>0</v>
      </c>
      <c r="L10" s="31" t="n">
        <v>100</v>
      </c>
      <c r="M10" s="9" t="n"/>
      <c r="N10" s="25" t="inlineStr">
        <is>
          <t>European Union</t>
        </is>
      </c>
      <c r="O10" s="22" t="inlineStr">
        <is>
          <t>European Union</t>
        </is>
      </c>
      <c r="P10" s="11" t="inlineStr">
        <is>
          <t>Just</t>
        </is>
      </c>
      <c r="Q10" s="19" t="inlineStr">
        <is>
          <t>Accelerating just energy transition</t>
        </is>
      </c>
      <c r="R10" s="11" t="inlineStr">
        <is>
          <t>Renewable Energy</t>
        </is>
      </c>
      <c r="S10" s="22" t="n"/>
      <c r="T10" s="11" t="n"/>
      <c r="U10" s="22" t="inlineStr">
        <is>
          <t>Infrastructure</t>
        </is>
      </c>
      <c r="V10" s="20" t="inlineStr">
        <is>
          <t>Solar</t>
        </is>
      </c>
      <c r="W10" s="11" t="n"/>
      <c r="X10" s="20" t="n"/>
    </row>
    <row r="11">
      <c r="A11" s="28" t="n"/>
      <c r="B11" s="29" t="n"/>
      <c r="C11" s="9" t="n"/>
      <c r="D11" s="26" t="n"/>
      <c r="E11" s="26" t="n"/>
      <c r="F11" s="26" t="n"/>
      <c r="G11" s="26" t="n"/>
      <c r="H11" s="26" t="n"/>
      <c r="I11" s="27" t="inlineStr">
        <is>
          <t>Energy (MW added)</t>
        </is>
      </c>
      <c r="J11" s="13" t="inlineStr">
        <is>
          <t>Installed capacity in MW for access/productive-use outputs</t>
        </is>
      </c>
      <c r="K11" s="22" t="n">
        <v>0</v>
      </c>
      <c r="L11" s="42" t="n"/>
      <c r="M11" s="41" t="inlineStr">
        <is>
          <t>[AUTO-ADDED] Project reports access/productive-use beneficiary numbers but no MW value. Please add installed capacity (MW) or confirm not applicable.</t>
        </is>
      </c>
      <c r="N11" s="25" t="n"/>
      <c r="O11" s="22" t="n"/>
      <c r="P11" s="11" t="n"/>
      <c r="Q11" s="19" t="n"/>
      <c r="R11" s="11" t="n"/>
      <c r="S11" s="22" t="n"/>
      <c r="T11" s="11" t="n"/>
      <c r="U11" s="22" t="n"/>
      <c r="V11" s="20" t="n"/>
      <c r="W11" s="11" t="n"/>
      <c r="X11" s="20" t="n"/>
    </row>
    <row r="12">
      <c r="A12" s="28" t="n">
        <v>125985</v>
      </c>
      <c r="B12" s="36" t="inlineStr">
        <is>
          <t>Addressing the Water, Health and Poverty Nexus through WASH Initiatives for COVID-19 and Climate Change Responses</t>
        </is>
      </c>
      <c r="C12" s="9" t="n"/>
      <c r="D12" s="26" t="n">
        <v>999000</v>
      </c>
      <c r="E12" s="39" t="n"/>
      <c r="F12" s="39" t="n"/>
      <c r="G12" s="39" t="n"/>
      <c r="H12" s="26" t="inlineStr">
        <is>
          <t>Non-VF</t>
        </is>
      </c>
      <c r="I12" s="27" t="inlineStr">
        <is>
          <t>Agriculture and Food System</t>
        </is>
      </c>
      <c r="J12" s="13" t="inlineStr">
        <is>
          <t xml:space="preserve">Number of people who gain access to clean, affordable, and sustainable electricity for agricultural and food system activities (direct access to power machines for crop, processing, milling, grinding, de-husking, pressing, canning, sealing and packaging electricity, heating, cooling, solar water pumping for irrigation etc.) </t>
        </is>
      </c>
      <c r="K12" s="22" t="n">
        <v>0</v>
      </c>
      <c r="L12" s="22" t="n">
        <v>400</v>
      </c>
      <c r="M12" s="9" t="n"/>
      <c r="N12" s="25" t="inlineStr">
        <is>
          <t>European Union</t>
        </is>
      </c>
      <c r="O12" s="22" t="inlineStr">
        <is>
          <t>India-Brazil-South Africa</t>
        </is>
      </c>
      <c r="P12" s="11" t="inlineStr">
        <is>
          <t>Just</t>
        </is>
      </c>
      <c r="Q12" s="19" t="inlineStr">
        <is>
          <t>Accelerating just energy transition</t>
        </is>
      </c>
      <c r="R12" s="11" t="inlineStr">
        <is>
          <t>Renewable Energy</t>
        </is>
      </c>
      <c r="S12" s="22" t="n"/>
      <c r="T12" s="11" t="n"/>
      <c r="U12" s="22" t="inlineStr">
        <is>
          <t>Infrastructure</t>
        </is>
      </c>
      <c r="V12" s="20" t="inlineStr">
        <is>
          <t>Solar</t>
        </is>
      </c>
      <c r="W12" s="11" t="n"/>
      <c r="X12" s="20" t="n"/>
    </row>
    <row r="13">
      <c r="A13" s="28" t="n"/>
      <c r="B13" s="36" t="n"/>
      <c r="C13" s="9" t="n"/>
      <c r="D13" s="26" t="n"/>
      <c r="E13" s="26" t="n"/>
      <c r="F13" s="26" t="n"/>
      <c r="G13" s="26" t="n"/>
      <c r="H13" s="26" t="n"/>
      <c r="I13" s="27" t="inlineStr">
        <is>
          <t>Energy (MW added)</t>
        </is>
      </c>
      <c r="J13" s="13" t="inlineStr">
        <is>
          <t>Installed capacity in MW for access/productive-use outputs</t>
        </is>
      </c>
      <c r="K13" s="22" t="n">
        <v>0</v>
      </c>
      <c r="L13" s="40" t="n"/>
      <c r="M13" s="41" t="inlineStr">
        <is>
          <t>[AUTO-ADDED] Project reports access/productive-use beneficiary numbers but no MW value. Please add installed capacity (MW) or confirm not applicable.</t>
        </is>
      </c>
      <c r="N13" s="25" t="n"/>
      <c r="O13" s="22" t="n"/>
      <c r="P13" s="11" t="n"/>
      <c r="Q13" s="19" t="n"/>
      <c r="R13" s="11" t="n"/>
      <c r="S13" s="22" t="n"/>
      <c r="T13" s="11" t="n"/>
      <c r="U13" s="22" t="n"/>
      <c r="V13" s="20" t="n"/>
      <c r="W13" s="11" t="n"/>
      <c r="X13" s="20" t="n"/>
    </row>
    <row r="14"/>
    <row r="15"/>
    <row r="16" ht="18.75" customHeight="1"/>
    <row r="17"/>
    <row r="18"/>
    <row r="19"/>
    <row r="20">
      <c r="D20" s="30" t="n"/>
      <c r="E20" s="30" t="n"/>
      <c r="F20" s="30" t="n"/>
      <c r="G20" s="30" t="n"/>
      <c r="H20" s="30" t="n"/>
    </row>
  </sheetData>
  <dataValidations count="12">
    <dataValidation sqref="N2:N9" showDropDown="0" showInputMessage="1" showErrorMessage="1" allowBlank="1" type="list">
      <formula1>"Accelerating just energy transition, Close the gap on energy access, Scale up energy finance"</formula1>
    </dataValidation>
    <dataValidation sqref="P2:P9" showDropDown="0" showInputMessage="1" showErrorMessage="1" allowBlank="1" type="list">
      <formula1>"AMP, PUDC, Solar4Health, Action Opportunities, Italy UNDP Energy Partnership"</formula1>
    </dataValidation>
    <dataValidation sqref="Q2:Q9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:O9" showDropDown="0" showInputMessage="1" showErrorMessage="1" allowBlank="1" type="list">
      <formula1>"Electricity Access, Energy Efficiency, Clean Cooking, Renewable Energy, Overall"</formula1>
    </dataValidation>
    <dataValidation sqref="L2:L9" showDropDown="0" showInputMessage="1" showErrorMessage="1" allowBlank="1" type="list">
      <formula1>"Non-VF, VF"</formula1>
    </dataValidation>
    <dataValidation sqref="M2:M9" showDropDown="0" showInputMessage="1" showErrorMessage="1" allowBlank="1" type="list">
      <formula1>"Finance, Gender, Efficiency, Just, Health"</formula1>
    </dataValidation>
    <dataValidation sqref="T2:T9" showDropDown="0" showInputMessage="1" showErrorMessage="1" allowBlank="1" type="list">
      <formula1>"National, Regional, City, Community"</formula1>
    </dataValidation>
    <dataValidation sqref="S2:S9" showDropDown="0" showInputMessage="1" showErrorMessage="1" allowBlank="1" type="list">
      <formula1>"Solar, Wind, Bioenergy, Hydro, Geothermal, Waste, Some Sources, Other, Unknown"</formula1>
    </dataValidation>
    <dataValidation sqref="R2:R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4" sqref="A4"/>
    </sheetView>
  </sheetViews>
  <sheetFormatPr baseColWidth="8" defaultRowHeight="15"/>
  <cols>
    <col width="38.85546875" customWidth="1" min="2" max="2"/>
    <col width="20.7109375" customWidth="1" min="3" max="3"/>
    <col width="10.85546875" bestFit="1" customWidth="1" min="4" max="4"/>
    <col width="20.7109375" customWidth="1" min="5" max="5"/>
    <col width="28" bestFit="1" customWidth="1" min="6" max="6"/>
    <col width="12.7109375" customWidth="1" min="7" max="7"/>
    <col width="12.7109375" customWidth="1" style="5" min="8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</row>
    <row r="2">
      <c r="A2" t="n">
        <v>128213</v>
      </c>
      <c r="B2" t="inlineStr">
        <is>
          <t>Greening the RFM Hospital Demonstration</t>
        </is>
      </c>
      <c r="C2" s="2" t="inlineStr">
        <is>
          <t>http://open.undp.org/projects/00128213</t>
        </is>
      </c>
      <c r="D2" t="n">
        <v>1870871</v>
      </c>
      <c r="E2" s="3" t="inlineStr">
        <is>
          <t>Energy (MW added)</t>
        </is>
      </c>
      <c r="F2" s="3" t="inlineStr">
        <is>
          <t>MW installed</t>
        </is>
      </c>
      <c r="G2" s="3" t="n">
        <v>0</v>
      </c>
      <c r="H2" s="4" t="inlineStr">
        <is>
          <t>1MW</t>
        </is>
      </c>
      <c r="I2" s="3" t="n"/>
    </row>
    <row r="3">
      <c r="A3" t="n">
        <v>6432</v>
      </c>
      <c r="B3" t="inlineStr">
        <is>
          <t>National project under the AMP</t>
        </is>
      </c>
      <c r="C3" t="inlineStr">
        <is>
          <t>PIMS+</t>
        </is>
      </c>
      <c r="D3" t="n">
        <v>863242</v>
      </c>
      <c r="E3" s="3" t="inlineStr">
        <is>
          <t>Electricity Access</t>
        </is>
      </c>
      <c r="F3" s="3" t="inlineStr">
        <is>
          <t>Number of addditional people</t>
        </is>
      </c>
      <c r="G3" s="3" t="n">
        <v>0</v>
      </c>
      <c r="H3" s="4" t="n">
        <v>459</v>
      </c>
      <c r="I3" s="3" t="n"/>
    </row>
    <row r="4">
      <c r="B4" t="inlineStr">
        <is>
          <t>UNDP Moonshot: Greening the UN House</t>
        </is>
      </c>
      <c r="D4" t="n">
        <v>156514.85</v>
      </c>
      <c r="E4" t="inlineStr">
        <is>
          <t>Energy (MW added)</t>
        </is>
      </c>
      <c r="F4" t="inlineStr">
        <is>
          <t>MW installed</t>
        </is>
      </c>
      <c r="G4" t="n">
        <v>0</v>
      </c>
      <c r="H4" s="5" t="inlineStr">
        <is>
          <t>0,116</t>
        </is>
      </c>
      <c r="J4" s="7" t="n"/>
    </row>
    <row r="5">
      <c r="B5" t="inlineStr">
        <is>
          <t>UNDP Moonshot: Electric Vehicle</t>
        </is>
      </c>
      <c r="D5">
        <f>43030+4818</f>
        <v/>
      </c>
      <c r="E5" t="inlineStr">
        <is>
          <t>Other Energy Services</t>
        </is>
      </c>
      <c r="F5" t="inlineStr">
        <is>
          <t>Access to electric Vehicle</t>
        </is>
      </c>
      <c r="G5" t="n">
        <v>0</v>
      </c>
      <c r="H5" s="5" t="n">
        <v>1</v>
      </c>
      <c r="J5" s="7" t="n"/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36" customWidth="1" min="1" max="2"/>
    <col width="110" customWidth="1" min="2" max="2"/>
  </cols>
  <sheetData>
    <row r="1">
      <c r="A1" s="43" t="inlineStr">
        <is>
          <t>Beneficiary Category</t>
        </is>
      </c>
      <c r="B1" s="43" t="inlineStr">
        <is>
          <t>Indicator</t>
        </is>
      </c>
    </row>
    <row r="2" ht="45.75" customHeight="1">
      <c r="A2" s="44" t="inlineStr">
        <is>
          <t>Electricity Access</t>
        </is>
      </c>
      <c r="B2" s="44" t="inlineStr">
        <is>
          <t>Number of people, disaggregated by sex, who gain access to clean electricity (direct access to electricity, lighting, cooling, etc.).</t>
        </is>
      </c>
    </row>
    <row r="3">
      <c r="A3" s="44" t="inlineStr">
        <is>
          <t>Energy (MW added)</t>
        </is>
      </c>
      <c r="B3" s="44" t="inlineStr">
        <is>
          <t>Installed renewable or clean-energy power capacity added, in MW.</t>
        </is>
      </c>
    </row>
    <row r="4" ht="30.75" customHeight="1">
      <c r="A4" s="44" t="inlineStr">
        <is>
          <t>Energy Storage (MW)</t>
        </is>
      </c>
      <c r="B4" s="44" t="inlineStr">
        <is>
          <t>Installed energy storage power capacity added, in MW.</t>
        </is>
      </c>
    </row>
    <row r="5" ht="30.75" customHeight="1">
      <c r="A5" s="44" t="inlineStr">
        <is>
          <t>Clean Cooking</t>
        </is>
      </c>
      <c r="B5" s="44" t="inlineStr">
        <is>
          <t>Number of people who gain access to clean cooking (direct access to clean cook stoves, clean fuels, biomass, etc.).</t>
        </is>
      </c>
    </row>
    <row r="6" ht="91.5" customHeight="1">
      <c r="A6" s="44" t="inlineStr">
        <is>
          <t>Clean Heating</t>
        </is>
      </c>
      <c r="B6" s="44" t="inlineStr">
        <is>
          <t>Number of people who gain access to clean heating (direct access to clean electric heaters, clean fuels, etc.).</t>
        </is>
      </c>
    </row>
    <row r="7" ht="45.75" customHeight="1">
      <c r="A7" s="44" t="inlineStr">
        <is>
          <t>Agriculture and Food System</t>
        </is>
      </c>
      <c r="B7" s="44" t="inlineStr">
        <is>
          <t>Number of people who gain access to clean, affordable, and sustainable energy for agricultural and food-system activities.</t>
        </is>
      </c>
    </row>
    <row r="8" ht="45.75" customHeight="1">
      <c r="A8" s="44" t="inlineStr">
        <is>
          <t>Health Services</t>
        </is>
      </c>
      <c r="B8" s="44" t="inlineStr">
        <is>
          <t>Number of people who gain access to health care facilities through clean energy systems.</t>
        </is>
      </c>
    </row>
    <row r="9" ht="45.75" customHeight="1">
      <c r="A9" s="44" t="inlineStr">
        <is>
          <t>Water Services</t>
        </is>
      </c>
      <c r="B9" s="44" t="inlineStr">
        <is>
          <t>Number of people who gain access to water services through clean energy systems.</t>
        </is>
      </c>
    </row>
    <row r="10" ht="30.75" customHeight="1">
      <c r="A10" s="44" t="inlineStr">
        <is>
          <t>Education Services</t>
        </is>
      </c>
      <c r="B10" s="44" t="inlineStr">
        <is>
          <t>Number of people who gain access to education services through clean energy systems, including students and teachers.</t>
        </is>
      </c>
    </row>
    <row r="11" ht="30.75" customHeight="1">
      <c r="A11" s="44" t="inlineStr">
        <is>
          <t>Transportation and E-mobility Services</t>
        </is>
      </c>
      <c r="B11" s="44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4" t="inlineStr">
        <is>
          <t>Energy Efficiency Services</t>
        </is>
      </c>
      <c r="B12" s="44" t="inlineStr">
        <is>
          <t>Energy saved from energy-efficiency interventions, such as building or industrial efficiency.</t>
        </is>
      </c>
    </row>
    <row r="13" ht="30.75" customHeight="1">
      <c r="A13" s="44" t="inlineStr">
        <is>
          <t>Energy Infrastructure Services</t>
        </is>
      </c>
      <c r="B13" s="44" t="inlineStr">
        <is>
          <t>Number of people benefiting from energy infrastructure interventions, such as streetlights, transmission, and distribution lines.</t>
        </is>
      </c>
    </row>
    <row r="14">
      <c r="A14" s="44" t="inlineStr">
        <is>
          <t>Other Energy Services</t>
        </is>
      </c>
      <c r="B14" s="44" t="inlineStr">
        <is>
          <t>Access to other energy services not captured by the categories above.</t>
        </is>
      </c>
    </row>
    <row r="15" ht="30.75" customHeight="1">
      <c r="A15" s="44" t="inlineStr">
        <is>
          <t>Financing support</t>
        </is>
      </c>
      <c r="B15" s="44" t="inlineStr">
        <is>
          <t>Support for the development of the energy market ecosystem.</t>
        </is>
      </c>
    </row>
    <row r="16" ht="30.75" customHeight="1">
      <c r="A16" s="44" t="inlineStr">
        <is>
          <t>Medium Enterprises</t>
        </is>
      </c>
      <c r="B16" s="44" t="inlineStr">
        <is>
          <t>Support for the development of medium enterprises in the energy transition market.</t>
        </is>
      </c>
    </row>
    <row r="17" ht="30.75" customHeight="1">
      <c r="A17" s="44" t="inlineStr">
        <is>
          <t>Small Enterprises</t>
        </is>
      </c>
      <c r="B17" s="44" t="inlineStr">
        <is>
          <t>Support for the development of small enterprises in the energy transition market.</t>
        </is>
      </c>
    </row>
    <row r="18" ht="30.75" customHeight="1">
      <c r="A18" s="44" t="inlineStr">
        <is>
          <t>Capacity Building Training</t>
        </is>
      </c>
      <c r="B18" s="44" t="inlineStr">
        <is>
          <t>Number of people benefiting from training on energy business, energy finance, or related implementation capacity.</t>
        </is>
      </c>
    </row>
    <row r="19" ht="76.5" customHeight="1">
      <c r="A19" s="44" t="inlineStr">
        <is>
          <t>Entrepreneurship Training</t>
        </is>
      </c>
      <c r="B19" s="44" t="inlineStr">
        <is>
          <t>Training for enterprises on the energy business, assumed to result in direct beneficiaries.</t>
        </is>
      </c>
    </row>
    <row r="20" ht="30.75" customHeight="1">
      <c r="A20" s="44" t="inlineStr">
        <is>
          <t>Market Intervention</t>
        </is>
      </c>
      <c r="B20" s="44" t="inlineStr">
        <is>
          <t>Volume of investment leveraged or barriers removed for clean, reliable, affordable, and sustainable energy solutions.</t>
        </is>
      </c>
    </row>
    <row r="21" ht="45.75" customHeight="1">
      <c r="A21" s="44" t="inlineStr">
        <is>
          <t>Campaign Participant</t>
        </is>
      </c>
      <c r="B21" s="44" t="inlineStr">
        <is>
          <t>Individuals who participate in advocacy or awareness campaigns on energy.</t>
        </is>
      </c>
    </row>
    <row r="22" ht="30.75" customHeight="1">
      <c r="A22" s="44" t="inlineStr">
        <is>
          <t>Policy or Regulatory Framework</t>
        </is>
      </c>
      <c r="B22" s="44" t="inlineStr">
        <is>
          <t>Policies, regulations, strategies, plans, or frameworks developed, approved, implemented, or strengthened.</t>
        </is>
      </c>
    </row>
    <row r="23">
      <c r="A23" s="44" t="inlineStr">
        <is>
          <t>GHG Emissions Reduction</t>
        </is>
      </c>
      <c r="B23" s="44" t="inlineStr">
        <is>
          <t>Greenhouse gas emissions reduced or mitigated, in tCO2e.</t>
        </is>
      </c>
    </row>
    <row r="24">
      <c r="A24" s="44" t="inlineStr">
        <is>
          <t>Other</t>
        </is>
      </c>
      <c r="B24" s="4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