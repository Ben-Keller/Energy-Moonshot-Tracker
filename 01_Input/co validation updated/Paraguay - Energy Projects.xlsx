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Inherit"/>
      <charset val="1"/>
      <color rgb="FF202124"/>
      <sz val="21"/>
    </font>
    <font>
      <name val="Calibri"/>
      <family val="2"/>
      <color theme="1"/>
      <sz val="10"/>
      <scheme val="minor"/>
    </font>
    <font>
      <name val="Calibri"/>
      <family val="2"/>
      <color rgb="FFFF0000"/>
      <sz val="11"/>
      <scheme val="minor"/>
    </font>
    <font>
      <name val="Calibri"/>
      <color rgb="FFFF0000"/>
      <sz val="11"/>
      <scheme val="minor"/>
    </font>
    <font>
      <name val="Calibri"/>
      <color rgb="FF000000"/>
      <sz val="11"/>
      <scheme val="minor"/>
    </font>
    <font>
      <name val="Calibri"/>
      <b val="1"/>
      <color theme="1"/>
      <sz val="11"/>
      <scheme val="minor"/>
    </font>
    <font>
      <b val="1"/>
    </font>
  </fonts>
  <fills count="6">
    <fill>
      <patternFill/>
    </fill>
    <fill>
      <patternFill patternType="gray125"/>
    </fill>
    <fill>
      <patternFill patternType="solid">
        <fgColor rgb="FFFFE497"/>
        <bgColor indexed="64"/>
      </patternFill>
    </fill>
    <fill>
      <patternFill patternType="solid">
        <fgColor rgb="FFF8F9FA"/>
        <bgColor indexed="64"/>
      </patternFill>
    </fill>
    <fill>
      <patternFill patternType="solid">
        <fgColor rgb="FFFFFF00"/>
        <bgColor indexed="64"/>
      </patternFill>
    </fill>
    <fill>
      <patternFill patternType="solid">
        <fgColor rgb="00FFFF00"/>
      </patternFill>
    </fill>
  </fills>
  <borders count="30">
    <border>
      <left/>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style="medium">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medium">
        <color rgb="FF000000"/>
      </left>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s>
  <cellStyleXfs count="2">
    <xf numFmtId="0" fontId="0" fillId="0" borderId="0"/>
    <xf numFmtId="0" fontId="3" fillId="0" borderId="0" applyAlignment="1" applyProtection="1">
      <alignment vertical="top"/>
      <protection locked="0" hidden="0"/>
    </xf>
  </cellStyleXfs>
  <cellXfs count="89">
    <xf numFmtId="0" fontId="0" fillId="0" borderId="0" pivotButton="0" quotePrefix="0" xfId="0"/>
    <xf numFmtId="0" fontId="4" fillId="3" borderId="0" applyAlignment="1" pivotButton="0" quotePrefix="0" xfId="0">
      <alignment readingOrder="1"/>
    </xf>
    <xf numFmtId="0" fontId="4" fillId="0" borderId="0" pivotButton="0" quotePrefix="0" xfId="0"/>
    <xf numFmtId="0" fontId="5" fillId="2" borderId="2" applyAlignment="1" pivotButton="0" quotePrefix="0" xfId="0">
      <alignment horizontal="center" vertical="center"/>
    </xf>
    <xf numFmtId="0" fontId="5" fillId="2" borderId="4" applyAlignment="1" pivotButton="0" quotePrefix="0" xfId="0">
      <alignment wrapText="1"/>
    </xf>
    <xf numFmtId="0" fontId="5" fillId="2" borderId="4" applyAlignment="1" pivotButton="0" quotePrefix="0" xfId="0">
      <alignment horizontal="center" vertical="center"/>
    </xf>
    <xf numFmtId="0" fontId="0" fillId="0" borderId="9" pivotButton="0" quotePrefix="0" xfId="0"/>
    <xf numFmtId="0" fontId="3" fillId="0" borderId="9" pivotButton="0" quotePrefix="0" xfId="1"/>
    <xf numFmtId="0" fontId="0" fillId="2" borderId="9" pivotButton="0" quotePrefix="0" xfId="0"/>
    <xf numFmtId="0" fontId="0" fillId="2" borderId="4" applyAlignment="1" pivotButton="0" quotePrefix="0" xfId="0">
      <alignment vertical="center"/>
    </xf>
    <xf numFmtId="0" fontId="0" fillId="2" borderId="2" applyAlignment="1" pivotButton="0" quotePrefix="0" xfId="0">
      <alignment vertical="center"/>
    </xf>
    <xf numFmtId="0" fontId="5" fillId="2" borderId="2" applyAlignment="1" pivotButton="0" quotePrefix="0" xfId="0">
      <alignment vertical="center" wrapText="1"/>
    </xf>
    <xf numFmtId="0" fontId="5" fillId="2" borderId="2" applyAlignment="1" pivotButton="0" quotePrefix="0" xfId="0">
      <alignment horizontal="left" vertical="center" wrapText="1"/>
    </xf>
    <xf numFmtId="0" fontId="5" fillId="2" borderId="4" applyAlignment="1" pivotButton="0" quotePrefix="0" xfId="0">
      <alignment horizontal="left" vertical="center" wrapText="1"/>
    </xf>
    <xf numFmtId="0" fontId="0" fillId="0" borderId="10" pivotButton="0" quotePrefix="0" xfId="0"/>
    <xf numFmtId="0" fontId="2" fillId="0" borderId="5" applyAlignment="1" pivotButton="0" quotePrefix="0" xfId="0">
      <alignment horizontal="center" vertical="top"/>
    </xf>
    <xf numFmtId="0" fontId="2" fillId="0" borderId="6" applyAlignment="1" pivotButton="0" quotePrefix="0" xfId="0">
      <alignment horizontal="center" vertical="top"/>
    </xf>
    <xf numFmtId="0" fontId="2" fillId="0" borderId="7" pivotButton="0" quotePrefix="0" xfId="0"/>
    <xf numFmtId="0" fontId="0" fillId="0" borderId="8" applyAlignment="1" pivotButton="0" quotePrefix="0" xfId="0">
      <alignment horizontal="center" vertical="center"/>
    </xf>
    <xf numFmtId="4" fontId="0" fillId="0" borderId="9" applyAlignment="1" pivotButton="0" quotePrefix="0" xfId="0">
      <alignment horizontal="center" vertical="center"/>
    </xf>
    <xf numFmtId="0" fontId="0" fillId="2" borderId="9" applyAlignment="1" pivotButton="0" quotePrefix="0" xfId="0">
      <alignment horizontal="center"/>
    </xf>
    <xf numFmtId="0" fontId="5" fillId="2" borderId="9" pivotButton="0" quotePrefix="0" xfId="0"/>
    <xf numFmtId="0" fontId="2" fillId="0" borderId="0" pivotButton="0" quotePrefix="0" xfId="0"/>
    <xf numFmtId="0" fontId="6" fillId="4" borderId="0" applyAlignment="1" pivotButton="0" quotePrefix="0" xfId="0">
      <alignment vertical="top" wrapText="1"/>
    </xf>
    <xf numFmtId="0" fontId="0" fillId="0" borderId="0" applyAlignment="1" pivotButton="0" quotePrefix="0" xfId="0">
      <alignment horizontal="left" vertical="center" wrapText="1"/>
    </xf>
    <xf numFmtId="0" fontId="0" fillId="0" borderId="19" applyAlignment="1" pivotButton="0" quotePrefix="0" xfId="0">
      <alignment horizontal="center" vertical="center"/>
    </xf>
    <xf numFmtId="0" fontId="0" fillId="0" borderId="19" pivotButton="0" quotePrefix="0" xfId="0"/>
    <xf numFmtId="0" fontId="3" fillId="0" borderId="19" pivotButton="0" quotePrefix="0" xfId="1"/>
    <xf numFmtId="4" fontId="0" fillId="0" borderId="19" applyAlignment="1" pivotButton="0" quotePrefix="0" xfId="0">
      <alignment horizontal="center" vertical="center"/>
    </xf>
    <xf numFmtId="0" fontId="0" fillId="2" borderId="19" pivotButton="0" quotePrefix="0" xfId="0"/>
    <xf numFmtId="0" fontId="5" fillId="2" borderId="19" pivotButton="0" quotePrefix="0" xfId="0"/>
    <xf numFmtId="0" fontId="0" fillId="2" borderId="19" applyAlignment="1" pivotButton="0" quotePrefix="0" xfId="0">
      <alignment horizontal="center"/>
    </xf>
    <xf numFmtId="0" fontId="0" fillId="0" borderId="19" applyAlignment="1" pivotButton="0" quotePrefix="0" xfId="0">
      <alignment horizontal="left" vertical="center"/>
    </xf>
    <xf numFmtId="0" fontId="0" fillId="2" borderId="19" applyAlignment="1" pivotButton="0" quotePrefix="0" xfId="0">
      <alignment vertical="center"/>
    </xf>
    <xf numFmtId="0" fontId="5" fillId="2" borderId="19" applyAlignment="1" pivotButton="0" quotePrefix="0" xfId="0">
      <alignment wrapText="1"/>
    </xf>
    <xf numFmtId="0" fontId="5" fillId="2" borderId="19" applyAlignment="1" pivotButton="0" quotePrefix="0" xfId="0">
      <alignment horizontal="center" vertical="center"/>
    </xf>
    <xf numFmtId="0" fontId="5" fillId="2" borderId="19" applyAlignment="1" pivotButton="0" quotePrefix="0" xfId="0">
      <alignment horizontal="left" vertical="center" wrapText="1"/>
    </xf>
    <xf numFmtId="0" fontId="5" fillId="0" borderId="19" applyAlignment="1" pivotButton="0" quotePrefix="0" xfId="0">
      <alignment horizontal="left" vertical="top" wrapText="1"/>
    </xf>
    <xf numFmtId="0" fontId="7" fillId="4" borderId="19" applyAlignment="1" pivotButton="0" quotePrefix="0" xfId="0">
      <alignment vertical="top" wrapText="1"/>
    </xf>
    <xf numFmtId="0" fontId="0" fillId="0" borderId="19" applyAlignment="1" pivotButton="0" quotePrefix="0" xfId="0">
      <alignment horizontal="left" vertical="center" wrapText="1"/>
    </xf>
    <xf numFmtId="0" fontId="5" fillId="2" borderId="19" applyAlignment="1" pivotButton="0" quotePrefix="0" xfId="0">
      <alignment vertical="center" wrapText="1"/>
    </xf>
    <xf numFmtId="0" fontId="2" fillId="0" borderId="20" applyAlignment="1" pivotButton="0" quotePrefix="0" xfId="0">
      <alignment horizontal="center" vertical="top"/>
    </xf>
    <xf numFmtId="0" fontId="2" fillId="0" borderId="21" applyAlignment="1" pivotButton="0" quotePrefix="0" xfId="0">
      <alignment horizontal="center" vertical="top"/>
    </xf>
    <xf numFmtId="0" fontId="2" fillId="0" borderId="11" pivotButton="0" quotePrefix="0" xfId="0"/>
    <xf numFmtId="0" fontId="2" fillId="0" borderId="22" applyAlignment="1" pivotButton="0" quotePrefix="0" xfId="0">
      <alignment vertical="center" wrapText="1"/>
    </xf>
    <xf numFmtId="0" fontId="0" fillId="0" borderId="23" pivotButton="0" quotePrefix="0" xfId="0"/>
    <xf numFmtId="0" fontId="0" fillId="0" borderId="4" applyAlignment="1" pivotButton="0" quotePrefix="0" xfId="0">
      <alignment horizontal="center" vertical="center"/>
    </xf>
    <xf numFmtId="0" fontId="2" fillId="0" borderId="19" applyAlignment="1" pivotButton="0" quotePrefix="0" xfId="0">
      <alignment vertical="center" wrapText="1"/>
    </xf>
    <xf numFmtId="0" fontId="2" fillId="0" borderId="19" applyAlignment="1" pivotButton="0" quotePrefix="0" xfId="0">
      <alignment horizontal="center"/>
    </xf>
    <xf numFmtId="0" fontId="0" fillId="0" borderId="19" applyAlignment="1" pivotButton="0" quotePrefix="0" xfId="0">
      <alignment vertical="center" wrapText="1"/>
    </xf>
    <xf numFmtId="0" fontId="9" fillId="0" borderId="19" applyAlignment="1" pivotButton="0" quotePrefix="0" xfId="0">
      <alignment horizontal="center" vertical="top" wrapText="1"/>
    </xf>
    <xf numFmtId="0" fontId="8" fillId="0" borderId="19" applyAlignment="1" pivotButton="0" quotePrefix="0" xfId="0">
      <alignment wrapText="1"/>
    </xf>
    <xf numFmtId="0" fontId="2" fillId="0" borderId="22" applyAlignment="1" pivotButton="0" quotePrefix="0" xfId="0">
      <alignment horizontal="center"/>
    </xf>
    <xf numFmtId="0" fontId="2" fillId="0" borderId="12" applyAlignment="1" pivotButton="0" quotePrefix="0" xfId="0">
      <alignment horizontal="center"/>
    </xf>
    <xf numFmtId="0" fontId="2" fillId="0" borderId="22" pivotButton="0" quotePrefix="0" xfId="0"/>
    <xf numFmtId="0" fontId="0" fillId="0" borderId="24" applyAlignment="1" pivotButton="0" quotePrefix="0" xfId="0">
      <alignment horizontal="center" vertical="center"/>
    </xf>
    <xf numFmtId="0" fontId="0" fillId="0" borderId="23" applyAlignment="1" pivotButton="0" quotePrefix="0" xfId="0">
      <alignment horizontal="center" vertical="center" wrapText="1"/>
    </xf>
    <xf numFmtId="0" fontId="0" fillId="0" borderId="19" applyAlignment="1" pivotButton="0" quotePrefix="0" xfId="0">
      <alignment vertical="center"/>
    </xf>
    <xf numFmtId="0" fontId="0" fillId="0" borderId="18" applyAlignment="1" pivotButton="0" quotePrefix="0" xfId="0">
      <alignment horizontal="left" vertical="center" wrapText="1"/>
    </xf>
    <xf numFmtId="0" fontId="0" fillId="0" borderId="0" applyAlignment="1" pivotButton="0" quotePrefix="0" xfId="0">
      <alignment horizontal="left" vertical="center" wrapText="1"/>
    </xf>
    <xf numFmtId="0" fontId="5" fillId="0" borderId="12" applyAlignment="1" pivotButton="0" quotePrefix="0" xfId="0">
      <alignment horizontal="left" vertical="top" wrapText="1"/>
    </xf>
    <xf numFmtId="0" fontId="5" fillId="0" borderId="13" applyAlignment="1" pivotButton="0" quotePrefix="0" xfId="0">
      <alignment horizontal="left" vertical="top" wrapText="1"/>
    </xf>
    <xf numFmtId="0" fontId="5" fillId="0" borderId="14" applyAlignment="1" pivotButton="0" quotePrefix="0" xfId="0">
      <alignment horizontal="left" vertical="top" wrapText="1"/>
    </xf>
    <xf numFmtId="0" fontId="5" fillId="0" borderId="15" applyAlignment="1" pivotButton="0" quotePrefix="0" xfId="0">
      <alignment horizontal="left" vertical="top" wrapText="1"/>
    </xf>
    <xf numFmtId="0" fontId="5" fillId="0" borderId="16" applyAlignment="1" pivotButton="0" quotePrefix="0" xfId="0">
      <alignment horizontal="left" vertical="top" wrapText="1"/>
    </xf>
    <xf numFmtId="0" fontId="5" fillId="0" borderId="17" applyAlignment="1" pivotButton="0" quotePrefix="0" xfId="0">
      <alignment horizontal="left" vertical="top" wrapText="1"/>
    </xf>
    <xf numFmtId="0" fontId="0" fillId="0" borderId="3" applyAlignment="1" pivotButton="0" quotePrefix="0" xfId="0">
      <alignment horizontal="center" vertical="center"/>
    </xf>
    <xf numFmtId="0" fontId="0" fillId="0" borderId="1" applyAlignment="1" pivotButton="0" quotePrefix="0" xfId="0">
      <alignment horizontal="center" vertical="center"/>
    </xf>
    <xf numFmtId="0" fontId="0" fillId="0" borderId="4" applyAlignment="1" pivotButton="0" quotePrefix="0" xfId="0">
      <alignment horizontal="left" vertical="center"/>
    </xf>
    <xf numFmtId="0" fontId="0" fillId="0" borderId="2" applyAlignment="1" pivotButton="0" quotePrefix="0" xfId="0">
      <alignment horizontal="left" vertical="center"/>
    </xf>
    <xf numFmtId="4" fontId="0" fillId="0" borderId="4" applyAlignment="1" pivotButton="0" quotePrefix="0" xfId="0">
      <alignment horizontal="center" vertical="center"/>
    </xf>
    <xf numFmtId="4" fontId="0" fillId="0" borderId="2" applyAlignment="1" pivotButton="0" quotePrefix="0" xfId="0">
      <alignment horizontal="center" vertical="center"/>
    </xf>
    <xf numFmtId="0" fontId="0" fillId="0" borderId="11" applyAlignment="1" pivotButton="0" quotePrefix="0" xfId="0">
      <alignment horizontal="center" vertical="center"/>
    </xf>
    <xf numFmtId="0" fontId="0" fillId="0" borderId="10"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wrapText="1"/>
    </xf>
    <xf numFmtId="0" fontId="1" fillId="0" borderId="19" applyAlignment="1" pivotButton="0" quotePrefix="0" xfId="0">
      <alignment vertical="center" wrapText="1"/>
    </xf>
    <xf numFmtId="4" fontId="0" fillId="5" borderId="19" applyAlignment="1" pivotButton="0" quotePrefix="0" xfId="0">
      <alignment horizontal="center" vertical="center"/>
    </xf>
    <xf numFmtId="0" fontId="0" fillId="0" borderId="7" applyAlignment="1" pivotButton="0" quotePrefix="0" xfId="0">
      <alignment horizontal="center" vertical="center"/>
    </xf>
    <xf numFmtId="0" fontId="0" fillId="0" borderId="13" pivotButton="0" quotePrefix="0" xfId="0"/>
    <xf numFmtId="0" fontId="0" fillId="0" borderId="14" pivotButton="0" quotePrefix="0" xfId="0"/>
    <xf numFmtId="0" fontId="0" fillId="0" borderId="3" pivotButton="0" quotePrefix="0" xfId="0"/>
    <xf numFmtId="0" fontId="0" fillId="0" borderId="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10"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25245" TargetMode="External" Id="rId1"/></Relationships>
</file>

<file path=xl/worksheets/_rels/sheet2.xml.rels><Relationships xmlns="http://schemas.openxmlformats.org/package/2006/relationships"><Relationship Type="http://schemas.openxmlformats.org/officeDocument/2006/relationships/hyperlink" Target="http://open.undp.org/projects/00125245" TargetMode="External" Id="rId1"/></Relationships>
</file>

<file path=xl/worksheets/_rels/sheet3.xml.rels><Relationships xmlns="http://schemas.openxmlformats.org/package/2006/relationships"><Relationship Type="http://schemas.openxmlformats.org/officeDocument/2006/relationships/hyperlink" Target="http://open.undp.org/projects/00125245" TargetMode="External" Id="rId1"/></Relationships>
</file>

<file path=xl/worksheets/sheet1.xml><?xml version="1.0" encoding="utf-8"?>
<worksheet xmlns="http://schemas.openxmlformats.org/spreadsheetml/2006/main">
  <sheetPr>
    <outlinePr summaryBelow="1" summaryRight="1"/>
    <pageSetUpPr/>
  </sheetPr>
  <dimension ref="A1:Y12"/>
  <sheetViews>
    <sheetView topLeftCell="K1" workbookViewId="0">
      <selection activeCell="R7" sqref="R7"/>
    </sheetView>
  </sheetViews>
  <sheetFormatPr baseColWidth="8" defaultRowHeight="15"/>
  <cols>
    <col width="34" customWidth="1" min="2" max="2"/>
    <col width="36.140625" customWidth="1" min="3" max="3"/>
    <col width="12.5703125" bestFit="1" customWidth="1" min="4" max="4"/>
    <col width="12.5703125" bestFit="1" customWidth="1" min="5" max="5"/>
    <col width="12.5703125" customWidth="1" min="6" max="6"/>
    <col width="12.5703125" customWidth="1" min="7" max="8"/>
    <col width="12.5703125" customWidth="1" min="8" max="8"/>
    <col width="53.5703125" customWidth="1" min="9" max="9"/>
    <col width="10.85546875" customWidth="1" min="10" max="10"/>
    <col width="27" customWidth="1" min="11" max="11"/>
    <col width="12.85546875" bestFit="1" customWidth="1" min="12" max="12"/>
    <col width="11.140625" customWidth="1" min="13" max="13"/>
    <col width="14.42578125" bestFit="1" customWidth="1" min="14" max="14"/>
    <col width="14.85546875" bestFit="1"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41" t="inlineStr">
        <is>
          <t>Project ID</t>
        </is>
      </c>
      <c r="B1" s="42" t="inlineStr">
        <is>
          <t>Title</t>
        </is>
      </c>
      <c r="C1" s="42" t="inlineStr">
        <is>
          <t>Link</t>
        </is>
      </c>
      <c r="D1" s="42" t="inlineStr">
        <is>
          <t>Budget</t>
        </is>
      </c>
      <c r="E1" s="42" t="inlineStr">
        <is>
          <t>Start Year</t>
        </is>
      </c>
      <c r="F1" s="42" t="inlineStr">
        <is>
          <t>End Year</t>
        </is>
      </c>
      <c r="G1" s="42" t="inlineStr">
        <is>
          <t>Status</t>
        </is>
      </c>
      <c r="H1" s="42" t="inlineStr">
        <is>
          <t>VF or Non-VF</t>
        </is>
      </c>
      <c r="I1" s="42" t="inlineStr">
        <is>
          <t>Beneficiary Category</t>
        </is>
      </c>
      <c r="J1" s="42" t="inlineStr">
        <is>
          <t>Indicator</t>
        </is>
      </c>
      <c r="K1" s="42" t="inlineStr">
        <is>
          <t>Baseline</t>
        </is>
      </c>
      <c r="L1" s="42" t="inlineStr">
        <is>
          <t>Target</t>
        </is>
      </c>
      <c r="M1" s="42" t="inlineStr">
        <is>
          <t>Notes</t>
        </is>
      </c>
      <c r="N1" s="43" t="inlineStr">
        <is>
          <t>Donors</t>
        </is>
      </c>
      <c r="O1" s="44" t="inlineStr">
        <is>
          <t>Gender (% female)</t>
        </is>
      </c>
      <c r="P1" s="52" t="inlineStr">
        <is>
          <t>Tag</t>
        </is>
      </c>
      <c r="Q1" s="48" t="inlineStr">
        <is>
          <t>SEH Taxonomy</t>
        </is>
      </c>
      <c r="R1" s="48" t="inlineStr">
        <is>
          <t>RISE Taxonomy</t>
        </is>
      </c>
      <c r="S1" s="52" t="inlineStr">
        <is>
          <t>Flagship</t>
        </is>
      </c>
      <c r="T1" s="52" t="inlineStr">
        <is>
          <t>Indirect Category</t>
        </is>
      </c>
      <c r="U1" s="53" t="inlineStr">
        <is>
          <t>Indirect Taxonomy</t>
        </is>
      </c>
      <c r="V1" s="54" t="inlineStr">
        <is>
          <t>Technology</t>
        </is>
      </c>
      <c r="W1" s="53" t="inlineStr">
        <is>
          <t>Policy or Regulatory Framework</t>
        </is>
      </c>
      <c r="X1" s="54" t="inlineStr">
        <is>
          <t>Policy Population</t>
        </is>
      </c>
    </row>
    <row r="2">
      <c r="A2" s="25" t="n">
        <v>125245</v>
      </c>
      <c r="B2" s="45" t="inlineStr">
        <is>
          <t>Energía y Desarrollo Humano</t>
        </is>
      </c>
      <c r="C2" s="27" t="inlineStr">
        <is>
          <t>http://open.undp.org/projects/00125245</t>
        </is>
      </c>
      <c r="D2" s="28" t="n">
        <v>67499</v>
      </c>
      <c r="E2" s="77" t="n"/>
      <c r="F2" s="77" t="n"/>
      <c r="G2" s="77" t="n"/>
      <c r="H2" s="28" t="inlineStr">
        <is>
          <t>Non-VF</t>
        </is>
      </c>
      <c r="I2" s="29" t="inlineStr">
        <is>
          <t>Policy or Regulatory Framework</t>
        </is>
      </c>
      <c r="J2" s="30" t="inlineStr">
        <is>
          <t>Number of documents/tools produced</t>
        </is>
      </c>
      <c r="K2" s="31" t="n">
        <v>0</v>
      </c>
      <c r="L2" s="31" t="n">
        <v>2</v>
      </c>
      <c r="M2" s="29" t="n"/>
      <c r="N2" s="26" t="inlineStr">
        <is>
          <t>Trac Funds</t>
        </is>
      </c>
      <c r="O2" s="26" t="n"/>
      <c r="P2" s="25" t="n"/>
      <c r="Q2" s="56" t="n"/>
      <c r="R2" s="25" t="n"/>
      <c r="S2" s="25" t="n"/>
      <c r="T2" s="25" t="n"/>
      <c r="U2" s="25" t="n"/>
      <c r="V2" s="57" t="n"/>
      <c r="W2" s="25" t="inlineStr">
        <is>
          <t>National</t>
        </is>
      </c>
      <c r="X2" s="57" t="n"/>
    </row>
    <row r="3" ht="192.75" customHeight="1">
      <c r="A3" s="46" t="n">
        <v>5188</v>
      </c>
      <c r="B3" s="32" t="inlineStr">
        <is>
          <t>Asunción Green City</t>
        </is>
      </c>
      <c r="C3" s="32" t="inlineStr">
        <is>
          <t>PIMS+</t>
        </is>
      </c>
      <c r="D3" s="28" t="n">
        <v>7493120</v>
      </c>
      <c r="E3" s="77" t="n"/>
      <c r="F3" s="77" t="n"/>
      <c r="G3" s="77" t="n"/>
      <c r="H3" s="28" t="inlineStr">
        <is>
          <t>VF</t>
        </is>
      </c>
      <c r="I3" s="33" t="n"/>
      <c r="J3" s="34" t="inlineStr">
        <is>
          <t>Number of urban passengers that use the low-carbon BRT system considering gender equality, use of time and improvement of security</t>
        </is>
      </c>
      <c r="K3" s="35" t="n">
        <v>0</v>
      </c>
      <c r="L3" s="35" t="n"/>
      <c r="M3" s="36" t="inlineStr">
        <is>
          <t>The BRT was cancelled in 2020 therefore this indicator could not be addressed. 
The 240000 people were related to the BRT that was planned. This indicator cannot be used as it is, as I mentioned previously, related to the BRT which was was cancelled.
However, if talking about beneficiaries of alternative modes of transport, we carried out a Mobility Survey which showed that 29% of the population in the AMA owns a bicycle and that are willing to use the bicycle if infrastructure is provided. With the construction of the lanes with the project, people are more likely to use the bicycle.</t>
        </is>
      </c>
      <c r="N3" s="25" t="inlineStr">
        <is>
          <t>GEF</t>
        </is>
      </c>
      <c r="O3" s="26" t="n"/>
      <c r="P3" s="25" t="n"/>
      <c r="Q3" s="56" t="n"/>
      <c r="R3" s="25" t="n"/>
      <c r="S3" s="25" t="n"/>
      <c r="T3" s="25" t="n"/>
      <c r="U3" s="25" t="n"/>
      <c r="V3" s="57" t="n"/>
      <c r="W3" s="25" t="n"/>
      <c r="X3" s="57" t="n"/>
      <c r="Y3" s="59" t="n"/>
    </row>
    <row r="4" ht="124.5" customHeight="1">
      <c r="A4" s="25" t="n"/>
      <c r="B4" s="32" t="n"/>
      <c r="C4" s="32" t="n"/>
      <c r="D4" s="28" t="n"/>
      <c r="E4" s="28" t="n"/>
      <c r="F4" s="28" t="n"/>
      <c r="G4" s="28" t="n"/>
      <c r="H4" s="28" t="n"/>
      <c r="I4" s="33" t="n"/>
      <c r="J4" s="40" t="inlineStr">
        <is>
          <t>Kilometres of bicycle lanes constructed and maintaine</t>
        </is>
      </c>
      <c r="K4" s="35" t="n">
        <v>1</v>
      </c>
      <c r="L4" s="35" t="n">
        <v>100</v>
      </c>
      <c r="M4" s="36" t="inlineStr">
        <is>
          <t xml:space="preserve">This indicator is measured in km (By 2018 the baseline was 58km in the metropolitan area of Asuncion). To date, a total of 20km of bicycle lanes have been constructed by the project and 11 more will be constructed by July 2023. Beneficiaries consist of approximately 2,500,000 residents of the metropolitan area of Asuncion having access to cycling infrastructure and also capacity building. </t>
        </is>
      </c>
      <c r="N4" s="25" t="n"/>
      <c r="O4" s="26" t="n"/>
      <c r="P4" s="25" t="n"/>
      <c r="Q4" s="56" t="n"/>
      <c r="R4" s="25" t="n"/>
      <c r="S4" s="25" t="n"/>
      <c r="T4" s="25" t="n"/>
      <c r="U4" s="25" t="n"/>
      <c r="V4" s="57" t="n"/>
      <c r="W4" s="25" t="n"/>
      <c r="X4" s="57" t="n"/>
      <c r="Y4" s="59" t="n"/>
    </row>
    <row r="5"/>
    <row r="6"/>
    <row r="7" ht="26.25" customHeight="1">
      <c r="J7" s="1" t="n"/>
    </row>
    <row r="8" ht="26.25" customHeight="1">
      <c r="J8" s="2" t="n"/>
    </row>
    <row r="9" ht="26.25" customHeight="1">
      <c r="J9" s="2" t="n"/>
    </row>
    <row r="10" ht="26.25" customHeight="1">
      <c r="J10" s="2" t="n"/>
    </row>
    <row r="11" ht="26.25" customHeight="1">
      <c r="J11" s="2" t="n"/>
    </row>
    <row r="12" ht="26.25" customHeight="1">
      <c r="J12" s="2" t="n"/>
    </row>
  </sheetData>
  <dataValidations count="12">
    <dataValidation sqref="Q2:Q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4" showDropDown="0" showInputMessage="1" showErrorMessage="1" allowBlank="1" type="list">
      <formula1>"Accelerating just energy transition, Close the gap on energy access, Scale up energy finance"</formula1>
    </dataValidation>
    <dataValidation sqref="O2:O4" showDropDown="0" showInputMessage="1" showErrorMessage="1" allowBlank="1" type="list">
      <formula1>"Electricity Access, Energy Efficiency, Clean Cooking, Renewable Energy, Overall"</formula1>
    </dataValidation>
    <dataValidation sqref="M2:M4" showDropDown="0" showInputMessage="1" showErrorMessage="1" allowBlank="1" type="list">
      <formula1>"Finance, Gender, Efficiency, Just, Health"</formula1>
    </dataValidation>
    <dataValidation sqref="T2:T4" showDropDown="0" showInputMessage="1" showErrorMessage="1" allowBlank="1" type="list">
      <formula1>"National, Regional, City, Community"</formula1>
    </dataValidation>
    <dataValidation sqref="P2:P4" showDropDown="0" showInputMessage="1" showErrorMessage="1" allowBlank="1" type="list">
      <formula1>"AMP, PUDC, Solar4Health, Action Opportunities, Italy UNDP Energy Partnership"</formula1>
    </dataValidation>
    <dataValidation sqref="L2:L4" showDropDown="0" showInputMessage="1" showErrorMessage="1" allowBlank="1" type="list">
      <formula1>"Non-VF, VF"</formula1>
    </dataValidation>
    <dataValidation sqref="R2:R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4"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12"/>
  <sheetViews>
    <sheetView topLeftCell="B3" workbookViewId="0">
      <selection activeCell="K3" sqref="K3"/>
    </sheetView>
  </sheetViews>
  <sheetFormatPr baseColWidth="8" defaultRowHeight="15"/>
  <cols>
    <col width="34" customWidth="1" min="2" max="2"/>
    <col width="36.140625" customWidth="1" min="3" max="3"/>
    <col width="12.5703125" bestFit="1" customWidth="1" min="4" max="4"/>
    <col width="20.7109375" customWidth="1" min="5" max="5"/>
    <col width="40" customWidth="1" min="6" max="6"/>
    <col width="12.7109375" customWidth="1" min="7" max="8"/>
    <col width="53.5703125" customWidth="1" min="9" max="9"/>
    <col width="10.85546875" customWidth="1" min="10" max="10"/>
    <col width="27" customWidth="1" min="11" max="11"/>
    <col width="42.5703125" customWidth="1" min="13" max="13"/>
  </cols>
  <sheetData>
    <row r="1" ht="45.75" customHeight="1">
      <c r="A1" s="41" t="inlineStr">
        <is>
          <t>Project ID</t>
        </is>
      </c>
      <c r="B1" s="42" t="inlineStr">
        <is>
          <t>Title</t>
        </is>
      </c>
      <c r="C1" s="42" t="inlineStr">
        <is>
          <t>Link</t>
        </is>
      </c>
      <c r="D1" s="42" t="inlineStr">
        <is>
          <t>Budget</t>
        </is>
      </c>
      <c r="E1" s="42" t="inlineStr">
        <is>
          <t>Beneficiary Category</t>
        </is>
      </c>
      <c r="F1" s="42" t="inlineStr">
        <is>
          <t>Indicator</t>
        </is>
      </c>
      <c r="G1" s="42" t="inlineStr">
        <is>
          <t>Baseline</t>
        </is>
      </c>
      <c r="H1" s="42" t="inlineStr">
        <is>
          <t>Target</t>
        </is>
      </c>
      <c r="I1" s="42" t="inlineStr">
        <is>
          <t>Notes</t>
        </is>
      </c>
      <c r="J1" s="43" t="inlineStr">
        <is>
          <t>Donors</t>
        </is>
      </c>
      <c r="K1" s="44" t="inlineStr">
        <is>
          <t>Gender (% female)</t>
        </is>
      </c>
      <c r="L1" s="44" t="inlineStr">
        <is>
          <t>Category</t>
        </is>
      </c>
      <c r="M1" s="44" t="inlineStr">
        <is>
          <t>Comment</t>
        </is>
      </c>
      <c r="N1" s="44" t="inlineStr">
        <is>
          <t>Tag</t>
        </is>
      </c>
      <c r="O1" s="44" t="inlineStr">
        <is>
          <t>SEH Taxonomy</t>
        </is>
      </c>
      <c r="P1" s="47" t="inlineStr">
        <is>
          <t>RISE Taxonomy</t>
        </is>
      </c>
      <c r="Q1" s="48" t="inlineStr">
        <is>
          <t>Impact Tier</t>
        </is>
      </c>
      <c r="R1" s="44" t="inlineStr">
        <is>
          <t>Flagship</t>
        </is>
      </c>
      <c r="S1" s="44" t="inlineStr">
        <is>
          <t>Indirect Category</t>
        </is>
      </c>
      <c r="T1" s="44" t="inlineStr">
        <is>
          <t>Indirect Taxonomy</t>
        </is>
      </c>
    </row>
    <row r="2" ht="30.75" customHeight="1">
      <c r="A2" s="25" t="n">
        <v>125245</v>
      </c>
      <c r="B2" s="45" t="inlineStr">
        <is>
          <t>Energía y Desarrollo Humano</t>
        </is>
      </c>
      <c r="C2" s="27" t="inlineStr">
        <is>
          <t>http://open.undp.org/projects/00125245</t>
        </is>
      </c>
      <c r="D2" s="28" t="n">
        <v>67499</v>
      </c>
      <c r="E2" s="29" t="inlineStr">
        <is>
          <t>Policy or Regulatory Framework</t>
        </is>
      </c>
      <c r="F2" s="30" t="inlineStr">
        <is>
          <t>Number of documents/tools produced</t>
        </is>
      </c>
      <c r="G2" s="31" t="n">
        <v>0</v>
      </c>
      <c r="H2" s="31" t="n">
        <v>2</v>
      </c>
      <c r="I2" s="29" t="n"/>
      <c r="J2" s="26" t="inlineStr">
        <is>
          <t>Trac Funds</t>
        </is>
      </c>
      <c r="K2" s="26" t="n"/>
      <c r="L2" s="26" t="n"/>
      <c r="M2" s="26" t="n"/>
      <c r="N2" s="26" t="n"/>
      <c r="O2" s="26" t="n"/>
      <c r="P2" s="49" t="inlineStr">
        <is>
          <t>Renewable Energy</t>
        </is>
      </c>
      <c r="Q2" s="25" t="inlineStr">
        <is>
          <t>Tier 3</t>
        </is>
      </c>
      <c r="R2" s="26" t="n"/>
      <c r="S2" s="26" t="n"/>
      <c r="T2" s="26" t="n"/>
    </row>
    <row r="3" ht="192.75" customHeight="1">
      <c r="A3" s="46" t="n">
        <v>5188</v>
      </c>
      <c r="B3" s="32" t="inlineStr">
        <is>
          <t>Asunción Green City</t>
        </is>
      </c>
      <c r="C3" s="32" t="inlineStr">
        <is>
          <t>PIMS+</t>
        </is>
      </c>
      <c r="D3" s="28" t="n">
        <v>7493120</v>
      </c>
      <c r="E3" s="33" t="n"/>
      <c r="F3" s="34" t="inlineStr">
        <is>
          <t>Number of urban passengers that use the low-carbon BRT system considering gender equality, use of time and improvement of security</t>
        </is>
      </c>
      <c r="G3" s="35" t="n">
        <v>0</v>
      </c>
      <c r="H3" s="35" t="n"/>
      <c r="I3" s="36" t="inlineStr">
        <is>
          <t>The BRT was cancelled in 2020 therefore this indicator could not be addressed. 
The 240000 people were related to the BRT that was planned. This indicator cannot be used as it is, as I mentioned previously, related to the BRT which was was cancelled.
However, if talking about beneficiaries of alternative modes of transport, we carried out a Mobility Survey which showed that 29% of the population in the AMA owns a bicycle and that are willing to use the bicycle if infrastructure is provided. With the construction of the lanes with the project, people are more likely to use the bicycle.</t>
        </is>
      </c>
      <c r="J3" s="25" t="inlineStr">
        <is>
          <t>GEF</t>
        </is>
      </c>
      <c r="K3" s="26" t="n"/>
      <c r="L3" s="37" t="n"/>
      <c r="M3" s="38" t="inlineStr">
        <is>
          <t>Can you please clarify if we can use the 240.000 as number of beneficiaries ? If not what what are the new estimates and activities? 
We wonder that if the BRT was cancelled, how you implent the rest of the budget ? 
There was no budget of the project Asuncion Green City destined to the BRT project itself, the latter was a separate project financed by the IADB but there were some indicators related to it introduced to the logic frame of the Asuncion Green City Project. The Asuncion Green City project budget related to the component 2 of mobility (in which this indicator is included), has been almost fully executed with only a % remaining related to the ongoing construction of bicycle lanes. Furthermore, from the project Asuncion Green City a new USD 20 million project has been approved by the NAMA Facility to replace 300 ICE buses for Electric Buses in a 5-year project.</t>
        </is>
      </c>
      <c r="N3" s="37" t="n"/>
      <c r="O3" s="37" t="n"/>
      <c r="P3" s="37" t="n"/>
      <c r="Q3" s="37" t="n"/>
      <c r="R3" s="39" t="n"/>
      <c r="S3" s="39" t="n"/>
      <c r="T3" s="39" t="n"/>
      <c r="U3" s="59" t="n"/>
      <c r="V3" s="59" t="n"/>
    </row>
    <row r="4" ht="124.5" customHeight="1">
      <c r="A4" s="25" t="n"/>
      <c r="B4" s="32" t="n"/>
      <c r="C4" s="32" t="n"/>
      <c r="D4" s="28" t="n"/>
      <c r="E4" s="33" t="inlineStr">
        <is>
          <t>Other</t>
        </is>
      </c>
      <c r="F4" s="40" t="inlineStr">
        <is>
          <t>Kilometres of bicycle lanes constructed and maintaine</t>
        </is>
      </c>
      <c r="G4" s="35" t="n">
        <v>1</v>
      </c>
      <c r="H4" s="35" t="n">
        <v>100</v>
      </c>
      <c r="I4" s="36" t="inlineStr">
        <is>
          <t xml:space="preserve">This indicator is measured in km (By 2018 the baseline was 58km in the metropolitan area of Asuncion). To date, a total of 20km of bicycle lanes have been constructed by the project and 11 more will be constructed by July 2023. Beneficiaries consist of approximately 2,500,000 residents of the metropolitan area of Asuncion having access to cycling infrastructure and also capacity building. </t>
        </is>
      </c>
      <c r="J4" s="25" t="n"/>
      <c r="K4" s="26" t="n"/>
      <c r="L4" s="37" t="n"/>
      <c r="M4" s="37" t="n"/>
      <c r="N4" s="37" t="n"/>
      <c r="O4" s="37" t="n"/>
      <c r="P4" s="37" t="n"/>
      <c r="Q4" s="37" t="n"/>
      <c r="R4" s="39" t="n"/>
      <c r="S4" s="39" t="n"/>
      <c r="T4" s="39" t="n"/>
      <c r="U4" s="59" t="n"/>
      <c r="V4" s="59" t="n"/>
    </row>
    <row r="7" ht="26.25" customHeight="1">
      <c r="F7" s="1" t="n"/>
    </row>
    <row r="8" ht="26.25" customHeight="1">
      <c r="F8" s="2" t="n"/>
    </row>
    <row r="9" ht="26.25" customHeight="1">
      <c r="F9" s="2" t="n"/>
    </row>
    <row r="10" ht="26.25" customHeight="1">
      <c r="F10" s="2" t="n"/>
    </row>
    <row r="11" ht="26.25" customHeight="1">
      <c r="F11" s="2" t="n"/>
    </row>
    <row r="12" ht="26.25" customHeight="1">
      <c r="F12" s="2" t="n"/>
    </row>
  </sheetData>
  <dataValidations count="2">
    <dataValidation sqref="P2" showDropDown="0" showInputMessage="1" showErrorMessage="1" allowBlank="1" type="list">
      <formula1>"Electricity Access, Energy Efficiency, Clean Cooking, Renewable Energy"</formula1>
    </dataValidation>
    <dataValidation sqref="Q2" showDropDown="0" showInputMessage="1" showErrorMessage="1" allowBlank="1" type="list">
      <formula1>"Tier 1, Tier 2, Tier 3"</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12"/>
  <sheetViews>
    <sheetView topLeftCell="F1" workbookViewId="0">
      <selection activeCell="L3" sqref="L3:P4"/>
    </sheetView>
  </sheetViews>
  <sheetFormatPr baseColWidth="8" defaultRowHeight="15"/>
  <cols>
    <col width="34" customWidth="1" min="2" max="2"/>
    <col width="36.140625" customWidth="1" min="3" max="3"/>
    <col width="12.5703125" bestFit="1" customWidth="1" min="4" max="4"/>
    <col width="20.7109375" customWidth="1" min="5" max="5"/>
    <col width="40" customWidth="1" min="6" max="6"/>
    <col width="12.7109375" customWidth="1" min="7" max="8"/>
    <col width="38.85546875" customWidth="1" min="9" max="9"/>
    <col width="10.85546875" customWidth="1" min="10" max="10"/>
    <col width="27" customWidth="1" min="11" max="11"/>
  </cols>
  <sheetData>
    <row r="1">
      <c r="A1" s="15" t="inlineStr">
        <is>
          <t>Project ID</t>
        </is>
      </c>
      <c r="B1" s="16" t="inlineStr">
        <is>
          <t>Title</t>
        </is>
      </c>
      <c r="C1" s="16" t="inlineStr">
        <is>
          <t>Link</t>
        </is>
      </c>
      <c r="D1" s="16" t="inlineStr">
        <is>
          <t>Budget</t>
        </is>
      </c>
      <c r="E1" s="16" t="inlineStr">
        <is>
          <t>Beneficiary Category</t>
        </is>
      </c>
      <c r="F1" s="16" t="inlineStr">
        <is>
          <t>Indicator</t>
        </is>
      </c>
      <c r="G1" s="16" t="inlineStr">
        <is>
          <t>Baseline</t>
        </is>
      </c>
      <c r="H1" s="16" t="inlineStr">
        <is>
          <t>Target</t>
        </is>
      </c>
      <c r="I1" s="16" t="inlineStr">
        <is>
          <t>Notes</t>
        </is>
      </c>
      <c r="J1" s="17" t="inlineStr">
        <is>
          <t>Donors</t>
        </is>
      </c>
      <c r="K1" s="22" t="inlineStr">
        <is>
          <t>Comments</t>
        </is>
      </c>
    </row>
    <row r="2">
      <c r="A2" s="18" t="n">
        <v>125245</v>
      </c>
      <c r="B2" s="6" t="inlineStr">
        <is>
          <t>Energía y Desarrollo Humano</t>
        </is>
      </c>
      <c r="C2" s="7" t="inlineStr">
        <is>
          <t>http://open.undp.org/projects/00125245</t>
        </is>
      </c>
      <c r="D2" s="19" t="n">
        <v>67499</v>
      </c>
      <c r="E2" s="8" t="n"/>
      <c r="F2" s="21" t="inlineStr">
        <is>
          <t>Number of documents/tools produced</t>
        </is>
      </c>
      <c r="G2" s="20" t="n">
        <v>0</v>
      </c>
      <c r="H2" s="20" t="n">
        <v>2</v>
      </c>
      <c r="I2" s="8" t="n"/>
      <c r="J2" s="14" t="inlineStr">
        <is>
          <t>Trac Funds</t>
        </is>
      </c>
    </row>
    <row r="3" ht="80.25" customHeight="1">
      <c r="A3" s="66" t="n">
        <v>5188</v>
      </c>
      <c r="B3" s="68" t="inlineStr">
        <is>
          <t>Asunción Green City</t>
        </is>
      </c>
      <c r="C3" s="68" t="inlineStr">
        <is>
          <t>PIMS+</t>
        </is>
      </c>
      <c r="D3" s="70" t="n">
        <v>7493120</v>
      </c>
      <c r="E3" s="9" t="n"/>
      <c r="F3" s="4" t="inlineStr">
        <is>
          <t>Number of urban passengers that use the low-carbon BRT system considering gender equality, use of time and improvement of security</t>
        </is>
      </c>
      <c r="G3" s="5" t="n">
        <v>0</v>
      </c>
      <c r="H3" s="5" t="n">
        <v>240000</v>
      </c>
      <c r="I3" s="13" t="inlineStr">
        <is>
          <t xml:space="preserve">The BRT was cancelled in 2020 therefore this indicator could not be addressed. </t>
        </is>
      </c>
      <c r="J3" s="78" t="inlineStr">
        <is>
          <t>GEF</t>
        </is>
      </c>
      <c r="K3" s="23" t="inlineStr">
        <is>
          <t xml:space="preserve">Can you please clarify if we can use the 240.000 as number of beneficiaries ? If not what what are the new estimates and activities? 
We wonder that if the BRT was cancelled, how you implent the rest of the budget ? </t>
        </is>
      </c>
      <c r="L3" s="37" t="inlineStr">
        <is>
          <t>There was no budget of the project Asuncion Green City destined to the BRT project itself, the latter was a separate project financed by the IADB but there were some indicators related to it introduced to the logic frame of the Asuncion Green City Project. The Asuncion Green City project budget related to the component 2 of mobility (in which this indicator is included), has been almost fully executed with only a % remaining related to the ongoing construction of bicycle lanes. Furthermore, from the project Asuncion Green City a new USD 20 million project has been approved by the NAMA Facility to replace 300 ICE buses for Electric Buses in a 5-year project.</t>
        </is>
      </c>
      <c r="M3" s="79" t="n"/>
      <c r="N3" s="79" t="n"/>
      <c r="O3" s="79" t="n"/>
      <c r="P3" s="80" t="n"/>
      <c r="Q3" s="58" t="inlineStr">
        <is>
          <t>The 240000 people were related to the BRT that was planned. This indicator cannot be used as it is, as I mentioned previously, related to the BRT which was was cancelled.
However, if talking about beneficiaries of alternative modes of transport, we carried out a Mobility Survey which showed that 29% of the population in the AMA owns a bicycle and that are willing to use the bicycle if infrastructure is provided. With the construction of the lanes with the project, people are more likely to use the bicycle.</t>
        </is>
      </c>
    </row>
    <row r="4" ht="124.5" customHeight="1">
      <c r="A4" s="81" t="n"/>
      <c r="B4" s="82" t="n"/>
      <c r="C4" s="82" t="n"/>
      <c r="D4" s="82" t="n"/>
      <c r="E4" s="10" t="n"/>
      <c r="F4" s="11" t="inlineStr">
        <is>
          <t>Kilometres of bicycle lanes constructed and maintaine</t>
        </is>
      </c>
      <c r="G4" s="3" t="n">
        <v>1</v>
      </c>
      <c r="H4" s="3" t="n">
        <v>100</v>
      </c>
      <c r="I4" s="12" t="inlineStr">
        <is>
          <t xml:space="preserve">This indicator is measured in km (By 2018 the baseline was 58km in the metropolitan area of Asuncion). To date, a total of 20km of bicycle lanes have been constructed by the project and 11 more will be constructed by July 2023. Beneficiaries consist of approximately 2,500,000 residents of the metropolitan area of Asuncion having access to cycling infrastructure and also capacity building. </t>
        </is>
      </c>
      <c r="J4" s="14" t="n"/>
      <c r="L4" s="83" t="n"/>
      <c r="M4" s="84" t="n"/>
      <c r="N4" s="84" t="n"/>
      <c r="O4" s="84" t="n"/>
      <c r="P4" s="85" t="n"/>
      <c r="Q4" s="86" t="n"/>
    </row>
    <row r="7" ht="26.25" customHeight="1">
      <c r="F7" s="1" t="n"/>
    </row>
    <row r="8" ht="26.25" customHeight="1">
      <c r="F8" s="2" t="n"/>
    </row>
    <row r="9" ht="26.25" customHeight="1">
      <c r="F9" s="2" t="n"/>
    </row>
    <row r="10" ht="26.25" customHeight="1">
      <c r="F10" s="2" t="n"/>
    </row>
    <row r="11" ht="26.25" customHeight="1">
      <c r="F11" s="2" t="n"/>
    </row>
    <row r="12" ht="26.25" customHeight="1">
      <c r="F12" s="2" t="n"/>
    </row>
  </sheetData>
  <mergeCells count="7">
    <mergeCell ref="L3:P4"/>
    <mergeCell ref="C3:C4"/>
    <mergeCell ref="A3:A4"/>
    <mergeCell ref="B3:B4"/>
    <mergeCell ref="Q3:U4"/>
    <mergeCell ref="D3:D4"/>
    <mergeCell ref="J3:J4"/>
  </mergeCells>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RowHeight="15"/>
  <cols>
    <col width="36" customWidth="1" min="1" max="1"/>
    <col width="110" bestFit="1" customWidth="1" min="2" max="2"/>
  </cols>
  <sheetData>
    <row r="1">
      <c r="A1" s="87" t="inlineStr">
        <is>
          <t>Beneficiary Category</t>
        </is>
      </c>
      <c r="B1" s="87" t="inlineStr">
        <is>
          <t>Indicator</t>
        </is>
      </c>
    </row>
    <row r="2" ht="30.75" customHeight="1">
      <c r="A2" s="88" t="inlineStr">
        <is>
          <t>Electricity Access</t>
        </is>
      </c>
      <c r="B2" s="88" t="inlineStr">
        <is>
          <t>Number of people, disaggregated by sex, who gain access to clean electricity (direct access to electricity, lighting, cooling, etc.).</t>
        </is>
      </c>
    </row>
    <row r="3">
      <c r="A3" s="88" t="inlineStr">
        <is>
          <t>Energy (MW added)</t>
        </is>
      </c>
      <c r="B3" s="88" t="inlineStr">
        <is>
          <t>Installed renewable or clean-energy power capacity added, in MW.</t>
        </is>
      </c>
    </row>
    <row r="4" ht="30.75" customHeight="1">
      <c r="A4" s="88" t="inlineStr">
        <is>
          <t>Energy Storage (MW)</t>
        </is>
      </c>
      <c r="B4" s="88" t="inlineStr">
        <is>
          <t>Installed energy storage power capacity added, in MW.</t>
        </is>
      </c>
    </row>
    <row r="5">
      <c r="A5" s="88" t="inlineStr">
        <is>
          <t>Clean Cooking</t>
        </is>
      </c>
      <c r="B5" s="88" t="inlineStr">
        <is>
          <t>Number of people who gain access to clean cooking (direct access to clean cook stoves, clean fuels, biomass, etc.).</t>
        </is>
      </c>
    </row>
    <row r="6" ht="45.75" customHeight="1">
      <c r="A6" s="88" t="inlineStr">
        <is>
          <t>Clean Heating</t>
        </is>
      </c>
      <c r="B6" s="88" t="inlineStr">
        <is>
          <t>Number of people who gain access to clean heating (direct access to clean electric heaters, clean fuels, etc.).</t>
        </is>
      </c>
    </row>
    <row r="7" ht="30.75" customHeight="1">
      <c r="A7" s="88" t="inlineStr">
        <is>
          <t>Agriculture and Food System</t>
        </is>
      </c>
      <c r="B7" s="88" t="inlineStr">
        <is>
          <t>Number of people who gain access to clean, affordable, and sustainable energy for agricultural and food-system activities.</t>
        </is>
      </c>
    </row>
    <row r="8" ht="30.75" customHeight="1">
      <c r="A8" s="88" t="inlineStr">
        <is>
          <t>Health Services</t>
        </is>
      </c>
      <c r="B8" s="88" t="inlineStr">
        <is>
          <t>Number of people who gain access to health care facilities through clean energy systems.</t>
        </is>
      </c>
    </row>
    <row r="9" ht="30.75" customHeight="1">
      <c r="A9" s="88" t="inlineStr">
        <is>
          <t>Water Services</t>
        </is>
      </c>
      <c r="B9" s="88" t="inlineStr">
        <is>
          <t>Number of people who gain access to water services through clean energy systems.</t>
        </is>
      </c>
    </row>
    <row r="10" ht="30.75" customHeight="1">
      <c r="A10" s="88" t="inlineStr">
        <is>
          <t>Education Services</t>
        </is>
      </c>
      <c r="B10" s="88" t="inlineStr">
        <is>
          <t>Number of people who gain access to education services through clean energy systems, including students and teachers.</t>
        </is>
      </c>
    </row>
    <row r="11">
      <c r="A11" s="88" t="inlineStr">
        <is>
          <t>Transportation and E-mobility Services</t>
        </is>
      </c>
      <c r="B11" s="88" t="inlineStr">
        <is>
          <t>Number of people served or energy saved from transport and e-mobility interventions, such as electric vehicles or charging stations.</t>
        </is>
      </c>
    </row>
    <row r="12" ht="30.75" customHeight="1">
      <c r="A12" s="88" t="inlineStr">
        <is>
          <t>Energy Efficiency Services</t>
        </is>
      </c>
      <c r="B12" s="88" t="inlineStr">
        <is>
          <t>Energy saved from energy-efficiency interventions, such as building or industrial efficiency.</t>
        </is>
      </c>
    </row>
    <row r="13">
      <c r="A13" s="88" t="inlineStr">
        <is>
          <t>Energy Infrastructure Services</t>
        </is>
      </c>
      <c r="B13" s="88" t="inlineStr">
        <is>
          <t>Number of people benefiting from energy infrastructure interventions, such as streetlights, transmission, and distribution lines.</t>
        </is>
      </c>
    </row>
    <row r="14">
      <c r="A14" s="88" t="inlineStr">
        <is>
          <t>Other Energy Services</t>
        </is>
      </c>
      <c r="B14" s="88" t="inlineStr">
        <is>
          <t>Access to other energy services not captured by the categories above.</t>
        </is>
      </c>
    </row>
    <row r="15">
      <c r="A15" s="88" t="inlineStr">
        <is>
          <t>Financing support</t>
        </is>
      </c>
      <c r="B15" s="88" t="inlineStr">
        <is>
          <t>Support for the development of the energy market ecosystem.</t>
        </is>
      </c>
    </row>
    <row r="16">
      <c r="A16" s="88" t="inlineStr">
        <is>
          <t>Medium Enterprises</t>
        </is>
      </c>
      <c r="B16" s="88" t="inlineStr">
        <is>
          <t>Support for the development of medium enterprises in the energy transition market.</t>
        </is>
      </c>
    </row>
    <row r="17">
      <c r="A17" s="88" t="inlineStr">
        <is>
          <t>Small Enterprises</t>
        </is>
      </c>
      <c r="B17" s="88" t="inlineStr">
        <is>
          <t>Support for the development of small enterprises in the energy transition market.</t>
        </is>
      </c>
    </row>
    <row r="18">
      <c r="A18" s="88" t="inlineStr">
        <is>
          <t>Capacity Building Training</t>
        </is>
      </c>
      <c r="B18" s="88" t="inlineStr">
        <is>
          <t>Number of people benefiting from training on energy business, energy finance, or related implementation capacity.</t>
        </is>
      </c>
    </row>
    <row r="19" ht="45.75" customHeight="1">
      <c r="A19" s="88" t="inlineStr">
        <is>
          <t>Entrepreneurship Training</t>
        </is>
      </c>
      <c r="B19" s="88" t="inlineStr">
        <is>
          <t>Training for enterprises on the energy business, assumed to result in direct beneficiaries.</t>
        </is>
      </c>
    </row>
    <row r="20">
      <c r="A20" s="88" t="inlineStr">
        <is>
          <t>Market Intervention</t>
        </is>
      </c>
      <c r="B20" s="88" t="inlineStr">
        <is>
          <t>Volume of investment leveraged or barriers removed for clean, reliable, affordable, and sustainable energy solutions.</t>
        </is>
      </c>
    </row>
    <row r="21" ht="30.75" customHeight="1">
      <c r="A21" s="88" t="inlineStr">
        <is>
          <t>Campaign Participant</t>
        </is>
      </c>
      <c r="B21" s="88" t="inlineStr">
        <is>
          <t>Individuals who participate in advocacy or awareness campaigns on energy.</t>
        </is>
      </c>
    </row>
    <row r="22">
      <c r="A22" s="88" t="inlineStr">
        <is>
          <t>Policy or Regulatory Framework</t>
        </is>
      </c>
      <c r="B22" s="88" t="inlineStr">
        <is>
          <t>Policies, regulations, strategies, plans, or frameworks developed, approved, implemented, or strengthened.</t>
        </is>
      </c>
    </row>
    <row r="23">
      <c r="A23" s="88" t="inlineStr">
        <is>
          <t>GHG Emissions Reduction</t>
        </is>
      </c>
      <c r="B23" s="88" t="inlineStr">
        <is>
          <t>Greenhouse gas emissions reduced or mitigated, in tCO2e.</t>
        </is>
      </c>
    </row>
    <row r="24">
      <c r="A24" s="88" t="inlineStr">
        <is>
          <t>Other</t>
        </is>
      </c>
      <c r="B24" s="88"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