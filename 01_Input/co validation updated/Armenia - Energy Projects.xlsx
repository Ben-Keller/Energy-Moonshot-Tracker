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color rgb="FF000000"/>
      <sz val="12"/>
    </font>
    <font>
      <name val="Calibri"/>
      <color rgb="FF000000"/>
      <sz val="11"/>
    </font>
    <font>
      <name val="Calibri"/>
      <color rgb="FFFF0000"/>
      <sz val="11"/>
    </font>
    <font>
      <name val="Calibri"/>
      <color theme="1"/>
      <sz val="11"/>
    </font>
    <font>
      <name val="Calibri"/>
      <charset val="1"/>
      <color rgb="FF000000"/>
      <sz val="10.5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6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3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center" wrapText="1"/>
    </xf>
    <xf numFmtId="0" fontId="0" fillId="0" borderId="0" pivotButton="0" quotePrefix="1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3" pivotButton="0" quotePrefix="0" xfId="0"/>
    <xf numFmtId="0" fontId="2" fillId="0" borderId="4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3" fillId="0" borderId="3" pivotButton="0" quotePrefix="0" xfId="1"/>
    <xf numFmtId="0" fontId="0" fillId="2" borderId="3" pivotButton="0" quotePrefix="0" xfId="0"/>
    <xf numFmtId="0" fontId="0" fillId="0" borderId="3" pivotButton="0" quotePrefix="1" xfId="0"/>
    <xf numFmtId="0" fontId="0" fillId="2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2" fillId="0" borderId="5" pivotButton="0" quotePrefix="0" xfId="0"/>
    <xf numFmtId="0" fontId="0" fillId="0" borderId="6" pivotButton="0" quotePrefix="0" xfId="0"/>
    <xf numFmtId="0" fontId="0" fillId="2" borderId="5" pivotButton="0" quotePrefix="0" xfId="0"/>
    <xf numFmtId="0" fontId="4" fillId="0" borderId="5" pivotButton="0" quotePrefix="0" xfId="0"/>
    <xf numFmtId="0" fontId="0" fillId="0" borderId="7" pivotButton="0" quotePrefix="0" xfId="0"/>
    <xf numFmtId="0" fontId="2" fillId="0" borderId="8" applyAlignment="1" pivotButton="0" quotePrefix="0" xfId="0">
      <alignment horizontal="center" vertical="top"/>
    </xf>
    <xf numFmtId="0" fontId="0" fillId="2" borderId="8" pivotButton="0" quotePrefix="0" xfId="0"/>
    <xf numFmtId="0" fontId="0" fillId="2" borderId="6" applyAlignment="1" pivotButton="0" quotePrefix="0" xfId="0">
      <alignment wrapText="1"/>
    </xf>
    <xf numFmtId="0" fontId="3" fillId="0" borderId="3" pivotButton="0" quotePrefix="0" xfId="1"/>
    <xf numFmtId="0" fontId="0" fillId="2" borderId="3" applyAlignment="1" pivotButton="0" quotePrefix="0" xfId="0">
      <alignment horizontal="right" wrapText="1"/>
    </xf>
    <xf numFmtId="3" fontId="0" fillId="2" borderId="5" applyAlignment="1" pivotButton="0" quotePrefix="0" xfId="0">
      <alignment horizontal="right" wrapText="1"/>
    </xf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vertical="top" wrapText="1"/>
    </xf>
    <xf numFmtId="0" fontId="7" fillId="2" borderId="3" applyAlignment="1" pivotButton="0" quotePrefix="0" xfId="0">
      <alignment wrapText="1"/>
    </xf>
    <xf numFmtId="9" fontId="0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pivotButton="0" quotePrefix="0" xfId="0"/>
    <xf numFmtId="0" fontId="0" fillId="0" borderId="9" pivotButton="0" quotePrefix="0" xfId="0"/>
    <xf numFmtId="0" fontId="0" fillId="0" borderId="5" pivotButton="0" quotePrefix="0" xfId="0"/>
    <xf numFmtId="9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applyAlignment="1" pivotButton="0" quotePrefix="0" xfId="0">
      <alignment horizontal="right" wrapText="1"/>
    </xf>
    <xf numFmtId="3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3" borderId="3" pivotButton="0" quotePrefix="0" xfId="0"/>
    <xf numFmtId="0" fontId="3" fillId="3" borderId="3" pivotButton="0" quotePrefix="0" xfId="1"/>
    <xf numFmtId="0" fontId="0" fillId="3" borderId="5" pivotButton="0" quotePrefix="0" xfId="0"/>
    <xf numFmtId="0" fontId="7" fillId="3" borderId="3" applyAlignment="1" pivotButton="0" quotePrefix="0" xfId="0">
      <alignment wrapText="1"/>
    </xf>
    <xf numFmtId="0" fontId="0" fillId="3" borderId="7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3" pivotButton="0" quotePrefix="0" xfId="0"/>
    <xf numFmtId="0" fontId="4" fillId="4" borderId="5" pivotButton="0" quotePrefix="0" xfId="0"/>
    <xf numFmtId="0" fontId="0" fillId="4" borderId="3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46258" TargetMode="External" Id="rId1"/><Relationship Type="http://schemas.openxmlformats.org/officeDocument/2006/relationships/hyperlink" Target="http://open.undp.org/projects/00118602" TargetMode="External" Id="rId2"/><Relationship Type="http://schemas.openxmlformats.org/officeDocument/2006/relationships/hyperlink" Target="http://open.undp.org/projects/00133238" TargetMode="External" Id="rId3"/><Relationship Type="http://schemas.openxmlformats.org/officeDocument/2006/relationships/hyperlink" Target="https://open.undp.org/projects/000983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C2" activePane="bottomRight" state="frozen"/>
      <selection pane="bottomRight" activeCell="C9" sqref="C9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2.85546875" customWidth="1" min="5" max="5"/>
    <col width="22.85546875" customWidth="1" min="6" max="6"/>
    <col width="22.85546875" customWidth="1" min="7" max="8"/>
    <col width="22.85546875" customWidth="1" min="8" max="8"/>
    <col width="66.140625" customWidth="1" min="9" max="9"/>
    <col width="16" customWidth="1" min="10" max="10"/>
    <col width="18" bestFit="1" customWidth="1" min="11" max="11"/>
    <col width="12.85546875" bestFit="1" customWidth="1" min="12" max="12"/>
    <col width="36.5703125" customWidth="1" min="14" max="14"/>
    <col width="16.140625" bestFit="1" customWidth="1" min="15" max="15"/>
    <col width="16.140625" customWidth="1" min="16" max="16"/>
    <col width="16.5703125" bestFit="1" customWidth="1" min="17" max="17"/>
    <col width="21.57031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Start Year</t>
        </is>
      </c>
      <c r="F1" s="13" t="inlineStr">
        <is>
          <t>End Year</t>
        </is>
      </c>
      <c r="G1" s="13" t="inlineStr">
        <is>
          <t>Status</t>
        </is>
      </c>
      <c r="H1" s="13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25" t="inlineStr">
        <is>
          <t>Notes</t>
        </is>
      </c>
      <c r="N1" s="20" t="inlineStr">
        <is>
          <t>Donors</t>
        </is>
      </c>
      <c r="O1" s="20" t="inlineStr">
        <is>
          <t>Gender (% female)</t>
        </is>
      </c>
      <c r="P1" s="53" t="inlineStr">
        <is>
          <t>Tag</t>
        </is>
      </c>
      <c r="Q1" s="52" t="inlineStr">
        <is>
          <t>SEH Taxonomy</t>
        </is>
      </c>
      <c r="R1" s="52" t="inlineStr">
        <is>
          <t>RISE Taxonomy</t>
        </is>
      </c>
      <c r="S1" s="53" t="inlineStr">
        <is>
          <t>Flagship</t>
        </is>
      </c>
      <c r="T1" s="53" t="inlineStr">
        <is>
          <t>Indirect Category</t>
        </is>
      </c>
      <c r="U1" s="54" t="inlineStr">
        <is>
          <t>Indirect Taxonomy</t>
        </is>
      </c>
      <c r="V1" s="55" t="inlineStr">
        <is>
          <t>Technology</t>
        </is>
      </c>
      <c r="W1" s="54" t="inlineStr">
        <is>
          <t>Policy or Regulatory Framework</t>
        </is>
      </c>
      <c r="X1" s="55" t="inlineStr">
        <is>
          <t>Policy Population</t>
        </is>
      </c>
    </row>
    <row r="2" ht="30.75" customHeight="1">
      <c r="A2" s="14" t="n">
        <v>46258</v>
      </c>
      <c r="B2" s="14" t="inlineStr">
        <is>
          <t>Small Grants Programme</t>
        </is>
      </c>
      <c r="C2" s="28" t="inlineStr">
        <is>
          <t>http://open.undp.org/projects/00046258</t>
        </is>
      </c>
      <c r="D2" s="14" t="n">
        <v>429168</v>
      </c>
      <c r="E2" s="62" t="n"/>
      <c r="F2" s="62" t="n"/>
      <c r="G2" s="62" t="n"/>
      <c r="H2" s="14" t="inlineStr">
        <is>
          <t>Non-VF</t>
        </is>
      </c>
      <c r="I2" s="14" t="inlineStr">
        <is>
          <t>Policy or Regulatory Framework</t>
        </is>
      </c>
      <c r="J2" s="14" t="inlineStr">
        <is>
          <t xml:space="preserve">General population </t>
        </is>
      </c>
      <c r="K2" s="14" t="n">
        <v>0</v>
      </c>
      <c r="L2" s="38" t="n">
        <v>20000</v>
      </c>
      <c r="M2" s="40" t="n"/>
      <c r="N2" s="31" t="inlineStr">
        <is>
          <t>UNDP, Arm.Gov, 
Gov. Finland</t>
        </is>
      </c>
      <c r="O2" s="37" t="n"/>
      <c r="P2" s="44" t="n"/>
      <c r="Q2" s="57" t="inlineStr">
        <is>
          <t>Accelerating just energy transition</t>
        </is>
      </c>
      <c r="R2" s="44" t="inlineStr">
        <is>
          <t>Overall</t>
        </is>
      </c>
      <c r="S2" s="44" t="n"/>
      <c r="T2" s="44" t="inlineStr">
        <is>
          <t>National Strategy</t>
        </is>
      </c>
      <c r="U2" s="44" t="inlineStr">
        <is>
          <t>Grant &amp; Investment</t>
        </is>
      </c>
      <c r="V2" s="58" t="n"/>
      <c r="W2" s="44" t="inlineStr">
        <is>
          <t>National</t>
        </is>
      </c>
      <c r="X2" s="58" t="n"/>
    </row>
    <row r="3">
      <c r="A3" s="14" t="n">
        <v>118602</v>
      </c>
      <c r="B3" s="14" t="inlineStr">
        <is>
          <t>Climate Smart Solutions in Communities</t>
        </is>
      </c>
      <c r="C3" s="28" t="inlineStr">
        <is>
          <t>http://open.undp.org/projects/00118602</t>
        </is>
      </c>
      <c r="D3" s="14" t="n">
        <v>916858</v>
      </c>
      <c r="E3" s="62" t="n"/>
      <c r="F3" s="62" t="n"/>
      <c r="G3" s="62" t="n"/>
      <c r="H3" s="14" t="inlineStr">
        <is>
          <t>Non-VF</t>
        </is>
      </c>
      <c r="I3" s="14" t="inlineStr">
        <is>
          <t>Energy Infrastructure Services</t>
        </is>
      </c>
      <c r="J3" s="14" t="inlineStr">
        <is>
          <t xml:space="preserve">General population </t>
        </is>
      </c>
      <c r="K3" s="14" t="n">
        <v>0</v>
      </c>
      <c r="L3" s="38" t="n">
        <v>100000</v>
      </c>
      <c r="M3" s="14" t="inlineStr">
        <is>
          <t xml:space="preserve">The population of capital city of Yerevan benefitting from the street lighting. According to our math, we include this number as inderect beneficiaries. This is assumed 10% of the population of 1000000 </t>
        </is>
      </c>
      <c r="N3" s="24" t="inlineStr">
        <is>
          <t>Arm.Gov., UNDP</t>
        </is>
      </c>
      <c r="O3" s="38" t="n"/>
      <c r="P3" s="44" t="n"/>
      <c r="Q3" s="57" t="inlineStr">
        <is>
          <t>Accelerating just energy transition</t>
        </is>
      </c>
      <c r="R3" s="44" t="n"/>
      <c r="S3" s="44" t="n"/>
      <c r="T3" s="44" t="n"/>
      <c r="U3" s="44" t="n"/>
      <c r="V3" s="58" t="n"/>
      <c r="W3" s="44" t="n"/>
      <c r="X3" s="58" t="n"/>
    </row>
    <row r="4" ht="51" customHeight="1">
      <c r="A4" s="45" t="n">
        <v>133238</v>
      </c>
      <c r="B4" s="45" t="inlineStr">
        <is>
          <t>Phase II_Climate Smart Solutions</t>
        </is>
      </c>
      <c r="C4" s="46" t="inlineStr">
        <is>
          <t>http://open.undp.org/projects/00133238</t>
        </is>
      </c>
      <c r="D4" s="45" t="n">
        <v>595301</v>
      </c>
      <c r="E4" s="62" t="n"/>
      <c r="F4" s="62" t="n"/>
      <c r="G4" s="62" t="n"/>
      <c r="H4" s="45" t="inlineStr">
        <is>
          <t>Non-VF</t>
        </is>
      </c>
      <c r="I4" s="45" t="inlineStr">
        <is>
          <t>Energy Infrastructure Services</t>
        </is>
      </c>
      <c r="J4" s="45" t="inlineStr">
        <is>
          <t xml:space="preserve">General population </t>
        </is>
      </c>
      <c r="K4" s="45" t="n">
        <v>0</v>
      </c>
      <c r="L4" s="47" t="n">
        <v>0</v>
      </c>
      <c r="M4" s="48" t="inlineStr">
        <is>
          <t>The population of capital city of Yerevan benefitting from the street lighting. (Note, this was changed to zero to prevent overlap with project 118602)</t>
        </is>
      </c>
      <c r="N4" s="49" t="inlineStr">
        <is>
          <t>Arm.Gov., UNDP</t>
        </is>
      </c>
      <c r="O4" s="47" t="n"/>
      <c r="P4" s="44" t="n"/>
      <c r="Q4" s="57" t="inlineStr">
        <is>
          <t>Accelerating just energy transition</t>
        </is>
      </c>
      <c r="R4" s="44" t="n"/>
      <c r="S4" s="44" t="n"/>
      <c r="T4" s="44" t="n"/>
      <c r="U4" s="44" t="n"/>
      <c r="V4" s="58" t="n"/>
      <c r="W4" s="44" t="n"/>
      <c r="X4" s="58" t="n"/>
    </row>
    <row r="5" ht="147" customHeight="1">
      <c r="A5" s="17" t="n">
        <v>98348</v>
      </c>
      <c r="B5" s="14" t="inlineStr">
        <is>
          <t>De-Risking Investment In Energy Efficient Retrofits</t>
        </is>
      </c>
      <c r="C5" s="28" t="inlineStr">
        <is>
          <t xml:space="preserve">https://open.undp.org/projects/00098348 </t>
        </is>
      </c>
      <c r="D5" s="14" t="n">
        <v>20420000</v>
      </c>
      <c r="E5" s="62" t="n"/>
      <c r="F5" s="62" t="n"/>
      <c r="G5" s="62" t="n"/>
      <c r="H5" s="14" t="inlineStr">
        <is>
          <t>Non-VF</t>
        </is>
      </c>
      <c r="I5" s="14" t="inlineStr">
        <is>
          <t>Other Energy Services</t>
        </is>
      </c>
      <c r="J5" s="19" t="inlineStr">
        <is>
          <t xml:space="preserve">Number of beneficiaries:
- vulnerable beneficiaries (lowest quintile of household income) with improved building EE
- occupants of public buildings
</t>
        </is>
      </c>
      <c r="K5" s="41" t="n">
        <v>0</v>
      </c>
      <c r="L5" s="42" t="n">
        <v>225000</v>
      </c>
      <c r="M5" s="43" t="inlineStr">
        <is>
          <t xml:space="preserve">In total, 29,844 (~65% are women), including:
Public buildings: 20,773 (~70% are women) in 44 buildings;
Residential buildings: 9,071 (~52% are women) in 98 buildings.
</t>
        </is>
      </c>
      <c r="N5" s="32" t="inlineStr">
        <is>
          <t>GEF, Arm.Gov., 
UNDP</t>
        </is>
      </c>
      <c r="O5" s="39" t="n">
        <v>0.65</v>
      </c>
      <c r="P5" s="44" t="n"/>
      <c r="Q5" s="57" t="inlineStr">
        <is>
          <t>Accelerating just energy transition</t>
        </is>
      </c>
      <c r="R5" s="44" t="n"/>
      <c r="S5" s="44" t="n"/>
      <c r="T5" s="44" t="n"/>
      <c r="U5" s="44" t="n"/>
      <c r="V5" s="58" t="n"/>
      <c r="W5" s="44" t="n"/>
      <c r="X5" s="58" t="n"/>
    </row>
    <row r="6" ht="45.75" customHeight="1">
      <c r="A6" s="14" t="n">
        <v>140158</v>
      </c>
      <c r="B6" s="19" t="inlineStr">
        <is>
          <t>Strengthened Community Resilience through Energy Efficiency and Low
Emission Development</t>
        </is>
      </c>
      <c r="C6" s="14" t="n"/>
      <c r="D6" s="14" t="n">
        <v>1000000</v>
      </c>
      <c r="E6" s="62" t="n"/>
      <c r="F6" s="62" t="n"/>
      <c r="G6" s="62" t="n"/>
      <c r="H6" s="14" t="inlineStr">
        <is>
          <t>Non-VF</t>
        </is>
      </c>
      <c r="I6" s="14" t="inlineStr">
        <is>
          <t>Electricity Access</t>
        </is>
      </c>
      <c r="J6" s="19" t="inlineStr">
        <is>
          <t>Alaverdi community general population</t>
        </is>
      </c>
      <c r="K6" s="14" t="n">
        <v>0</v>
      </c>
      <c r="L6" s="23" t="n">
        <v>14000</v>
      </c>
      <c r="M6" s="19" t="inlineStr">
        <is>
          <t>The figure captures MABs, public building staff, 5% of the general population that will benefit from the PV plant and street lighting</t>
        </is>
      </c>
      <c r="N6" s="24" t="n"/>
      <c r="O6" s="38" t="n"/>
      <c r="P6" s="44" t="n"/>
      <c r="Q6" s="57" t="inlineStr">
        <is>
          <t>Accelerating just energy transition</t>
        </is>
      </c>
      <c r="R6" s="44" t="n"/>
      <c r="S6" s="44" t="n"/>
      <c r="T6" s="44" t="n"/>
      <c r="U6" s="44" t="n"/>
      <c r="V6" s="58" t="inlineStr">
        <is>
          <t>Solar</t>
        </is>
      </c>
      <c r="W6" s="44" t="n"/>
      <c r="X6" s="58" t="n"/>
    </row>
    <row r="7">
      <c r="A7" s="14" t="n"/>
      <c r="B7" s="19" t="n"/>
      <c r="C7" s="14" t="n"/>
      <c r="D7" s="14" t="n"/>
      <c r="E7" s="14" t="n"/>
      <c r="F7" s="14" t="n"/>
      <c r="G7" s="14" t="n"/>
      <c r="H7" s="14" t="n"/>
      <c r="I7" s="14" t="inlineStr">
        <is>
          <t>Energy (MW added)</t>
        </is>
      </c>
      <c r="J7" s="19" t="inlineStr">
        <is>
          <t>Installed capacity in MW for access/productive-use outputs</t>
        </is>
      </c>
      <c r="K7" s="14" t="n">
        <v>0</v>
      </c>
      <c r="L7" s="63" t="n"/>
      <c r="M7" s="64" t="inlineStr">
        <is>
          <t>[AUTO-ADDED] Project reports access/productive-use beneficiary numbers but no MW value. Please add installed capacity (MW) or confirm not applicable.</t>
        </is>
      </c>
      <c r="N7" s="24" t="n"/>
      <c r="O7" s="38" t="n"/>
      <c r="P7" s="44" t="n"/>
      <c r="Q7" s="57" t="n"/>
      <c r="R7" s="44" t="n"/>
      <c r="S7" s="44" t="n"/>
      <c r="T7" s="44" t="n"/>
      <c r="U7" s="44" t="n"/>
      <c r="V7" s="58" t="n"/>
      <c r="W7" s="44" t="n"/>
      <c r="X7" s="58" t="n"/>
    </row>
  </sheetData>
  <dataValidations count="12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6" showDropDown="0" showInputMessage="1" showErrorMessage="1" allowBlank="1" type="list">
      <formula1>"Accelerating just energy transition, Close the gap on energy access, Scale up energy finance"</formula1>
    </dataValidation>
    <dataValidation sqref="O2:O6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S2:S6" showDropDown="0" showInputMessage="1" showErrorMessage="1" allowBlank="1" type="list">
      <formula1>"Solar, Wind, Bioenergy, Hydro, Geothermal, Waste, Other, Unknown"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E2" activePane="bottomRight" state="frozen"/>
      <selection pane="bottomRight" activeCell="E1" sqref="E1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5" customWidth="1" min="5" max="5"/>
    <col width="20.7109375" customWidth="1" min="6" max="6"/>
    <col width="12.7109375" customWidth="1" min="7" max="8"/>
    <col width="66.140625" customWidth="1" min="9" max="9"/>
    <col width="16" customWidth="1" min="10" max="10"/>
    <col width="10.140625" customWidth="1" min="11" max="11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Beneficiary Category</t>
        </is>
      </c>
      <c r="F1" s="13" t="inlineStr">
        <is>
          <t>Indicator</t>
        </is>
      </c>
      <c r="G1" s="13" t="inlineStr">
        <is>
          <t>Baseline</t>
        </is>
      </c>
      <c r="H1" s="13" t="inlineStr">
        <is>
          <t>Target</t>
        </is>
      </c>
      <c r="I1" s="25" t="inlineStr">
        <is>
          <t>Notes</t>
        </is>
      </c>
      <c r="J1" s="20" t="inlineStr">
        <is>
          <t>Donors</t>
        </is>
      </c>
      <c r="K1" s="11" t="inlineStr">
        <is>
          <t>Gender (% female)</t>
        </is>
      </c>
      <c r="L1" s="11" t="inlineStr">
        <is>
          <t>Category</t>
        </is>
      </c>
      <c r="O1" s="35" t="inlineStr">
        <is>
          <t>SEH Taxonomy</t>
        </is>
      </c>
      <c r="P1" s="35" t="inlineStr">
        <is>
          <t>RISE Taxonomy</t>
        </is>
      </c>
      <c r="Q1" s="35" t="inlineStr">
        <is>
          <t>Flagship</t>
        </is>
      </c>
      <c r="R1" s="35" t="inlineStr">
        <is>
          <t>Indirect Category</t>
        </is>
      </c>
      <c r="S1" s="35" t="inlineStr">
        <is>
          <t>Indirect Taxonomy</t>
        </is>
      </c>
    </row>
    <row r="2" ht="30.75" customHeight="1">
      <c r="A2" s="14" t="n">
        <v>46258</v>
      </c>
      <c r="B2" s="14" t="inlineStr">
        <is>
          <t>Small Grants Programme</t>
        </is>
      </c>
      <c r="C2" s="28" t="inlineStr">
        <is>
          <t>http://open.undp.org/projects/00046258</t>
        </is>
      </c>
      <c r="D2" s="14" t="inlineStr">
        <is>
          <t>US$429168</t>
        </is>
      </c>
      <c r="E2" s="16" t="inlineStr">
        <is>
          <t>Electricity Access</t>
        </is>
      </c>
      <c r="F2" s="16" t="inlineStr">
        <is>
          <t xml:space="preserve">General population </t>
        </is>
      </c>
      <c r="G2" s="16" t="n">
        <v>0</v>
      </c>
      <c r="H2" s="22" t="n">
        <v>20000</v>
      </c>
      <c r="I2" s="26" t="n"/>
      <c r="J2" s="31" t="inlineStr">
        <is>
          <t>UNDP, Arm.Gov, 
Gov. Finland</t>
        </is>
      </c>
      <c r="K2" s="21" t="n"/>
      <c r="L2" s="21" t="inlineStr">
        <is>
          <t>Non-VF</t>
        </is>
      </c>
      <c r="O2" t="inlineStr">
        <is>
          <t>Scale up energy finance</t>
        </is>
      </c>
      <c r="P2" t="inlineStr">
        <is>
          <t>Electricity Access</t>
        </is>
      </c>
    </row>
    <row r="3">
      <c r="A3" s="14" t="n">
        <v>118602</v>
      </c>
      <c r="B3" s="14" t="inlineStr">
        <is>
          <t>Climate Smart Solutions in Communities</t>
        </is>
      </c>
      <c r="C3" s="28" t="inlineStr">
        <is>
          <t>http://open.undp.org/projects/00118602</t>
        </is>
      </c>
      <c r="D3" s="14" t="inlineStr">
        <is>
          <t>US$916858</t>
        </is>
      </c>
      <c r="E3" s="36" t="inlineStr">
        <is>
          <t xml:space="preserve">Energy Infrastructure services </t>
        </is>
      </c>
      <c r="F3" s="16" t="inlineStr">
        <is>
          <t xml:space="preserve">General population </t>
        </is>
      </c>
      <c r="G3" s="16" t="n">
        <v>0</v>
      </c>
      <c r="H3" s="22" t="n">
        <v>1000000</v>
      </c>
      <c r="I3" s="16" t="inlineStr">
        <is>
          <t xml:space="preserve">The population of capital city of Yerevan benefitting from the street lighting. According to our meth, we include this number as inderect beneficiaries. </t>
        </is>
      </c>
      <c r="J3" s="24" t="inlineStr">
        <is>
          <t>Arm.Gov., UNDP</t>
        </is>
      </c>
      <c r="K3" s="14" t="n"/>
      <c r="L3" s="21" t="inlineStr">
        <is>
          <t>Non-VF</t>
        </is>
      </c>
      <c r="O3" t="inlineStr">
        <is>
          <t>Accelerating just energy transition</t>
        </is>
      </c>
      <c r="P3" t="inlineStr">
        <is>
          <t>Electricity Access</t>
        </is>
      </c>
    </row>
    <row r="4" ht="51" customHeight="1">
      <c r="A4" s="14" t="n">
        <v>133238</v>
      </c>
      <c r="B4" s="14" t="inlineStr">
        <is>
          <t>Phase II_Climate Smart Solutions</t>
        </is>
      </c>
      <c r="C4" s="28" t="inlineStr">
        <is>
          <t>http://open.undp.org/projects/00133238</t>
        </is>
      </c>
      <c r="D4" s="14" t="inlineStr">
        <is>
          <t>US$595301</t>
        </is>
      </c>
      <c r="E4" s="16" t="n"/>
      <c r="F4" s="16" t="inlineStr">
        <is>
          <t xml:space="preserve">General population </t>
        </is>
      </c>
      <c r="G4" s="16" t="n">
        <v>0</v>
      </c>
      <c r="H4" s="22" t="n">
        <v>0</v>
      </c>
      <c r="I4" s="33" t="inlineStr">
        <is>
          <t>The population of capital city of Yerevan benefitting from the street lighting. (Note, this was changed to zero to prevent overlap with project 118602)</t>
        </is>
      </c>
      <c r="J4" s="24" t="inlineStr">
        <is>
          <t>Arm.Gov., UNDP</t>
        </is>
      </c>
      <c r="K4" s="14" t="n"/>
      <c r="L4" s="21" t="inlineStr">
        <is>
          <t>Non-VF</t>
        </is>
      </c>
      <c r="O4" t="inlineStr">
        <is>
          <t>Accelerating just energy transition</t>
        </is>
      </c>
      <c r="P4" t="inlineStr">
        <is>
          <t>Electricity Access</t>
        </is>
      </c>
    </row>
    <row r="5" ht="147" customHeight="1">
      <c r="A5" s="17" t="inlineStr">
        <is>
          <t>00101711</t>
        </is>
      </c>
      <c r="B5" s="14" t="inlineStr">
        <is>
          <t>De-Risking Investment In Energy Efficient Retrofits</t>
        </is>
      </c>
      <c r="C5" s="28" t="inlineStr">
        <is>
          <t xml:space="preserve">https://open.undp.org/projects/00098348 </t>
        </is>
      </c>
      <c r="D5" s="14" t="inlineStr">
        <is>
          <t>US$20420000</t>
        </is>
      </c>
      <c r="E5" s="16" t="inlineStr">
        <is>
          <t>Other Energy Services</t>
        </is>
      </c>
      <c r="F5" s="18" t="inlineStr">
        <is>
          <t xml:space="preserve">Number of beneficiaries:
- vulnerable beneficiaries (lowest quintile of household income) with improved building EE
- occupants of public buildings
</t>
        </is>
      </c>
      <c r="G5" s="29" t="n">
        <v>0</v>
      </c>
      <c r="H5" s="30" t="n">
        <v>225000</v>
      </c>
      <c r="I5" s="27" t="inlineStr">
        <is>
          <t xml:space="preserve">In total, 29,844 (~65% are women), including:
Public buildings: 20,773 (~70% are women) in 44 buildings;
Residential buildings: 9,071 (~52% are women) in 98 buildings.
</t>
        </is>
      </c>
      <c r="J5" s="32" t="inlineStr">
        <is>
          <t>GEF, Arm.Gov., 
UNDP</t>
        </is>
      </c>
      <c r="K5" s="34" t="n">
        <v>0.65</v>
      </c>
      <c r="L5" s="21" t="inlineStr">
        <is>
          <t>Non-VF</t>
        </is>
      </c>
      <c r="O5" t="inlineStr">
        <is>
          <t>Accelerating just energy transition</t>
        </is>
      </c>
      <c r="P5" t="inlineStr">
        <is>
          <t>Energy Efficiency</t>
        </is>
      </c>
    </row>
    <row r="6" ht="45.75" customHeight="1">
      <c r="A6" s="14" t="inlineStr">
        <is>
          <t>`00140158</t>
        </is>
      </c>
      <c r="B6" s="19" t="inlineStr">
        <is>
          <t>Strengthened Community Resilience through Energy Efficiency and Low
Emission Development</t>
        </is>
      </c>
      <c r="C6" s="14" t="n"/>
      <c r="D6" s="14" t="inlineStr">
        <is>
          <t>US$1000000</t>
        </is>
      </c>
      <c r="E6" s="14" t="inlineStr">
        <is>
          <t>Electricity Access</t>
        </is>
      </c>
      <c r="F6" s="19" t="inlineStr">
        <is>
          <t>Alaverdi community general population</t>
        </is>
      </c>
      <c r="G6" s="14" t="n">
        <v>0</v>
      </c>
      <c r="H6" s="23" t="n">
        <v>14000</v>
      </c>
      <c r="I6" s="19" t="inlineStr">
        <is>
          <t>The figure captures MABs, public building staff, 5% of the general population that will benefit from the PV plant and street lighting</t>
        </is>
      </c>
      <c r="J6" s="24" t="n"/>
      <c r="K6" s="14" t="n"/>
      <c r="L6" s="21" t="inlineStr">
        <is>
          <t>Non-VF</t>
        </is>
      </c>
      <c r="O6" t="inlineStr">
        <is>
          <t>Accelerating just energy transition</t>
        </is>
      </c>
      <c r="P6" t="inlineStr">
        <is>
          <t>Electricity Access</t>
        </is>
      </c>
    </row>
  </sheetData>
  <dataValidations count="5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Q2:Q6" showDropDown="0" showInputMessage="1" showErrorMessage="1" allowBlank="1" type="list">
      <formula1>"AMP, PUDC, Solar4Health, Action Opportunities, Italy UNDP Energy Partnership"</formula1>
    </dataValidation>
    <dataValidation sqref="R2:R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E5" activePane="bottomRight" state="frozen"/>
      <selection pane="bottomRight" activeCell="E5" sqref="E5"/>
      <selection pane="bottomLeft" activeCell="A1" sqref="A1"/>
      <selection pane="topRight" activeCell="A1" sqref="A1"/>
    </sheetView>
  </sheetViews>
  <sheetFormatPr baseColWidth="8" defaultRowHeight="15"/>
  <cols>
    <col width="10.140625" customWidth="1" min="1" max="1"/>
    <col width="44.42578125" customWidth="1" min="2" max="2"/>
    <col width="38.5703125" customWidth="1" min="3" max="3"/>
    <col width="22.85546875" customWidth="1" min="4" max="4"/>
    <col width="20.7109375" customWidth="1" min="5" max="6"/>
    <col width="12.7109375" customWidth="1" min="7" max="8"/>
    <col width="66.140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4" t="inlineStr">
        <is>
          <t>Beneficiary Category</t>
        </is>
      </c>
      <c r="F1" s="4" t="inlineStr">
        <is>
          <t>Indicator</t>
        </is>
      </c>
      <c r="G1" s="4" t="inlineStr">
        <is>
          <t>Baseline</t>
        </is>
      </c>
      <c r="H1" s="4" t="inlineStr">
        <is>
          <t>Target</t>
        </is>
      </c>
      <c r="I1" s="12" t="inlineStr">
        <is>
          <t>Notes</t>
        </is>
      </c>
      <c r="J1" s="11" t="inlineStr">
        <is>
          <t>Donors</t>
        </is>
      </c>
      <c r="K1" t="inlineStr">
        <is>
          <t>Note</t>
        </is>
      </c>
    </row>
    <row r="2">
      <c r="A2" t="n">
        <v>46258</v>
      </c>
      <c r="B2" t="inlineStr">
        <is>
          <t>Small Grants Programme</t>
        </is>
      </c>
      <c r="C2" s="2" t="inlineStr">
        <is>
          <t>http://open.undp.org/projects/00046258</t>
        </is>
      </c>
      <c r="D2" t="n">
        <v>429168</v>
      </c>
      <c r="E2" s="3" t="inlineStr">
        <is>
          <t>Electricity Access</t>
        </is>
      </c>
      <c r="F2" s="3" t="inlineStr">
        <is>
          <t xml:space="preserve">General population </t>
        </is>
      </c>
      <c r="G2" s="3" t="n">
        <v>0</v>
      </c>
      <c r="H2" s="3" t="n">
        <v>20000</v>
      </c>
      <c r="I2" s="3" t="n"/>
    </row>
    <row r="3">
      <c r="A3" t="n">
        <v>118602</v>
      </c>
      <c r="B3" t="inlineStr">
        <is>
          <t>Climate Smart Solutions in Communities</t>
        </is>
      </c>
      <c r="C3" s="2" t="inlineStr">
        <is>
          <t>http://open.undp.org/projects/00118602</t>
        </is>
      </c>
      <c r="D3" t="n">
        <v>916858</v>
      </c>
      <c r="E3" s="3" t="inlineStr">
        <is>
          <t>Electricity Access</t>
        </is>
      </c>
      <c r="F3" s="3" t="inlineStr">
        <is>
          <t xml:space="preserve">General population </t>
        </is>
      </c>
      <c r="G3" s="3" t="n"/>
      <c r="H3" s="3" t="n">
        <v>1000000</v>
      </c>
      <c r="I3" s="3" t="inlineStr">
        <is>
          <t>The population of capital city of Yerevan benefitting from the street lighting.</t>
        </is>
      </c>
      <c r="K3" t="inlineStr">
        <is>
          <t>Review the output of the project to find indicators to apply a methodology for verfy/count the number of beneficiaries</t>
        </is>
      </c>
    </row>
    <row r="4">
      <c r="A4" t="n">
        <v>133238</v>
      </c>
      <c r="B4" t="inlineStr">
        <is>
          <t>Phase II_Climate Smart Solutions</t>
        </is>
      </c>
      <c r="C4" s="2" t="inlineStr">
        <is>
          <t>http://open.undp.org/projects/00133238</t>
        </is>
      </c>
      <c r="D4" t="n">
        <v>595301</v>
      </c>
      <c r="E4" s="3" t="inlineStr">
        <is>
          <t>Electricity Access</t>
        </is>
      </c>
      <c r="F4" s="3" t="inlineStr">
        <is>
          <t xml:space="preserve">General population </t>
        </is>
      </c>
      <c r="G4" s="3" t="n"/>
      <c r="H4" s="3" t="n">
        <v>1000000</v>
      </c>
      <c r="I4" s="3" t="inlineStr">
        <is>
          <t>The population of capital city of Yerevan benefitting from the street lighting.</t>
        </is>
      </c>
      <c r="K4" t="inlineStr">
        <is>
          <t>Review the output of the project to find indicators to apply a methodology for verfy/count the number of beneficiaries</t>
        </is>
      </c>
    </row>
    <row r="5" ht="147" customHeight="1">
      <c r="A5" s="8" t="inlineStr">
        <is>
          <t>00101711</t>
        </is>
      </c>
      <c r="B5" t="inlineStr">
        <is>
          <t>De-Risking Investment In Energy Efficient Retrofits</t>
        </is>
      </c>
      <c r="C5" s="2" t="inlineStr">
        <is>
          <t xml:space="preserve">https://open.undp.org/projects/00098348 </t>
        </is>
      </c>
      <c r="D5" t="n">
        <v>20420000</v>
      </c>
      <c r="E5" s="3" t="inlineStr">
        <is>
          <t>Other Energy Services</t>
        </is>
      </c>
      <c r="F5" s="6" t="inlineStr">
        <is>
          <t xml:space="preserve">Number of beneficiaries:
- vulnerable beneficiaries (lowest quintile of household income) with improved building EE
- occupants of public buildings
</t>
        </is>
      </c>
      <c r="G5" s="7" t="n">
        <v>0</v>
      </c>
      <c r="H5" s="5" t="n">
        <v>225000</v>
      </c>
      <c r="I5" s="6" t="inlineStr">
        <is>
          <t xml:space="preserve">In total, 29,844 (~65% are women), including:
Public buildings: 20,773 (~70% are women) in 44 buildings;
Residential buildings: 9,071 (~52% are women) in 98 buildings.
</t>
        </is>
      </c>
    </row>
    <row r="6" ht="45.75" customHeight="1">
      <c r="A6" t="inlineStr">
        <is>
          <t>`00140158</t>
        </is>
      </c>
      <c r="B6" s="10" t="inlineStr">
        <is>
          <t>Strengthened Community Resilience through Energy Efficiency and Low
Emission Development</t>
        </is>
      </c>
      <c r="D6" t="n">
        <v>1000000</v>
      </c>
      <c r="E6" t="inlineStr">
        <is>
          <t>Electricity Access</t>
        </is>
      </c>
      <c r="F6" s="10" t="inlineStr">
        <is>
          <t>Alaverdi community general population</t>
        </is>
      </c>
      <c r="G6" t="n">
        <v>0</v>
      </c>
      <c r="H6" s="9" t="n">
        <v>14000</v>
      </c>
      <c r="I6" s="10" t="inlineStr">
        <is>
          <t>The figure captures MABs, public building staff, 5% of the general population that will benefit from the PV plant and street lighting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1"/>
    <col width="110" customWidth="1" min="2" max="2"/>
  </cols>
  <sheetData>
    <row r="1">
      <c r="A1" s="65" t="inlineStr">
        <is>
          <t>Beneficiary Category</t>
        </is>
      </c>
      <c r="B1" s="65" t="inlineStr">
        <is>
          <t>Indicator</t>
        </is>
      </c>
    </row>
    <row r="2" ht="30.75" customHeight="1">
      <c r="A2" s="66" t="inlineStr">
        <is>
          <t>Electricity Access</t>
        </is>
      </c>
      <c r="B2" s="66" t="inlineStr">
        <is>
          <t>Number of people, disaggregated by sex, who gain access to clean electricity (direct access to electricity, lighting, cooling, etc.).</t>
        </is>
      </c>
    </row>
    <row r="3">
      <c r="A3" s="66" t="inlineStr">
        <is>
          <t>Energy (MW added)</t>
        </is>
      </c>
      <c r="B3" s="66" t="inlineStr">
        <is>
          <t>Installed renewable or clean-energy power capacity added, in MW.</t>
        </is>
      </c>
    </row>
    <row r="4" ht="30.75" customHeight="1">
      <c r="A4" s="66" t="inlineStr">
        <is>
          <t>Energy Storage (MW)</t>
        </is>
      </c>
      <c r="B4" s="66" t="inlineStr">
        <is>
          <t>Installed energy storage power capacity added, in MW.</t>
        </is>
      </c>
    </row>
    <row r="5">
      <c r="A5" s="66" t="inlineStr">
        <is>
          <t>Clean Cooking</t>
        </is>
      </c>
      <c r="B5" s="66" t="inlineStr">
        <is>
          <t>Number of people who gain access to clean cooking (direct access to clean cook stoves, clean fuels, biomass, etc.).</t>
        </is>
      </c>
    </row>
    <row r="6" ht="45.75" customHeight="1">
      <c r="A6" s="66" t="inlineStr">
        <is>
          <t>Clean Heating</t>
        </is>
      </c>
      <c r="B6" s="66" t="inlineStr">
        <is>
          <t>Number of people who gain access to clean heating (direct access to clean electric heaters, clean fuels, etc.).</t>
        </is>
      </c>
    </row>
    <row r="7" ht="30.75" customHeight="1">
      <c r="A7" s="66" t="inlineStr">
        <is>
          <t>Agriculture and Food System</t>
        </is>
      </c>
      <c r="B7" s="66" t="inlineStr">
        <is>
          <t>Number of people who gain access to clean, affordable, and sustainable energy for agricultural and food-system activities.</t>
        </is>
      </c>
    </row>
    <row r="8" ht="30.75" customHeight="1">
      <c r="A8" s="66" t="inlineStr">
        <is>
          <t>Health Services</t>
        </is>
      </c>
      <c r="B8" s="66" t="inlineStr">
        <is>
          <t>Number of people who gain access to health care facilities through clean energy systems.</t>
        </is>
      </c>
    </row>
    <row r="9" ht="30.75" customHeight="1">
      <c r="A9" s="66" t="inlineStr">
        <is>
          <t>Water Services</t>
        </is>
      </c>
      <c r="B9" s="66" t="inlineStr">
        <is>
          <t>Number of people who gain access to water services through clean energy systems.</t>
        </is>
      </c>
    </row>
    <row r="10" ht="30.75" customHeight="1">
      <c r="A10" s="66" t="inlineStr">
        <is>
          <t>Education Services</t>
        </is>
      </c>
      <c r="B10" s="66" t="inlineStr">
        <is>
          <t>Number of people who gain access to education services through clean energy systems, including students and teachers.</t>
        </is>
      </c>
    </row>
    <row r="11">
      <c r="A11" s="66" t="inlineStr">
        <is>
          <t>Transportation and E-mobility Services</t>
        </is>
      </c>
      <c r="B11" s="66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66" t="inlineStr">
        <is>
          <t>Energy Efficiency Services</t>
        </is>
      </c>
      <c r="B12" s="66" t="inlineStr">
        <is>
          <t>Energy saved from energy-efficiency interventions, such as building or industrial efficiency.</t>
        </is>
      </c>
    </row>
    <row r="13">
      <c r="A13" s="66" t="inlineStr">
        <is>
          <t>Energy Infrastructure Services</t>
        </is>
      </c>
      <c r="B13" s="66" t="inlineStr">
        <is>
          <t>Number of people benefiting from energy infrastructure interventions, such as streetlights, transmission, and distribution lines.</t>
        </is>
      </c>
    </row>
    <row r="14">
      <c r="A14" s="66" t="inlineStr">
        <is>
          <t>Other Energy Services</t>
        </is>
      </c>
      <c r="B14" s="66" t="inlineStr">
        <is>
          <t>Access to other energy services not captured by the categories above.</t>
        </is>
      </c>
    </row>
    <row r="15">
      <c r="A15" s="66" t="inlineStr">
        <is>
          <t>Financing support</t>
        </is>
      </c>
      <c r="B15" s="66" t="inlineStr">
        <is>
          <t>Support for the development of the energy market ecosystem.</t>
        </is>
      </c>
    </row>
    <row r="16">
      <c r="A16" s="66" t="inlineStr">
        <is>
          <t>Medium Enterprises</t>
        </is>
      </c>
      <c r="B16" s="66" t="inlineStr">
        <is>
          <t>Support for the development of medium enterprises in the energy transition market.</t>
        </is>
      </c>
    </row>
    <row r="17">
      <c r="A17" s="66" t="inlineStr">
        <is>
          <t>Small Enterprises</t>
        </is>
      </c>
      <c r="B17" s="66" t="inlineStr">
        <is>
          <t>Support for the development of small enterprises in the energy transition market.</t>
        </is>
      </c>
    </row>
    <row r="18">
      <c r="A18" s="66" t="inlineStr">
        <is>
          <t>Capacity Building Training</t>
        </is>
      </c>
      <c r="B18" s="66" t="inlineStr">
        <is>
          <t>Number of people benefiting from training on energy business, energy finance, or related implementation capacity.</t>
        </is>
      </c>
    </row>
    <row r="19" ht="45.75" customHeight="1">
      <c r="A19" s="66" t="inlineStr">
        <is>
          <t>Entrepreneurship Training</t>
        </is>
      </c>
      <c r="B19" s="66" t="inlineStr">
        <is>
          <t>Training for enterprises on the energy business, assumed to result in direct beneficiaries.</t>
        </is>
      </c>
    </row>
    <row r="20">
      <c r="A20" s="66" t="inlineStr">
        <is>
          <t>Market Intervention</t>
        </is>
      </c>
      <c r="B20" s="66" t="inlineStr">
        <is>
          <t>Volume of investment leveraged or barriers removed for clean, reliable, affordable, and sustainable energy solutions.</t>
        </is>
      </c>
    </row>
    <row r="21" ht="30.75" customHeight="1">
      <c r="A21" s="66" t="inlineStr">
        <is>
          <t>Campaign Participant</t>
        </is>
      </c>
      <c r="B21" s="66" t="inlineStr">
        <is>
          <t>Individuals who participate in advocacy or awareness campaigns on energy.</t>
        </is>
      </c>
    </row>
    <row r="22">
      <c r="A22" s="66" t="inlineStr">
        <is>
          <t>Policy or Regulatory Framework</t>
        </is>
      </c>
      <c r="B22" s="66" t="inlineStr">
        <is>
          <t>Policies, regulations, strategies, plans, or frameworks developed, approved, implemented, or strengthened.</t>
        </is>
      </c>
    </row>
    <row r="23">
      <c r="A23" s="66" t="inlineStr">
        <is>
          <t>GHG Emissions Reduction</t>
        </is>
      </c>
      <c r="B23" s="66" t="inlineStr">
        <is>
          <t>Greenhouse gas emissions reduced or mitigated, in tCO2e.</t>
        </is>
      </c>
    </row>
    <row r="24">
      <c r="A24" s="66" t="inlineStr">
        <is>
          <t>Other</t>
        </is>
      </c>
      <c r="B24" s="6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2026-06-08T15:49:44Z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