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20" windowWidth="19170" windowHeight="100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Alignment="1" applyProtection="1">
      <alignment vertical="top"/>
      <protection locked="0" hidden="0"/>
    </xf>
  </cellStyleXfs>
  <cellXfs count="7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3" fontId="5" fillId="0" borderId="0" applyAlignment="1" pivotButton="0" quotePrefix="0" xfId="0">
      <alignment vertical="center" wrapText="1"/>
    </xf>
    <xf numFmtId="0" fontId="6" fillId="0" borderId="0" pivotButton="0" quotePrefix="0" xfId="0"/>
    <xf numFmtId="4" fontId="5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top"/>
    </xf>
    <xf numFmtId="0" fontId="0" fillId="2" borderId="5" applyAlignment="1" pivotButton="0" quotePrefix="0" xfId="0">
      <alignment wrapText="1"/>
    </xf>
    <xf numFmtId="0" fontId="0" fillId="2" borderId="5" pivotButton="0" quotePrefix="0" xfId="0"/>
    <xf numFmtId="0" fontId="0" fillId="0" borderId="6" applyAlignment="1" pivotButton="0" quotePrefix="0" xfId="0">
      <alignment vertical="top"/>
    </xf>
    <xf numFmtId="0" fontId="2" fillId="0" borderId="4" pivotButton="0" quotePrefix="0" xfId="0"/>
    <xf numFmtId="0" fontId="2" fillId="0" borderId="3" applyAlignment="1" pivotButton="0" quotePrefix="0" xfId="0">
      <alignment horizontal="center" vertical="top"/>
    </xf>
    <xf numFmtId="0" fontId="4" fillId="0" borderId="2" applyAlignment="1" pivotButton="0" quotePrefix="0" xfId="1">
      <alignment horizontal="center" wrapText="1"/>
    </xf>
    <xf numFmtId="0" fontId="0" fillId="2" borderId="7" applyAlignment="1" pivotButton="0" quotePrefix="0" xfId="0">
      <alignment vertical="top" wrapText="1"/>
    </xf>
    <xf numFmtId="0" fontId="0" fillId="2" borderId="7" applyAlignment="1" pivotButton="0" quotePrefix="0" xfId="0">
      <alignment horizontal="center" vertical="top"/>
    </xf>
    <xf numFmtId="0" fontId="0" fillId="2" borderId="8" applyAlignment="1" pivotButton="0" quotePrefix="0" xfId="0">
      <alignment vertical="top"/>
    </xf>
    <xf numFmtId="0" fontId="0" fillId="2" borderId="7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43" fontId="0" fillId="0" borderId="9" applyAlignment="1" pivotButton="0" quotePrefix="0" xfId="0">
      <alignment vertical="top"/>
    </xf>
    <xf numFmtId="0" fontId="0" fillId="0" borderId="6" applyAlignment="1" pivotButton="0" quotePrefix="1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4" fillId="0" borderId="6" applyAlignment="1" pivotButton="0" quotePrefix="0" xfId="1">
      <alignment vertical="top" wrapText="1"/>
    </xf>
    <xf numFmtId="43" fontId="0" fillId="0" borderId="4" applyAlignment="1" pivotButton="0" quotePrefix="0" xfId="0">
      <alignment vertical="top"/>
    </xf>
    <xf numFmtId="0" fontId="0" fillId="2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0" fillId="3" borderId="2" applyAlignment="1" pivotButton="0" quotePrefix="0" xfId="0">
      <alignment horizontal="center" vertical="top"/>
    </xf>
    <xf numFmtId="0" fontId="0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1" xfId="0">
      <alignment horizontal="center" vertical="top"/>
    </xf>
    <xf numFmtId="0" fontId="4" fillId="0" borderId="2" applyAlignment="1" pivotButton="0" quotePrefix="0" xfId="1">
      <alignment vertical="top" wrapText="1"/>
    </xf>
    <xf numFmtId="43" fontId="0" fillId="0" borderId="2" applyAlignment="1" pivotButton="0" quotePrefix="0" xfId="0">
      <alignment vertical="top"/>
    </xf>
    <xf numFmtId="0" fontId="0" fillId="2" borderId="4" applyAlignment="1" pivotButton="0" quotePrefix="0" xfId="0">
      <alignment vertical="top"/>
    </xf>
    <xf numFmtId="3" fontId="0" fillId="2" borderId="2" applyAlignment="1" pivotButton="0" quotePrefix="0" xfId="0">
      <alignment vertical="top" wrapText="1"/>
    </xf>
    <xf numFmtId="0" fontId="0" fillId="0" borderId="11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top" wrapText="1"/>
    </xf>
    <xf numFmtId="0" fontId="0" fillId="4" borderId="2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43" fontId="0" fillId="5" borderId="2" applyAlignment="1" pivotButton="0" quotePrefix="0" xfId="0">
      <alignment vertical="top"/>
    </xf>
    <xf numFmtId="0" fontId="5" fillId="5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3" fontId="0" fillId="5" borderId="2" applyAlignment="1" pivotButton="0" quotePrefix="0" xfId="0">
      <alignment vertical="top" wrapText="1"/>
    </xf>
    <xf numFmtId="0" fontId="0" fillId="5" borderId="5" pivotButton="0" quotePrefix="0" xfId="0"/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stm.fa.em2.oraclecloud.com/fscmUI/faces/FuseWelcome?_adf.ctrl-state=g7nug1kw3_1300&amp;fnd=%3B%3B%3B%3Bfalse%3B256%3B%3B%3B&amp;_afrLoop=7211426784636750" TargetMode="External" Id="rId1"/><Relationship Type="http://schemas.openxmlformats.org/officeDocument/2006/relationships/hyperlink" Target="https://estm.fa.em2.oraclecloud.com/fscmUI/faces/FuseWelcome?_adf.ctrl-state=g7nug1kw3_1300&amp;fnd=%3B%3B%3B%3Bfalse%3B256%3B%3B%3B&amp;_afrLoop=7211426784636750" TargetMode="External" Id="rId2"/><Relationship Type="http://schemas.openxmlformats.org/officeDocument/2006/relationships/hyperlink" Target="https://estm.fa.em2.oraclecloud.com/fscmUI/faces/FuseWelcome?_adf.ctrl-state=g7nug1kw3_5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eur03.safelinks.protection.outlook.com/?url=https%3A%2F%2Ffinance.partneragencies.org%2Fpsp%2FUNDPP1FS%2FEMPLOYEE%2FERP%2Fc%2FESTABLISH_AWARDS.GM_BUD_DETAIL.GBL%3FPage%3DPC_BUD_DETAIL2%26BUDGET_PERIOD%3D3%26BUSINESS_UNIT%3DUNDP1%26PC_BUDGET_ID%3D1%26PC_BUD_TYPE%3DC%26PROJECT_ID%3D00128651%26Action%3DU&amp;data=05%7C01%7Ctanzila.sankoh%40undp.org%7C8b842e0b18fc40bce26a08db6cfa8896%7Cb3e5db5e2944483799f57488ace54319%7C0%7C0%7C638223595505234431%7CUnknown%7CTWFpbGZsb3d8eyJWIjoiMC4wLjAwMDAiLCJQIjoiV2luMzIiLCJBTiI6Ik1haWwiLCJXVCI6Mn0%3D%7C3000%7C%7C%7C&amp;sdata=r2G6QQR%2Fxul%2BDT8sJoORs9dWDHelO9mkedvPC1PoM%2Fs%3D&amp;reserved=0" TargetMode="External" Id="rId1"/><Relationship Type="http://schemas.openxmlformats.org/officeDocument/2006/relationships/hyperlink" Target="https://estm.fa.em2.oraclecloud.com/fscmUI/faces/FuseWelcome?_adf.ctrl-state=1bhjjzg4kz_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tabSelected="1" topLeftCell="E1" zoomScale="70" zoomScaleNormal="70" workbookViewId="0">
      <selection activeCell="S4" sqref="S4"/>
    </sheetView>
  </sheetViews>
  <sheetFormatPr baseColWidth="8" defaultColWidth="8.85546875" defaultRowHeight="15"/>
  <cols>
    <col width="15.7109375" customWidth="1" style="2" min="1" max="1"/>
    <col width="23.42578125" customWidth="1" style="2" min="2" max="2"/>
    <col width="41.7109375" customWidth="1" style="2" min="3" max="3"/>
    <col width="15.140625" customWidth="1" style="5" min="4" max="4"/>
    <col width="15.140625" customWidth="1" style="2" min="5" max="5"/>
    <col width="15.140625" customWidth="1" style="1" min="6" max="6"/>
    <col width="15.140625" customWidth="1" style="3" min="7" max="7"/>
    <col width="15.140625" customWidth="1" style="1" min="8" max="8"/>
    <col width="23.42578125" customWidth="1" style="1" min="9" max="9"/>
    <col width="26.28515625" customWidth="1" style="2" min="10" max="10"/>
    <col width="8.85546875" customWidth="1" style="2" min="11" max="11"/>
    <col width="12.85546875" bestFit="1" customWidth="1" style="2" min="12" max="12"/>
    <col width="8.85546875" customWidth="1" style="2" min="13" max="13"/>
    <col width="14.42578125" bestFit="1" customWidth="1" style="2" min="14" max="14"/>
    <col width="14.85546875" bestFit="1" customWidth="1" style="2" min="15" max="15"/>
    <col width="8.85546875" customWidth="1" style="2" min="16" max="16384"/>
  </cols>
  <sheetData>
    <row r="1" ht="19.5" customHeight="1">
      <c r="A1" s="26" t="inlineStr">
        <is>
          <t>Project ID</t>
        </is>
      </c>
      <c r="B1" s="21" t="inlineStr">
        <is>
          <t>Title</t>
        </is>
      </c>
      <c r="C1" s="26" t="inlineStr">
        <is>
          <t>Link</t>
        </is>
      </c>
      <c r="D1" s="21" t="inlineStr">
        <is>
          <t>Budget</t>
        </is>
      </c>
      <c r="E1" s="21" t="inlineStr">
        <is>
          <t>Start Year</t>
        </is>
      </c>
      <c r="F1" s="21" t="inlineStr">
        <is>
          <t>End Year</t>
        </is>
      </c>
      <c r="G1" s="21" t="inlineStr">
        <is>
          <t>Status</t>
        </is>
      </c>
      <c r="H1" s="21" t="inlineStr">
        <is>
          <t>VF or Non-VF</t>
        </is>
      </c>
      <c r="I1" s="21" t="inlineStr">
        <is>
          <t>Beneficiary Category</t>
        </is>
      </c>
      <c r="J1" s="21" t="inlineStr">
        <is>
          <t>Indicator</t>
        </is>
      </c>
      <c r="K1" s="21" t="inlineStr">
        <is>
          <t>Baseline</t>
        </is>
      </c>
      <c r="L1" s="21" t="inlineStr">
        <is>
          <t>Target</t>
        </is>
      </c>
      <c r="M1" s="21" t="inlineStr">
        <is>
          <t>Notes</t>
        </is>
      </c>
      <c r="N1" s="25" t="inlineStr">
        <is>
          <t>Donors</t>
        </is>
      </c>
      <c r="O1" s="43" t="inlineStr">
        <is>
          <t>Gender (% female)</t>
        </is>
      </c>
      <c r="P1" s="48" t="inlineStr">
        <is>
          <t>Tag</t>
        </is>
      </c>
      <c r="Q1" s="47" t="inlineStr">
        <is>
          <t>SEH Taxonomy</t>
        </is>
      </c>
      <c r="R1" s="47" t="inlineStr">
        <is>
          <t>RISE Taxonomy</t>
        </is>
      </c>
      <c r="S1" s="48" t="inlineStr">
        <is>
          <t>Flagship</t>
        </is>
      </c>
      <c r="T1" s="48" t="inlineStr">
        <is>
          <t>Indirect Category</t>
        </is>
      </c>
      <c r="U1" s="49" t="inlineStr">
        <is>
          <t>Indirect Taxonomy</t>
        </is>
      </c>
      <c r="V1" s="50" t="inlineStr">
        <is>
          <t>Technology</t>
        </is>
      </c>
      <c r="W1" s="49" t="inlineStr">
        <is>
          <t>Policy or Regulatory Framework</t>
        </is>
      </c>
      <c r="X1" s="50" t="inlineStr">
        <is>
          <t>Policy Population</t>
        </is>
      </c>
    </row>
    <row r="2" ht="46.5" customFormat="1" customHeight="1" s="4">
      <c r="A2" s="55" t="inlineStr">
        <is>
          <t>00120430</t>
        </is>
      </c>
      <c r="B2" s="61" t="inlineStr">
        <is>
          <t>Natural Resoure Management</t>
        </is>
      </c>
      <c r="C2" s="56" t="inlineStr">
        <is>
          <t>https://estm.fa.em2.oraclecloud.com/fscmUI/faces/FuseWelcome?_adf.ctrl-state=g7nug1kw3_1300&amp;fnd=%3B%3B%3B%3Bfalse%3B256%3B%3B%3B&amp;_afrLoop=7211426784636750</t>
        </is>
      </c>
      <c r="D2" s="57" t="n">
        <v>2200000</v>
      </c>
      <c r="E2" s="66" t="n"/>
      <c r="F2" s="66" t="n"/>
      <c r="G2" s="66" t="n"/>
      <c r="H2" s="57" t="inlineStr">
        <is>
          <t>Non-VF</t>
        </is>
      </c>
      <c r="I2" s="58" t="inlineStr">
        <is>
          <t>Health Services</t>
        </is>
      </c>
      <c r="J2" s="40" t="inlineStr">
        <is>
          <t>Number of people who gain access to health care facilities</t>
        </is>
      </c>
      <c r="K2" s="41" t="n">
        <v>0</v>
      </c>
      <c r="L2" s="42" t="n"/>
      <c r="M2" s="23" t="inlineStr">
        <is>
          <t>5 hospital laboratories</t>
        </is>
      </c>
      <c r="N2" s="54" t="inlineStr">
        <is>
          <t>Global Fund</t>
        </is>
      </c>
      <c r="O2" s="44" t="n">
        <v>1</v>
      </c>
      <c r="P2" s="51" t="n"/>
      <c r="Q2" s="53" t="inlineStr">
        <is>
          <t>Close the gap on energy access</t>
        </is>
      </c>
      <c r="R2" s="51" t="n"/>
      <c r="S2" s="51" t="n"/>
      <c r="T2" s="51" t="n"/>
      <c r="U2" s="51" t="n"/>
      <c r="V2" s="52" t="n"/>
      <c r="W2" s="51" t="n"/>
      <c r="X2" s="52" t="n"/>
    </row>
    <row r="3" ht="46.5" customFormat="1" customHeight="1" s="4">
      <c r="A3" s="55" t="inlineStr">
        <is>
          <t>00120430</t>
        </is>
      </c>
      <c r="B3" s="62" t="inlineStr">
        <is>
          <t>Natural Resoure Management</t>
        </is>
      </c>
      <c r="C3" s="56" t="inlineStr">
        <is>
          <t>https://estm.fa.em2.oraclecloud.com/fscmUI/faces/FuseWelcome?_adf.ctrl-state=g7nug1kw3_1300&amp;fnd=%3B%3B%3B%3Bfalse%3B256%3B%3B%3B&amp;_afrLoop=7211426784636750</t>
        </is>
      </c>
      <c r="D3" s="57" t="n">
        <v>753751</v>
      </c>
      <c r="E3" s="66" t="n"/>
      <c r="F3" s="66" t="n"/>
      <c r="G3" s="66" t="n"/>
      <c r="H3" s="57" t="inlineStr">
        <is>
          <t>Non-VF</t>
        </is>
      </c>
      <c r="I3" s="58" t="inlineStr">
        <is>
          <t>Health Services</t>
        </is>
      </c>
      <c r="J3" s="40" t="inlineStr">
        <is>
          <t>Number of people who gain access to health care facilities</t>
        </is>
      </c>
      <c r="K3" s="41" t="n">
        <v>0</v>
      </c>
      <c r="L3" s="42" t="n"/>
      <c r="M3" s="23" t="inlineStr">
        <is>
          <t>56 Health Units</t>
        </is>
      </c>
      <c r="N3" s="54" t="inlineStr">
        <is>
          <t>Global Fund</t>
        </is>
      </c>
      <c r="O3" s="44" t="n">
        <v>1</v>
      </c>
      <c r="P3" s="51" t="n"/>
      <c r="Q3" s="53" t="inlineStr">
        <is>
          <t>Close the gap on energy access</t>
        </is>
      </c>
      <c r="R3" s="51" t="n"/>
      <c r="S3" s="51" t="n"/>
      <c r="T3" s="51" t="n"/>
      <c r="U3" s="51" t="n"/>
      <c r="V3" s="52" t="n"/>
      <c r="W3" s="51" t="n"/>
      <c r="X3" s="52" t="n"/>
    </row>
    <row r="4" ht="46.5" customFormat="1" customHeight="1" s="4">
      <c r="A4" s="55" t="inlineStr">
        <is>
          <t>00132037</t>
        </is>
      </c>
      <c r="B4" s="36" t="inlineStr">
        <is>
          <t>Shine Salone: Illuminating lives, Igniting futures</t>
        </is>
      </c>
      <c r="C4" s="56" t="inlineStr">
        <is>
          <t>https://estm.fa.em2.oraclecloud.com/fscmUI/faces/FuseWelcome?_adf.ctrl-state=g7nug1kw3_5</t>
        </is>
      </c>
      <c r="D4" s="57" t="n">
        <v>427152</v>
      </c>
      <c r="E4" s="66" t="n"/>
      <c r="F4" s="66" t="n"/>
      <c r="G4" s="66" t="n"/>
      <c r="H4" s="57" t="inlineStr">
        <is>
          <t>Non-VF</t>
        </is>
      </c>
      <c r="I4" s="58" t="inlineStr">
        <is>
          <t>Health Services</t>
        </is>
      </c>
      <c r="J4" s="40" t="inlineStr">
        <is>
          <t>Number of people who gain access to health care facilities</t>
        </is>
      </c>
      <c r="K4" s="41" t="n">
        <v>0</v>
      </c>
      <c r="L4" s="42" t="n"/>
      <c r="M4" s="23" t="inlineStr">
        <is>
          <t>40 Health Units</t>
        </is>
      </c>
      <c r="N4" s="54" t="inlineStr">
        <is>
          <t>Trac 2 Funds</t>
        </is>
      </c>
      <c r="O4" s="44" t="n">
        <v>1</v>
      </c>
      <c r="P4" s="51" t="n"/>
      <c r="Q4" s="53" t="inlineStr">
        <is>
          <t>Close the gap on energy access</t>
        </is>
      </c>
      <c r="R4" s="51" t="n"/>
      <c r="S4" s="51" t="n"/>
      <c r="T4" s="51" t="n"/>
      <c r="U4" s="51" t="n"/>
      <c r="V4" s="52" t="n"/>
      <c r="W4" s="51" t="n"/>
      <c r="X4" s="52" t="n"/>
    </row>
    <row r="5" ht="46.5" customFormat="1" customHeight="1" s="4">
      <c r="A5" s="55" t="inlineStr">
        <is>
          <t>00132037</t>
        </is>
      </c>
      <c r="B5" s="36" t="inlineStr">
        <is>
          <t>Shine Salone: Illuminating lives, Igniting futures</t>
        </is>
      </c>
      <c r="C5" s="56" t="inlineStr">
        <is>
          <t>https://estm.fa.em2.oraclecloud.com/fscmUI/faces/FuseWelcome?_adf.ctrl-state=g7nug1kw3_7</t>
        </is>
      </c>
      <c r="D5" s="57" t="n">
        <v>168216</v>
      </c>
      <c r="E5" s="66" t="n"/>
      <c r="F5" s="66" t="n"/>
      <c r="G5" s="66" t="n"/>
      <c r="H5" s="57" t="inlineStr">
        <is>
          <t>Non-VF</t>
        </is>
      </c>
      <c r="I5" s="58" t="inlineStr">
        <is>
          <t>Small Enterprises</t>
        </is>
      </c>
      <c r="J5" s="40" t="inlineStr">
        <is>
          <t>Support for the development of small enterprises in rural areas</t>
        </is>
      </c>
      <c r="K5" s="41" t="n">
        <v>0</v>
      </c>
      <c r="L5" s="42" t="n"/>
      <c r="M5" s="23" t="inlineStr">
        <is>
          <t>6 Solar Kiosks for rural MSMEs</t>
        </is>
      </c>
      <c r="N5" s="54" t="inlineStr">
        <is>
          <t>Trac 2 Funds</t>
        </is>
      </c>
      <c r="O5" s="44" t="n">
        <v>1</v>
      </c>
      <c r="P5" s="51" t="n"/>
      <c r="Q5" s="53" t="inlineStr">
        <is>
          <t>Close the gap on energy access</t>
        </is>
      </c>
      <c r="R5" s="51" t="n"/>
      <c r="S5" s="51" t="n"/>
      <c r="T5" s="51" t="n"/>
      <c r="U5" s="51" t="n"/>
      <c r="V5" s="52" t="n"/>
      <c r="W5" s="51" t="n"/>
      <c r="X5" s="52" t="n"/>
    </row>
    <row r="6" ht="46.5" customFormat="1" customHeight="1" s="4">
      <c r="A6" s="55" t="inlineStr">
        <is>
          <t>00132037</t>
        </is>
      </c>
      <c r="B6" s="36" t="inlineStr">
        <is>
          <t>Shine Salone: Illuminating lives, Igniting futures</t>
        </is>
      </c>
      <c r="C6" s="56" t="inlineStr">
        <is>
          <t>https://estm.fa.em2.oraclecloud.com/fscmUI/faces/FuseWelcome?_adf.ctrl-state=g7nug1kw3_8</t>
        </is>
      </c>
      <c r="D6" s="57" t="n">
        <v>84700</v>
      </c>
      <c r="E6" s="66" t="n"/>
      <c r="F6" s="66" t="n"/>
      <c r="G6" s="66" t="n"/>
      <c r="H6" s="57" t="inlineStr">
        <is>
          <t>Non-VF</t>
        </is>
      </c>
      <c r="I6" s="58" t="inlineStr">
        <is>
          <t>Electricity Access</t>
        </is>
      </c>
      <c r="J6" s="40" t="inlineStr">
        <is>
          <t xml:space="preserve">Number of people, disaggregated by sex, who gain access to clean electricity </t>
        </is>
      </c>
      <c r="K6" s="41" t="n">
        <v>0</v>
      </c>
      <c r="L6" s="59" t="inlineStr">
        <is>
          <t>3,000 Female Headed HH</t>
        </is>
      </c>
      <c r="M6" s="23" t="n"/>
      <c r="N6" s="54" t="inlineStr">
        <is>
          <t>Trac  1 and 2 Funds</t>
        </is>
      </c>
      <c r="O6" s="44" t="n">
        <v>1</v>
      </c>
      <c r="P6" s="51" t="n"/>
      <c r="Q6" s="53" t="inlineStr">
        <is>
          <t>Close the gap on energy access</t>
        </is>
      </c>
      <c r="R6" s="51" t="n"/>
      <c r="S6" s="51" t="n"/>
      <c r="T6" s="51" t="n"/>
      <c r="U6" s="51" t="n"/>
      <c r="V6" s="52" t="n"/>
      <c r="W6" s="51" t="n"/>
      <c r="X6" s="52" t="n"/>
    </row>
    <row r="7">
      <c r="A7" s="55" t="n"/>
      <c r="B7" s="36" t="n"/>
      <c r="C7" s="56" t="n"/>
      <c r="D7" s="57" t="n"/>
      <c r="E7" s="66" t="n"/>
      <c r="F7" s="66" t="n"/>
      <c r="G7" s="66" t="n"/>
      <c r="H7" s="57" t="n"/>
      <c r="I7" s="58" t="inlineStr">
        <is>
          <t>Energy (MW added)</t>
        </is>
      </c>
      <c r="J7" s="40" t="inlineStr">
        <is>
          <t>Installed capacity in MW for access/productive-use outputs</t>
        </is>
      </c>
      <c r="K7" s="41" t="n">
        <v>0</v>
      </c>
      <c r="L7" s="69" t="n"/>
      <c r="M7" s="70" t="inlineStr">
        <is>
          <t>[AUTO-ADDED] Project reports access/productive-use beneficiary numbers but no MW value. Please add installed capacity (MW) or confirm not applicable.</t>
        </is>
      </c>
      <c r="N7" s="54" t="n"/>
      <c r="O7" s="44" t="n"/>
      <c r="P7" s="51" t="n"/>
      <c r="Q7" s="53" t="n"/>
      <c r="R7" s="51" t="n"/>
      <c r="S7" s="51" t="n"/>
      <c r="T7" s="51" t="n"/>
      <c r="U7" s="51" t="n"/>
      <c r="V7" s="52" t="n"/>
      <c r="W7" s="51" t="n"/>
      <c r="X7" s="52" t="n"/>
    </row>
    <row r="8">
      <c r="D8" s="6" t="n"/>
      <c r="E8" s="6" t="n"/>
      <c r="F8" s="6" t="n"/>
      <c r="G8" s="6" t="n"/>
      <c r="H8" s="6" t="n"/>
      <c r="J8" s="15" t="n"/>
      <c r="K8" s="15" t="n"/>
      <c r="L8" s="15" t="n"/>
      <c r="M8" s="15" t="n"/>
    </row>
    <row r="9">
      <c r="D9" s="6" t="n"/>
      <c r="E9" s="6" t="n"/>
      <c r="F9" s="6" t="n"/>
      <c r="G9" s="6" t="n"/>
      <c r="H9" s="6" t="n"/>
      <c r="I9" t="inlineStr">
        <is>
          <t>Energy (MW added)</t>
        </is>
      </c>
      <c r="J9" s="15" t="inlineStr">
        <is>
          <t>Installed capacity in MW for access/productive-use outputs</t>
        </is>
      </c>
      <c r="K9" s="15" t="n">
        <v>0</v>
      </c>
      <c r="L9" s="67" t="n"/>
      <c r="M9" s="67" t="inlineStr">
        <is>
          <t>[AUTO-ADDED] Project reports access/productive-use beneficiary numbers but no MW value. Please add installed capacity (MW) or confirm not applicable.</t>
        </is>
      </c>
    </row>
    <row r="10">
      <c r="A10" s="8" t="n"/>
      <c r="B10" s="9" t="n"/>
      <c r="C10" s="10" t="n"/>
      <c r="D10" s="11" t="n"/>
      <c r="E10" s="11" t="n"/>
      <c r="F10" s="11" t="n"/>
      <c r="G10" s="11" t="n"/>
      <c r="H10" s="11" t="n"/>
      <c r="I10" s="9" t="n"/>
      <c r="J10" s="12" t="n"/>
      <c r="K10" s="8" t="n"/>
      <c r="L10" s="8" t="n"/>
      <c r="M10" s="13" t="n"/>
    </row>
    <row r="11">
      <c r="A11" s="8" t="n"/>
      <c r="B11" s="9" t="n"/>
      <c r="C11" s="10" t="n"/>
      <c r="D11" s="11" t="n"/>
      <c r="E11" s="11" t="n"/>
      <c r="F11" s="11" t="n"/>
      <c r="G11" s="11" t="n"/>
      <c r="H11" s="11" t="n"/>
      <c r="I11" s="14" t="n"/>
      <c r="J11" s="15" t="n"/>
      <c r="K11" s="14" t="n"/>
      <c r="L11" s="14" t="n"/>
      <c r="M11" s="13" t="n"/>
    </row>
    <row r="12">
      <c r="A12" s="8" t="n"/>
      <c r="B12" s="9" t="n"/>
      <c r="C12" s="10" t="n"/>
      <c r="D12" s="11" t="n"/>
      <c r="E12" s="11" t="n"/>
      <c r="F12" s="11" t="n"/>
      <c r="G12" s="11" t="n"/>
      <c r="H12" s="11" t="n"/>
      <c r="I12" s="14" t="n"/>
      <c r="J12" s="15" t="n"/>
      <c r="K12" s="14" t="n"/>
      <c r="L12" s="14" t="n"/>
    </row>
    <row r="13">
      <c r="A13" s="14" t="n"/>
      <c r="B13" s="14" t="n"/>
      <c r="C13" s="16" t="n"/>
      <c r="D13" s="20" t="n"/>
      <c r="E13" s="20" t="n"/>
      <c r="F13" s="20" t="n"/>
      <c r="G13" s="20" t="n"/>
      <c r="H13" s="20" t="n"/>
      <c r="I13" s="14" t="n"/>
      <c r="J13" s="15" t="n"/>
      <c r="K13" s="14" t="n"/>
      <c r="L13" s="14" t="n"/>
      <c r="M13" s="13" t="n"/>
    </row>
    <row r="14"/>
    <row r="15"/>
    <row r="16"/>
    <row r="17">
      <c r="B17" s="7" t="n"/>
    </row>
  </sheetData>
  <dataValidations count="12">
    <dataValidation sqref="Q2:Q4 Q5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4 N5:N6" showDropDown="0" showInputMessage="1" showErrorMessage="1" allowBlank="1" type="list">
      <formula1>"Accelerating just energy transition, Close the gap on energy access, Scale up energy finance"</formula1>
    </dataValidation>
    <dataValidation sqref="O2:O4 O5:O6" showDropDown="0" showInputMessage="1" showErrorMessage="1" allowBlank="1" type="list">
      <formula1>"Electricity Access, Energy Efficiency, Clean Cooking, Renewable Energy, Overall"</formula1>
    </dataValidation>
    <dataValidation sqref="M2:M4 M5:M6" showDropDown="0" showInputMessage="1" showErrorMessage="1" allowBlank="1" type="list">
      <formula1>"Finance, Gender, Efficiency, Just, Health"</formula1>
    </dataValidation>
    <dataValidation sqref="T2:T4 T5:T6" showDropDown="0" showInputMessage="1" showErrorMessage="1" allowBlank="1" type="list">
      <formula1>"National, Regional, City, Community"</formula1>
    </dataValidation>
    <dataValidation sqref="P2:P4 P5:P6" showDropDown="0" showInputMessage="1" showErrorMessage="1" allowBlank="1" type="list">
      <formula1>"AMP, PUDC, Solar4Health, Action Opportunities, Italy UNDP Energy Partnership"</formula1>
    </dataValidation>
    <dataValidation sqref="L2:L4 L5:L6" showDropDown="0" showInputMessage="1" showErrorMessage="1" allowBlank="1" type="list">
      <formula1>"Non-VF, VF"</formula1>
    </dataValidation>
    <dataValidation sqref="R2:R4 R5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4 S5:S6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topLeftCell="A5" zoomScale="70" zoomScaleNormal="70" workbookViewId="0">
      <selection activeCell="A5" sqref="A5"/>
    </sheetView>
  </sheetViews>
  <sheetFormatPr baseColWidth="8" defaultColWidth="8.85546875" defaultRowHeight="14.45"/>
  <cols>
    <col width="15.7109375" customWidth="1" style="2" min="1" max="1"/>
    <col width="23.42578125" customWidth="1" style="2" min="2" max="2"/>
    <col width="41.7109375" customWidth="1" style="2" min="3" max="3"/>
    <col width="15.140625" customWidth="1" style="5" min="4" max="4"/>
    <col width="28.5703125" customWidth="1" style="2" min="5" max="5"/>
    <col width="35" customWidth="1" style="1" min="6" max="6"/>
    <col width="19.85546875" customWidth="1" style="3" min="7" max="7"/>
    <col width="21.5703125" customWidth="1" style="1" min="8" max="8"/>
    <col width="65.140625" customWidth="1" style="1" min="9" max="9"/>
    <col width="26.28515625" customWidth="1" style="2" min="10" max="10"/>
    <col width="8.85546875" customWidth="1" style="2" min="11" max="16384"/>
  </cols>
  <sheetData>
    <row r="1" ht="19.5" customHeight="1">
      <c r="A1" s="26" t="inlineStr">
        <is>
          <t>Project ID</t>
        </is>
      </c>
      <c r="B1" s="21" t="inlineStr">
        <is>
          <t>Title</t>
        </is>
      </c>
      <c r="C1" s="26" t="inlineStr">
        <is>
          <t>Link</t>
        </is>
      </c>
      <c r="D1" s="21" t="inlineStr">
        <is>
          <t>Budget</t>
        </is>
      </c>
      <c r="E1" s="21" t="inlineStr">
        <is>
          <t>Beneficiary Category</t>
        </is>
      </c>
      <c r="F1" s="21" t="inlineStr">
        <is>
          <t>Indicator</t>
        </is>
      </c>
      <c r="G1" s="21" t="inlineStr">
        <is>
          <t>Baseline</t>
        </is>
      </c>
      <c r="H1" s="21" t="inlineStr">
        <is>
          <t>Target</t>
        </is>
      </c>
      <c r="I1" s="21" t="inlineStr">
        <is>
          <t>Notes</t>
        </is>
      </c>
      <c r="J1" s="25" t="inlineStr">
        <is>
          <t>Donors</t>
        </is>
      </c>
    </row>
    <row r="2" ht="261" customHeight="1">
      <c r="A2" s="33" t="n">
        <v>128651</v>
      </c>
      <c r="B2" s="32" t="inlineStr">
        <is>
          <t>Stockholm plus 50</t>
        </is>
      </c>
      <c r="C2" s="27" t="inlineStr">
        <is>
          <t>https://eur03.safelinks.protection.outlook.com/?url=https%3A%2F%2Ffinance.partneragencies.org%2Fpsp%2FUNDPP1FS%2FEMPLOYEE%2FERP%2Fc%2FESTABLISH_AWARDS.GM_BUD_DETAIL.GBL%3FPage%3DPC_BUD_DETAIL2%26BUDGET_PERIOD%3D3%26BUSINESS_UNIT%3DUNDP1%26PC_BUDGET_ID%3D1%26PC_BUD_TYPE%3DC%26PROJECT_ID%3D00128651%26Action%3DU&amp;data=05%7C01%7Ctanzila.sankoh%40undp.org%7C8b842e0b18fc40bce26a08db6cfa8896%7Cb3e5db5e2944483799f57488ace54319%7C0%7C0%7C638223595505234431%7CUnknown%7CTWFpbGZsb3d8eyJWIjoiMC4wLjAwMDAiLCJQIjoiV2luMzIiLCJBTiI6Ik1haWwiLCJXVCI6Mn0%3D%7C3000%7C%7C%7C&amp;sdata=r2G6QQR%2Fxul%2BDT8sJoORs9dWDHelO9mkedvPC1PoM%2Fs%3D&amp;reserved=0</t>
        </is>
      </c>
      <c r="D2" s="34" t="n">
        <v>94000</v>
      </c>
      <c r="E2" s="31" t="inlineStr">
        <is>
          <t>Electricity Access</t>
        </is>
      </c>
      <c r="F2" s="28" t="inlineStr">
        <is>
          <t>No of female headed households supported with electricity in Falaba and Kailahun.</t>
        </is>
      </c>
      <c r="G2" s="29" t="n">
        <v>0</v>
      </c>
      <c r="H2" s="30" t="inlineStr">
        <is>
          <t>447 households</t>
        </is>
      </c>
      <c r="I2" s="23" t="n"/>
      <c r="J2" s="24" t="inlineStr">
        <is>
          <t xml:space="preserve">Swedish Government </t>
        </is>
      </c>
    </row>
    <row r="3" ht="46.5" customFormat="1" customHeight="1" s="4">
      <c r="A3" s="35" t="inlineStr">
        <is>
          <t>00126004</t>
        </is>
      </c>
      <c r="B3" s="36" t="inlineStr">
        <is>
          <t>Youth Empowerment and Employment</t>
        </is>
      </c>
      <c r="C3" s="37" t="inlineStr">
        <is>
          <t>https://estm.fa.em2.oraclecloud.com/fscmUI/faces/FuseWelcome?_adf.ctrl-state=1bhjjzg4kz_5</t>
        </is>
      </c>
      <c r="D3" s="38" t="n">
        <v>160000</v>
      </c>
      <c r="E3" s="39" t="inlineStr">
        <is>
          <t>Small Enterprises</t>
        </is>
      </c>
      <c r="F3" s="40" t="inlineStr">
        <is>
          <t>No of women-led MSMEs in energy sector leveraging grants for expanded capacity</t>
        </is>
      </c>
      <c r="G3" s="41" t="n">
        <v>0</v>
      </c>
      <c r="H3" s="42" t="inlineStr">
        <is>
          <t xml:space="preserve">6 MSMEs </t>
        </is>
      </c>
      <c r="I3" s="22" t="n"/>
      <c r="J3" s="24" t="inlineStr">
        <is>
          <t>UNDP (TRAC 2 resources)</t>
        </is>
      </c>
    </row>
    <row r="4">
      <c r="B4" s="17" t="n"/>
      <c r="D4" s="6" t="n"/>
      <c r="F4" s="15" t="n"/>
      <c r="G4" s="15" t="n"/>
      <c r="H4" s="18" t="n"/>
      <c r="I4" s="15" t="n"/>
    </row>
    <row r="5">
      <c r="A5" s="19" t="n"/>
      <c r="D5" s="6" t="n"/>
      <c r="F5" s="15" t="n"/>
      <c r="G5" s="15" t="n"/>
      <c r="H5" s="15" t="n"/>
      <c r="I5" s="15" t="n"/>
    </row>
    <row r="6">
      <c r="D6" s="6" t="n"/>
      <c r="F6" s="15" t="n"/>
      <c r="G6" s="15" t="n"/>
      <c r="H6" s="15" t="n"/>
      <c r="I6" s="15" t="n"/>
    </row>
    <row r="7">
      <c r="A7" s="8" t="n"/>
      <c r="B7" s="9" t="n"/>
      <c r="C7" s="10" t="n"/>
      <c r="D7" s="11" t="n"/>
      <c r="E7" s="9" t="n"/>
      <c r="F7" s="12" t="n"/>
      <c r="G7" s="8" t="n"/>
      <c r="H7" s="8" t="n"/>
      <c r="I7" s="13" t="n"/>
    </row>
    <row r="8">
      <c r="A8" s="8" t="n"/>
      <c r="B8" s="9" t="n"/>
      <c r="C8" s="10" t="n"/>
      <c r="D8" s="11" t="n"/>
      <c r="E8" s="14" t="n"/>
      <c r="F8" s="15" t="n"/>
      <c r="G8" s="14" t="n"/>
      <c r="H8" s="14" t="n"/>
      <c r="I8" s="13" t="n"/>
    </row>
    <row r="9">
      <c r="A9" s="8" t="n"/>
      <c r="B9" s="9" t="n"/>
      <c r="C9" s="10" t="n"/>
      <c r="D9" s="11" t="n"/>
      <c r="E9" s="14" t="n"/>
      <c r="F9" s="15" t="n"/>
      <c r="G9" s="14" t="n"/>
      <c r="H9" s="14" t="n"/>
    </row>
    <row r="10">
      <c r="A10" s="14" t="n"/>
      <c r="B10" s="14" t="n"/>
      <c r="C10" s="16" t="n"/>
      <c r="D10" s="20" t="n"/>
      <c r="E10" s="14" t="n"/>
      <c r="F10" s="15" t="n"/>
      <c r="G10" s="14" t="n"/>
      <c r="H10" s="14" t="n"/>
      <c r="I10" s="13" t="n"/>
    </row>
    <row r="14">
      <c r="B14" s="7" t="n"/>
    </row>
  </sheetData>
  <hyperlinks>
    <hyperlink xmlns:r="http://schemas.openxmlformats.org/officeDocument/2006/relationships" ref="C2" display="https://eur03.safelinks.protection.outlook.com/?url=https%3A%2F%2Ffinance.partneragencies.org%2Fpsp%2FUNDPP1FS%2FEMPLOYEE%2FERP%2Fc%2FESTABLISH_AWARDS.GM_BUD_DETAIL.GBL%3FPage%3DPC_BUD_DETAIL2%26BUDGET_PERIOD%3D3%26BUSINESS_UNIT%3DUNDP1%26PC_BUDGET_ID%3D1%26PC_BUD_TYPE%3DC%26PROJECT_ID%3D00128651%26Action%3DU&amp;data=05%7C01%7Ctanzila.sankoh%40undp.org%7C8b842e0b18fc40bce26a08db6cfa8896%7Cb3e5db5e2944483799f57488ace54319%7C0%7C0%7C638223595505234431%7CUnknown%7CTWFpbGZsb3d8eyJWIjoiMC4wLjAwMDAiLCJQIjoiV2luMzIiLCJBTiI6Ik1haWwiLCJXVCI6Mn0%3D%7C3000%7C%7C%7C&amp;sdata=r2G6QQR%2Fxul%2BDT8sJoORs9dWDHelO9mkedvPC1PoM%2Fs%3D&amp;reserved=0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B16" sqref="B16"/>
    </sheetView>
  </sheetViews>
  <sheetFormatPr baseColWidth="8" defaultColWidth="8.85546875" defaultRowHeight="15" customHeight="1"/>
  <cols>
    <col width="36" customWidth="1" min="1" max="1"/>
    <col width="110" customWidth="1" min="2" max="2"/>
  </cols>
  <sheetData>
    <row r="1">
      <c r="A1" s="68" t="inlineStr">
        <is>
          <t>Beneficiary Category</t>
        </is>
      </c>
      <c r="B1" s="68" t="inlineStr">
        <is>
          <t>Indicator</t>
        </is>
      </c>
    </row>
    <row r="2" ht="30.75" customHeight="1">
      <c r="A2" s="1" t="inlineStr">
        <is>
          <t>Electricity Access</t>
        </is>
      </c>
      <c r="B2" s="1" t="inlineStr">
        <is>
          <t>Number of people, disaggregated by sex, who gain access to clean electricity (direct access to electricity, lighting, cooling, etc.).</t>
        </is>
      </c>
    </row>
    <row r="3">
      <c r="A3" s="1" t="inlineStr">
        <is>
          <t>Energy (MW added)</t>
        </is>
      </c>
      <c r="B3" s="1" t="inlineStr">
        <is>
          <t>Installed renewable or clean-energy power capacity added, in MW.</t>
        </is>
      </c>
    </row>
    <row r="4" ht="30.75" customHeight="1">
      <c r="A4" s="1" t="inlineStr">
        <is>
          <t>Energy Storage (MW)</t>
        </is>
      </c>
      <c r="B4" s="1" t="inlineStr">
        <is>
          <t>Installed energy storage power capacity added, in MW.</t>
        </is>
      </c>
    </row>
    <row r="5" ht="21" customHeight="1">
      <c r="A5" s="1" t="inlineStr">
        <is>
          <t>Clean Cooking</t>
        </is>
      </c>
      <c r="B5" s="1" t="inlineStr">
        <is>
          <t>Number of people who gain access to clean cooking (direct access to clean cook stoves, clean fuels, biomass, etc.).</t>
        </is>
      </c>
    </row>
    <row r="6" ht="45.75" customHeight="1">
      <c r="A6" s="1" t="inlineStr">
        <is>
          <t>Clean Heating</t>
        </is>
      </c>
      <c r="B6" s="1" t="inlineStr">
        <is>
          <t>Number of people who gain access to clean heating (direct access to clean electric heaters, clean fuels, etc.).</t>
        </is>
      </c>
    </row>
    <row r="7" ht="30.75" customHeight="1">
      <c r="A7" s="1" t="inlineStr">
        <is>
          <t>Agriculture and Food System</t>
        </is>
      </c>
      <c r="B7" s="1" t="inlineStr">
        <is>
          <t>Number of people who gain access to clean, affordable, and sustainable energy for agricultural and food-system activities.</t>
        </is>
      </c>
    </row>
    <row r="8" ht="30.75" customHeight="1">
      <c r="A8" s="1" t="inlineStr">
        <is>
          <t>Health Services</t>
        </is>
      </c>
      <c r="B8" s="1" t="inlineStr">
        <is>
          <t>Number of people who gain access to health care facilities through clean energy systems.</t>
        </is>
      </c>
    </row>
    <row r="9" ht="30.75" customHeight="1">
      <c r="A9" s="1" t="inlineStr">
        <is>
          <t>Water Services</t>
        </is>
      </c>
      <c r="B9" s="1" t="inlineStr">
        <is>
          <t>Number of people who gain access to water services through clean energy systems.</t>
        </is>
      </c>
    </row>
    <row r="10" ht="30.75" customHeight="1">
      <c r="A10" s="1" t="inlineStr">
        <is>
          <t>Education Services</t>
        </is>
      </c>
      <c r="B10" s="1" t="inlineStr">
        <is>
          <t>Number of people who gain access to education services through clean energy systems, including students and teachers.</t>
        </is>
      </c>
    </row>
    <row r="11">
      <c r="A11" s="1" t="inlineStr">
        <is>
          <t>Transportation and E-mobility Services</t>
        </is>
      </c>
      <c r="B11" s="1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1" t="inlineStr">
        <is>
          <t>Energy Efficiency Services</t>
        </is>
      </c>
      <c r="B12" s="1" t="inlineStr">
        <is>
          <t>Energy saved from energy-efficiency interventions, such as building or industrial efficiency.</t>
        </is>
      </c>
    </row>
    <row r="13">
      <c r="A13" s="1" t="inlineStr">
        <is>
          <t>Energy Infrastructure Services</t>
        </is>
      </c>
      <c r="B13" s="1" t="inlineStr">
        <is>
          <t>Number of people benefiting from energy infrastructure interventions, such as streetlights, transmission, and distribution lines.</t>
        </is>
      </c>
    </row>
    <row r="14">
      <c r="A14" s="1" t="inlineStr">
        <is>
          <t>Other Energy Services</t>
        </is>
      </c>
      <c r="B14" s="1" t="inlineStr">
        <is>
          <t>Access to other energy services not captured by the categories above.</t>
        </is>
      </c>
    </row>
    <row r="15">
      <c r="A15" s="1" t="inlineStr">
        <is>
          <t>Financing support</t>
        </is>
      </c>
      <c r="B15" s="1" t="inlineStr">
        <is>
          <t>Support for the development of the energy market ecosystem.</t>
        </is>
      </c>
    </row>
    <row r="16">
      <c r="A16" s="1" t="inlineStr">
        <is>
          <t>Medium Enterprises</t>
        </is>
      </c>
      <c r="B16" s="1" t="inlineStr">
        <is>
          <t>Support for the development of medium enterprises in the energy transition market.</t>
        </is>
      </c>
    </row>
    <row r="17">
      <c r="A17" s="1" t="inlineStr">
        <is>
          <t>Small Enterprises</t>
        </is>
      </c>
      <c r="B17" s="1" t="inlineStr">
        <is>
          <t>Support for the development of small enterprises in the energy transition market.</t>
        </is>
      </c>
    </row>
    <row r="18">
      <c r="A18" s="1" t="inlineStr">
        <is>
          <t>Capacity Building Training</t>
        </is>
      </c>
      <c r="B18" s="1" t="inlineStr">
        <is>
          <t>Number of people benefiting from training on energy business, energy finance, or related implementation capacity.</t>
        </is>
      </c>
    </row>
    <row r="19" ht="45.75" customHeight="1">
      <c r="A19" s="1" t="inlineStr">
        <is>
          <t>Entrepreneurship Training</t>
        </is>
      </c>
      <c r="B19" s="1" t="inlineStr">
        <is>
          <t>Training for enterprises on the energy business, assumed to result in direct beneficiaries.</t>
        </is>
      </c>
    </row>
    <row r="20">
      <c r="A20" s="1" t="inlineStr">
        <is>
          <t>Market Intervention</t>
        </is>
      </c>
      <c r="B20" s="1" t="inlineStr">
        <is>
          <t>Volume of investment leveraged or barriers removed for clean, reliable, affordable, and sustainable energy solutions.</t>
        </is>
      </c>
    </row>
    <row r="21" ht="30.75" customHeight="1">
      <c r="A21" s="1" t="inlineStr">
        <is>
          <t>Campaign Participant</t>
        </is>
      </c>
      <c r="B21" s="1" t="inlineStr">
        <is>
          <t>Individuals who participate in advocacy or awareness campaigns on energy.</t>
        </is>
      </c>
    </row>
    <row r="22">
      <c r="A22" s="1" t="inlineStr">
        <is>
          <t>Policy or Regulatory Framework</t>
        </is>
      </c>
      <c r="B22" s="1" t="inlineStr">
        <is>
          <t>Policies, regulations, strategies, plans, or frameworks developed, approved, implemented, or strengthened.</t>
        </is>
      </c>
    </row>
    <row r="23">
      <c r="A23" s="1" t="inlineStr">
        <is>
          <t>GHG Emissions Reduction</t>
        </is>
      </c>
      <c r="B23" s="1" t="inlineStr">
        <is>
          <t>Greenhouse gas emissions reduced or mitigated, in tCO2e.</t>
        </is>
      </c>
    </row>
    <row r="24">
      <c r="A24" s="1" t="inlineStr">
        <is>
          <t>Other</t>
        </is>
      </c>
      <c r="B24" s="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2026-06-08T15:49:48Z</dcterms:modified>
  <cp:lastModifiedBy>Jordan Fast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