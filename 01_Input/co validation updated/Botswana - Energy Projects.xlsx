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Projects (3)" sheetId="1" state="visible" r:id="rId1"/>
    <sheet xmlns:r="http://schemas.openxmlformats.org/officeDocument/2006/relationships" name="Projects (2)" sheetId="2" state="hidden" r:id="rId2"/>
    <sheet xmlns:r="http://schemas.openxmlformats.org/officeDocument/2006/relationships" name="Projects" sheetId="3" state="hidden" r:id="rId3"/>
    <sheet xmlns:r="http://schemas.openxmlformats.org/officeDocument/2006/relationships" name="Beneficiary Categories" sheetId="4" state="visible" r:id="rId4"/>
  </sheets>
  <definedNames/>
  <calcPr calcId="191028" fullCalcOnLoad="1"/>
</workbook>
</file>

<file path=xl/styles.xml><?xml version="1.0" encoding="utf-8"?>
<styleSheet xmlns="http://schemas.openxmlformats.org/spreadsheetml/2006/main">
  <numFmts count="0"/>
  <fonts count="10">
    <font>
      <name val="Calibri"/>
      <family val="2"/>
      <color theme="1"/>
      <sz val="11"/>
      <scheme val="minor"/>
    </font>
    <font>
      <name val="Calibri"/>
      <color theme="1"/>
      <sz val="11"/>
      <scheme val="minor"/>
    </font>
    <font>
      <name val="Calibri"/>
      <family val="2"/>
      <b val="1"/>
      <color theme="1"/>
      <sz val="11"/>
      <scheme val="minor"/>
    </font>
    <font>
      <name val="Calibri"/>
      <charset val="1"/>
      <color rgb="FF000000"/>
      <sz val="11"/>
    </font>
    <font>
      <name val="Helvetica Neue"/>
      <charset val="1"/>
      <color theme="1"/>
      <sz val="10"/>
    </font>
    <font>
      <name val="Helvetica Neue"/>
      <charset val="1"/>
      <color rgb="FF000000"/>
      <sz val="10"/>
    </font>
    <font>
      <name val="Calibri"/>
      <b val="1"/>
      <color theme="1"/>
      <sz val="11"/>
      <scheme val="minor"/>
    </font>
    <font>
      <name val="Calibri"/>
      <color rgb="FF000000"/>
      <sz val="11"/>
      <scheme val="minor"/>
    </font>
    <font>
      <name val="Calibri"/>
      <family val="2"/>
      <color theme="10"/>
      <sz val="11"/>
      <u val="single"/>
      <scheme val="minor"/>
    </font>
    <font>
      <b val="1"/>
    </font>
  </fonts>
  <fills count="5">
    <fill>
      <patternFill/>
    </fill>
    <fill>
      <patternFill patternType="gray125"/>
    </fill>
    <fill>
      <patternFill patternType="solid">
        <fgColor rgb="FFFFE497"/>
        <bgColor indexed="64"/>
      </patternFill>
    </fill>
    <fill>
      <patternFill patternType="solid">
        <fgColor theme="9" tint="0.5999938962981048"/>
        <bgColor indexed="64"/>
      </patternFill>
    </fill>
    <fill>
      <patternFill patternType="solid">
        <fgColor rgb="00FFFF00"/>
      </patternFill>
    </fill>
  </fills>
  <borders count="8">
    <border>
      <left/>
      <right/>
      <top/>
      <bottom/>
      <diagonal/>
    </border>
    <border>
      <left style="thin">
        <color auto="1"/>
      </left>
      <right style="thin">
        <color auto="1"/>
      </right>
      <top style="thin">
        <color auto="1"/>
      </top>
      <bottom style="thin">
        <color auto="1"/>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8" fillId="0" borderId="0"/>
  </cellStyleXfs>
  <cellXfs count="39">
    <xf numFmtId="0" fontId="0" fillId="0" borderId="0" pivotButton="0" quotePrefix="0" xfId="0"/>
    <xf numFmtId="0" fontId="2" fillId="0" borderId="1" applyAlignment="1" pivotButton="0" quotePrefix="0" xfId="0">
      <alignment horizontal="center" vertical="top"/>
    </xf>
    <xf numFmtId="0" fontId="0" fillId="2" borderId="0" pivotButton="0" quotePrefix="0" xfId="0"/>
    <xf numFmtId="0" fontId="2" fillId="0" borderId="2" pivotButton="0" quotePrefix="0" xfId="0"/>
    <xf numFmtId="0" fontId="0" fillId="2" borderId="0" applyAlignment="1" pivotButton="0" quotePrefix="0" xfId="0">
      <alignment wrapText="1"/>
    </xf>
    <xf numFmtId="0" fontId="0" fillId="0" borderId="0" applyAlignment="1" pivotButton="0" quotePrefix="0" xfId="0">
      <alignment wrapText="1"/>
    </xf>
    <xf numFmtId="0" fontId="3" fillId="0" borderId="0" pivotButton="0" quotePrefix="0" xfId="0"/>
    <xf numFmtId="0" fontId="2" fillId="0" borderId="0" pivotButton="0" quotePrefix="0" xfId="0"/>
    <xf numFmtId="0" fontId="0" fillId="3" borderId="0" pivotButton="0" quotePrefix="0" xfId="0"/>
    <xf numFmtId="0" fontId="0" fillId="3" borderId="0" applyAlignment="1" pivotButton="0" quotePrefix="0" xfId="0">
      <alignment wrapText="1"/>
    </xf>
    <xf numFmtId="0" fontId="4" fillId="3" borderId="0" applyAlignment="1" pivotButton="0" quotePrefix="0" xfId="0">
      <alignment horizontal="left" vertical="center"/>
    </xf>
    <xf numFmtId="9" fontId="0" fillId="0" borderId="0" applyAlignment="1" pivotButton="0" quotePrefix="0" xfId="0">
      <alignment vertical="center"/>
    </xf>
    <xf numFmtId="0" fontId="5" fillId="3" borderId="0" applyAlignment="1" pivotButton="0" quotePrefix="0" xfId="0">
      <alignment vertical="center"/>
    </xf>
    <xf numFmtId="0" fontId="2" fillId="0" borderId="3" applyAlignment="1" pivotButton="0" quotePrefix="0" xfId="0">
      <alignment horizontal="center" vertical="top"/>
    </xf>
    <xf numFmtId="0" fontId="2" fillId="0" borderId="3" pivotButton="0" quotePrefix="0" xfId="0"/>
    <xf numFmtId="0" fontId="0" fillId="0" borderId="3" pivotButton="0" quotePrefix="0" xfId="0"/>
    <xf numFmtId="0" fontId="0" fillId="0" borderId="3" applyAlignment="1" pivotButton="0" quotePrefix="0" xfId="0">
      <alignment wrapText="1"/>
    </xf>
    <xf numFmtId="0" fontId="3" fillId="0" borderId="3" pivotButton="0" quotePrefix="0" xfId="0"/>
    <xf numFmtId="9" fontId="0" fillId="0" borderId="3" applyAlignment="1" pivotButton="0" quotePrefix="0" xfId="0">
      <alignment vertical="center"/>
    </xf>
    <xf numFmtId="0" fontId="0" fillId="0" borderId="3" applyAlignment="1" pivotButton="0" quotePrefix="0" xfId="0">
      <alignment horizontal="center" vertical="center"/>
    </xf>
    <xf numFmtId="0" fontId="2" fillId="0" borderId="3" applyAlignment="1" pivotButton="0" quotePrefix="0" xfId="0">
      <alignment horizontal="center"/>
    </xf>
    <xf numFmtId="0" fontId="6" fillId="0" borderId="3" applyAlignment="1" pivotButton="0" quotePrefix="0" xfId="0">
      <alignment horizontal="center" vertical="top" wrapText="1"/>
    </xf>
    <xf numFmtId="0" fontId="7" fillId="0" borderId="3" applyAlignment="1" pivotButton="0" quotePrefix="0" xfId="0">
      <alignment wrapText="1"/>
    </xf>
    <xf numFmtId="0" fontId="2" fillId="0" borderId="4" applyAlignment="1" pivotButton="0" quotePrefix="0" xfId="0">
      <alignment horizontal="center"/>
    </xf>
    <xf numFmtId="0" fontId="2" fillId="0" borderId="5" applyAlignment="1" pivotButton="0" quotePrefix="0" xfId="0">
      <alignment horizontal="center"/>
    </xf>
    <xf numFmtId="0" fontId="2" fillId="0" borderId="4" pivotButton="0" quotePrefix="0" xfId="0"/>
    <xf numFmtId="0" fontId="0" fillId="0" borderId="6" applyAlignment="1" pivotButton="0" quotePrefix="0" xfId="0">
      <alignment horizontal="center" vertical="center"/>
    </xf>
    <xf numFmtId="0" fontId="0" fillId="0" borderId="7" applyAlignment="1" pivotButton="0" quotePrefix="0" xfId="0">
      <alignment horizontal="center" vertical="center" wrapText="1"/>
    </xf>
    <xf numFmtId="0" fontId="0" fillId="0" borderId="3" applyAlignment="1" pivotButton="0" quotePrefix="0" xfId="0">
      <alignment vertical="center"/>
    </xf>
    <xf numFmtId="3" fontId="0" fillId="0" borderId="0" pivotButton="0" quotePrefix="0" xfId="0"/>
    <xf numFmtId="9" fontId="0" fillId="0" borderId="0" pivotButton="0" quotePrefix="0" xfId="0"/>
    <xf numFmtId="0" fontId="8" fillId="0" borderId="3" pivotButton="0" quotePrefix="0" xfId="1"/>
    <xf numFmtId="0" fontId="1" fillId="0" borderId="3" applyAlignment="1" pivotButton="0" quotePrefix="0" xfId="0">
      <alignment horizontal="left" vertical="center" wrapText="1"/>
    </xf>
    <xf numFmtId="0" fontId="1" fillId="0" borderId="3" applyAlignment="1" pivotButton="0" quotePrefix="0" xfId="0">
      <alignment wrapText="1"/>
    </xf>
    <xf numFmtId="0" fontId="1" fillId="0" borderId="3" applyAlignment="1" pivotButton="0" quotePrefix="0" xfId="0">
      <alignment vertical="center" wrapText="1"/>
    </xf>
    <xf numFmtId="0" fontId="0" fillId="4" borderId="3" pivotButton="0" quotePrefix="0" xfId="0"/>
    <xf numFmtId="3" fontId="0" fillId="4" borderId="0" pivotButton="0" quotePrefix="0" xfId="0"/>
    <xf numFmtId="0" fontId="9" fillId="0" borderId="0" applyAlignment="1" pivotButton="0" quotePrefix="0" xfId="0">
      <alignment vertical="top" wrapText="1"/>
    </xf>
    <xf numFmtId="0" fontId="0" fillId="0" borderId="0" applyAlignment="1" pivotButton="0" quotePrefix="0" xfId="0">
      <alignment vertical="top" wrapText="1"/>
    </xf>
  </cellXfs>
  <cellStyles count="2">
    <cellStyle name="Normal" xfId="0" builtinId="0"/>
    <cellStyle name="Hyperlink" xfId="1"/>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o.pims.undp.org/project/view?id=5299" TargetMode="External" Id="rId1"/></Relationships>
</file>

<file path=xl/worksheets/sheet1.xml><?xml version="1.0" encoding="utf-8"?>
<worksheet xmlns="http://schemas.openxmlformats.org/spreadsheetml/2006/main">
  <sheetPr>
    <outlinePr summaryBelow="1" summaryRight="1"/>
    <pageSetUpPr/>
  </sheetPr>
  <dimension ref="A1:X8"/>
  <sheetViews>
    <sheetView tabSelected="1" workbookViewId="0">
      <pane xSplit="1" ySplit="1" topLeftCell="C3" activePane="bottomRight" state="frozen"/>
      <selection pane="bottomRight" activeCell="L6" sqref="L6"/>
      <selection pane="bottomLeft" activeCell="A1" sqref="A1"/>
      <selection pane="topRight" activeCell="A1" sqref="A1"/>
    </sheetView>
  </sheetViews>
  <sheetFormatPr baseColWidth="8" defaultRowHeight="15"/>
  <cols>
    <col width="44.85546875" customWidth="1" min="2" max="2"/>
    <col width="20.7109375" customWidth="1" min="3" max="3"/>
    <col width="13" customWidth="1" min="4" max="4"/>
    <col width="13" customWidth="1" min="5" max="6"/>
    <col width="13" customWidth="1" min="6" max="6"/>
    <col width="13" customWidth="1" min="7" max="8"/>
    <col width="13" customWidth="1" min="8" max="8"/>
    <col width="50.28515625" customWidth="1" min="9" max="9"/>
    <col width="12.85546875" bestFit="1" customWidth="1" min="12" max="12"/>
    <col width="19.140625" customWidth="1" min="14" max="14"/>
    <col width="23.140625" customWidth="1" min="15" max="16"/>
    <col width="22.140625" customWidth="1" min="17" max="17"/>
    <col width="21.42578125" customWidth="1" min="18" max="18"/>
    <col width="11.28515625" bestFit="1" customWidth="1" min="19" max="19"/>
    <col width="30.28515625" bestFit="1" customWidth="1" min="20" max="20"/>
    <col width="16.7109375" bestFit="1" customWidth="1" min="21" max="21"/>
  </cols>
  <sheetData>
    <row r="1">
      <c r="A1" s="13" t="inlineStr">
        <is>
          <t>Project ID</t>
        </is>
      </c>
      <c r="B1" s="13" t="inlineStr">
        <is>
          <t>Title</t>
        </is>
      </c>
      <c r="C1" s="13" t="inlineStr">
        <is>
          <t>Link</t>
        </is>
      </c>
      <c r="D1" s="13" t="inlineStr">
        <is>
          <t>Budget</t>
        </is>
      </c>
      <c r="E1" s="13" t="inlineStr">
        <is>
          <t>Start Year</t>
        </is>
      </c>
      <c r="F1" s="13" t="inlineStr">
        <is>
          <t>End Year</t>
        </is>
      </c>
      <c r="G1" s="13" t="inlineStr">
        <is>
          <t>Status</t>
        </is>
      </c>
      <c r="H1" s="13" t="inlineStr">
        <is>
          <t>VF or Non-VF</t>
        </is>
      </c>
      <c r="I1" s="13" t="inlineStr">
        <is>
          <t>Beneficiary Category</t>
        </is>
      </c>
      <c r="J1" s="13" t="inlineStr">
        <is>
          <t>Indicator</t>
        </is>
      </c>
      <c r="K1" s="13" t="inlineStr">
        <is>
          <t>Baseline</t>
        </is>
      </c>
      <c r="L1" s="13" t="inlineStr">
        <is>
          <t>Target</t>
        </is>
      </c>
      <c r="M1" s="13" t="inlineStr">
        <is>
          <t>Notes</t>
        </is>
      </c>
      <c r="N1" s="14" t="inlineStr">
        <is>
          <t>Donors</t>
        </is>
      </c>
      <c r="O1" s="14" t="inlineStr">
        <is>
          <t>Gender (% female)</t>
        </is>
      </c>
      <c r="P1" s="23" t="inlineStr">
        <is>
          <t>Tag</t>
        </is>
      </c>
      <c r="Q1" s="20" t="inlineStr">
        <is>
          <t>SEH Taxonomy</t>
        </is>
      </c>
      <c r="R1" s="20" t="inlineStr">
        <is>
          <t>RISE Taxonomy</t>
        </is>
      </c>
      <c r="S1" s="23" t="inlineStr">
        <is>
          <t>Flagship</t>
        </is>
      </c>
      <c r="T1" s="23" t="inlineStr">
        <is>
          <t>Indirect Category</t>
        </is>
      </c>
      <c r="U1" s="24" t="inlineStr">
        <is>
          <t>Indirect Taxonomy</t>
        </is>
      </c>
      <c r="V1" s="25" t="inlineStr">
        <is>
          <t>Technology</t>
        </is>
      </c>
      <c r="W1" s="24" t="inlineStr">
        <is>
          <t>Policy or Regulatory Framework</t>
        </is>
      </c>
      <c r="X1" s="25" t="inlineStr">
        <is>
          <t>Policy Population</t>
        </is>
      </c>
    </row>
    <row r="2" ht="91.5" customFormat="1" customHeight="1" s="8">
      <c r="A2" s="15" t="n">
        <v>5299</v>
      </c>
      <c r="B2" s="15" t="inlineStr">
        <is>
          <t>Production of bio methane</t>
        </is>
      </c>
      <c r="C2" s="31" t="inlineStr">
        <is>
          <t>https://co.pims.undp.org/project/view?id=5299</t>
        </is>
      </c>
      <c r="D2" s="15" t="n">
        <v>2632300</v>
      </c>
      <c r="E2" s="35" t="n"/>
      <c r="F2" s="35" t="n"/>
      <c r="G2" s="35" t="n"/>
      <c r="H2" s="15" t="inlineStr">
        <is>
          <t>VF</t>
        </is>
      </c>
      <c r="I2" s="15" t="inlineStr">
        <is>
          <t>Energy (MW added)</t>
        </is>
      </c>
      <c r="J2" s="15" t="inlineStr">
        <is>
          <t>At least 3,000m3 biogas/annum and 3MW of electricy installed</t>
        </is>
      </c>
      <c r="K2" s="15" t="n">
        <v>0</v>
      </c>
      <c r="L2" s="15" t="n">
        <v>3</v>
      </c>
      <c r="M2" s="16" t="inlineStr">
        <is>
          <t>The Project Document set a target of 1,000 smallscale biogas plants within the Project timeframe, which was unrealistic, especially given uptake was contingent on stakeholder buy-in and the technology was not well understood. At MTR the target was revised from 1000 to 200. By TE the target of 200 was achieved.</t>
        </is>
      </c>
      <c r="N2" s="15" t="inlineStr">
        <is>
          <t>GEF</t>
        </is>
      </c>
      <c r="O2" s="15" t="n"/>
      <c r="P2" s="19" t="n"/>
      <c r="Q2" s="27" t="inlineStr">
        <is>
          <t>Accelerating just energy transition</t>
        </is>
      </c>
      <c r="R2" s="19" t="n"/>
      <c r="S2" s="19" t="n"/>
      <c r="T2" s="19" t="n"/>
      <c r="U2" s="19" t="n"/>
      <c r="V2" s="28" t="inlineStr">
        <is>
          <t>Bioenergy</t>
        </is>
      </c>
      <c r="W2" s="19" t="n"/>
      <c r="X2" s="28" t="n"/>
    </row>
    <row r="3" ht="60.75" customHeight="1">
      <c r="A3" s="15" t="n"/>
      <c r="B3" s="15" t="n"/>
      <c r="C3" s="15" t="n"/>
      <c r="D3" s="15" t="n"/>
      <c r="E3" s="15" t="n"/>
      <c r="F3" s="15" t="n"/>
      <c r="G3" s="15" t="n"/>
      <c r="H3" s="15" t="n"/>
      <c r="I3" s="15" t="inlineStr">
        <is>
          <t>Capacity Building Training</t>
        </is>
      </c>
      <c r="J3" s="17" t="inlineStr">
        <is>
          <t>masons trained and employed</t>
        </is>
      </c>
      <c r="K3" s="15" t="n">
        <v>0</v>
      </c>
      <c r="L3" s="16" t="n">
        <v>77</v>
      </c>
      <c r="M3" s="16" t="inlineStr">
        <is>
          <t xml:space="preserve">77 masons trained/27% female 200 biogas digesters constructed at household level. approximately 5000 project beneficiaries both direct and indirect reached through project outreach activities. </t>
        </is>
      </c>
      <c r="N3" s="15" t="inlineStr">
        <is>
          <t>GEF</t>
        </is>
      </c>
      <c r="O3" s="18" t="n">
        <v>0.27</v>
      </c>
      <c r="P3" s="19" t="n"/>
      <c r="Q3" s="27" t="inlineStr">
        <is>
          <t>Accelerating just energy transition</t>
        </is>
      </c>
      <c r="R3" s="19" t="n"/>
      <c r="S3" s="19" t="n"/>
      <c r="T3" s="19" t="n"/>
      <c r="U3" s="19" t="n"/>
      <c r="V3" s="28" t="n"/>
      <c r="W3" s="19" t="n"/>
      <c r="X3" s="28" t="n"/>
    </row>
    <row r="4" ht="275.25" customFormat="1" customHeight="1" s="8">
      <c r="A4" s="15" t="n"/>
      <c r="B4" s="15" t="n"/>
      <c r="C4" s="15" t="n"/>
      <c r="D4" s="15" t="n"/>
      <c r="E4" s="15" t="n"/>
      <c r="F4" s="15" t="n"/>
      <c r="G4" s="15" t="n"/>
      <c r="H4" s="15" t="n"/>
      <c r="I4" s="15" t="inlineStr">
        <is>
          <t>Policy or Regulatory Framework</t>
        </is>
      </c>
      <c r="J4" s="16" t="inlineStr">
        <is>
          <t xml:space="preserve">Extent to which policies  and regulations in the agrosector are adopted and enforced. </t>
        </is>
      </c>
      <c r="K4" s="16" t="n">
        <v>0</v>
      </c>
      <c r="L4" s="16" t="n"/>
      <c r="M4" s="16" t="inlineStr">
        <is>
          <t>Specific guidelines on low-carbon alternatives and utilisation technologies for agro-waste and wastewater developed and disseminated.
Project supported the National Development Bank (NDB) to develop an Environment and Social Management Framework (ESMF), to strengthen their ability to assess environmental projects and attract concessional funding from International Development Banks such as the African Development Bank (AfDB) and the European Investment Bank (EiB). The Botswana Bureau of Standards (BOBS) has developed biogas standards (gas standards and digester structure standards), which have been approved by the committee of BOBS. Biofuels Guidelines have been developed to guide the production, blending, distribution and usage of locally produced biofuels. Trade Effluent Agreement with Water Utilities harmonized with city bye-laws</t>
        </is>
      </c>
      <c r="N4" s="15" t="inlineStr">
        <is>
          <t>GEF</t>
        </is>
      </c>
      <c r="O4" s="15" t="n"/>
      <c r="P4" s="19" t="n"/>
      <c r="Q4" s="27" t="inlineStr">
        <is>
          <t>Accelerating just energy transition</t>
        </is>
      </c>
      <c r="R4" s="19" t="inlineStr">
        <is>
          <t>Renewable Energy</t>
        </is>
      </c>
      <c r="S4" s="19" t="n"/>
      <c r="T4" s="19" t="inlineStr">
        <is>
          <t>Legal Framework</t>
        </is>
      </c>
      <c r="U4" s="19" t="inlineStr">
        <is>
          <t>Decarbonization</t>
        </is>
      </c>
      <c r="V4" s="28" t="n"/>
      <c r="W4" s="19" t="inlineStr">
        <is>
          <t>National</t>
        </is>
      </c>
      <c r="X4" s="28" t="n"/>
    </row>
    <row r="5" ht="60.75" customHeight="1">
      <c r="A5" t="n">
        <v>1137180</v>
      </c>
      <c r="B5" s="5" t="inlineStr">
        <is>
          <t>Biogas National Roll Out Project</t>
        </is>
      </c>
      <c r="D5" s="29" t="n">
        <v>1535908</v>
      </c>
      <c r="E5" s="36" t="n"/>
      <c r="F5" s="36" t="n"/>
      <c r="G5" s="36" t="n"/>
      <c r="H5" s="29" t="inlineStr">
        <is>
          <t>Non-VF</t>
        </is>
      </c>
      <c r="I5" t="inlineStr">
        <is>
          <t>Energy Efficiency Services</t>
        </is>
      </c>
      <c r="J5" s="5" t="inlineStr">
        <is>
          <t>Number of trained masons for construction of small-scale biogas digesters</t>
        </is>
      </c>
      <c r="K5" t="n">
        <v>77</v>
      </c>
      <c r="L5" t="n">
        <v>200</v>
      </c>
      <c r="M5" s="5" t="inlineStr">
        <is>
          <t>Training  masons for construction, maintenance and monitoring of small-scale biogas digesters enhanced.</t>
        </is>
      </c>
    </row>
    <row r="6" ht="45.75" customHeight="1">
      <c r="I6" t="inlineStr">
        <is>
          <t>Energy Efficiency Services</t>
        </is>
      </c>
      <c r="J6" s="5" t="inlineStr">
        <is>
          <t>Number of small-scale biogas digesters constructed and in use</t>
        </is>
      </c>
      <c r="K6" t="n">
        <v>230</v>
      </c>
      <c r="L6" t="n">
        <v>750</v>
      </c>
      <c r="M6" s="5" t="inlineStr">
        <is>
          <t>Capacity of government, the private sector and stakeholders to promote application of biogas installation Strengthened.</t>
        </is>
      </c>
    </row>
    <row r="7" ht="60.75" customHeight="1">
      <c r="I7" t="inlineStr">
        <is>
          <t>Electricity Access</t>
        </is>
      </c>
      <c r="J7" s="5" t="inlineStr">
        <is>
          <t>Total capacity (in m3) of installed biogas digesters constructed and energy generated</t>
        </is>
      </c>
      <c r="K7" s="30" t="n"/>
      <c r="L7" s="30" t="n"/>
      <c r="M7" t="inlineStr">
        <is>
          <t>20% to 50%</t>
        </is>
      </c>
    </row>
    <row r="8" ht="45.75" customHeight="1">
      <c r="J8" s="5" t="inlineStr">
        <is>
          <t>No. of publicity/communication and outreach activities</t>
        </is>
      </c>
      <c r="K8" t="n">
        <v>0</v>
      </c>
      <c r="L8" t="n">
        <v>12</v>
      </c>
      <c r="M8" s="5" t="inlineStr">
        <is>
          <t>Marketing &amp; Sensitization for increased uptake of biogas technology</t>
        </is>
      </c>
    </row>
  </sheetData>
  <dataValidations count="12">
    <dataValidation sqref="Q2:Q4"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P2:P4" showDropDown="0" showInputMessage="1" showErrorMessage="1" allowBlank="1" type="list">
      <formula1>"AMP, PUDC, Solar4Health, Action Opportunities, Italy UNDP Energy Partnership"</formula1>
    </dataValidation>
    <dataValidation sqref="N2:N4" showDropDown="0" showInputMessage="1" showErrorMessage="1" allowBlank="1" type="list">
      <formula1>"Accelerating just energy transition, Close the gap on energy access, Scale up energy finance"</formula1>
    </dataValidation>
    <dataValidation sqref="O2:O4" showDropDown="0" showInputMessage="1" showErrorMessage="1" allowBlank="1" type="list">
      <formula1>"Electricity Access, Energy Efficiency, Clean Cooking, Renewable Energy, Overall"</formula1>
    </dataValidation>
    <dataValidation sqref="L2:L4" showDropDown="0" showInputMessage="1" showErrorMessage="1" allowBlank="1" type="list">
      <formula1>"Non-VF, VF"</formula1>
    </dataValidation>
    <dataValidation sqref="M2:M4" showDropDown="0" showInputMessage="1" showErrorMessage="1" allowBlank="1" type="list">
      <formula1>"Finance, Gender, Efficiency, Just, Health"</formula1>
    </dataValidation>
    <dataValidation sqref="T2:T4" showDropDown="0" showInputMessage="1" showErrorMessage="1" allowBlank="1" type="list">
      <formula1>"National, Regional, City, Community"</formula1>
    </dataValidation>
    <dataValidation sqref="S2:S4" showDropDown="0" showInputMessage="1" showErrorMessage="1" allowBlank="1" type="list">
      <formula1>"Solar, Wind, Bioenergy, Hydro, Geothermal, Waste, Other, Unknown"</formula1>
    </dataValidation>
    <dataValidation sqref="R2:R4"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hyperlinks>
    <hyperlink xmlns:r="http://schemas.openxmlformats.org/officeDocument/2006/relationships" ref="C2"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S4"/>
  <sheetViews>
    <sheetView topLeftCell="A4" workbookViewId="0">
      <selection activeCell="S4" sqref="S4"/>
    </sheetView>
  </sheetViews>
  <sheetFormatPr baseColWidth="8" defaultRowHeight="15"/>
  <cols>
    <col width="44.85546875" customWidth="1" min="2" max="2"/>
    <col width="20.7109375" customWidth="1" min="3" max="3"/>
    <col width="20.7109375" customWidth="1" min="5" max="6"/>
    <col width="12.7109375" customWidth="1" min="7" max="8"/>
    <col width="32.7109375" customWidth="1" min="9" max="9"/>
    <col width="40.85546875" customWidth="1" min="13" max="13"/>
    <col width="19.140625" customWidth="1" min="15" max="15"/>
    <col width="23.140625" customWidth="1" min="16" max="16"/>
    <col width="22.140625" customWidth="1" min="17" max="17"/>
    <col width="21.42578125" customWidth="1" min="18" max="18"/>
    <col width="23.42578125" customWidth="1" min="19" max="19"/>
  </cols>
  <sheetData>
    <row r="1">
      <c r="A1" s="1" t="inlineStr">
        <is>
          <t>Project ID</t>
        </is>
      </c>
      <c r="B1" s="1" t="inlineStr">
        <is>
          <t>Title</t>
        </is>
      </c>
      <c r="C1" s="1" t="inlineStr">
        <is>
          <t>Link</t>
        </is>
      </c>
      <c r="D1" s="1" t="inlineStr">
        <is>
          <t>Budget</t>
        </is>
      </c>
      <c r="E1" s="1" t="inlineStr">
        <is>
          <t>Beneficiary Category</t>
        </is>
      </c>
      <c r="F1" s="1" t="inlineStr">
        <is>
          <t>Indicator</t>
        </is>
      </c>
      <c r="G1" s="1" t="inlineStr">
        <is>
          <t>Baseline</t>
        </is>
      </c>
      <c r="H1" s="1" t="inlineStr">
        <is>
          <t>Target</t>
        </is>
      </c>
      <c r="I1" s="1" t="inlineStr">
        <is>
          <t>Notes</t>
        </is>
      </c>
      <c r="J1" s="3" t="inlineStr">
        <is>
          <t>Donors</t>
        </is>
      </c>
      <c r="K1" s="3" t="inlineStr">
        <is>
          <t>Gender (% female)</t>
        </is>
      </c>
      <c r="L1" s="3" t="inlineStr">
        <is>
          <t>Category</t>
        </is>
      </c>
      <c r="M1" s="7" t="inlineStr">
        <is>
          <t>Comments</t>
        </is>
      </c>
      <c r="O1" s="7" t="inlineStr">
        <is>
          <t>SEH Taxonomy</t>
        </is>
      </c>
      <c r="P1" s="7" t="inlineStr">
        <is>
          <t>RISE Taxonomy</t>
        </is>
      </c>
      <c r="Q1" s="7" t="inlineStr">
        <is>
          <t>Flagship</t>
        </is>
      </c>
      <c r="R1" s="7" t="inlineStr">
        <is>
          <t>Indirect Category</t>
        </is>
      </c>
      <c r="S1" s="7" t="inlineStr">
        <is>
          <t>Indirect Taxonomy</t>
        </is>
      </c>
    </row>
    <row r="2" ht="152.25" customFormat="1" customHeight="1" s="8">
      <c r="A2" s="8" t="n">
        <v>5299</v>
      </c>
      <c r="B2" s="8" t="inlineStr">
        <is>
          <t>Production of bio methane</t>
        </is>
      </c>
      <c r="C2" s="8" t="inlineStr">
        <is>
          <t>PIMS+</t>
        </is>
      </c>
      <c r="D2" s="8" t="n">
        <v>2632300</v>
      </c>
      <c r="E2" s="8" t="inlineStr">
        <is>
          <t>Energy (MW added)</t>
        </is>
      </c>
      <c r="F2" s="8" t="inlineStr">
        <is>
          <t>At least 3,000m3 biogas/annum and 3MW of electricy installed</t>
        </is>
      </c>
      <c r="G2" s="8" t="n">
        <v>0</v>
      </c>
      <c r="H2" s="8" t="n">
        <v>3</v>
      </c>
      <c r="I2" s="9" t="inlineStr">
        <is>
          <t>The Project Document set a target of 1,000 smallscale biogas plants within the Project timeframe, which was unrealistic, especially given uptake was contingent on stakeholder buy-in and the technology was not well understood. At MTR the target was revised from 1000 to 200. By TE the target of 200 was achieved.</t>
        </is>
      </c>
      <c r="M2" s="10" t="n"/>
      <c r="O2" s="8" t="inlineStr">
        <is>
          <t>Close the gap on energy access</t>
        </is>
      </c>
      <c r="P2" s="8" t="inlineStr">
        <is>
          <t>Renewable Energy</t>
        </is>
      </c>
    </row>
    <row r="3" ht="91.5" customHeight="1">
      <c r="E3" t="inlineStr">
        <is>
          <t>Capacity Training</t>
        </is>
      </c>
      <c r="F3" s="6" t="inlineStr">
        <is>
          <t>masons trained and employed</t>
        </is>
      </c>
      <c r="G3" t="n">
        <v>0</v>
      </c>
      <c r="H3" s="5" t="n">
        <v>77</v>
      </c>
      <c r="I3" s="5" t="inlineStr">
        <is>
          <t xml:space="preserve">77 masons trained/27% female 200 biogas digesters constructed at household level. approximately 5000 project beneficiaries both direct and indirect reached through project outreach activities. </t>
        </is>
      </c>
      <c r="K3" s="11" t="n">
        <v>0.27</v>
      </c>
      <c r="O3" s="8" t="n"/>
      <c r="P3" s="8" t="n"/>
      <c r="Q3" s="8" t="n"/>
      <c r="R3" s="8" t="n"/>
      <c r="S3" s="8" t="n"/>
    </row>
    <row r="4" ht="409.6" customFormat="1" customHeight="1" s="8">
      <c r="E4" s="8" t="inlineStr">
        <is>
          <t>Policy or Regulatory Framework</t>
        </is>
      </c>
      <c r="F4" s="9" t="inlineStr">
        <is>
          <t xml:space="preserve">Extent to which policies  and regulations in the agrosector are adopted and enforced. </t>
        </is>
      </c>
      <c r="G4" s="9" t="n">
        <v>0</v>
      </c>
      <c r="H4" s="9" t="n"/>
      <c r="I4" s="9" t="inlineStr">
        <is>
          <t>Specific guidelines on low-carbon alternatives and utilisation technologies for agro-waste and wastewater developed and disseminated.
Project supported the National Development Bank (NDB) to develop an Environment and Social Management Framework (ESMF), to strengthen their ability to assess environmental projects and attract concessional funding from International Development Banks such as the African Development Bank (AfDB) and the European Investment Bank (EiB). The Botswana Bureau of Standards (BOBS) has developed biogas standards (gas standards and digester structure standards), which have been approved by the committee of BOBS. Biofuels Guidelines have been developed to guide the production, blending, distribution and usage of locally produced biofuels. Trade Effluent Agreement with Water Utilities harmonized with city bye-laws</t>
        </is>
      </c>
      <c r="M4" s="12" t="n"/>
      <c r="O4" s="8" t="inlineStr">
        <is>
          <t>Accelerating just energy transition</t>
        </is>
      </c>
      <c r="P4" s="8" t="inlineStr">
        <is>
          <t>Electricity Access</t>
        </is>
      </c>
      <c r="R4" s="8" t="inlineStr">
        <is>
          <t>National Strategy</t>
        </is>
      </c>
    </row>
  </sheetData>
  <dataValidations count="5">
    <dataValidation sqref="O2:O4" showDropDown="0" showInputMessage="1" showErrorMessage="1" allowBlank="1" type="list">
      <formula1>"Accelerating just energy transition, Close the gap on energy access, Scale up energy finance"</formula1>
    </dataValidation>
    <dataValidation sqref="P2:P4" showDropDown="0" showInputMessage="1" showErrorMessage="1" allowBlank="1" type="list">
      <formula1>"Electricity Access, Energy Efficiency, Clean Cooking, Renewable Energy"</formula1>
    </dataValidation>
    <dataValidation sqref="Q2:Q4" showDropDown="0" showInputMessage="1" showErrorMessage="1" allowBlank="1" type="list">
      <formula1>"AMP, PUDC, Solar4Health, Action Opportunities, Italy UNDP Energy Partnership"</formula1>
    </dataValidation>
    <dataValidation sqref="R2:R4"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S2:S4" showDropDown="0" showInputMessage="1" showErrorMessage="1" allowBlank="1" type="list">
      <formula1>"Electricity Access, Energy Efficiency, Renewable EnergyEnergy Infrastructure,   Transport, Digital &amp; Data, Clean Cooking, Decarbonization, Hydrogen, Off-Grid, On-Grid"</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J4"/>
  <sheetViews>
    <sheetView topLeftCell="A4" workbookViewId="0">
      <selection activeCell="A5" sqref="A5"/>
    </sheetView>
  </sheetViews>
  <sheetFormatPr baseColWidth="8" defaultRowHeight="15"/>
  <cols>
    <col width="20.7109375" customWidth="1" min="2" max="3"/>
    <col width="9.85546875" bestFit="1" customWidth="1" min="4" max="4"/>
    <col width="20.7109375" customWidth="1" min="5" max="6"/>
    <col width="12.7109375" customWidth="1" min="7" max="8"/>
    <col width="32.7109375" customWidth="1" min="9" max="9"/>
  </cols>
  <sheetData>
    <row r="1">
      <c r="A1" s="1" t="inlineStr">
        <is>
          <t>Project ID</t>
        </is>
      </c>
      <c r="B1" s="1" t="inlineStr">
        <is>
          <t>Title</t>
        </is>
      </c>
      <c r="C1" s="1" t="inlineStr">
        <is>
          <t>Link</t>
        </is>
      </c>
      <c r="D1" s="1" t="inlineStr">
        <is>
          <t>Budget</t>
        </is>
      </c>
      <c r="E1" s="1" t="inlineStr">
        <is>
          <t>Beneficiary Category</t>
        </is>
      </c>
      <c r="F1" s="1" t="inlineStr">
        <is>
          <t>Indicator</t>
        </is>
      </c>
      <c r="G1" s="1" t="inlineStr">
        <is>
          <t>Baseline</t>
        </is>
      </c>
      <c r="H1" s="1" t="inlineStr">
        <is>
          <t>Target</t>
        </is>
      </c>
      <c r="I1" s="1" t="inlineStr">
        <is>
          <t>Notes</t>
        </is>
      </c>
      <c r="J1" s="3" t="inlineStr">
        <is>
          <t>Donors</t>
        </is>
      </c>
    </row>
    <row r="2" ht="152.25" customHeight="1">
      <c r="A2" t="n">
        <v>5299</v>
      </c>
      <c r="B2" t="inlineStr">
        <is>
          <t>Production of bio methane</t>
        </is>
      </c>
      <c r="C2" t="inlineStr">
        <is>
          <t>PIMS+</t>
        </is>
      </c>
      <c r="D2" t="n">
        <v>2632300</v>
      </c>
      <c r="E2" s="2" t="inlineStr">
        <is>
          <t>Electricity Access</t>
        </is>
      </c>
      <c r="F2" t="inlineStr">
        <is>
          <t>At least 3,000m3 biogas/annum and 3MW of electricy installed</t>
        </is>
      </c>
      <c r="G2" s="2" t="n">
        <v>0</v>
      </c>
      <c r="H2" s="2" t="n">
        <v>3</v>
      </c>
      <c r="I2" s="4" t="inlineStr">
        <is>
          <t>The Project Document set a target of 1,000 smallscale biogas plants within the Project timeframe, which was unrealistic, especially given uptake was contingent on stakeholder buy-in and the technology was not well understood. At MTR the target was revised from 1000 to 200. By TE the target of 200 was achieved.</t>
        </is>
      </c>
    </row>
    <row r="3" ht="91.5" customHeight="1">
      <c r="E3" t="inlineStr">
        <is>
          <t>Education Services</t>
        </is>
      </c>
      <c r="F3" s="6" t="inlineStr">
        <is>
          <t>masons trained and employed</t>
        </is>
      </c>
      <c r="G3" t="n">
        <v>0</v>
      </c>
      <c r="H3" s="5" t="n">
        <v>75</v>
      </c>
      <c r="I3" s="5" t="inlineStr">
        <is>
          <t xml:space="preserve">77 masons trained/27% female 200 biogas digesters constructed at household level. approximately 5000 project beneficiaries both direct and indirect reached through project outreach activities. </t>
        </is>
      </c>
    </row>
    <row r="4" ht="351" customHeight="1">
      <c r="E4" t="inlineStr">
        <is>
          <t>Other Energy Services</t>
        </is>
      </c>
      <c r="F4" s="5" t="inlineStr">
        <is>
          <t xml:space="preserve">Extent to which policies  and regulations in the agrosector are adopted and enforced. </t>
        </is>
      </c>
      <c r="G4" s="5" t="n">
        <v>0</v>
      </c>
      <c r="H4" s="5" t="inlineStr">
        <is>
          <t xml:space="preserve">Specific guidelines on low-carbon alternatives and utilisation technologies for agro-waste and wastewater developed and disseminated. </t>
        </is>
      </c>
      <c r="I4" s="5" t="inlineStr">
        <is>
          <t>Project supported the National Development Bank (NDB) to develop an Environment and Social Management Framework (ESMF), to strengthen their ability to assess environmental projects and attract concessional funding from International Development Banks such as the African Development Bank (AfDB) and the European Investment Bank (EiB). The Botswana Bureau of Standards (BOBS) has developed biogas standards (gas standards and digester structure standards), which have been approved by the committee of BOBS. Biofuels Guidelines have been developed to guide the production, blending, distribution and usage of locally produced biofuels. Trade Effluent Agreement with Water Utilities harmonized with city bye-laws</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B23" sqref="B22:B23"/>
    </sheetView>
  </sheetViews>
  <sheetFormatPr baseColWidth="8" defaultRowHeight="15"/>
  <cols>
    <col width="36" customWidth="1" min="1" max="1"/>
    <col width="110" bestFit="1" customWidth="1" min="2" max="2"/>
  </cols>
  <sheetData>
    <row r="1">
      <c r="A1" s="37" t="inlineStr">
        <is>
          <t>Beneficiary Category</t>
        </is>
      </c>
      <c r="B1" s="37" t="inlineStr">
        <is>
          <t>Indicator</t>
        </is>
      </c>
    </row>
    <row r="2" ht="30.75" customHeight="1">
      <c r="A2" s="38" t="inlineStr">
        <is>
          <t>Electricity Access</t>
        </is>
      </c>
      <c r="B2" s="38" t="inlineStr">
        <is>
          <t>Number of people, disaggregated by sex, who gain access to clean electricity (direct access to electricity, lighting, cooling, etc.).</t>
        </is>
      </c>
    </row>
    <row r="3">
      <c r="A3" s="38" t="inlineStr">
        <is>
          <t>Energy (MW added)</t>
        </is>
      </c>
      <c r="B3" s="38" t="inlineStr">
        <is>
          <t>Installed renewable or clean-energy power capacity added, in MW.</t>
        </is>
      </c>
    </row>
    <row r="4" ht="30.75" customHeight="1">
      <c r="A4" s="38" t="inlineStr">
        <is>
          <t>Energy Storage (MW)</t>
        </is>
      </c>
      <c r="B4" s="38" t="inlineStr">
        <is>
          <t>Installed energy storage power capacity added, in MW.</t>
        </is>
      </c>
    </row>
    <row r="5">
      <c r="A5" s="38" t="inlineStr">
        <is>
          <t>Clean Cooking</t>
        </is>
      </c>
      <c r="B5" s="38" t="inlineStr">
        <is>
          <t>Number of people who gain access to clean cooking (direct access to clean cook stoves, clean fuels, biomass, etc.).</t>
        </is>
      </c>
    </row>
    <row r="6" ht="45.75" customHeight="1">
      <c r="A6" s="38" t="inlineStr">
        <is>
          <t>Clean Heating</t>
        </is>
      </c>
      <c r="B6" s="38" t="inlineStr">
        <is>
          <t>Number of people who gain access to clean heating (direct access to clean electric heaters, clean fuels, etc.).</t>
        </is>
      </c>
    </row>
    <row r="7" ht="30.75" customHeight="1">
      <c r="A7" s="38" t="inlineStr">
        <is>
          <t>Agriculture and Food System</t>
        </is>
      </c>
      <c r="B7" s="38" t="inlineStr">
        <is>
          <t>Number of people who gain access to clean, affordable, and sustainable energy for agricultural and food-system activities.</t>
        </is>
      </c>
    </row>
    <row r="8" ht="30.75" customHeight="1">
      <c r="A8" s="38" t="inlineStr">
        <is>
          <t>Health Services</t>
        </is>
      </c>
      <c r="B8" s="38" t="inlineStr">
        <is>
          <t>Number of people who gain access to health care facilities through clean energy systems.</t>
        </is>
      </c>
    </row>
    <row r="9" ht="30.75" customHeight="1">
      <c r="A9" s="38" t="inlineStr">
        <is>
          <t>Water Services</t>
        </is>
      </c>
      <c r="B9" s="38" t="inlineStr">
        <is>
          <t>Number of people who gain access to water services through clean energy systems.</t>
        </is>
      </c>
    </row>
    <row r="10" ht="30.75" customHeight="1">
      <c r="A10" s="38" t="inlineStr">
        <is>
          <t>Education Services</t>
        </is>
      </c>
      <c r="B10" s="38" t="inlineStr">
        <is>
          <t>Number of people who gain access to education services through clean energy systems, including students and teachers.</t>
        </is>
      </c>
    </row>
    <row r="11">
      <c r="A11" s="38" t="inlineStr">
        <is>
          <t>Transportation and E-mobility Services</t>
        </is>
      </c>
      <c r="B11" s="38" t="inlineStr">
        <is>
          <t>Number of people served or energy saved from transport and e-mobility interventions, such as electric vehicles or charging stations.</t>
        </is>
      </c>
    </row>
    <row r="12" ht="30.75" customHeight="1">
      <c r="A12" s="38" t="inlineStr">
        <is>
          <t>Energy Efficiency Services</t>
        </is>
      </c>
      <c r="B12" s="38" t="inlineStr">
        <is>
          <t>Energy saved from energy-efficiency interventions, such as building or industrial efficiency.</t>
        </is>
      </c>
    </row>
    <row r="13">
      <c r="A13" s="38" t="inlineStr">
        <is>
          <t>Energy Infrastructure Services</t>
        </is>
      </c>
      <c r="B13" s="38" t="inlineStr">
        <is>
          <t>Number of people benefiting from energy infrastructure interventions, such as streetlights, transmission, and distribution lines.</t>
        </is>
      </c>
    </row>
    <row r="14">
      <c r="A14" s="38" t="inlineStr">
        <is>
          <t>Other Energy Services</t>
        </is>
      </c>
      <c r="B14" s="38" t="inlineStr">
        <is>
          <t>Access to other energy services not captured by the categories above.</t>
        </is>
      </c>
    </row>
    <row r="15">
      <c r="A15" s="38" t="inlineStr">
        <is>
          <t>Financing support</t>
        </is>
      </c>
      <c r="B15" s="38" t="inlineStr">
        <is>
          <t>Support for the development of the energy market ecosystem.</t>
        </is>
      </c>
    </row>
    <row r="16">
      <c r="A16" s="38" t="inlineStr">
        <is>
          <t>Medium Enterprises</t>
        </is>
      </c>
      <c r="B16" s="38" t="inlineStr">
        <is>
          <t>Support for the development of medium enterprises in the energy transition market.</t>
        </is>
      </c>
    </row>
    <row r="17">
      <c r="A17" s="38" t="inlineStr">
        <is>
          <t>Small Enterprises</t>
        </is>
      </c>
      <c r="B17" s="38" t="inlineStr">
        <is>
          <t>Support for the development of small enterprises in the energy transition market.</t>
        </is>
      </c>
    </row>
    <row r="18">
      <c r="A18" s="38" t="inlineStr">
        <is>
          <t>Capacity Building Training</t>
        </is>
      </c>
      <c r="B18" s="38" t="inlineStr">
        <is>
          <t>Number of people benefiting from training on energy business, energy finance, or related implementation capacity.</t>
        </is>
      </c>
    </row>
    <row r="19" ht="45.75" customHeight="1">
      <c r="A19" s="38" t="inlineStr">
        <is>
          <t>Entrepreneurship Training</t>
        </is>
      </c>
      <c r="B19" s="38" t="inlineStr">
        <is>
          <t>Training for enterprises on the energy business, assumed to result in direct beneficiaries.</t>
        </is>
      </c>
    </row>
    <row r="20">
      <c r="A20" s="38" t="inlineStr">
        <is>
          <t>Market Intervention</t>
        </is>
      </c>
      <c r="B20" s="38" t="inlineStr">
        <is>
          <t>Volume of investment leveraged or barriers removed for clean, reliable, affordable, and sustainable energy solutions.</t>
        </is>
      </c>
    </row>
    <row r="21" ht="30.75" customHeight="1">
      <c r="A21" s="38" t="inlineStr">
        <is>
          <t>Campaign Participant</t>
        </is>
      </c>
      <c r="B21" s="38" t="inlineStr">
        <is>
          <t>Individuals who participate in advocacy or awareness campaigns on energy.</t>
        </is>
      </c>
    </row>
    <row r="22">
      <c r="A22" s="38" t="inlineStr">
        <is>
          <t>Policy or Regulatory Framework</t>
        </is>
      </c>
      <c r="B22" s="38" t="inlineStr">
        <is>
          <t>Policies, regulations, strategies, plans, or frameworks developed, approved, implemented, or strengthened.</t>
        </is>
      </c>
    </row>
    <row r="23">
      <c r="A23" s="38" t="inlineStr">
        <is>
          <t>GHG Emissions Reduction</t>
        </is>
      </c>
      <c r="B23" s="38" t="inlineStr">
        <is>
          <t>Greenhouse gas emissions reduced or mitigated, in tCO2e.</t>
        </is>
      </c>
    </row>
    <row r="24">
      <c r="A24" s="38" t="inlineStr">
        <is>
          <t>Other</t>
        </is>
      </c>
      <c r="B24" s="38"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2023-05-05T09:33:41Z</dcterms:created>
  <dcterms:modified xmlns:dcterms="http://purl.org/dc/terms/" xmlns:xsi="http://www.w3.org/2001/XMLSchema-instance" xsi:type="dcterms:W3CDTF">2026-06-08T15:49:45Z</dcterms:modified>
  <cp:lastModifiedBy>Danae franco Lopera</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