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Helvetica Neue"/>
      <charset val="1"/>
      <b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/>
  </cellStyleXfs>
  <cellXfs count="56">
    <xf numFmtId="0" fontId="0" fillId="0" borderId="0" pivotButton="0" quotePrefix="0" xfId="0"/>
    <xf numFmtId="0" fontId="0" fillId="2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2" fillId="0" borderId="0" pivotButton="0" quotePrefix="0" xfId="0"/>
    <xf numFmtId="0" fontId="2" fillId="0" borderId="1" pivotButton="0" quotePrefix="0" xfId="0"/>
    <xf numFmtId="9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2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0" fillId="2" borderId="4" pivotButton="0" quotePrefix="0" xfId="0"/>
    <xf numFmtId="0" fontId="0" fillId="2" borderId="5" pivotButton="0" quotePrefix="0" xfId="0"/>
    <xf numFmtId="0" fontId="6" fillId="3" borderId="0" applyAlignment="1" pivotButton="0" quotePrefix="0" xfId="0">
      <alignment vertical="center"/>
    </xf>
    <xf numFmtId="0" fontId="0" fillId="2" borderId="4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9" fontId="0" fillId="0" borderId="1" pivotButton="0" quotePrefix="0" xfId="0"/>
    <xf numFmtId="0" fontId="0" fillId="3" borderId="1" pivotButton="0" quotePrefix="0" xfId="0"/>
    <xf numFmtId="0" fontId="0" fillId="2" borderId="3" pivotButton="0" quotePrefix="0" xfId="0"/>
    <xf numFmtId="0" fontId="2" fillId="0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applyAlignment="1" pivotButton="0" quotePrefix="0" xfId="0">
      <alignment wrapText="1"/>
    </xf>
    <xf numFmtId="0" fontId="0" fillId="0" borderId="3" pivotButton="0" quotePrefix="0" xfId="0"/>
    <xf numFmtId="0" fontId="3" fillId="0" borderId="6" pivotButton="0" quotePrefix="0" xfId="0"/>
    <xf numFmtId="0" fontId="4" fillId="0" borderId="1" applyAlignment="1" pivotButton="0" quotePrefix="0" xfId="0">
      <alignment wrapText="1"/>
    </xf>
    <xf numFmtId="0" fontId="3" fillId="0" borderId="8" pivotButton="0" quotePrefix="0" xfId="0"/>
    <xf numFmtId="0" fontId="0" fillId="0" borderId="6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0" borderId="6" pivotButton="0" quotePrefix="0" xfId="1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4" borderId="4" pivotButton="0" quotePrefix="0" xfId="0"/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6657" TargetMode="External" Id="rId1"/><Relationship Type="http://schemas.openxmlformats.org/officeDocument/2006/relationships/hyperlink" Target="https://co.pims.undp.org/project/view?id=46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tabSelected="1" workbookViewId="0">
      <pane xSplit="1" ySplit="1" topLeftCell="I2" activePane="bottomRight" state="frozen"/>
      <selection pane="bottomRight" activeCell="L2" sqref="L2"/>
      <selection pane="bottomLeft" activeCell="A1" sqref="A1"/>
      <selection pane="topRight" activeCell="A1" sqref="A1"/>
    </sheetView>
  </sheetViews>
  <sheetFormatPr baseColWidth="8" defaultRowHeight="15"/>
  <cols>
    <col width="56.42578125" customWidth="1" min="2" max="2"/>
    <col width="20.7109375" customWidth="1" min="3" max="3"/>
    <col width="17.42578125" customWidth="1" min="4" max="4"/>
    <col width="17.42578125" customWidth="1" min="5" max="5"/>
    <col width="17.42578125" customWidth="1" min="6" max="6"/>
    <col width="17.42578125" customWidth="1" min="7" max="7"/>
    <col width="17.42578125" customWidth="1" min="8" max="8"/>
    <col width="60" customWidth="1" min="9" max="9"/>
    <col width="13.140625" customWidth="1" min="11" max="11"/>
    <col width="17.5703125" customWidth="1" min="12" max="12"/>
    <col width="9.28515625" customWidth="1" min="13" max="13"/>
    <col width="14.42578125" bestFit="1" customWidth="1" min="14" max="14"/>
    <col width="17.570312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 ht="45.75" customHeight="1">
      <c r="A1" s="2" t="inlineStr">
        <is>
          <t>Project ID</t>
        </is>
      </c>
      <c r="B1" s="2" t="inlineStr">
        <is>
          <t>Title</t>
        </is>
      </c>
      <c r="C1" s="2" t="inlineStr">
        <is>
          <t>Link</t>
        </is>
      </c>
      <c r="D1" s="2" t="inlineStr">
        <is>
          <t>Budget</t>
        </is>
      </c>
      <c r="E1" s="2" t="inlineStr">
        <is>
          <t>Start Year</t>
        </is>
      </c>
      <c r="F1" s="2" t="inlineStr">
        <is>
          <t>End Year</t>
        </is>
      </c>
      <c r="G1" s="2" t="inlineStr">
        <is>
          <t>Status</t>
        </is>
      </c>
      <c r="H1" s="2" t="inlineStr">
        <is>
          <t>VF or Non-VF</t>
        </is>
      </c>
      <c r="I1" s="2" t="inlineStr">
        <is>
          <t>Beneficiary Category</t>
        </is>
      </c>
      <c r="J1" s="2" t="inlineStr">
        <is>
          <t>Indicator</t>
        </is>
      </c>
      <c r="K1" s="2" t="inlineStr">
        <is>
          <t>Baseline</t>
        </is>
      </c>
      <c r="L1" s="2" t="inlineStr">
        <is>
          <t>Target</t>
        </is>
      </c>
      <c r="M1" s="2" t="inlineStr">
        <is>
          <t>Notes</t>
        </is>
      </c>
      <c r="N1" s="10" t="inlineStr">
        <is>
          <t>Donors</t>
        </is>
      </c>
      <c r="O1" s="19" t="inlineStr">
        <is>
          <t>Gender (% female)</t>
        </is>
      </c>
      <c r="P1" s="41" t="inlineStr">
        <is>
          <t>Tag</t>
        </is>
      </c>
      <c r="Q1" s="37" t="inlineStr">
        <is>
          <t>SEH Taxonomy</t>
        </is>
      </c>
      <c r="R1" s="37" t="inlineStr">
        <is>
          <t>RISE Taxonomy</t>
        </is>
      </c>
      <c r="S1" s="41" t="inlineStr">
        <is>
          <t>Flagship</t>
        </is>
      </c>
      <c r="T1" s="41" t="inlineStr">
        <is>
          <t>Indirect Category</t>
        </is>
      </c>
      <c r="U1" s="42" t="inlineStr">
        <is>
          <t>Indirect Taxonomy</t>
        </is>
      </c>
      <c r="V1" s="43" t="inlineStr">
        <is>
          <t>Technology</t>
        </is>
      </c>
      <c r="W1" s="42" t="inlineStr">
        <is>
          <t>Policy or Regulatory Framework</t>
        </is>
      </c>
      <c r="X1" s="43" t="inlineStr">
        <is>
          <t>Policy Population</t>
        </is>
      </c>
    </row>
    <row r="2" ht="119.25" customHeight="1">
      <c r="A2" s="26" t="n">
        <v>6657</v>
      </c>
      <c r="B2" s="26" t="inlineStr">
        <is>
          <t>National child project under the GEF Africa Minigrids Program</t>
        </is>
      </c>
      <c r="C2" s="47" t="inlineStr">
        <is>
          <t>https://co.pims.undp.org/project/view?id=6657</t>
        </is>
      </c>
      <c r="D2" s="25" t="n">
        <v>2018349</v>
      </c>
      <c r="E2" s="51" t="n"/>
      <c r="F2" s="51" t="n"/>
      <c r="G2" s="51" t="n"/>
      <c r="H2" s="25" t="inlineStr">
        <is>
          <t>VF</t>
        </is>
      </c>
      <c r="I2" s="3" t="inlineStr">
        <is>
          <t>Electricity Access</t>
        </is>
      </c>
      <c r="J2" s="6" t="inlineStr">
        <is>
          <t>Number of beneficiaries
The number of direct beneficiaries is estimated at 21,800 people, of which at least 50% are women, as a result of 4,400 new and/or improved minigrid connections</t>
        </is>
      </c>
      <c r="K2" s="3" t="n"/>
      <c r="L2" s="3" t="n">
        <v>21800</v>
      </c>
      <c r="M2" s="6" t="inlineStr">
        <is>
          <t xml:space="preserve">Total number of direct beneficiaries from the minigrid pilots disaggregated by gender and by customer segment: 21741 total
21,350 people (residential)
76 people (social)
315 people (commercial/PUE)
</t>
        </is>
      </c>
      <c r="N2" s="3" t="inlineStr">
        <is>
          <t>GEF</t>
        </is>
      </c>
      <c r="O2" s="20" t="n">
        <v>0.5</v>
      </c>
      <c r="P2" s="38" t="n"/>
      <c r="Q2" s="45" t="inlineStr">
        <is>
          <t>Close the gap on energy access</t>
        </is>
      </c>
      <c r="R2" s="38" t="n"/>
      <c r="S2" s="38" t="n"/>
      <c r="T2" s="38" t="n"/>
      <c r="U2" s="38" t="n"/>
      <c r="V2" s="46" t="inlineStr">
        <is>
          <t>Solar</t>
        </is>
      </c>
      <c r="W2" s="38" t="n"/>
      <c r="X2" s="46" t="n"/>
    </row>
    <row r="3" ht="119.25" customHeight="1">
      <c r="A3" s="28" t="n"/>
      <c r="B3" s="28" t="n"/>
      <c r="C3" s="28" t="n"/>
      <c r="D3" s="29" t="n"/>
      <c r="E3" s="29" t="n"/>
      <c r="F3" s="29" t="n"/>
      <c r="G3" s="29" t="n"/>
      <c r="H3" s="29" t="n"/>
      <c r="I3" s="3" t="inlineStr">
        <is>
          <t>Energy (MW added)</t>
        </is>
      </c>
      <c r="J3" s="6" t="inlineStr">
        <is>
          <t>Increase in installed solar PV capacity and battery storage</t>
        </is>
      </c>
      <c r="K3" s="6" t="n">
        <v>0.5</v>
      </c>
      <c r="L3" s="6" t="n">
        <v>1.2</v>
      </c>
      <c r="M3" s="3" t="inlineStr">
        <is>
          <t>this # would be a duplicate of above</t>
        </is>
      </c>
      <c r="N3" s="3" t="n"/>
      <c r="O3" s="3" t="n"/>
      <c r="P3" s="38" t="n"/>
      <c r="Q3" s="45" t="inlineStr">
        <is>
          <t>Close the gap on energy access</t>
        </is>
      </c>
      <c r="R3" s="38" t="n"/>
      <c r="S3" s="38" t="n"/>
      <c r="T3" s="38" t="n"/>
      <c r="U3" s="38" t="n"/>
      <c r="V3" s="46" t="inlineStr">
        <is>
          <t>Solar</t>
        </is>
      </c>
      <c r="W3" s="38" t="n"/>
      <c r="X3" s="46" t="n"/>
    </row>
    <row r="4" ht="90" customHeight="1">
      <c r="A4" s="26" t="n">
        <v>4602</v>
      </c>
      <c r="B4" s="32" t="inlineStr">
        <is>
          <t>Promotion of environmentally sustainable and climate-resilient grid/isolated grid-based hydroelectric electricity through an integrated approach in Sao Tome and Principe.</t>
        </is>
      </c>
      <c r="C4" s="47" t="inlineStr">
        <is>
          <t>https://co.pims.undp.org/project/view?id=4602</t>
        </is>
      </c>
      <c r="D4" s="25" t="n">
        <v>5274544</v>
      </c>
      <c r="E4" s="51" t="n"/>
      <c r="F4" s="51" t="n"/>
      <c r="G4" s="51" t="n"/>
      <c r="H4" s="25" t="inlineStr">
        <is>
          <t>VF</t>
        </is>
      </c>
      <c r="I4" s="31" t="inlineStr">
        <is>
          <t>Policy or Regulatory Framework</t>
        </is>
      </c>
      <c r="J4" s="33" t="inlineStr">
        <is>
          <t xml:space="preserve">1. Framework in place to enable the private sector to invest in grid/isolated-grid-based mini/small hydropower generation.
</t>
        </is>
      </c>
      <c r="K4" s="6" t="inlineStr">
        <is>
          <t>Framework elaborated in process of approval</t>
        </is>
      </c>
      <c r="L4" s="3" t="n"/>
      <c r="M4" s="6" t="inlineStr">
        <is>
          <t xml:space="preserve">This project is in its final phase.  It built the first solar plant in the country, as a pilot initiative, that produces 0.5 Kwp, which amounts to 10% of the country's  installed capacity.   
This project also built the first institutional rooftop in the country
to SEH:  no direct beneficiaries of these studies. However, number of indirect beneficiaries is 220.000 </t>
        </is>
      </c>
      <c r="N4" s="3" t="inlineStr">
        <is>
          <t>GEF</t>
        </is>
      </c>
      <c r="O4" s="3" t="n"/>
      <c r="P4" s="38" t="n"/>
      <c r="Q4" s="45" t="inlineStr">
        <is>
          <t>Close the gap on energy access</t>
        </is>
      </c>
      <c r="R4" s="38" t="inlineStr">
        <is>
          <t>Renewable Energy</t>
        </is>
      </c>
      <c r="S4" s="38" t="n"/>
      <c r="T4" s="38" t="inlineStr">
        <is>
          <t>Financing Model</t>
        </is>
      </c>
      <c r="U4" s="38" t="inlineStr">
        <is>
          <t>Renewable Energy</t>
        </is>
      </c>
      <c r="V4" s="46" t="n"/>
      <c r="W4" s="38" t="inlineStr">
        <is>
          <t>Regional</t>
        </is>
      </c>
      <c r="X4" s="46" t="n">
        <v>220000</v>
      </c>
    </row>
    <row r="5" ht="72" customHeight="1">
      <c r="A5" s="28" t="n"/>
      <c r="B5" s="34" t="n"/>
      <c r="C5" s="28" t="n"/>
      <c r="D5" s="29" t="n"/>
      <c r="E5" s="29" t="n"/>
      <c r="F5" s="29" t="n"/>
      <c r="G5" s="29" t="n"/>
      <c r="H5" s="29" t="n"/>
      <c r="I5" s="31" t="n"/>
      <c r="J5" s="36" t="inlineStr">
        <is>
          <t>2. Hydro-electricity generation 
Reduction of tons of CO2 over the 5-year FSP project life cycle.
Subsequent generation MWh/year and reduction of CO2 over the remaining lifetime of the plants.</t>
        </is>
      </c>
      <c r="K5" s="36" t="inlineStr">
        <is>
          <t>2% of the energy matrix is renewable (hydro)</t>
        </is>
      </c>
      <c r="L5" s="21" t="n"/>
      <c r="M5" s="36" t="inlineStr">
        <is>
          <t xml:space="preserve">The project did not include the installation of hydroelectricity production equipent. The project dedicated the resources to developing studies on 4 river basins with potential to become hydropower plants. </t>
        </is>
      </c>
      <c r="N5" s="21" t="inlineStr">
        <is>
          <t>GEF</t>
        </is>
      </c>
      <c r="O5" s="21" t="n"/>
      <c r="P5" s="38" t="n"/>
      <c r="Q5" s="45" t="inlineStr">
        <is>
          <t>Close the gap on energy access</t>
        </is>
      </c>
      <c r="R5" s="38" t="n"/>
      <c r="S5" s="38" t="n"/>
      <c r="T5" s="38" t="n"/>
      <c r="U5" s="38" t="n"/>
      <c r="V5" s="46" t="n"/>
      <c r="W5" s="38" t="n"/>
      <c r="X5" s="46" t="n"/>
    </row>
    <row r="6" ht="59.25" customHeight="1">
      <c r="A6" s="35" t="inlineStr">
        <is>
          <t>missing-STP-1</t>
        </is>
      </c>
      <c r="B6" s="35" t="inlineStr">
        <is>
          <t>Green Infrastructure for Health and Education in Sao Tome and Principe</t>
        </is>
      </c>
      <c r="C6" s="26" t="inlineStr">
        <is>
          <t>NA</t>
        </is>
      </c>
      <c r="D6" s="25" t="n">
        <v>1072026</v>
      </c>
      <c r="E6" s="51" t="n"/>
      <c r="F6" s="51" t="n"/>
      <c r="G6" s="51" t="n"/>
      <c r="H6" s="25" t="inlineStr">
        <is>
          <t>Non-VF</t>
        </is>
      </c>
      <c r="I6" s="31" t="inlineStr">
        <is>
          <t>Health Services</t>
        </is>
      </c>
      <c r="J6" s="6" t="inlineStr">
        <is>
          <t># of Health facilities with reliable solar energy to bridge power cuts for 2-3 hours per day</t>
        </is>
      </c>
      <c r="K6" s="3" t="n">
        <v>0</v>
      </c>
      <c r="L6" s="3" t="n">
        <v>220000</v>
      </c>
      <c r="M6" s="6" t="inlineStr">
        <is>
          <t xml:space="preserve">7 health district centers covering all districts will benefit from this project. </t>
        </is>
      </c>
      <c r="N6" s="3" t="n"/>
      <c r="O6" s="3" t="n"/>
      <c r="P6" s="38" t="n"/>
      <c r="Q6" s="45" t="inlineStr">
        <is>
          <t>Close the gap on energy access</t>
        </is>
      </c>
      <c r="R6" s="38" t="n"/>
      <c r="S6" s="38" t="n"/>
      <c r="T6" s="38" t="n"/>
      <c r="U6" s="38" t="n"/>
      <c r="V6" s="46" t="n"/>
      <c r="W6" s="38" t="n"/>
      <c r="X6" s="46" t="n"/>
    </row>
    <row r="7" ht="45.75" customHeight="1">
      <c r="A7" s="27" t="n"/>
      <c r="B7" s="27" t="n"/>
      <c r="C7" s="27" t="n"/>
      <c r="D7" s="24" t="n"/>
      <c r="E7" s="24" t="n"/>
      <c r="F7" s="24" t="n"/>
      <c r="G7" s="24" t="n"/>
      <c r="H7" s="24" t="n"/>
      <c r="I7" s="31" t="inlineStr">
        <is>
          <t>Education Services</t>
        </is>
      </c>
      <c r="J7" s="3" t="n"/>
      <c r="K7" s="3" t="n"/>
      <c r="L7" s="3" t="n">
        <v>5578</v>
      </c>
      <c r="M7" s="6" t="inlineStr">
        <is>
          <t>Besides, 5578 school children will also benefit from school lighting and school cantine improvementes thanks to the solar energy</t>
        </is>
      </c>
      <c r="N7" s="3" t="n"/>
      <c r="O7" s="3" t="n"/>
      <c r="P7" s="38" t="n"/>
      <c r="Q7" s="45" t="inlineStr">
        <is>
          <t>Close the gap on energy access</t>
        </is>
      </c>
      <c r="R7" s="38" t="n"/>
      <c r="S7" s="38" t="n"/>
      <c r="T7" s="38" t="n"/>
      <c r="U7" s="38" t="n"/>
      <c r="V7" s="46" t="n"/>
      <c r="W7" s="38" t="n"/>
      <c r="X7" s="46" t="n"/>
    </row>
    <row r="8">
      <c r="A8" s="27" t="n"/>
      <c r="B8" s="27" t="n"/>
      <c r="C8" s="27" t="n"/>
      <c r="D8" s="24" t="n"/>
      <c r="E8" s="24" t="n"/>
      <c r="F8" s="24" t="n"/>
      <c r="G8" s="24" t="n"/>
      <c r="H8" s="24" t="n"/>
      <c r="I8" s="31" t="inlineStr">
        <is>
          <t>Energy (MW added)</t>
        </is>
      </c>
      <c r="J8" s="3" t="inlineStr">
        <is>
          <t>Installed capacity in MW for access/productive-use outputs</t>
        </is>
      </c>
      <c r="K8" s="3" t="n">
        <v>0</v>
      </c>
      <c r="L8" s="52" t="n"/>
      <c r="M8" s="53" t="inlineStr">
        <is>
          <t>[AUTO-ADDED] Project reports access/productive-use beneficiary numbers but no MW value. Please add installed capacity (MW) or confirm not applicable.</t>
        </is>
      </c>
      <c r="N8" s="3" t="n"/>
      <c r="O8" s="3" t="n"/>
      <c r="P8" s="38" t="n"/>
      <c r="Q8" s="45" t="n"/>
      <c r="R8" s="38" t="n"/>
      <c r="S8" s="38" t="n"/>
      <c r="T8" s="38" t="n"/>
      <c r="U8" s="38" t="n"/>
      <c r="V8" s="46" t="n"/>
      <c r="W8" s="38" t="n"/>
      <c r="X8" s="46" t="n"/>
    </row>
  </sheetData>
  <dataValidations count="12">
    <dataValidation sqref="Q2:Q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7" showDropDown="0" showInputMessage="1" showErrorMessage="1" allowBlank="1" type="list">
      <formula1>"Accelerating just energy transition, Close the gap on energy access, Scale up energy finance"</formula1>
    </dataValidation>
    <dataValidation sqref="O2:O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P2:P7" showDropDown="0" showInputMessage="1" showErrorMessage="1" allowBlank="1" type="list">
      <formula1>"AMP, PUDC, Solar4Health, Action Opportunities, Italy UNDP Energy Partnership"</formula1>
    </dataValidation>
    <dataValidation sqref="L2:L7" showDropDown="0" showInputMessage="1" showErrorMessage="1" allowBlank="1" type="list">
      <formula1>"Non-VF, VF"</formula1>
    </dataValidation>
    <dataValidation sqref="R2:R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7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2" sqref="A2:D3"/>
    </sheetView>
  </sheetViews>
  <sheetFormatPr baseColWidth="8" defaultRowHeight="15"/>
  <cols>
    <col width="56.42578125" customWidth="1" min="2" max="2"/>
    <col width="20.7109375" customWidth="1" min="3" max="3"/>
    <col width="17.42578125" customWidth="1" min="4" max="4"/>
    <col width="29.42578125" customWidth="1" min="5" max="5"/>
    <col width="53.140625" customWidth="1" min="6" max="6"/>
    <col width="19" customWidth="1" min="7" max="7"/>
    <col width="12.7109375" customWidth="1" min="8" max="8"/>
    <col width="60" customWidth="1" min="9" max="9"/>
  </cols>
  <sheetData>
    <row r="1">
      <c r="A1" s="23" t="inlineStr">
        <is>
          <t>Project ID</t>
        </is>
      </c>
      <c r="B1" s="23" t="inlineStr">
        <is>
          <t>Title</t>
        </is>
      </c>
      <c r="C1" s="23" t="inlineStr">
        <is>
          <t>Link</t>
        </is>
      </c>
      <c r="D1" s="23" t="inlineStr">
        <is>
          <t>Budget</t>
        </is>
      </c>
      <c r="E1" s="2" t="inlineStr">
        <is>
          <t>Beneficiary Category</t>
        </is>
      </c>
      <c r="F1" s="2" t="inlineStr">
        <is>
          <t>Indicator</t>
        </is>
      </c>
      <c r="G1" s="2" t="inlineStr">
        <is>
          <t>Baseline</t>
        </is>
      </c>
      <c r="H1" s="2" t="inlineStr">
        <is>
          <t>Target</t>
        </is>
      </c>
      <c r="I1" s="2" t="inlineStr">
        <is>
          <t>Notes</t>
        </is>
      </c>
      <c r="J1" s="9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10" t="inlineStr">
        <is>
          <t>Comments</t>
        </is>
      </c>
    </row>
    <row r="2" ht="119.25" customHeight="1">
      <c r="A2" s="26" t="n">
        <v>6657</v>
      </c>
      <c r="B2" s="26" t="inlineStr">
        <is>
          <t>National child project under the GEF Africa Minigrids Program</t>
        </is>
      </c>
      <c r="C2" s="26" t="inlineStr">
        <is>
          <t>PIMS+</t>
        </is>
      </c>
      <c r="D2" s="25" t="n">
        <v>2018349</v>
      </c>
      <c r="E2" s="22" t="inlineStr">
        <is>
          <t>Electricity Access</t>
        </is>
      </c>
      <c r="F2" s="1" t="inlineStr">
        <is>
          <t>Number of beneficiaries
The number of direct beneficiaries is estimated at 21,800 people, of which at least 50% are women, as a result of 4,400 new and/or improved minigrid connections</t>
        </is>
      </c>
      <c r="G2" s="4" t="n">
        <v>22000</v>
      </c>
      <c r="H2" s="4" t="n">
        <v>21800</v>
      </c>
      <c r="I2" s="1" t="inlineStr">
        <is>
          <t xml:space="preserve">Total number of direct beneficiaries from the minigrid pilots disaggregated by gender and by customer segment: 21741 total
21,350 people (residential)
76 people (social)
315 people (commercial/PUE)
</t>
        </is>
      </c>
      <c r="K2" s="11" t="n">
        <v>0.5</v>
      </c>
      <c r="L2" t="inlineStr">
        <is>
          <t>VF</t>
        </is>
      </c>
    </row>
    <row r="3" ht="119.25" customHeight="1">
      <c r="A3" s="28" t="n"/>
      <c r="B3" s="28" t="n"/>
      <c r="C3" s="28" t="n"/>
      <c r="D3" s="29" t="n"/>
      <c r="E3" s="22" t="n"/>
      <c r="F3" s="1" t="inlineStr">
        <is>
          <t>Increase in installed solar PV capacity and battery storage</t>
        </is>
      </c>
      <c r="G3" s="1" t="inlineStr">
        <is>
          <t xml:space="preserve">0 ,5 MW (solar PV)
0 MWh (battery storage)
</t>
        </is>
      </c>
      <c r="H3" s="1" t="inlineStr">
        <is>
          <t>1.2 MW</t>
        </is>
      </c>
      <c r="I3" t="inlineStr">
        <is>
          <t>this # would be a duplicate of above</t>
        </is>
      </c>
      <c r="L3" t="inlineStr">
        <is>
          <t>VF</t>
        </is>
      </c>
    </row>
    <row r="4" ht="90" customHeight="1">
      <c r="A4" s="3" t="n">
        <v>4602</v>
      </c>
      <c r="B4" s="5" t="inlineStr">
        <is>
          <t>Promotion of environmentally sustainable and climate-resilient grid/isolated grid-based hydroelectric electricity through an integrated approach in Sao Tome and Principe.</t>
        </is>
      </c>
      <c r="C4" s="3" t="inlineStr">
        <is>
          <t>PIMS+</t>
        </is>
      </c>
      <c r="D4" s="3" t="n">
        <v>5274544</v>
      </c>
      <c r="E4" s="22" t="inlineStr">
        <is>
          <t>Policy or Regulatory Framework</t>
        </is>
      </c>
      <c r="F4" s="7" t="inlineStr">
        <is>
          <t xml:space="preserve">1. Framework in place to enable the private sector to invest in grid/isolated-grid-based mini/small hydropower generation.
</t>
        </is>
      </c>
      <c r="G4" s="18" t="inlineStr">
        <is>
          <t>Framework elaborated in process of approval</t>
        </is>
      </c>
      <c r="H4" s="15" t="n"/>
      <c r="I4" s="1" t="inlineStr">
        <is>
          <t>This project is in its final phase.  It built the first solar plant in the country, as a pilot initiative, that produces 0.5 Kwp, which amounts to 10% of the country's  installed capacity.   
This project also built the first institutional rooftop in the country</t>
        </is>
      </c>
      <c r="L4" t="inlineStr">
        <is>
          <t>VF</t>
        </is>
      </c>
    </row>
    <row r="5" ht="72" customHeight="1">
      <c r="A5" s="3" t="n"/>
      <c r="B5" s="5" t="n"/>
      <c r="C5" s="3" t="n"/>
      <c r="D5" s="3" t="n"/>
      <c r="E5" s="22" t="n"/>
      <c r="F5" s="13" t="inlineStr">
        <is>
          <t>2. Hydro-electricity generation 
Reduction of tons of CO2 over the 5-year FSP project life cycle.
Subsequent generation MWh/year and reduction of CO2 over the remaining lifetime of the plants.</t>
        </is>
      </c>
      <c r="G5" s="1" t="inlineStr">
        <is>
          <t>2% of the energy matrix is renewable (hydro)</t>
        </is>
      </c>
      <c r="H5" s="4" t="n"/>
      <c r="I5" s="14" t="inlineStr">
        <is>
          <t xml:space="preserve">The project did not include the installation of hydroelectricity production equipent. The project dedicated the resources to developing studies on 4 river basins with potential to become hydropower plants. </t>
        </is>
      </c>
      <c r="M5" s="17" t="inlineStr">
        <is>
          <t>to the CO: Please estimate number of beneficiaries, or MW of renewable energy</t>
        </is>
      </c>
      <c r="U5" t="inlineStr">
        <is>
          <t xml:space="preserve">to SEH:  no direct beneficiaries of these studies. However, number of indirect beneficiaries is 220.000 </t>
        </is>
      </c>
    </row>
    <row r="6" ht="59.25" customHeight="1">
      <c r="A6" s="24" t="n"/>
      <c r="B6" s="30" t="inlineStr">
        <is>
          <t>Green Infrastructure for Health and Education in Sao Tome and Principe</t>
        </is>
      </c>
      <c r="C6" s="24" t="inlineStr">
        <is>
          <t>n.a.</t>
        </is>
      </c>
      <c r="D6" s="24" t="n">
        <v>1072026</v>
      </c>
      <c r="E6" s="4" t="inlineStr">
        <is>
          <t>Health Services</t>
        </is>
      </c>
      <c r="F6" s="1" t="inlineStr">
        <is>
          <t># of Health facilities with reliable solar energy to bridge power cuts for 2-3 hours per day</t>
        </is>
      </c>
      <c r="G6" s="16" t="n">
        <v>0</v>
      </c>
      <c r="H6" s="16" t="n">
        <v>220000</v>
      </c>
      <c r="I6" s="1" t="inlineStr">
        <is>
          <t xml:space="preserve">7 health district centers covering all districts will benefit from this project. </t>
        </is>
      </c>
      <c r="J6" s="8" t="n"/>
      <c r="M6" s="12" t="n"/>
    </row>
    <row r="7" ht="30.75" customHeight="1">
      <c r="A7" s="3" t="n"/>
      <c r="B7" s="3" t="n"/>
      <c r="C7" s="3" t="n"/>
      <c r="D7" s="3" t="n"/>
      <c r="E7" s="3" t="inlineStr">
        <is>
          <t>Education Services</t>
        </is>
      </c>
      <c r="F7" s="3" t="n"/>
      <c r="G7" s="3" t="n"/>
      <c r="H7" s="3" t="n">
        <v>5578</v>
      </c>
      <c r="I7" s="6" t="inlineStr">
        <is>
          <t>Besides, 5578 school children will also benefit from school lighting and school cantine improvementes thanks to the solar energy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5" sqref="A5"/>
    </sheetView>
  </sheetViews>
  <sheetFormatPr baseColWidth="8" defaultRowHeight="15"/>
  <cols>
    <col width="56.42578125" customWidth="1" min="2" max="2"/>
    <col width="20.7109375" customWidth="1" min="3" max="3"/>
    <col width="29.42578125" customWidth="1" min="5" max="5"/>
    <col width="53.140625" customWidth="1" min="6" max="6"/>
    <col width="19" customWidth="1" min="7" max="7"/>
    <col width="12.7109375" customWidth="1" min="8" max="8"/>
    <col width="60" customWidth="1" min="9" max="9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Link</t>
        </is>
      </c>
      <c r="D1" s="2" t="inlineStr">
        <is>
          <t>Budget</t>
        </is>
      </c>
      <c r="E1" s="2" t="inlineStr">
        <is>
          <t>Beneficiary Category</t>
        </is>
      </c>
      <c r="F1" s="2" t="inlineStr">
        <is>
          <t>Indicator</t>
        </is>
      </c>
      <c r="G1" s="2" t="inlineStr">
        <is>
          <t>Baseline</t>
        </is>
      </c>
      <c r="H1" s="2" t="inlineStr">
        <is>
          <t>Target</t>
        </is>
      </c>
      <c r="I1" s="2" t="inlineStr">
        <is>
          <t>Notes</t>
        </is>
      </c>
      <c r="J1" s="9" t="inlineStr">
        <is>
          <t>Donors</t>
        </is>
      </c>
    </row>
    <row r="2" ht="119.25" customHeight="1">
      <c r="A2" s="3" t="n">
        <v>6657</v>
      </c>
      <c r="B2" s="3" t="inlineStr">
        <is>
          <t>National child project under the GEF Africa Minigrids Program</t>
        </is>
      </c>
      <c r="C2" s="3" t="inlineStr">
        <is>
          <t>PIMS+</t>
        </is>
      </c>
      <c r="D2" s="3" t="n">
        <v>1968349</v>
      </c>
      <c r="E2" s="4" t="inlineStr">
        <is>
          <t>Electricity Access</t>
        </is>
      </c>
      <c r="F2" s="1" t="inlineStr">
        <is>
          <t>The number of direct beneficiaries is estimated at 21,800 people, of which at least 50% are women, as a result of 4,400 new and/or improved minigrid connections</t>
        </is>
      </c>
      <c r="G2" s="4" t="n">
        <v>22000</v>
      </c>
      <c r="H2" s="4">
        <f>21741+22000</f>
        <v/>
      </c>
      <c r="I2" s="1" t="inlineStr">
        <is>
          <t xml:space="preserve">Total number of direct beneficiaries from the minigrid pilots disaggregated by gender and by customer segment: 21,350 people (residential)
76 people (social)
315 people (commercial/PUE)
</t>
        </is>
      </c>
    </row>
    <row r="3" ht="119.25" customHeight="1">
      <c r="A3" s="3" t="n">
        <v>6657</v>
      </c>
      <c r="B3" s="3" t="inlineStr">
        <is>
          <t>National child project under the GEF Africa Minigrids Program</t>
        </is>
      </c>
      <c r="C3" s="3" t="inlineStr">
        <is>
          <t>PIMS+</t>
        </is>
      </c>
      <c r="D3" s="3" t="n"/>
      <c r="E3" s="4" t="inlineStr">
        <is>
          <t>Energy (MW added)</t>
        </is>
      </c>
      <c r="F3" s="1" t="inlineStr">
        <is>
          <t>Increase in installed solar PV capacity and battery storage</t>
        </is>
      </c>
      <c r="G3" s="1" t="inlineStr">
        <is>
          <t xml:space="preserve">0 ,5 MW (solar PV)
0 MWh (battery storage)
</t>
        </is>
      </c>
      <c r="H3" s="1" t="inlineStr">
        <is>
          <t xml:space="preserve">Solar PV: 1.2 MW
Battery storage: 1.047 MWh 
</t>
        </is>
      </c>
      <c r="I3" s="1" t="n"/>
    </row>
    <row r="4" ht="90" customHeight="1">
      <c r="A4" s="3" t="n">
        <v>4602</v>
      </c>
      <c r="B4" s="5" t="inlineStr">
        <is>
          <t>Promotion of environmentally sustainable and climate-resilient grid/isolated grid-based hydroelectric electricity through an integrated approach in Sao Tome and Principe.</t>
        </is>
      </c>
      <c r="C4" s="3" t="inlineStr">
        <is>
          <t>PIMS+</t>
        </is>
      </c>
      <c r="D4" s="3" t="n">
        <v>5274544</v>
      </c>
      <c r="E4" s="4" t="inlineStr">
        <is>
          <t>Policy or Regulatory Framework</t>
        </is>
      </c>
      <c r="F4" s="7" t="inlineStr">
        <is>
          <t xml:space="preserve">1. Framework in place to enable the private sector to invest in grid/isolated-grid-based mini/small hydropower generation.
</t>
        </is>
      </c>
      <c r="G4" s="4" t="inlineStr">
        <is>
          <t>No framework</t>
        </is>
      </c>
      <c r="H4" s="4" t="inlineStr">
        <is>
          <t xml:space="preserve">Framework complete and approved </t>
        </is>
      </c>
      <c r="I4" s="1" t="inlineStr">
        <is>
          <t xml:space="preserve">This project is in its final phase.  It built the first solar plant in the country, as a pilot initiative, that produces 0.5 Kwp, which amounts to 10% of the country's  installed capacity.   </t>
        </is>
      </c>
    </row>
    <row r="5" ht="72" customHeight="1">
      <c r="A5" s="3" t="n"/>
      <c r="B5" s="5" t="n"/>
      <c r="C5" s="3" t="n"/>
      <c r="D5" s="3" t="n"/>
      <c r="E5" s="4" t="n"/>
      <c r="F5" s="1" t="inlineStr">
        <is>
          <t>2. Hydro-electricity generation 
Reduction of tons of CO2 over the 5-year FSP project life cycle.
Subsequent generation MWh/year and reduction of CO2 over the remaining lifetime of the plants.</t>
        </is>
      </c>
      <c r="G5" s="4" t="inlineStr">
        <is>
          <t>2% of the energy matrix is renewable (hydro)</t>
        </is>
      </c>
      <c r="H5" s="4" t="inlineStr">
        <is>
          <t>12% of the matrix is renewable (2% hydro and 10% solar)</t>
        </is>
      </c>
      <c r="I5" s="1" t="n"/>
    </row>
    <row r="6" ht="59.25" customHeight="1">
      <c r="A6" s="3" t="n"/>
      <c r="B6" s="6" t="inlineStr">
        <is>
          <t>Green Infrastructure for Health and Education in Sao Tome and Principe</t>
        </is>
      </c>
      <c r="C6" s="3" t="inlineStr">
        <is>
          <t>n.a.</t>
        </is>
      </c>
      <c r="D6" s="3" t="n">
        <v>1072026</v>
      </c>
      <c r="E6" s="4" t="inlineStr">
        <is>
          <t>Electricity Access</t>
        </is>
      </c>
      <c r="F6" s="1" t="inlineStr">
        <is>
          <t># of Health facilities with reliable solar energy to bridge power cuts for 2-3 hours per day</t>
        </is>
      </c>
      <c r="G6" s="4" t="n">
        <v>0</v>
      </c>
      <c r="H6" s="4" t="n">
        <v>220000</v>
      </c>
      <c r="I6" s="1" t="inlineStr">
        <is>
          <t>7 health district centers covering all districts will benefit from this project. Besides, 5578 school children will also benefit from school lighting and school cantine improvementes thanks to the solar energy</t>
        </is>
      </c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4" t="inlineStr">
        <is>
          <t>Beneficiary Category</t>
        </is>
      </c>
      <c r="B1" s="54" t="inlineStr">
        <is>
          <t>Indicator</t>
        </is>
      </c>
    </row>
    <row r="2" ht="45.75" customHeight="1">
      <c r="A2" s="55" t="inlineStr">
        <is>
          <t>Electricity Access</t>
        </is>
      </c>
      <c r="B2" s="55" t="inlineStr">
        <is>
          <t>Number of people, disaggregated by sex, who gain access to clean electricity (direct access to electricity, lighting, cooling, etc.).</t>
        </is>
      </c>
    </row>
    <row r="3">
      <c r="A3" s="55" t="inlineStr">
        <is>
          <t>Energy (MW added)</t>
        </is>
      </c>
      <c r="B3" s="55" t="inlineStr">
        <is>
          <t>Installed renewable or clean-energy power capacity added, in MW.</t>
        </is>
      </c>
    </row>
    <row r="4" ht="30.75" customHeight="1">
      <c r="A4" s="55" t="inlineStr">
        <is>
          <t>Energy Storage (MW)</t>
        </is>
      </c>
      <c r="B4" s="55" t="inlineStr">
        <is>
          <t>Installed energy storage power capacity added, in MW.</t>
        </is>
      </c>
    </row>
    <row r="5" ht="30.75" customHeight="1">
      <c r="A5" s="55" t="inlineStr">
        <is>
          <t>Clean Cooking</t>
        </is>
      </c>
      <c r="B5" s="55" t="inlineStr">
        <is>
          <t>Number of people who gain access to clean cooking (direct access to clean cook stoves, clean fuels, biomass, etc.).</t>
        </is>
      </c>
    </row>
    <row r="6" ht="91.5" customHeight="1">
      <c r="A6" s="55" t="inlineStr">
        <is>
          <t>Clean Heating</t>
        </is>
      </c>
      <c r="B6" s="55" t="inlineStr">
        <is>
          <t>Number of people who gain access to clean heating (direct access to clean electric heaters, clean fuels, etc.).</t>
        </is>
      </c>
    </row>
    <row r="7" ht="45.75" customHeight="1">
      <c r="A7" s="55" t="inlineStr">
        <is>
          <t>Agriculture and Food System</t>
        </is>
      </c>
      <c r="B7" s="55" t="inlineStr">
        <is>
          <t>Number of people who gain access to clean, affordable, and sustainable energy for agricultural and food-system activities.</t>
        </is>
      </c>
    </row>
    <row r="8" ht="45.75" customHeight="1">
      <c r="A8" s="55" t="inlineStr">
        <is>
          <t>Health Services</t>
        </is>
      </c>
      <c r="B8" s="55" t="inlineStr">
        <is>
          <t>Number of people who gain access to health care facilities through clean energy systems.</t>
        </is>
      </c>
    </row>
    <row r="9" ht="45.75" customHeight="1">
      <c r="A9" s="55" t="inlineStr">
        <is>
          <t>Water Services</t>
        </is>
      </c>
      <c r="B9" s="55" t="inlineStr">
        <is>
          <t>Number of people who gain access to water services through clean energy systems.</t>
        </is>
      </c>
    </row>
    <row r="10" ht="30.75" customHeight="1">
      <c r="A10" s="55" t="inlineStr">
        <is>
          <t>Education Services</t>
        </is>
      </c>
      <c r="B10" s="55" t="inlineStr">
        <is>
          <t>Number of people who gain access to education services through clean energy systems, including students and teachers.</t>
        </is>
      </c>
    </row>
    <row r="11" ht="30.75" customHeight="1">
      <c r="A11" s="55" t="inlineStr">
        <is>
          <t>Transportation and E-mobility Services</t>
        </is>
      </c>
      <c r="B11" s="55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5" t="inlineStr">
        <is>
          <t>Energy Efficiency Services</t>
        </is>
      </c>
      <c r="B12" s="55" t="inlineStr">
        <is>
          <t>Energy saved from energy-efficiency interventions, such as building or industrial efficiency.</t>
        </is>
      </c>
    </row>
    <row r="13" ht="30.75" customHeight="1">
      <c r="A13" s="55" t="inlineStr">
        <is>
          <t>Energy Infrastructure Services</t>
        </is>
      </c>
      <c r="B13" s="55" t="inlineStr">
        <is>
          <t>Number of people benefiting from energy infrastructure interventions, such as streetlights, transmission, and distribution lines.</t>
        </is>
      </c>
    </row>
    <row r="14">
      <c r="A14" s="55" t="inlineStr">
        <is>
          <t>Other Energy Services</t>
        </is>
      </c>
      <c r="B14" s="55" t="inlineStr">
        <is>
          <t>Access to other energy services not captured by the categories above.</t>
        </is>
      </c>
    </row>
    <row r="15" ht="30.75" customHeight="1">
      <c r="A15" s="55" t="inlineStr">
        <is>
          <t>Financing support</t>
        </is>
      </c>
      <c r="B15" s="55" t="inlineStr">
        <is>
          <t>Support for the development of the energy market ecosystem.</t>
        </is>
      </c>
    </row>
    <row r="16" ht="30.75" customHeight="1">
      <c r="A16" s="55" t="inlineStr">
        <is>
          <t>Medium Enterprises</t>
        </is>
      </c>
      <c r="B16" s="55" t="inlineStr">
        <is>
          <t>Support for the development of medium enterprises in the energy transition market.</t>
        </is>
      </c>
    </row>
    <row r="17" ht="30.75" customHeight="1">
      <c r="A17" s="55" t="inlineStr">
        <is>
          <t>Small Enterprises</t>
        </is>
      </c>
      <c r="B17" s="55" t="inlineStr">
        <is>
          <t>Support for the development of small enterprises in the energy transition market.</t>
        </is>
      </c>
    </row>
    <row r="18" ht="30.75" customHeight="1">
      <c r="A18" s="55" t="inlineStr">
        <is>
          <t>Capacity Building Training</t>
        </is>
      </c>
      <c r="B18" s="55" t="inlineStr">
        <is>
          <t>Number of people benefiting from training on energy business, energy finance, or related implementation capacity.</t>
        </is>
      </c>
    </row>
    <row r="19" ht="76.5" customHeight="1">
      <c r="A19" s="55" t="inlineStr">
        <is>
          <t>Entrepreneurship Training</t>
        </is>
      </c>
      <c r="B19" s="55" t="inlineStr">
        <is>
          <t>Training for enterprises on the energy business, assumed to result in direct beneficiaries.</t>
        </is>
      </c>
    </row>
    <row r="20" ht="30.75" customHeight="1">
      <c r="A20" s="55" t="inlineStr">
        <is>
          <t>Market Intervention</t>
        </is>
      </c>
      <c r="B20" s="55" t="inlineStr">
        <is>
          <t>Volume of investment leveraged or barriers removed for clean, reliable, affordable, and sustainable energy solutions.</t>
        </is>
      </c>
    </row>
    <row r="21" ht="45.75" customHeight="1">
      <c r="A21" s="55" t="inlineStr">
        <is>
          <t>Campaign Participant</t>
        </is>
      </c>
      <c r="B21" s="55" t="inlineStr">
        <is>
          <t>Individuals who participate in advocacy or awareness campaigns on energy.</t>
        </is>
      </c>
    </row>
    <row r="22" ht="30.75" customHeight="1">
      <c r="A22" s="55" t="inlineStr">
        <is>
          <t>Policy or Regulatory Framework</t>
        </is>
      </c>
      <c r="B22" s="55" t="inlineStr">
        <is>
          <t>Policies, regulations, strategies, plans, or frameworks developed, approved, implemented, or strengthened.</t>
        </is>
      </c>
    </row>
    <row r="23">
      <c r="A23" s="55" t="inlineStr">
        <is>
          <t>GHG Emissions Reduction</t>
        </is>
      </c>
      <c r="B23" s="55" t="inlineStr">
        <is>
          <t>Greenhouse gas emissions reduced or mitigated, in tCO2e.</t>
        </is>
      </c>
    </row>
    <row r="24">
      <c r="A24" s="55" t="inlineStr">
        <is>
          <t>Other</t>
        </is>
      </c>
      <c r="B24" s="5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2026-06-08T15:49:48Z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