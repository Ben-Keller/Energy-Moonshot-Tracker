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3" fillId="0" borderId="0"/>
    <xf numFmtId="164" fontId="3" fillId="0" borderId="0"/>
    <xf numFmtId="0" fontId="4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1">
      <alignment vertical="top" wrapText="1"/>
    </xf>
    <xf numFmtId="0" fontId="4" fillId="0" borderId="0" applyAlignment="1" pivotButton="0" quotePrefix="0" xfId="2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right" vertical="top" wrapText="1"/>
    </xf>
    <xf numFmtId="9" fontId="0" fillId="2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4" fillId="0" borderId="2" applyAlignment="1" pivotButton="0" quotePrefix="0" xfId="2">
      <alignment vertical="center" wrapText="1"/>
    </xf>
    <xf numFmtId="164" fontId="0" fillId="0" borderId="2" applyAlignment="1" pivotButton="0" quotePrefix="0" xfId="1">
      <alignment vertical="center" wrapText="1"/>
    </xf>
    <xf numFmtId="0" fontId="0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right" vertical="center" wrapText="1"/>
    </xf>
    <xf numFmtId="0" fontId="0" fillId="2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9" fontId="0" fillId="0" borderId="8" applyAlignment="1" pivotButton="0" quotePrefix="0" xfId="0">
      <alignment vertical="center" wrapText="1"/>
    </xf>
    <xf numFmtId="10" fontId="0" fillId="0" borderId="8" applyAlignment="1" pivotButton="0" quotePrefix="0" xfId="0">
      <alignment vertical="center" wrapText="1"/>
    </xf>
    <xf numFmtId="9" fontId="0" fillId="2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3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2" fillId="0" borderId="7" applyAlignment="1" pivotButton="0" quotePrefix="0" xfId="0">
      <alignment horizontal="center"/>
    </xf>
    <xf numFmtId="0" fontId="2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0" fillId="3" borderId="2" applyAlignment="1" pivotButton="0" quotePrefix="0" xfId="1">
      <alignment vertical="center" wrapText="1"/>
    </xf>
    <xf numFmtId="0" fontId="8" fillId="0" borderId="0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0977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097769" TargetMode="External" Id="rId1"/><Relationship Type="http://schemas.openxmlformats.org/officeDocument/2006/relationships/hyperlink" Target="https://open.undp.org/projects/00097769" TargetMode="External" Id="rId2"/><Relationship Type="http://schemas.openxmlformats.org/officeDocument/2006/relationships/hyperlink" Target="https://open.undp.org/projects/00097769" TargetMode="External" Id="rId3"/><Relationship Type="http://schemas.openxmlformats.org/officeDocument/2006/relationships/hyperlink" Target="https://open.undp.org/projects/00097769" TargetMode="External" Id="rId4"/><Relationship Type="http://schemas.openxmlformats.org/officeDocument/2006/relationships/hyperlink" Target="https://open.undp.org/projects/00097769" TargetMode="External" Id="rId5"/><Relationship Type="http://schemas.openxmlformats.org/officeDocument/2006/relationships/hyperlink" Target="https://open.undp.org/projects/00097769" TargetMode="External" Id="rId6"/><Relationship Type="http://schemas.openxmlformats.org/officeDocument/2006/relationships/hyperlink" Target="https://open.undp.org/projects/00097769" TargetMode="External" Id="rId7"/><Relationship Type="http://schemas.openxmlformats.org/officeDocument/2006/relationships/hyperlink" Target="https://open.undp.org/projects/00097769" TargetMode="External" Id="rId8"/><Relationship Type="http://schemas.openxmlformats.org/officeDocument/2006/relationships/hyperlink" Target="https://open.undp.org/projects/00097769" TargetMode="External" Id="rId9"/><Relationship Type="http://schemas.openxmlformats.org/officeDocument/2006/relationships/hyperlink" Target="https://open.undp.org/projects/00097769" TargetMode="External" Id="rId10"/><Relationship Type="http://schemas.openxmlformats.org/officeDocument/2006/relationships/hyperlink" Target="https://open.undp.org/projects/0009776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topLeftCell="O6" zoomScale="85" zoomScaleNormal="85" workbookViewId="0">
      <selection activeCell="W11" sqref="W11"/>
    </sheetView>
  </sheetViews>
  <sheetFormatPr baseColWidth="8" defaultRowHeight="15"/>
  <cols>
    <col width="9.140625" customWidth="1" style="27" min="1" max="1"/>
    <col width="20.7109375" customWidth="1" style="27" min="2" max="2"/>
    <col width="22.28515625" customWidth="1" style="27" min="3" max="3"/>
    <col width="13.28515625" bestFit="1" customWidth="1" style="27" min="4" max="4"/>
    <col width="13.28515625" customWidth="1" style="27" min="5" max="5"/>
    <col width="13.28515625" customWidth="1" style="27" min="6" max="6"/>
    <col width="13.28515625" customWidth="1" style="27" min="7" max="7"/>
    <col width="13.28515625" customWidth="1" style="27" min="8" max="8"/>
    <col width="47.42578125" customWidth="1" style="27" min="9" max="9"/>
    <col width="9.140625" customWidth="1" style="27" min="10" max="10"/>
    <col width="10.140625" customWidth="1" style="27" min="11" max="11"/>
    <col width="12.85546875" bestFit="1" customWidth="1" style="27" min="12" max="12"/>
    <col width="9.140625" customWidth="1" style="27" min="13" max="13"/>
    <col width="13.5703125" customWidth="1" style="27" min="14" max="14"/>
    <col width="17.5703125" bestFit="1" customWidth="1" style="27" min="15" max="15"/>
    <col width="12.28515625" customWidth="1" style="27" min="16" max="16"/>
    <col width="21.5703125" bestFit="1" customWidth="1" style="27" min="17" max="17"/>
    <col width="18.140625" bestFit="1" customWidth="1" style="27" min="18" max="18"/>
    <col width="13.85546875" customWidth="1" style="27" min="19" max="19"/>
    <col width="21.5703125" bestFit="1" customWidth="1" style="27" min="20" max="20"/>
    <col width="30.28515625" bestFit="1" customWidth="1" style="2" min="21" max="21"/>
    <col width="9.140625" customWidth="1" style="2" min="22" max="22"/>
    <col width="29.42578125" customWidth="1" style="2" min="23" max="23"/>
    <col width="9.140625" customWidth="1" style="2" min="24" max="16384"/>
  </cols>
  <sheetData>
    <row r="1" ht="30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7" t="inlineStr">
        <is>
          <t>Gender (% female)</t>
        </is>
      </c>
      <c r="P1" s="31" t="inlineStr">
        <is>
          <t>Tag</t>
        </is>
      </c>
      <c r="Q1" s="31" t="inlineStr">
        <is>
          <t>SEH Taxonomy</t>
        </is>
      </c>
      <c r="R1" s="31" t="inlineStr">
        <is>
          <t>RISE Taxonomy</t>
        </is>
      </c>
      <c r="S1" s="31" t="inlineStr">
        <is>
          <t>Flagship</t>
        </is>
      </c>
      <c r="T1" s="31" t="inlineStr">
        <is>
          <t>Indirect Category</t>
        </is>
      </c>
      <c r="U1" s="31" t="inlineStr">
        <is>
          <t>Indirect Taxonomy</t>
        </is>
      </c>
      <c r="V1" s="37" t="inlineStr">
        <is>
          <t>Technology</t>
        </is>
      </c>
      <c r="W1" s="32" t="inlineStr">
        <is>
          <t>Market Intervention</t>
        </is>
      </c>
      <c r="X1" s="32" t="inlineStr">
        <is>
          <t>Policy or Regulatory Framework</t>
        </is>
      </c>
      <c r="Y1" s="33" t="inlineStr">
        <is>
          <t>Policy Population</t>
        </is>
      </c>
    </row>
    <row r="2" ht="45.75" customHeight="1">
      <c r="A2" s="12" t="inlineStr">
        <is>
          <t>5476, 97769</t>
        </is>
      </c>
      <c r="B2" s="12" t="inlineStr">
        <is>
          <t>Green Energy SME Development Project</t>
        </is>
      </c>
      <c r="C2" s="18" t="inlineStr">
        <is>
          <t>https://open.undp.org/projects/00097769</t>
        </is>
      </c>
      <c r="D2" s="19">
        <f>386750+104990.75</f>
        <v/>
      </c>
      <c r="E2" s="42" t="n"/>
      <c r="F2" s="42" t="n"/>
      <c r="G2" s="42" t="n"/>
      <c r="H2" s="19" t="inlineStr">
        <is>
          <t>VF</t>
        </is>
      </c>
      <c r="I2" s="20" t="inlineStr">
        <is>
          <t>Policy or Regulatory Framework</t>
        </is>
      </c>
      <c r="J2" s="20" t="inlineStr">
        <is>
          <t>Status of by-laws enabling implementation of the Energy Efficiency Law</t>
        </is>
      </c>
      <c r="K2" s="21" t="n">
        <v>0</v>
      </c>
      <c r="L2" s="21" t="n">
        <v>1</v>
      </c>
      <c r="M2" s="22" t="inlineStr">
        <is>
          <t xml:space="preserve">Target: Final version adopted </t>
        </is>
      </c>
      <c r="N2" s="12" t="inlineStr">
        <is>
          <t>GEF</t>
        </is>
      </c>
      <c r="O2" s="23" t="n"/>
      <c r="P2" s="28" t="n"/>
      <c r="Q2" s="38" t="inlineStr">
        <is>
          <t>Accelerating just energy transition</t>
        </is>
      </c>
      <c r="R2" s="28" t="inlineStr">
        <is>
          <t>Energy Efficiency</t>
        </is>
      </c>
      <c r="S2" s="28" t="n"/>
      <c r="T2" s="28" t="inlineStr">
        <is>
          <t>Legal Framework</t>
        </is>
      </c>
      <c r="U2" s="28" t="inlineStr">
        <is>
          <t>Energy Efficiency</t>
        </is>
      </c>
      <c r="V2" s="35" t="n"/>
      <c r="W2" s="28" t="n"/>
      <c r="X2" s="28" t="inlineStr">
        <is>
          <t>National</t>
        </is>
      </c>
      <c r="Y2" s="35" t="n"/>
    </row>
    <row r="3" ht="45.75" customHeight="1">
      <c r="A3" s="13" t="n"/>
      <c r="B3" s="13" t="n"/>
      <c r="C3" s="18" t="n"/>
      <c r="D3" s="19" t="n"/>
      <c r="E3" s="19" t="n"/>
      <c r="F3" s="19" t="n"/>
      <c r="G3" s="19" t="n"/>
      <c r="H3" s="19" t="n"/>
      <c r="I3" s="20" t="inlineStr">
        <is>
          <t>Capacity Building Training</t>
        </is>
      </c>
      <c r="J3" s="20" t="inlineStr">
        <is>
          <t xml:space="preserve">Number of officials trained (including number of women) </t>
        </is>
      </c>
      <c r="K3" s="21" t="n">
        <v>0</v>
      </c>
      <c r="L3" s="21" t="n">
        <v>50</v>
      </c>
      <c r="M3" s="22" t="n"/>
      <c r="N3" s="13" t="n"/>
      <c r="O3" s="24" t="n">
        <v>0.3</v>
      </c>
      <c r="P3" s="28" t="n"/>
      <c r="Q3" s="38" t="inlineStr">
        <is>
          <t>Accelerating just energy transition</t>
        </is>
      </c>
      <c r="R3" s="28" t="n"/>
      <c r="S3" s="28" t="n"/>
      <c r="T3" s="28" t="n"/>
      <c r="U3" s="28" t="n"/>
      <c r="V3" s="35" t="n"/>
      <c r="W3" s="28" t="n"/>
      <c r="X3" s="28" t="n"/>
      <c r="Y3" s="35" t="n"/>
    </row>
    <row r="4" ht="45.75" customHeight="1">
      <c r="A4" s="13" t="n"/>
      <c r="B4" s="13" t="n"/>
      <c r="C4" s="18" t="n"/>
      <c r="D4" s="19" t="n"/>
      <c r="E4" s="19" t="n"/>
      <c r="F4" s="19" t="n"/>
      <c r="G4" s="19" t="n"/>
      <c r="H4" s="19" t="n"/>
      <c r="I4" s="20" t="inlineStr">
        <is>
          <t>Policy or Regulatory Framework</t>
        </is>
      </c>
      <c r="J4" s="20" t="inlineStr">
        <is>
          <t>Status of by-laws, providing financial incentives and support mechanisms for green energy investment</t>
        </is>
      </c>
      <c r="K4" s="21" t="n">
        <v>0</v>
      </c>
      <c r="L4" s="21" t="n">
        <v>1</v>
      </c>
      <c r="M4" s="22" t="inlineStr">
        <is>
          <t xml:space="preserve">Target: 2.0 MW. Final version of a by-law providing a financial support mechanism for green energy investment approved </t>
        </is>
      </c>
      <c r="N4" s="13" t="n"/>
      <c r="O4" s="23" t="n"/>
      <c r="P4" s="28" t="n"/>
      <c r="Q4" s="38" t="inlineStr">
        <is>
          <t>Accelerating just energy transition</t>
        </is>
      </c>
      <c r="R4" s="28" t="inlineStr">
        <is>
          <t>Renewable Energy</t>
        </is>
      </c>
      <c r="S4" s="28" t="n"/>
      <c r="T4" s="28" t="inlineStr">
        <is>
          <t>Incentives and Support</t>
        </is>
      </c>
      <c r="U4" s="28" t="inlineStr">
        <is>
          <t>Renewable Energy</t>
        </is>
      </c>
      <c r="V4" s="35" t="n"/>
      <c r="W4" s="28" t="n"/>
      <c r="X4" s="28" t="inlineStr">
        <is>
          <t>National</t>
        </is>
      </c>
      <c r="Y4" s="35" t="n"/>
    </row>
    <row r="5" ht="45.75" customHeight="1">
      <c r="A5" s="13" t="n"/>
      <c r="B5" s="13" t="n"/>
      <c r="C5" s="18" t="n"/>
      <c r="D5" s="19" t="n"/>
      <c r="E5" s="19" t="n"/>
      <c r="F5" s="19" t="n"/>
      <c r="G5" s="19" t="n"/>
      <c r="H5" s="19" t="n"/>
      <c r="I5" s="20" t="inlineStr">
        <is>
          <t>Policy or Regulatory Framework</t>
        </is>
      </c>
      <c r="J5" s="20" t="inlineStr">
        <is>
          <t xml:space="preserve">Status of system of compliance checks and enforcement of performance standard for selected EE/RE products </t>
        </is>
      </c>
      <c r="K5" s="21" t="n">
        <v>0</v>
      </c>
      <c r="L5" s="21" t="n">
        <v>1</v>
      </c>
      <c r="M5" s="22" t="inlineStr">
        <is>
          <t>Target: Final version approved by decision-makers</t>
        </is>
      </c>
      <c r="N5" s="13" t="n"/>
      <c r="O5" s="23" t="n"/>
      <c r="P5" s="28" t="n"/>
      <c r="Q5" s="38" t="inlineStr">
        <is>
          <t>Accelerating just energy transition</t>
        </is>
      </c>
      <c r="R5" s="28" t="n"/>
      <c r="S5" s="28" t="n"/>
      <c r="T5" s="28" t="n"/>
      <c r="U5" s="28" t="n"/>
      <c r="V5" s="35" t="n"/>
      <c r="W5" s="28" t="n"/>
      <c r="X5" s="28" t="n"/>
      <c r="Y5" s="35" t="n"/>
    </row>
    <row r="6" ht="45.75" customHeight="1">
      <c r="A6" s="13" t="n"/>
      <c r="B6" s="13" t="n"/>
      <c r="C6" s="18" t="n"/>
      <c r="D6" s="19" t="n"/>
      <c r="E6" s="19" t="n"/>
      <c r="F6" s="19" t="n"/>
      <c r="G6" s="19" t="n"/>
      <c r="H6" s="19" t="n"/>
      <c r="I6" s="20" t="inlineStr">
        <is>
          <t>Market Intervention</t>
        </is>
      </c>
      <c r="J6" s="20" t="inlineStr">
        <is>
          <t xml:space="preserve">Number and volume (US$) of green loans approved for SWH and other targeted EE/RE products (including those for women-led SMEs) </t>
        </is>
      </c>
      <c r="K6" s="21" t="n">
        <v>0</v>
      </c>
      <c r="L6" s="21" t="n">
        <v>2600000</v>
      </c>
      <c r="M6" s="22" t="inlineStr">
        <is>
          <t>Target: 2,000 loans/US$ 2,600,000 (at least 100 loans to women-led SMEs)</t>
        </is>
      </c>
      <c r="N6" s="13" t="n"/>
      <c r="O6" s="23" t="n"/>
      <c r="P6" s="28" t="n"/>
      <c r="Q6" s="38" t="inlineStr">
        <is>
          <t>Accelerating just energy transition</t>
        </is>
      </c>
      <c r="R6" s="28" t="n"/>
      <c r="S6" s="28" t="n"/>
      <c r="T6" s="28" t="n"/>
      <c r="U6" s="28" t="n"/>
      <c r="V6" s="35" t="n"/>
      <c r="W6" s="28" t="inlineStr">
        <is>
          <t>Business Model</t>
        </is>
      </c>
      <c r="X6" s="28" t="n"/>
      <c r="Y6" s="35" t="n"/>
    </row>
    <row r="7" ht="45.75" customHeight="1">
      <c r="A7" s="13" t="n"/>
      <c r="B7" s="13" t="n"/>
      <c r="C7" s="18" t="n"/>
      <c r="D7" s="19" t="n"/>
      <c r="E7" s="19" t="n"/>
      <c r="F7" s="19" t="n"/>
      <c r="G7" s="19" t="n"/>
      <c r="H7" s="19" t="n"/>
      <c r="I7" s="20" t="inlineStr">
        <is>
          <t>Electricity Access</t>
        </is>
      </c>
      <c r="J7" s="20" t="inlineStr">
        <is>
          <t xml:space="preserve">Number of beneficiaries using RE (including number of women) </t>
        </is>
      </c>
      <c r="K7" s="21" t="n">
        <v>0</v>
      </c>
      <c r="L7" s="21" t="n">
        <v>16000</v>
      </c>
      <c r="M7" s="22" t="n"/>
      <c r="N7" s="13" t="n"/>
      <c r="O7" s="25" t="n">
        <v>0.625</v>
      </c>
      <c r="P7" s="28" t="n"/>
      <c r="Q7" s="38" t="inlineStr">
        <is>
          <t>Accelerating just energy transition</t>
        </is>
      </c>
      <c r="R7" s="28" t="n"/>
      <c r="S7" s="28" t="n"/>
      <c r="T7" s="28" t="n"/>
      <c r="U7" s="28" t="n"/>
      <c r="V7" s="35" t="inlineStr">
        <is>
          <t>Unknown</t>
        </is>
      </c>
      <c r="W7" s="28" t="n"/>
      <c r="X7" s="28" t="n"/>
      <c r="Y7" s="35" t="n"/>
    </row>
    <row r="8" ht="45.75" customHeight="1">
      <c r="A8" s="13" t="n"/>
      <c r="B8" s="13" t="n"/>
      <c r="C8" s="18" t="n"/>
      <c r="D8" s="19" t="n"/>
      <c r="E8" s="19" t="n"/>
      <c r="F8" s="19" t="n"/>
      <c r="G8" s="19" t="n"/>
      <c r="H8" s="19" t="n"/>
      <c r="I8" s="20" t="inlineStr">
        <is>
          <t>Energy (MW added)</t>
        </is>
      </c>
      <c r="J8" s="20" t="inlineStr">
        <is>
          <t xml:space="preserve">Installed new RE-power generation capacity, MW </t>
        </is>
      </c>
      <c r="K8" s="21" t="n">
        <v>0</v>
      </c>
      <c r="L8" s="21" t="n">
        <v>0.75</v>
      </c>
      <c r="M8" s="22" t="n"/>
      <c r="N8" s="13" t="n"/>
      <c r="O8" s="23" t="n"/>
      <c r="P8" s="28" t="n"/>
      <c r="Q8" s="38" t="inlineStr">
        <is>
          <t>Close the gap on energy access</t>
        </is>
      </c>
      <c r="R8" s="28" t="n"/>
      <c r="S8" s="28" t="n"/>
      <c r="T8" s="28" t="n"/>
      <c r="U8" s="28" t="n"/>
      <c r="V8" s="35" t="inlineStr">
        <is>
          <t>Unknown</t>
        </is>
      </c>
      <c r="W8" s="28" t="n"/>
      <c r="X8" s="28" t="n"/>
      <c r="Y8" s="35" t="n"/>
    </row>
    <row r="9" ht="45.75" customHeight="1">
      <c r="A9" s="13" t="n"/>
      <c r="B9" s="13" t="n"/>
      <c r="C9" s="18" t="n"/>
      <c r="D9" s="19" t="n"/>
      <c r="E9" s="19" t="n"/>
      <c r="F9" s="19" t="n"/>
      <c r="G9" s="19" t="n"/>
      <c r="H9" s="19" t="n"/>
      <c r="I9" s="20" t="inlineStr">
        <is>
          <t>Medium Enterprises</t>
        </is>
      </c>
      <c r="J9" s="20" t="inlineStr">
        <is>
          <t xml:space="preserve">Number of SWH systems facilitated by the project (in tourism facilities) </t>
        </is>
      </c>
      <c r="K9" s="21" t="n">
        <v>0</v>
      </c>
      <c r="L9" s="21" t="n">
        <v>100</v>
      </c>
      <c r="M9" s="22" t="n"/>
      <c r="N9" s="13" t="n"/>
      <c r="O9" s="23" t="n"/>
      <c r="P9" s="28" t="n"/>
      <c r="Q9" s="38" t="inlineStr">
        <is>
          <t>Accelerating just energy transition</t>
        </is>
      </c>
      <c r="R9" s="28" t="n"/>
      <c r="S9" s="28" t="n"/>
      <c r="T9" s="28" t="n"/>
      <c r="U9" s="28" t="n"/>
      <c r="V9" s="35" t="n"/>
      <c r="W9" s="28" t="n"/>
      <c r="X9" s="28" t="n"/>
      <c r="Y9" s="35" t="n"/>
    </row>
    <row r="10" ht="45.75" customHeight="1">
      <c r="A10" s="13" t="n"/>
      <c r="B10" s="13" t="n"/>
      <c r="C10" s="18" t="n"/>
      <c r="D10" s="19" t="n"/>
      <c r="E10" s="19" t="n"/>
      <c r="F10" s="19" t="n"/>
      <c r="G10" s="19" t="n"/>
      <c r="H10" s="19" t="n"/>
      <c r="I10" s="20" t="inlineStr">
        <is>
          <t>Electricity Access</t>
        </is>
      </c>
      <c r="J10" s="20" t="inlineStr">
        <is>
          <t xml:space="preserve">Number of people with improved access to energy (including percentage of women) </t>
        </is>
      </c>
      <c r="K10" s="21" t="n">
        <v>0</v>
      </c>
      <c r="L10" s="21" t="n">
        <v>17867</v>
      </c>
      <c r="M10" s="22" t="inlineStr">
        <is>
          <t>Target: 60% women out of 17867 people</t>
        </is>
      </c>
      <c r="N10" s="13" t="n"/>
      <c r="O10" s="24" t="n">
        <v>0.6</v>
      </c>
      <c r="P10" s="28" t="n"/>
      <c r="Q10" s="38" t="inlineStr">
        <is>
          <t>Close the gap on energy access</t>
        </is>
      </c>
      <c r="R10" s="28" t="n"/>
      <c r="S10" s="28" t="n"/>
      <c r="T10" s="28" t="n"/>
      <c r="U10" s="28" t="n"/>
      <c r="V10" s="35" t="inlineStr">
        <is>
          <t>Unknown</t>
        </is>
      </c>
      <c r="W10" s="28" t="n"/>
      <c r="X10" s="28" t="n"/>
      <c r="Y10" s="35" t="n"/>
    </row>
    <row r="11" ht="351" customHeight="1">
      <c r="A11" s="13" t="n"/>
      <c r="B11" s="13" t="n"/>
      <c r="C11" s="18" t="n"/>
      <c r="D11" s="19" t="n"/>
      <c r="E11" s="19" t="n"/>
      <c r="F11" s="19" t="n"/>
      <c r="G11" s="19" t="n"/>
      <c r="H11" s="19" t="n"/>
      <c r="I11" s="20" t="inlineStr">
        <is>
          <t>Campaign Participant</t>
        </is>
      </c>
      <c r="J11" s="20" t="inlineStr">
        <is>
          <t xml:space="preserve">Number of people accessed by marketing and awareness raising campaign (including percentage of women) </t>
        </is>
      </c>
      <c r="K11" s="21" t="n">
        <v>0</v>
      </c>
      <c r="L11" s="21" t="n">
        <v>3000000</v>
      </c>
      <c r="M11" s="22" t="inlineStr">
        <is>
          <t>Beneficiary category: Marketing and Awareness Raising Campaign 
Target: 60% women out of 3000000 people</t>
        </is>
      </c>
      <c r="N11" s="13" t="n"/>
      <c r="O11" s="24" t="n">
        <v>0.6</v>
      </c>
      <c r="P11" s="28" t="n"/>
      <c r="Q11" s="38" t="inlineStr">
        <is>
          <t>Accelerating just energy transition</t>
        </is>
      </c>
      <c r="R11" s="28" t="n"/>
      <c r="S11" s="28" t="n"/>
      <c r="T11" s="28" t="n"/>
      <c r="U11" s="28" t="n"/>
      <c r="V11" s="35" t="n"/>
      <c r="W11" s="28" t="n"/>
      <c r="X11" s="28" t="n"/>
      <c r="Y11" s="35" t="n"/>
      <c r="Z11" s="2" t="inlineStr">
        <is>
          <t xml:space="preserve">Aleksandra: this is really unlikely that 3 million people could be beneficiaries since they were just assessed. Propose to remove as it is 35% of beneficiaries of the whole region. </t>
        </is>
      </c>
    </row>
    <row r="12" ht="60.75" customHeight="1">
      <c r="A12" s="14" t="n"/>
      <c r="B12" s="14" t="n"/>
      <c r="C12" s="18" t="n"/>
      <c r="D12" s="19" t="n"/>
      <c r="E12" s="19" t="n"/>
      <c r="F12" s="19" t="n"/>
      <c r="G12" s="19" t="n"/>
      <c r="H12" s="19" t="n"/>
      <c r="I12" s="20" t="inlineStr">
        <is>
          <t>Other Energy Services</t>
        </is>
      </c>
      <c r="J12" s="20" t="inlineStr">
        <is>
          <t xml:space="preserve">Number of organizations receiving results of project, including GHG emissions and socio-economic benefits (targeted number to be established during project inception) </t>
        </is>
      </c>
      <c r="K12" s="21" t="n">
        <v>0</v>
      </c>
      <c r="L12" s="26" t="n"/>
      <c r="M12" s="22" t="inlineStr">
        <is>
          <t>Beneficiary category: Knowledge sharing 
Target: 100% of identified participating stakeholder organizations
Budget for this line: Includes OPEX</t>
        </is>
      </c>
      <c r="N12" s="14" t="n"/>
      <c r="O12" s="23" t="n"/>
      <c r="P12" s="28" t="n"/>
      <c r="Q12" s="38" t="inlineStr">
        <is>
          <t>Accelerating just energy transition</t>
        </is>
      </c>
      <c r="R12" s="28" t="n"/>
      <c r="S12" s="28" t="n"/>
      <c r="T12" s="28" t="n"/>
      <c r="U12" s="28" t="n"/>
      <c r="V12" s="35" t="n"/>
      <c r="W12" s="28" t="n"/>
      <c r="X12" s="28" t="n"/>
      <c r="Y12" s="35" t="n"/>
    </row>
  </sheetData>
  <dataValidations count="13">
    <dataValidation sqref="N2:N12" showDropDown="0" showInputMessage="1" showErrorMessage="1" allowBlank="1" type="list">
      <formula1>"Accelerating just energy transition, Close the gap on energy access, Scale up energy finance"</formula1>
    </dataValidation>
    <dataValidation sqref="P2:P12" showDropDown="0" showInputMessage="1" showErrorMessage="1" allowBlank="1" type="list">
      <formula1>"AMP, PUDC, Solar4Health, Action Opportunities, Italy UNDP Energy Partnership"</formula1>
    </dataValidation>
    <dataValidation sqref="Q2:Q1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12" showDropDown="0" showInputMessage="1" showErrorMessage="1" allowBlank="1" type="list">
      <formula1>"Electricity Access, Energy Efficiency, Clean Cooking, Renewable Energy, Overall"</formula1>
    </dataValidation>
    <dataValidation sqref="M2:M12" showDropDown="0" showInputMessage="1" showErrorMessage="1" allowBlank="1" type="list">
      <formula1>"Finance, Gender, Efficiency, Just, Health"</formula1>
    </dataValidation>
    <dataValidation sqref="U2:U12" showDropDown="0" showInputMessage="1" showErrorMessage="1" allowBlank="1" type="list">
      <formula1>"National, Regional, City, Community"</formula1>
    </dataValidation>
    <dataValidation sqref="L2:L12" showDropDown="0" showInputMessage="1" showErrorMessage="1" allowBlank="1" type="list">
      <formula1>"Non-VF, VF"</formula1>
    </dataValidation>
    <dataValidation sqref="R2:R1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2" showDropDown="0" showInputMessage="1" showErrorMessage="1" allowBlank="1" type="list">
      <formula1>"Solar, Wind, Bioenergy, Hydro, Geothermal, Waste, Some Sources, Other, Unknown"</formula1>
    </dataValidation>
    <dataValidation sqref="T2:T12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zoomScale="85" zoomScaleNormal="85" workbookViewId="0">
      <selection activeCell="J1" sqref="J1"/>
    </sheetView>
  </sheetViews>
  <sheetFormatPr baseColWidth="8" defaultRowHeight="15"/>
  <cols>
    <col width="9.140625" customWidth="1" style="2" min="1" max="1"/>
    <col width="20.7109375" customWidth="1" style="2" min="2" max="2"/>
    <col width="22.28515625" customWidth="1" style="2" min="3" max="3"/>
    <col width="13.28515625" bestFit="1" customWidth="1" style="2" min="4" max="4"/>
    <col width="21.85546875" customWidth="1" style="2" min="5" max="5"/>
    <col width="45.28515625" customWidth="1" style="2" min="6" max="6"/>
    <col width="12.28515625" customWidth="1" style="2" min="7" max="7"/>
    <col width="15.140625" customWidth="1" style="2" min="8" max="8"/>
    <col width="47.42578125" customWidth="1" style="2" min="9" max="9"/>
    <col width="9.140625" customWidth="1" style="2" min="10" max="16384"/>
  </cols>
  <sheetData>
    <row r="1" ht="30.7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1" t="inlineStr">
        <is>
          <t>Donors</t>
        </is>
      </c>
    </row>
    <row r="2" ht="30" customHeight="1">
      <c r="A2" s="6" t="n">
        <v>5476</v>
      </c>
      <c r="B2" s="2" t="inlineStr">
        <is>
          <t>Green Energy SME Development Project</t>
        </is>
      </c>
      <c r="C2" s="4" t="inlineStr">
        <is>
          <t>https://open.undp.org/projects/00097769</t>
        </is>
      </c>
      <c r="D2" s="3">
        <f>386750+104990.75</f>
        <v/>
      </c>
      <c r="E2" s="7" t="inlineStr">
        <is>
          <t>Policy or Regulatory Framework</t>
        </is>
      </c>
      <c r="F2" s="7" t="inlineStr">
        <is>
          <t>Status of by-laws enabling implementation of the Energy Efficiency Law</t>
        </is>
      </c>
      <c r="G2" s="8" t="n">
        <v>0</v>
      </c>
      <c r="H2" s="8" t="n">
        <v>1</v>
      </c>
      <c r="I2" s="7" t="inlineStr">
        <is>
          <t xml:space="preserve">Target: Final version adopted </t>
        </is>
      </c>
    </row>
    <row r="3" ht="30" customHeight="1">
      <c r="A3" s="6" t="n">
        <v>5476</v>
      </c>
      <c r="B3" s="2" t="inlineStr">
        <is>
          <t>Green Energy SME Development Project</t>
        </is>
      </c>
      <c r="C3" s="4" t="inlineStr">
        <is>
          <t>https://open.undp.org/projects/00097770</t>
        </is>
      </c>
      <c r="D3" s="3" t="n"/>
      <c r="E3" s="7" t="inlineStr">
        <is>
          <t>Policy or Regulatory Framework</t>
        </is>
      </c>
      <c r="F3" s="7" t="inlineStr">
        <is>
          <t xml:space="preserve">Number of officials trained (including number of women) </t>
        </is>
      </c>
      <c r="G3" s="8" t="n">
        <v>0</v>
      </c>
      <c r="H3" s="8" t="inlineStr">
        <is>
          <t>50 (15)</t>
        </is>
      </c>
      <c r="I3" s="7" t="n"/>
    </row>
    <row r="4" ht="45" customHeight="1">
      <c r="A4" s="6" t="n">
        <v>5476</v>
      </c>
      <c r="B4" s="2" t="inlineStr">
        <is>
          <t>Green Energy SME Development Project</t>
        </is>
      </c>
      <c r="C4" s="4" t="inlineStr">
        <is>
          <t>https://open.undp.org/projects/00097771</t>
        </is>
      </c>
      <c r="D4" s="3" t="n"/>
      <c r="E4" s="7" t="inlineStr">
        <is>
          <t>Policy or Regulatory Framework</t>
        </is>
      </c>
      <c r="F4" s="7" t="inlineStr">
        <is>
          <t>Status of by-laws, providing financial incentives and support mechanisms for green energy investment</t>
        </is>
      </c>
      <c r="G4" s="8" t="n">
        <v>0</v>
      </c>
      <c r="H4" s="8" t="n">
        <v>1</v>
      </c>
      <c r="I4" s="7" t="inlineStr">
        <is>
          <t xml:space="preserve">Target: 2.0 MW. Final version of a by-law providing a financial support mechanism for green energy investment approved </t>
        </is>
      </c>
    </row>
    <row r="5" ht="45" customHeight="1">
      <c r="A5" s="6" t="n">
        <v>5476</v>
      </c>
      <c r="B5" s="2" t="inlineStr">
        <is>
          <t>Green Energy SME Development Project</t>
        </is>
      </c>
      <c r="C5" s="4" t="inlineStr">
        <is>
          <t>https://open.undp.org/projects/00097772</t>
        </is>
      </c>
      <c r="D5" s="3" t="n"/>
      <c r="E5" s="7" t="inlineStr">
        <is>
          <t>Policy or Regulatory Framework</t>
        </is>
      </c>
      <c r="F5" s="7" t="inlineStr">
        <is>
          <t xml:space="preserve">Status of system of compliance checks and enforcement of performance standard for selected EE/RE products </t>
        </is>
      </c>
      <c r="G5" s="8" t="n">
        <v>0</v>
      </c>
      <c r="H5" s="8" t="n">
        <v>1</v>
      </c>
      <c r="I5" s="7" t="inlineStr">
        <is>
          <t>Target: Final version approved by decision-makers</t>
        </is>
      </c>
    </row>
    <row r="6" ht="45" customHeight="1">
      <c r="A6" s="6" t="n">
        <v>5476</v>
      </c>
      <c r="B6" s="2" t="inlineStr">
        <is>
          <t>Green Energy SME Development Project</t>
        </is>
      </c>
      <c r="C6" s="4" t="inlineStr">
        <is>
          <t>https://open.undp.org/projects/00097773</t>
        </is>
      </c>
      <c r="D6" s="3">
        <f>130410+535090+104990.75</f>
        <v/>
      </c>
      <c r="E6" s="7" t="inlineStr">
        <is>
          <t>Energy (MW added)</t>
        </is>
      </c>
      <c r="F6" s="7" t="inlineStr">
        <is>
          <t xml:space="preserve">Number and volume (US$) of green loans approved for SWH and other targeted EE/RE products (including those for women-led SMEs) </t>
        </is>
      </c>
      <c r="G6" s="8" t="n">
        <v>0</v>
      </c>
      <c r="H6" s="8" t="n">
        <v>2000</v>
      </c>
      <c r="I6" s="7" t="inlineStr">
        <is>
          <t>Target: 2,000 loans/US$ 2,600,000 (at least 100 loans to women-led SMEs)</t>
        </is>
      </c>
    </row>
    <row r="7" ht="30" customHeight="1">
      <c r="A7" s="6" t="n">
        <v>5476</v>
      </c>
      <c r="B7" s="2" t="inlineStr">
        <is>
          <t>Green Energy SME Development Project</t>
        </is>
      </c>
      <c r="C7" s="4" t="inlineStr">
        <is>
          <t>https://open.undp.org/projects/00097774</t>
        </is>
      </c>
      <c r="D7" s="3" t="n"/>
      <c r="E7" s="7" t="inlineStr">
        <is>
          <t>Energy (MW added)</t>
        </is>
      </c>
      <c r="F7" s="7" t="inlineStr">
        <is>
          <t xml:space="preserve">Number of beneficiaries using RE (including number of women) </t>
        </is>
      </c>
      <c r="G7" s="8" t="n">
        <v>0</v>
      </c>
      <c r="H7" s="8" t="inlineStr">
        <is>
          <t>16000 (10000)</t>
        </is>
      </c>
      <c r="I7" s="7" t="n"/>
    </row>
    <row r="8" ht="30" customHeight="1">
      <c r="A8" s="6" t="n">
        <v>5476</v>
      </c>
      <c r="B8" s="2" t="inlineStr">
        <is>
          <t>Green Energy SME Development Project</t>
        </is>
      </c>
      <c r="C8" s="4" t="inlineStr">
        <is>
          <t>https://open.undp.org/projects/00097775</t>
        </is>
      </c>
      <c r="D8" s="3">
        <f>1207750+104990.75</f>
        <v/>
      </c>
      <c r="E8" s="7" t="inlineStr">
        <is>
          <t>Energy (MW added)</t>
        </is>
      </c>
      <c r="F8" s="7" t="inlineStr">
        <is>
          <t xml:space="preserve">Installed new RE-power generation capacity, MW </t>
        </is>
      </c>
      <c r="G8" s="8" t="n">
        <v>0</v>
      </c>
      <c r="H8" s="8" t="n">
        <v>0.75</v>
      </c>
      <c r="I8" s="7" t="n"/>
    </row>
    <row r="9" ht="30" customHeight="1">
      <c r="A9" s="6" t="n">
        <v>5476</v>
      </c>
      <c r="B9" s="2" t="inlineStr">
        <is>
          <t>Green Energy SME Development Project</t>
        </is>
      </c>
      <c r="C9" s="4" t="inlineStr">
        <is>
          <t>https://open.undp.org/projects/00097776</t>
        </is>
      </c>
      <c r="D9" s="3" t="n"/>
      <c r="E9" s="7" t="inlineStr">
        <is>
          <t>Energy (MW added)</t>
        </is>
      </c>
      <c r="F9" s="7" t="inlineStr">
        <is>
          <t xml:space="preserve">Number of SWH systems facilitated by the project (in tourism facilities) </t>
        </is>
      </c>
      <c r="G9" s="8" t="n">
        <v>0</v>
      </c>
      <c r="H9" s="8" t="n">
        <v>100</v>
      </c>
      <c r="I9" s="7" t="n"/>
    </row>
    <row r="10" ht="30" customHeight="1">
      <c r="A10" s="6" t="n">
        <v>5476</v>
      </c>
      <c r="B10" s="2" t="inlineStr">
        <is>
          <t>Green Energy SME Development Project</t>
        </is>
      </c>
      <c r="C10" s="4" t="inlineStr">
        <is>
          <t>https://open.undp.org/projects/00097777</t>
        </is>
      </c>
      <c r="D10" s="3" t="n"/>
      <c r="E10" s="7" t="inlineStr">
        <is>
          <t>Energy (MW added)</t>
        </is>
      </c>
      <c r="F10" s="7" t="inlineStr">
        <is>
          <t xml:space="preserve">Number of people with improved access to energy (including percentage of women) </t>
        </is>
      </c>
      <c r="G10" s="8" t="n">
        <v>0</v>
      </c>
      <c r="H10" s="8" t="inlineStr">
        <is>
          <t>17867 (60%)</t>
        </is>
      </c>
      <c r="I10" s="7" t="inlineStr">
        <is>
          <t>Target: 60% women out of 17867 people</t>
        </is>
      </c>
    </row>
    <row r="11" ht="45" customHeight="1">
      <c r="A11" s="6" t="n">
        <v>5476</v>
      </c>
      <c r="B11" s="2" t="inlineStr">
        <is>
          <t>Green Energy SME Development Project</t>
        </is>
      </c>
      <c r="C11" s="4" t="inlineStr">
        <is>
          <t>https://open.undp.org/projects/00097778</t>
        </is>
      </c>
      <c r="D11" s="3" t="n"/>
      <c r="E11" s="7" t="inlineStr">
        <is>
          <t>Other</t>
        </is>
      </c>
      <c r="F11" s="7" t="inlineStr">
        <is>
          <t xml:space="preserve">Number of people accessed by marketing and awareness raising campaign (including percentage of women) </t>
        </is>
      </c>
      <c r="G11" s="8" t="n">
        <v>0</v>
      </c>
      <c r="H11" s="8" t="inlineStr">
        <is>
          <t>3000000 (60%)</t>
        </is>
      </c>
      <c r="I11" s="7" t="inlineStr">
        <is>
          <t>Beneficiary category: Marketing and Awareness Raising Campaign 
Target: 60% women out of 3000000 people</t>
        </is>
      </c>
    </row>
    <row r="12" ht="60" customHeight="1">
      <c r="A12" s="6" t="n">
        <v>5476</v>
      </c>
      <c r="B12" s="2" t="inlineStr">
        <is>
          <t>Green Energy SME Development Project</t>
        </is>
      </c>
      <c r="C12" s="4" t="inlineStr">
        <is>
          <t>https://open.undp.org/projects/00097779</t>
        </is>
      </c>
      <c r="D12" s="3">
        <f>140000+104990.75</f>
        <v/>
      </c>
      <c r="E12" s="7" t="inlineStr">
        <is>
          <t>Other</t>
        </is>
      </c>
      <c r="F12" s="7" t="inlineStr">
        <is>
          <t xml:space="preserve">Number of organizations receiving results of project, including GHG emissions and socio-economic benefits (targeted number to be established during project inception) </t>
        </is>
      </c>
      <c r="G12" s="8" t="n">
        <v>0</v>
      </c>
      <c r="H12" s="9" t="n">
        <v>1</v>
      </c>
      <c r="I12" s="7" t="inlineStr">
        <is>
          <t>Beneficiary category: Knowledge sharing 
Target: 100% of identified participating stakeholder organizations
Budget for this line: Includes OPEX</t>
        </is>
      </c>
    </row>
    <row r="13">
      <c r="D13" s="5">
        <f>SUM(D2:D12)</f>
        <v/>
      </c>
    </row>
    <row r="16">
      <c r="D16" s="3" t="n"/>
    </row>
    <row r="22">
      <c r="D22" s="10" t="n"/>
    </row>
  </sheetData>
  <hyperlinks>
    <hyperlink xmlns:r="http://schemas.openxmlformats.org/officeDocument/2006/relationships" ref="C2" r:id="rId1"/>
    <hyperlink xmlns:r="http://schemas.openxmlformats.org/officeDocument/2006/relationships" ref="C3" display="https://open.undp.org/projects/00097769" r:id="rId2"/>
    <hyperlink xmlns:r="http://schemas.openxmlformats.org/officeDocument/2006/relationships" ref="C4" display="https://open.undp.org/projects/00097769" r:id="rId3"/>
    <hyperlink xmlns:r="http://schemas.openxmlformats.org/officeDocument/2006/relationships" ref="C5" display="https://open.undp.org/projects/00097769" r:id="rId4"/>
    <hyperlink xmlns:r="http://schemas.openxmlformats.org/officeDocument/2006/relationships" ref="C6" display="https://open.undp.org/projects/00097769" r:id="rId5"/>
    <hyperlink xmlns:r="http://schemas.openxmlformats.org/officeDocument/2006/relationships" ref="C7" display="https://open.undp.org/projects/00097769" r:id="rId6"/>
    <hyperlink xmlns:r="http://schemas.openxmlformats.org/officeDocument/2006/relationships" ref="C8" display="https://open.undp.org/projects/00097769" r:id="rId7"/>
    <hyperlink xmlns:r="http://schemas.openxmlformats.org/officeDocument/2006/relationships" ref="C9" display="https://open.undp.org/projects/00097769" r:id="rId8"/>
    <hyperlink xmlns:r="http://schemas.openxmlformats.org/officeDocument/2006/relationships" ref="C10" display="https://open.undp.org/projects/00097769" r:id="rId9"/>
    <hyperlink xmlns:r="http://schemas.openxmlformats.org/officeDocument/2006/relationships" ref="C11" display="https://open.undp.org/projects/00097769" r:id="rId10"/>
    <hyperlink xmlns:r="http://schemas.openxmlformats.org/officeDocument/2006/relationships" ref="C12" display="https://open.undp.org/projects/00097769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43" t="inlineStr">
        <is>
          <t>Beneficiary Category</t>
        </is>
      </c>
      <c r="B1" s="43" t="inlineStr">
        <is>
          <t>Indicator</t>
        </is>
      </c>
    </row>
    <row r="2" ht="45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 ht="30.75" customHeight="1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91.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45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45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45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 ht="30.75" customHeight="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 ht="30.75" customHeight="1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 ht="30.75" customHeight="1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 ht="30.75" customHeight="1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 ht="30.75" customHeight="1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 ht="30.75" customHeight="1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76.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 ht="30.75" customHeight="1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45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 ht="30.75" customHeight="1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2026-06-08T15:49:48Z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