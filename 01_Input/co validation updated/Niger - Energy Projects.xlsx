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2" activeTab="0" autoFilterDateGrouping="1"/>
  </bookViews>
  <sheets>
    <sheet xmlns:r="http://schemas.openxmlformats.org/officeDocument/2006/relationships" name="Projects (3)" sheetId="1" state="visible" r:id="rId1"/>
    <sheet xmlns:r="http://schemas.openxmlformats.org/officeDocument/2006/relationships" name="Projects" sheetId="2" state="hidden" r:id="rId2"/>
    <sheet xmlns:r="http://schemas.openxmlformats.org/officeDocument/2006/relationships" name="Beneficiary Categories" sheetId="3" state="visible" r:id="rId3"/>
  </sheets>
  <definedNames/>
  <calcPr calcId="191028" fullCalcOnLoad="1"/>
</workbook>
</file>

<file path=xl/styles.xml><?xml version="1.0" encoding="utf-8"?>
<styleSheet xmlns="http://schemas.openxmlformats.org/spreadsheetml/2006/main">
  <numFmts count="0"/>
  <fonts count="11">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font>
    <font>
      <name val="Calibri"/>
      <charset val="1"/>
      <family val="2"/>
      <color theme="1"/>
      <sz val="10"/>
    </font>
    <font>
      <name val="Calibri"/>
      <family val="2"/>
      <color rgb="FFFF0000"/>
      <sz val="11"/>
    </font>
    <font>
      <name val="Calibri"/>
      <color rgb="FF000000"/>
      <sz val="11"/>
    </font>
    <font>
      <name val="Calibri"/>
      <b val="1"/>
      <color rgb="FF000000"/>
      <sz val="11"/>
    </font>
    <font>
      <name val="Calibri"/>
      <b val="1"/>
      <color theme="1"/>
      <sz val="11"/>
      <scheme val="minor"/>
    </font>
    <font>
      <name val="Calibri"/>
      <color rgb="FF000000"/>
      <sz val="11"/>
      <scheme val="minor"/>
    </font>
    <font>
      <b val="1"/>
    </font>
  </fonts>
  <fills count="4">
    <fill>
      <patternFill/>
    </fill>
    <fill>
      <patternFill patternType="gray125"/>
    </fill>
    <fill>
      <patternFill patternType="solid">
        <fgColor rgb="FFFFE497"/>
        <bgColor indexed="64"/>
      </patternFill>
    </fill>
    <fill>
      <patternFill patternType="solid">
        <fgColor rgb="00FFFF00"/>
      </patternFill>
    </fill>
  </fills>
  <borders count="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diagonal/>
    </border>
  </borders>
  <cellStyleXfs count="2">
    <xf numFmtId="0" fontId="0" fillId="0" borderId="0"/>
    <xf numFmtId="0" fontId="3" fillId="0" borderId="0" applyAlignment="1" applyProtection="1">
      <alignment vertical="top"/>
      <protection locked="0" hidden="0"/>
    </xf>
  </cellStyleXfs>
  <cellXfs count="41">
    <xf numFmtId="0" fontId="0" fillId="0" borderId="0" pivotButton="0" quotePrefix="0" xfId="0"/>
    <xf numFmtId="0" fontId="2" fillId="0" borderId="1" applyAlignment="1" pivotButton="0" quotePrefix="0" xfId="0">
      <alignment horizontal="center" vertical="top"/>
    </xf>
    <xf numFmtId="0" fontId="0" fillId="0" borderId="0" applyAlignment="1" pivotButton="0" quotePrefix="0" xfId="0">
      <alignment horizontal="center" vertical="center"/>
    </xf>
    <xf numFmtId="0" fontId="3" fillId="0" borderId="0" applyAlignment="1" pivotButton="0" quotePrefix="0" xfId="1">
      <alignment horizontal="center" vertical="center"/>
    </xf>
    <xf numFmtId="0" fontId="0" fillId="2" borderId="0" applyAlignment="1" pivotButton="0" quotePrefix="0" xfId="0">
      <alignment horizontal="center" vertical="center"/>
    </xf>
    <xf numFmtId="0" fontId="0" fillId="2" borderId="0" applyAlignment="1" pivotButton="0" quotePrefix="0" xfId="0">
      <alignment horizontal="left" vertical="center" wrapText="1"/>
    </xf>
    <xf numFmtId="3" fontId="0" fillId="2"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wrapText="1"/>
    </xf>
    <xf numFmtId="0" fontId="0" fillId="2" borderId="0" applyAlignment="1" pivotButton="0" quotePrefix="0" xfId="0">
      <alignment vertical="center"/>
    </xf>
    <xf numFmtId="0" fontId="4" fillId="0" borderId="0" pivotButton="0" quotePrefix="0" xfId="0"/>
    <xf numFmtId="0" fontId="5" fillId="0" borderId="0" pivotButton="0" quotePrefix="0" xfId="0"/>
    <xf numFmtId="0" fontId="6" fillId="2" borderId="0" applyAlignment="1" pivotButton="0" quotePrefix="0" xfId="0">
      <alignment horizontal="left" vertical="center" wrapText="1"/>
    </xf>
    <xf numFmtId="0" fontId="0" fillId="0" borderId="2" applyAlignment="1" pivotButton="0" quotePrefix="0" xfId="0">
      <alignment horizontal="center" vertical="center"/>
    </xf>
    <xf numFmtId="0" fontId="0" fillId="0" borderId="2" pivotButton="0" quotePrefix="0" xfId="0"/>
    <xf numFmtId="0" fontId="8" fillId="0" borderId="2" applyAlignment="1" pivotButton="0" quotePrefix="0" xfId="0">
      <alignment horizontal="center" vertical="top" wrapText="1"/>
    </xf>
    <xf numFmtId="0" fontId="9" fillId="0" borderId="2" applyAlignment="1" pivotButton="0" quotePrefix="0" xfId="0">
      <alignment wrapText="1"/>
    </xf>
    <xf numFmtId="0" fontId="2" fillId="0" borderId="3" applyAlignment="1" pivotButton="0" quotePrefix="0" xfId="0">
      <alignment horizontal="center"/>
    </xf>
    <xf numFmtId="0" fontId="2" fillId="0" borderId="4" applyAlignment="1" pivotButton="0" quotePrefix="0" xfId="0">
      <alignment horizontal="center"/>
    </xf>
    <xf numFmtId="0" fontId="2" fillId="0" borderId="3" pivotButton="0" quotePrefix="0" xfId="0"/>
    <xf numFmtId="0" fontId="0" fillId="0" borderId="2" applyAlignment="1" pivotButton="0" quotePrefix="0" xfId="0">
      <alignment vertical="center"/>
    </xf>
    <xf numFmtId="0" fontId="3" fillId="0" borderId="2" applyAlignment="1" pivotButton="0" quotePrefix="0" xfId="1">
      <alignment horizontal="center" vertical="center"/>
    </xf>
    <xf numFmtId="0" fontId="0" fillId="2" borderId="2" applyAlignment="1" pivotButton="0" quotePrefix="0" xfId="0">
      <alignment vertical="center"/>
    </xf>
    <xf numFmtId="0" fontId="0" fillId="2" borderId="2" applyAlignment="1" pivotButton="0" quotePrefix="0" xfId="0">
      <alignment horizontal="left" vertical="center" wrapText="1"/>
    </xf>
    <xf numFmtId="3" fontId="0" fillId="2" borderId="2" applyAlignment="1" pivotButton="0" quotePrefix="0" xfId="0">
      <alignment horizontal="center" vertical="center"/>
    </xf>
    <xf numFmtId="0" fontId="6" fillId="2" borderId="2" applyAlignment="1" pivotButton="0" quotePrefix="0" xfId="0">
      <alignment horizontal="left" vertical="center" wrapText="1"/>
    </xf>
    <xf numFmtId="0" fontId="0" fillId="0" borderId="2" applyAlignment="1" pivotButton="0" quotePrefix="0" xfId="0">
      <alignment horizontal="center" vertical="center" wrapText="1"/>
    </xf>
    <xf numFmtId="0" fontId="0" fillId="0" borderId="2" applyAlignment="1" pivotButton="0" quotePrefix="0" xfId="0">
      <alignment vertical="center" wrapText="1"/>
    </xf>
    <xf numFmtId="0" fontId="0" fillId="2" borderId="2" applyAlignment="1" pivotButton="0" quotePrefix="0" xfId="0">
      <alignment horizontal="center" vertical="center"/>
    </xf>
    <xf numFmtId="0" fontId="0" fillId="0" borderId="5" applyAlignment="1" pivotButton="0" quotePrefix="0" xfId="0">
      <alignment horizontal="center" vertical="center"/>
    </xf>
    <xf numFmtId="0" fontId="2" fillId="0" borderId="6" applyAlignment="1" pivotButton="0" quotePrefix="0" xfId="0">
      <alignment horizontal="center" vertical="top"/>
    </xf>
    <xf numFmtId="0" fontId="1" fillId="0" borderId="2" applyAlignment="1" pivotButton="0" quotePrefix="0" xfId="0">
      <alignment horizontal="left" vertical="center" wrapText="1"/>
    </xf>
    <xf numFmtId="0" fontId="1" fillId="0" borderId="2" applyAlignment="1" pivotButton="0" quotePrefix="0" xfId="0">
      <alignment wrapText="1"/>
    </xf>
    <xf numFmtId="0" fontId="1" fillId="0" borderId="2" applyAlignment="1" pivotButton="0" quotePrefix="0" xfId="0">
      <alignment vertical="center" wrapText="1"/>
    </xf>
    <xf numFmtId="0" fontId="0" fillId="3" borderId="2" applyAlignment="1" pivotButton="0" quotePrefix="0" xfId="0">
      <alignment horizontal="center" vertical="center"/>
    </xf>
    <xf numFmtId="3" fontId="0" fillId="3" borderId="2" applyAlignment="1" pivotButton="0" quotePrefix="0" xfId="0">
      <alignment horizontal="center" vertical="center"/>
    </xf>
    <xf numFmtId="0" fontId="6" fillId="3" borderId="2" applyAlignment="1" pivotButton="0" quotePrefix="0" xfId="0">
      <alignment horizontal="left" vertical="center" wrapText="1"/>
    </xf>
    <xf numFmtId="0" fontId="0" fillId="3" borderId="2" applyAlignment="1" pivotButton="0" quotePrefix="0" xfId="0">
      <alignment vertical="center"/>
    </xf>
    <xf numFmtId="0" fontId="0" fillId="3" borderId="2" applyAlignment="1" pivotButton="0" quotePrefix="0" xfId="0">
      <alignment horizontal="left" vertical="center" wrapText="1"/>
    </xf>
    <xf numFmtId="0" fontId="10"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open.undp.org/projects/00125400" TargetMode="External" Id="rId1"/></Relationships>
</file>

<file path=xl/worksheets/_rels/sheet2.xml.rels><Relationships xmlns="http://schemas.openxmlformats.org/package/2006/relationships"><Relationship Type="http://schemas.openxmlformats.org/officeDocument/2006/relationships/hyperlink" Target="http://open.undp.org/projects/00125400" TargetMode="External" Id="rId1"/></Relationships>
</file>

<file path=xl/worksheets/sheet1.xml><?xml version="1.0" encoding="utf-8"?>
<worksheet xmlns="http://schemas.openxmlformats.org/spreadsheetml/2006/main">
  <sheetPr>
    <outlinePr summaryBelow="1" summaryRight="1"/>
    <pageSetUpPr/>
  </sheetPr>
  <dimension ref="A1:X7"/>
  <sheetViews>
    <sheetView tabSelected="1" topLeftCell="N1" workbookViewId="0">
      <selection activeCell="AB2" sqref="AB2"/>
    </sheetView>
  </sheetViews>
  <sheetFormatPr baseColWidth="8" defaultRowHeight="15"/>
  <cols>
    <col width="12.140625" customWidth="1" min="1" max="1"/>
    <col width="29.5703125" bestFit="1" customWidth="1" min="2" max="2"/>
    <col width="58.42578125" customWidth="1" min="3" max="3"/>
    <col width="13" customWidth="1" min="4" max="4"/>
    <col width="13" customWidth="1" min="5" max="6"/>
    <col width="13" customWidth="1" min="6" max="6"/>
    <col width="13" customWidth="1" min="7" max="8"/>
    <col width="13" customWidth="1" min="8" max="8"/>
    <col width="32.7109375" customWidth="1" min="9" max="9"/>
    <col width="12.85546875" bestFit="1" customWidth="1" min="12" max="12"/>
    <col width="4.28515625" bestFit="1" customWidth="1" min="13" max="13"/>
    <col width="14.42578125" bestFit="1" customWidth="1" min="14" max="14"/>
    <col width="14.85546875" bestFit="1" customWidth="1" min="15" max="15"/>
    <col width="16.5703125" bestFit="1" customWidth="1" min="17" max="17"/>
    <col width="18.140625" bestFit="1" customWidth="1" min="18" max="18"/>
    <col width="11.28515625" bestFit="1" customWidth="1" min="19" max="19"/>
    <col width="30.28515625" bestFit="1" customWidth="1" min="20" max="20"/>
    <col width="16.7109375" bestFit="1" customWidth="1" min="21" max="21"/>
  </cols>
  <sheetData>
    <row r="1">
      <c r="A1" s="30" t="inlineStr">
        <is>
          <t>Project ID</t>
        </is>
      </c>
      <c r="B1" s="30" t="inlineStr">
        <is>
          <t>Title</t>
        </is>
      </c>
      <c r="C1" s="30" t="inlineStr">
        <is>
          <t>Link</t>
        </is>
      </c>
      <c r="D1" s="30" t="inlineStr">
        <is>
          <t>Budget</t>
        </is>
      </c>
      <c r="E1" s="30" t="inlineStr">
        <is>
          <t>Start Year</t>
        </is>
      </c>
      <c r="F1" s="30" t="inlineStr">
        <is>
          <t>End Year</t>
        </is>
      </c>
      <c r="G1" s="30" t="inlineStr">
        <is>
          <t>Status</t>
        </is>
      </c>
      <c r="H1" s="30" t="inlineStr">
        <is>
          <t>VF or Non-VF</t>
        </is>
      </c>
      <c r="I1" s="30" t="inlineStr">
        <is>
          <t>Beneficiary Category</t>
        </is>
      </c>
      <c r="J1" s="30" t="inlineStr">
        <is>
          <t>Indicator</t>
        </is>
      </c>
      <c r="K1" s="30" t="inlineStr">
        <is>
          <t>Baseline</t>
        </is>
      </c>
      <c r="L1" s="30" t="inlineStr">
        <is>
          <t>Target</t>
        </is>
      </c>
      <c r="M1" s="30" t="inlineStr">
        <is>
          <t>Notes</t>
        </is>
      </c>
      <c r="N1" t="inlineStr">
        <is>
          <t>Donors</t>
        </is>
      </c>
      <c r="O1" s="19" t="inlineStr">
        <is>
          <t>Gender (% female)</t>
        </is>
      </c>
      <c r="P1" s="17" t="inlineStr">
        <is>
          <t>Tag</t>
        </is>
      </c>
      <c r="Q1" s="17" t="inlineStr">
        <is>
          <t>SEH Taxonomy</t>
        </is>
      </c>
      <c r="R1" s="17" t="inlineStr">
        <is>
          <t>RISE Taxonomy</t>
        </is>
      </c>
      <c r="S1" s="17" t="inlineStr">
        <is>
          <t>Flagship</t>
        </is>
      </c>
      <c r="T1" s="17" t="inlineStr">
        <is>
          <t>Indirect Category</t>
        </is>
      </c>
      <c r="U1" s="18" t="inlineStr">
        <is>
          <t>Indirect Taxonomy</t>
        </is>
      </c>
      <c r="V1" s="19" t="inlineStr">
        <is>
          <t>Technology</t>
        </is>
      </c>
      <c r="W1" s="18" t="inlineStr">
        <is>
          <t>Policy or Regulatory Framework</t>
        </is>
      </c>
      <c r="X1" s="19" t="inlineStr">
        <is>
          <t>Policy Population</t>
        </is>
      </c>
    </row>
    <row r="2" ht="152.25" customFormat="1" customHeight="1" s="2">
      <c r="A2" s="13" t="n">
        <v>125400</v>
      </c>
      <c r="B2" s="13" t="inlineStr">
        <is>
          <t>Accès aux services énergétiques</t>
        </is>
      </c>
      <c r="C2" s="21" t="inlineStr">
        <is>
          <t>http://open.undp.org/projects/00125400</t>
        </is>
      </c>
      <c r="D2" s="13" t="n">
        <v>2545500</v>
      </c>
      <c r="E2" s="34" t="n"/>
      <c r="F2" s="34" t="n"/>
      <c r="G2" s="34" t="n"/>
      <c r="H2" s="13" t="inlineStr">
        <is>
          <t>Non-VF</t>
        </is>
      </c>
      <c r="I2" s="22" t="inlineStr">
        <is>
          <t>Electricity Access</t>
        </is>
      </c>
      <c r="J2" s="23" t="inlineStr">
        <is>
          <t xml:space="preserve">. Number of people with access to new, clean, affordable and clean, affordable and sustainable energy,
</t>
        </is>
      </c>
      <c r="K2" s="24" t="n">
        <v>896133</v>
      </c>
      <c r="L2" s="24">
        <f>G2+250000</f>
        <v/>
      </c>
      <c r="M2" s="25" t="inlineStr">
        <is>
          <t>The project contributes to providing vulnerable women's groups with energy in the form of motive power (multifunctional platforms), as well as solar energy for pumping for agriculture. 
This target may evolve as new funding is mobilized within the framework of the implementation of the CPD.</t>
        </is>
      </c>
      <c r="N2" s="13" t="inlineStr">
        <is>
          <t>UNDP</t>
        </is>
      </c>
      <c r="O2" s="13" t="n"/>
      <c r="P2" s="13" t="n"/>
      <c r="Q2" s="26" t="inlineStr">
        <is>
          <t>Close the gap on energy access</t>
        </is>
      </c>
      <c r="R2" s="13" t="n"/>
      <c r="S2" s="29" t="n"/>
      <c r="T2" s="13" t="n"/>
      <c r="U2" s="13" t="n"/>
      <c r="V2" s="20" t="inlineStr">
        <is>
          <t>Solar</t>
        </is>
      </c>
      <c r="W2" s="13" t="n"/>
      <c r="X2" s="20" t="n"/>
    </row>
    <row r="3" ht="76.5" customHeight="1">
      <c r="A3" s="13" t="n"/>
      <c r="B3" s="13" t="n"/>
      <c r="C3" s="21" t="n"/>
      <c r="D3" s="13" t="n"/>
      <c r="E3" s="13" t="n"/>
      <c r="F3" s="13" t="n"/>
      <c r="G3" s="13" t="n"/>
      <c r="H3" s="13" t="n"/>
      <c r="I3" s="22" t="inlineStr">
        <is>
          <t>Energy (MW added)</t>
        </is>
      </c>
      <c r="J3" s="23" t="inlineStr">
        <is>
          <t>Installed capacity in MW for access/productive-use outputs</t>
        </is>
      </c>
      <c r="K3" s="24" t="n">
        <v>0</v>
      </c>
      <c r="L3" s="35" t="n"/>
      <c r="M3" s="36" t="inlineStr">
        <is>
          <t>[AUTO-ADDED] Project reports access/productive-use beneficiary numbers but no MW value. Please add installed capacity (MW) or confirm not applicable.</t>
        </is>
      </c>
      <c r="N3" s="13" t="n"/>
      <c r="O3" s="13" t="n"/>
      <c r="P3" s="13" t="n"/>
      <c r="Q3" s="26" t="n"/>
      <c r="R3" s="13" t="n"/>
      <c r="S3" s="29" t="n"/>
      <c r="T3" s="13" t="n"/>
      <c r="U3" s="13" t="n"/>
      <c r="V3" s="20" t="n"/>
      <c r="W3" s="13" t="n"/>
      <c r="X3" s="20" t="n"/>
    </row>
    <row r="4">
      <c r="A4" s="27" t="inlineStr">
        <is>
          <t>6659, 143728</t>
        </is>
      </c>
      <c r="B4" s="27" t="inlineStr">
        <is>
          <t>National child project under the GEF Africa Minigrids Program</t>
        </is>
      </c>
      <c r="C4" s="20" t="inlineStr">
        <is>
          <t>PIMS+</t>
        </is>
      </c>
      <c r="D4" s="20" t="n">
        <v>1601376</v>
      </c>
      <c r="E4" s="37" t="n"/>
      <c r="F4" s="37" t="n"/>
      <c r="G4" s="37" t="n"/>
      <c r="H4" s="20" t="inlineStr">
        <is>
          <t>VF</t>
        </is>
      </c>
      <c r="I4" s="22" t="inlineStr">
        <is>
          <t>Electricity Access</t>
        </is>
      </c>
      <c r="J4" s="23" t="inlineStr">
        <is>
          <t>Number of direct beneficiaries benefitting from energy access via minigrids</t>
        </is>
      </c>
      <c r="K4" s="28" t="inlineStr">
        <is>
          <t>_</t>
        </is>
      </c>
      <c r="L4" s="28" t="n">
        <v>13534</v>
      </c>
      <c r="M4" s="23" t="inlineStr">
        <is>
          <t>The project will benefite national services in charge of Energy, medium-sized enterprises and vulnerable people in the intervention areas</t>
        </is>
      </c>
      <c r="N4" s="13" t="inlineStr">
        <is>
          <t>GEF</t>
        </is>
      </c>
      <c r="O4" s="14" t="n"/>
      <c r="P4" s="13" t="n"/>
      <c r="Q4" s="26" t="inlineStr">
        <is>
          <t>Close the gap on energy access</t>
        </is>
      </c>
      <c r="R4" s="13" t="n"/>
      <c r="S4" s="29" t="n"/>
      <c r="T4" s="13" t="n"/>
      <c r="U4" s="13" t="n"/>
      <c r="V4" s="20" t="inlineStr">
        <is>
          <t>Some Sources</t>
        </is>
      </c>
      <c r="W4" s="13" t="n"/>
      <c r="X4" s="20" t="n"/>
    </row>
    <row r="5">
      <c r="A5" s="27" t="n"/>
      <c r="B5" s="27" t="n"/>
      <c r="C5" s="20" t="n"/>
      <c r="D5" s="20" t="n"/>
      <c r="E5" s="20" t="n"/>
      <c r="F5" s="20" t="n"/>
      <c r="G5" s="20" t="n"/>
      <c r="H5" s="20" t="n"/>
      <c r="I5" s="22" t="inlineStr">
        <is>
          <t>Energy (MW added)</t>
        </is>
      </c>
      <c r="J5" s="23" t="inlineStr">
        <is>
          <t>Installed capacity in MW for access/productive-use outputs</t>
        </is>
      </c>
      <c r="K5" s="28" t="n">
        <v>0</v>
      </c>
      <c r="L5" s="34" t="n"/>
      <c r="M5" s="38" t="inlineStr">
        <is>
          <t>[AUTO-ADDED] Project reports access/productive-use beneficiary numbers but no MW value. Please add installed capacity (MW) or confirm not applicable.</t>
        </is>
      </c>
      <c r="N5" s="13" t="n"/>
      <c r="O5" s="14" t="n"/>
      <c r="P5" s="13" t="n"/>
      <c r="Q5" s="26" t="n"/>
      <c r="R5" s="13" t="n"/>
      <c r="S5" s="29" t="n"/>
      <c r="T5" s="13" t="n"/>
      <c r="U5" s="13" t="n"/>
      <c r="V5" s="20" t="n"/>
      <c r="W5" s="13" t="n"/>
      <c r="X5" s="20" t="n"/>
    </row>
    <row r="6">
      <c r="A6" s="10" t="n"/>
    </row>
    <row r="7">
      <c r="B7" s="11" t="n"/>
    </row>
  </sheetData>
  <dataValidations count="12">
    <dataValidation sqref="Q2:Q3"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3" showDropDown="0" showInputMessage="1" showErrorMessage="1" allowBlank="1" type="list">
      <formula1>"AMP, PUDC, Solar4Health, Action Opportunities, Italy UNDP Energy Partnership"</formula1>
    </dataValidation>
    <dataValidation sqref="N2:N3" showDropDown="0" showInputMessage="1" showErrorMessage="1" allowBlank="1" type="list">
      <formula1>"Accelerating just energy transition, Close the gap on energy access, Scale up energy finance"</formula1>
    </dataValidation>
    <dataValidation sqref="O2:O3" showDropDown="0" showInputMessage="1" showErrorMessage="1" allowBlank="1" type="list">
      <formula1>"Electricity Access, Energy Efficiency, Clean Cooking, Renewable Energy, Overall"</formula1>
    </dataValidation>
    <dataValidation sqref="L2:L3" showDropDown="0" showInputMessage="1" showErrorMessage="1" allowBlank="1" type="list">
      <formula1>"Non-VF, VF"</formula1>
    </dataValidation>
    <dataValidation sqref="M2:M3" showDropDown="0" showInputMessage="1" showErrorMessage="1" allowBlank="1" type="list">
      <formula1>"Finance, Gender, Efficiency, Just, Health"</formula1>
    </dataValidation>
    <dataValidation sqref="T2:T3" showDropDown="0" showInputMessage="1" showErrorMessage="1" allowBlank="1" type="list">
      <formula1>"National, Regional, City, Community"</formula1>
    </dataValidation>
    <dataValidation sqref="R2:R3"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3"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5"/>
  <sheetViews>
    <sheetView workbookViewId="0">
      <selection activeCell="B5" sqref="B5"/>
    </sheetView>
  </sheetViews>
  <sheetFormatPr baseColWidth="8" defaultRowHeight="15"/>
  <cols>
    <col width="12.140625" customWidth="1" min="1" max="1"/>
    <col width="20.7109375" customWidth="1" min="2" max="2"/>
    <col width="58.42578125" customWidth="1" min="3" max="3"/>
    <col width="20.7109375" customWidth="1" min="5" max="6"/>
    <col width="12.7109375" customWidth="1" min="7" max="8"/>
    <col width="32.7109375" customWidth="1" min="9" max="9"/>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t="inlineStr">
        <is>
          <t>Donors</t>
        </is>
      </c>
    </row>
    <row r="2" ht="152.25" customFormat="1" customHeight="1" s="2">
      <c r="A2" s="2" t="n">
        <v>125400</v>
      </c>
      <c r="B2" s="2" t="inlineStr">
        <is>
          <t>Accès aux services énergétiques</t>
        </is>
      </c>
      <c r="C2" s="3" t="inlineStr">
        <is>
          <t>http://open.undp.org/projects/00125400</t>
        </is>
      </c>
      <c r="D2" s="2" t="n">
        <v>2545500</v>
      </c>
      <c r="E2" s="4" t="inlineStr">
        <is>
          <t>Other Energy Services</t>
        </is>
      </c>
      <c r="F2" s="5" t="inlineStr">
        <is>
          <t xml:space="preserve">. Number of people with access to new, clean, affordable and clean, affordable and sustainable energy,
</t>
        </is>
      </c>
      <c r="G2" s="6" t="n">
        <v>896133</v>
      </c>
      <c r="H2" s="6">
        <f>G2+250000</f>
        <v/>
      </c>
      <c r="I2" s="12" t="inlineStr">
        <is>
          <t>The project contributes to providing vulnerable women's groups with energy in the form of motive power (multifunctional platforms), as well as solar energy for pumping for agriculture. 
This target may evolve as new funding is mobilized within the framework of the implementation of the CPD.</t>
        </is>
      </c>
      <c r="J2" s="2" t="inlineStr">
        <is>
          <t>UNDP</t>
        </is>
      </c>
    </row>
    <row r="3" ht="76.5" customHeight="1">
      <c r="A3" s="8" t="inlineStr">
        <is>
          <t>PIMS 6659
(Atlas Award: 143728)</t>
        </is>
      </c>
      <c r="B3" s="8" t="inlineStr">
        <is>
          <t>National child project under the GEF Africa Minigrids Program</t>
        </is>
      </c>
      <c r="C3" s="7" t="inlineStr">
        <is>
          <t>PIMS+</t>
        </is>
      </c>
      <c r="D3" s="7" t="n">
        <v>1601376</v>
      </c>
      <c r="E3" s="9" t="inlineStr">
        <is>
          <t>Other Energy Services</t>
        </is>
      </c>
      <c r="F3" s="5" t="inlineStr">
        <is>
          <t>Number of direct beneficiaries benefitting from energy access via minigrids</t>
        </is>
      </c>
      <c r="G3" s="4" t="inlineStr">
        <is>
          <t>_</t>
        </is>
      </c>
      <c r="H3" s="4" t="n">
        <v>13534</v>
      </c>
      <c r="I3" s="5" t="inlineStr">
        <is>
          <t>The project will benefite national services in charge of Energy, medium-sized enterprises and vulnerable people in the intervention areas</t>
        </is>
      </c>
      <c r="J3" s="2" t="inlineStr">
        <is>
          <t>GEF</t>
        </is>
      </c>
    </row>
    <row r="4">
      <c r="A4" s="10" t="n"/>
    </row>
    <row r="5">
      <c r="B5" s="11" t="inlineStr">
        <is>
          <t>The beneficiaries for project 125400 is quite high relative to the budget. Can you please provide a justification for this figure?</t>
        </is>
      </c>
    </row>
  </sheetData>
  <hyperlinks>
    <hyperlink xmlns:r="http://schemas.openxmlformats.org/officeDocument/2006/relationships" ref="C2" r:id="rId1"/>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6" customWidth="1" min="1" max="2"/>
    <col width="110" customWidth="1" min="2" max="2"/>
  </cols>
  <sheetData>
    <row r="1">
      <c r="A1" s="39" t="inlineStr">
        <is>
          <t>Beneficiary Category</t>
        </is>
      </c>
      <c r="B1" s="39" t="inlineStr">
        <is>
          <t>Indicator</t>
        </is>
      </c>
    </row>
    <row r="2" ht="45.75" customHeight="1">
      <c r="A2" s="40" t="inlineStr">
        <is>
          <t>Electricity Access</t>
        </is>
      </c>
      <c r="B2" s="40" t="inlineStr">
        <is>
          <t>Number of people, disaggregated by sex, who gain access to clean electricity (direct access to electricity, lighting, cooling, etc.).</t>
        </is>
      </c>
    </row>
    <row r="3">
      <c r="A3" s="40" t="inlineStr">
        <is>
          <t>Energy (MW added)</t>
        </is>
      </c>
      <c r="B3" s="40" t="inlineStr">
        <is>
          <t>Installed renewable or clean-energy power capacity added, in MW.</t>
        </is>
      </c>
    </row>
    <row r="4" ht="30.75" customHeight="1">
      <c r="A4" s="40" t="inlineStr">
        <is>
          <t>Energy Storage (MW)</t>
        </is>
      </c>
      <c r="B4" s="40" t="inlineStr">
        <is>
          <t>Installed energy storage power capacity added, in MW.</t>
        </is>
      </c>
    </row>
    <row r="5" ht="30.75" customHeight="1">
      <c r="A5" s="40" t="inlineStr">
        <is>
          <t>Clean Cooking</t>
        </is>
      </c>
      <c r="B5" s="40" t="inlineStr">
        <is>
          <t>Number of people who gain access to clean cooking (direct access to clean cook stoves, clean fuels, biomass, etc.).</t>
        </is>
      </c>
    </row>
    <row r="6" ht="91.5" customHeight="1">
      <c r="A6" s="40" t="inlineStr">
        <is>
          <t>Clean Heating</t>
        </is>
      </c>
      <c r="B6" s="40" t="inlineStr">
        <is>
          <t>Number of people who gain access to clean heating (direct access to clean electric heaters, clean fuels, etc.).</t>
        </is>
      </c>
    </row>
    <row r="7" ht="45.75" customHeight="1">
      <c r="A7" s="40" t="inlineStr">
        <is>
          <t>Agriculture and Food System</t>
        </is>
      </c>
      <c r="B7" s="40" t="inlineStr">
        <is>
          <t>Number of people who gain access to clean, affordable, and sustainable energy for agricultural and food-system activities.</t>
        </is>
      </c>
    </row>
    <row r="8" ht="45.75" customHeight="1">
      <c r="A8" s="40" t="inlineStr">
        <is>
          <t>Health Services</t>
        </is>
      </c>
      <c r="B8" s="40" t="inlineStr">
        <is>
          <t>Number of people who gain access to health care facilities through clean energy systems.</t>
        </is>
      </c>
    </row>
    <row r="9" ht="45.75" customHeight="1">
      <c r="A9" s="40" t="inlineStr">
        <is>
          <t>Water Services</t>
        </is>
      </c>
      <c r="B9" s="40" t="inlineStr">
        <is>
          <t>Number of people who gain access to water services through clean energy systems.</t>
        </is>
      </c>
    </row>
    <row r="10" ht="30.75" customHeight="1">
      <c r="A10" s="40" t="inlineStr">
        <is>
          <t>Education Services</t>
        </is>
      </c>
      <c r="B10" s="40" t="inlineStr">
        <is>
          <t>Number of people who gain access to education services through clean energy systems, including students and teachers.</t>
        </is>
      </c>
    </row>
    <row r="11" ht="30.75" customHeight="1">
      <c r="A11" s="40" t="inlineStr">
        <is>
          <t>Transportation and E-mobility Services</t>
        </is>
      </c>
      <c r="B11" s="40" t="inlineStr">
        <is>
          <t>Number of people served or energy saved from transport and e-mobility interventions, such as electric vehicles or charging stations.</t>
        </is>
      </c>
    </row>
    <row r="12" ht="45.75" customHeight="1">
      <c r="A12" s="40" t="inlineStr">
        <is>
          <t>Energy Efficiency Services</t>
        </is>
      </c>
      <c r="B12" s="40" t="inlineStr">
        <is>
          <t>Energy saved from energy-efficiency interventions, such as building or industrial efficiency.</t>
        </is>
      </c>
    </row>
    <row r="13" ht="30.75" customHeight="1">
      <c r="A13" s="40" t="inlineStr">
        <is>
          <t>Energy Infrastructure Services</t>
        </is>
      </c>
      <c r="B13" s="40" t="inlineStr">
        <is>
          <t>Number of people benefiting from energy infrastructure interventions, such as streetlights, transmission, and distribution lines.</t>
        </is>
      </c>
    </row>
    <row r="14">
      <c r="A14" s="40" t="inlineStr">
        <is>
          <t>Other Energy Services</t>
        </is>
      </c>
      <c r="B14" s="40" t="inlineStr">
        <is>
          <t>Access to other energy services not captured by the categories above.</t>
        </is>
      </c>
    </row>
    <row r="15" ht="30.75" customHeight="1">
      <c r="A15" s="40" t="inlineStr">
        <is>
          <t>Financing support</t>
        </is>
      </c>
      <c r="B15" s="40" t="inlineStr">
        <is>
          <t>Support for the development of the energy market ecosystem.</t>
        </is>
      </c>
    </row>
    <row r="16" ht="30.75" customHeight="1">
      <c r="A16" s="40" t="inlineStr">
        <is>
          <t>Medium Enterprises</t>
        </is>
      </c>
      <c r="B16" s="40" t="inlineStr">
        <is>
          <t>Support for the development of medium enterprises in the energy transition market.</t>
        </is>
      </c>
    </row>
    <row r="17" ht="30.75" customHeight="1">
      <c r="A17" s="40" t="inlineStr">
        <is>
          <t>Small Enterprises</t>
        </is>
      </c>
      <c r="B17" s="40" t="inlineStr">
        <is>
          <t>Support for the development of small enterprises in the energy transition market.</t>
        </is>
      </c>
    </row>
    <row r="18" ht="30.75" customHeight="1">
      <c r="A18" s="40" t="inlineStr">
        <is>
          <t>Capacity Building Training</t>
        </is>
      </c>
      <c r="B18" s="40" t="inlineStr">
        <is>
          <t>Number of people benefiting from training on energy business, energy finance, or related implementation capacity.</t>
        </is>
      </c>
    </row>
    <row r="19" ht="76.5" customHeight="1">
      <c r="A19" s="40" t="inlineStr">
        <is>
          <t>Entrepreneurship Training</t>
        </is>
      </c>
      <c r="B19" s="40" t="inlineStr">
        <is>
          <t>Training for enterprises on the energy business, assumed to result in direct beneficiaries.</t>
        </is>
      </c>
    </row>
    <row r="20" ht="30.75" customHeight="1">
      <c r="A20" s="40" t="inlineStr">
        <is>
          <t>Market Intervention</t>
        </is>
      </c>
      <c r="B20" s="40" t="inlineStr">
        <is>
          <t>Volume of investment leveraged or barriers removed for clean, reliable, affordable, and sustainable energy solutions.</t>
        </is>
      </c>
    </row>
    <row r="21" ht="45.75" customHeight="1">
      <c r="A21" s="40" t="inlineStr">
        <is>
          <t>Campaign Participant</t>
        </is>
      </c>
      <c r="B21" s="40" t="inlineStr">
        <is>
          <t>Individuals who participate in advocacy or awareness campaigns on energy.</t>
        </is>
      </c>
    </row>
    <row r="22" ht="30.75" customHeight="1">
      <c r="A22" s="40" t="inlineStr">
        <is>
          <t>Policy or Regulatory Framework</t>
        </is>
      </c>
      <c r="B22" s="40" t="inlineStr">
        <is>
          <t>Policies, regulations, strategies, plans, or frameworks developed, approved, implemented, or strengthened.</t>
        </is>
      </c>
    </row>
    <row r="23">
      <c r="A23" s="40" t="inlineStr">
        <is>
          <t>GHG Emissions Reduction</t>
        </is>
      </c>
      <c r="B23" s="40" t="inlineStr">
        <is>
          <t>Greenhouse gas emissions reduced or mitigated, in tCO2e.</t>
        </is>
      </c>
    </row>
    <row r="24">
      <c r="A24" s="40" t="inlineStr">
        <is>
          <t>Other</t>
        </is>
      </c>
      <c r="B24" s="40"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2026-06-08T15:49:47Z</dcterms:modified>
  <cp:lastModifiedBy>Benjamin Keller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