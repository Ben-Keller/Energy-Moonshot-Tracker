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11">
    <font>
      <name val="Calibri"/>
      <family val="2"/>
      <color theme="1"/>
      <sz val="11"/>
      <scheme val="minor"/>
    </font>
    <font>
      <name val="Calibri"/>
      <color theme="1"/>
      <sz val="11"/>
      <scheme val="minor"/>
    </font>
    <font>
      <name val="Calibri"/>
      <family val="2"/>
      <b val="1"/>
      <color theme="1"/>
      <sz val="11"/>
      <scheme val="minor"/>
    </font>
    <font>
      <name val="Calibri"/>
      <color rgb="FF212121"/>
      <sz val="11"/>
    </font>
    <font>
      <name val="Calibri"/>
      <charset val="1"/>
      <family val="2"/>
      <color theme="1"/>
      <sz val="11"/>
    </font>
    <font>
      <name val="Calibri"/>
      <b val="1"/>
      <color theme="1"/>
      <sz val="11"/>
      <scheme val="minor"/>
    </font>
    <font>
      <name val="Calibri"/>
      <color rgb="FF000000"/>
      <sz val="11"/>
      <scheme val="minor"/>
    </font>
    <font>
      <name val="Calibri"/>
      <family val="2"/>
      <color rgb="FF000000"/>
      <sz val="11"/>
    </font>
    <font>
      <name val="Arial"/>
      <charset val="1"/>
      <family val="2"/>
      <color theme="1"/>
      <sz val="10"/>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s>
  <cellStyleXfs count="2">
    <xf numFmtId="0" fontId="0" fillId="0" borderId="0"/>
    <xf numFmtId="0" fontId="9" fillId="0" borderId="0"/>
  </cellStyleXfs>
  <cellXfs count="65">
    <xf numFmtId="0" fontId="0" fillId="0" borderId="0" pivotButton="0" quotePrefix="0" xfId="0"/>
    <xf numFmtId="0" fontId="2" fillId="0" borderId="1" applyAlignment="1" pivotButton="0" quotePrefix="0" xfId="0">
      <alignment horizontal="center" vertical="center"/>
    </xf>
    <xf numFmtId="0" fontId="0" fillId="0" borderId="0" applyAlignment="1" pivotButton="0" quotePrefix="0" xfId="0">
      <alignment vertical="center"/>
    </xf>
    <xf numFmtId="0" fontId="0" fillId="0" borderId="1" applyAlignment="1" pivotButton="0" quotePrefix="0" xfId="0">
      <alignment vertical="center"/>
    </xf>
    <xf numFmtId="0" fontId="0" fillId="2" borderId="1" applyAlignment="1" pivotButton="0" quotePrefix="0" xfId="0">
      <alignment vertical="center"/>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0" fillId="2" borderId="2" applyAlignment="1" pivotButton="0" quotePrefix="0" xfId="0">
      <alignment vertical="center"/>
    </xf>
    <xf numFmtId="0" fontId="0" fillId="0" borderId="3" applyAlignment="1" pivotButton="0" quotePrefix="0" xfId="0">
      <alignment vertical="center"/>
    </xf>
    <xf numFmtId="0" fontId="0" fillId="3" borderId="4" applyAlignment="1" pivotButton="0" quotePrefix="0" xfId="0">
      <alignment vertical="center"/>
    </xf>
    <xf numFmtId="0" fontId="0" fillId="3" borderId="3" applyAlignment="1" pivotButton="0" quotePrefix="0" xfId="0">
      <alignment vertical="center" wrapText="1"/>
    </xf>
    <xf numFmtId="0" fontId="0" fillId="3" borderId="3" applyAlignment="1" pivotButton="0" quotePrefix="0" xfId="0">
      <alignment vertical="center"/>
    </xf>
    <xf numFmtId="0" fontId="0" fillId="0" borderId="1" applyAlignment="1" pivotButton="0" quotePrefix="0" xfId="0">
      <alignment vertical="center" wrapText="1"/>
    </xf>
    <xf numFmtId="0" fontId="3" fillId="3" borderId="3" applyAlignment="1" pivotButton="0" quotePrefix="0" xfId="0">
      <alignment vertical="center" wrapText="1"/>
    </xf>
    <xf numFmtId="0" fontId="4" fillId="0" borderId="0" pivotButton="0" quotePrefix="0" xfId="0"/>
    <xf numFmtId="0" fontId="2" fillId="0" borderId="5" pivotButton="0" quotePrefix="0" xfId="0"/>
    <xf numFmtId="0" fontId="2" fillId="0" borderId="1" applyAlignment="1" pivotButton="0" quotePrefix="0" xfId="0">
      <alignment horizontal="center" vertical="center" wrapText="1"/>
    </xf>
    <xf numFmtId="0" fontId="2" fillId="0" borderId="1" applyAlignment="1" pivotButton="0" quotePrefix="0" xfId="0">
      <alignment wrapText="1"/>
    </xf>
    <xf numFmtId="0" fontId="4" fillId="0" borderId="1" applyAlignment="1" pivotButton="0" quotePrefix="0" xfId="0">
      <alignment wrapText="1"/>
    </xf>
    <xf numFmtId="0" fontId="3" fillId="0" borderId="1" applyAlignment="1" pivotButton="0" quotePrefix="0" xfId="0">
      <alignment vertical="center" wrapText="1"/>
    </xf>
    <xf numFmtId="0" fontId="0" fillId="0" borderId="1" applyAlignment="1" pivotButton="0" quotePrefix="0" xfId="0">
      <alignment horizontal="center" vertical="center"/>
    </xf>
    <xf numFmtId="0" fontId="2" fillId="0" borderId="1" applyAlignment="1" pivotButton="0" quotePrefix="0" xfId="0">
      <alignment horizontal="center"/>
    </xf>
    <xf numFmtId="0" fontId="2" fillId="0" borderId="3" applyAlignment="1" pivotButton="0" quotePrefix="0" xfId="0">
      <alignment horizontal="center"/>
    </xf>
    <xf numFmtId="0" fontId="2" fillId="0" borderId="6" applyAlignment="1" pivotButton="0" quotePrefix="0" xfId="0">
      <alignment horizontal="center"/>
    </xf>
    <xf numFmtId="0" fontId="2" fillId="0" borderId="1" pivotButton="0" quotePrefix="0" xfId="0"/>
    <xf numFmtId="0" fontId="0" fillId="0" borderId="1" applyAlignment="1" pivotButton="0" quotePrefix="0" xfId="0">
      <alignment horizontal="center"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wrapText="1"/>
    </xf>
    <xf numFmtId="0" fontId="0" fillId="0" borderId="3" applyAlignment="1" pivotButton="0" quotePrefix="0" xfId="0">
      <alignment vertical="center" wrapText="1"/>
    </xf>
    <xf numFmtId="0" fontId="7" fillId="0" borderId="3" applyAlignment="1" pivotButton="0" quotePrefix="0" xfId="0">
      <alignment wrapText="1"/>
    </xf>
    <xf numFmtId="0" fontId="0" fillId="0" borderId="3" applyAlignment="1" pivotButton="0" quotePrefix="0" xfId="0">
      <alignment horizontal="center" vertical="center"/>
    </xf>
    <xf numFmtId="0" fontId="0" fillId="0" borderId="7" applyAlignment="1" pivotButton="0" quotePrefix="0" xfId="0">
      <alignment horizontal="center" vertical="center"/>
    </xf>
    <xf numFmtId="0" fontId="8" fillId="0" borderId="1" pivotButton="0" quotePrefix="0" xfId="0"/>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2" applyAlignment="1" pivotButton="0" quotePrefix="0" xfId="0">
      <alignment vertical="center" wrapText="1"/>
    </xf>
    <xf numFmtId="0" fontId="8" fillId="0" borderId="3" pivotButton="0" quotePrefix="0" xfId="0"/>
    <xf numFmtId="0" fontId="0" fillId="0" borderId="6" applyAlignment="1" pivotButton="0" quotePrefix="0" xfId="0">
      <alignment vertical="center" wrapText="1"/>
    </xf>
    <xf numFmtId="0" fontId="9" fillId="0" borderId="1" applyAlignment="1" pivotButton="0" quotePrefix="0" xfId="1">
      <alignment vertical="center" wrapText="1"/>
    </xf>
    <xf numFmtId="164" fontId="2" fillId="0" borderId="1" applyAlignment="1" pivotButton="0" quotePrefix="0" xfId="0">
      <alignment horizontal="center" vertical="center" wrapText="1"/>
    </xf>
    <xf numFmtId="164" fontId="0" fillId="0" borderId="1" applyAlignment="1" pivotButton="0" quotePrefix="0" xfId="0">
      <alignment vertical="center" wrapText="1"/>
    </xf>
    <xf numFmtId="164" fontId="7" fillId="0" borderId="3" applyAlignment="1" pivotButton="0" quotePrefix="0" xfId="0">
      <alignment wrapText="1"/>
    </xf>
    <xf numFmtId="164" fontId="8" fillId="0" borderId="1" pivotButton="0" quotePrefix="0" xfId="0"/>
    <xf numFmtId="164" fontId="0" fillId="0" borderId="8" applyAlignment="1" pivotButton="0" quotePrefix="0" xfId="0">
      <alignment vertical="center" wrapText="1"/>
    </xf>
    <xf numFmtId="164" fontId="0" fillId="0" borderId="3" applyAlignment="1" pivotButton="0" quotePrefix="0" xfId="0">
      <alignment vertical="center" wrapText="1"/>
    </xf>
    <xf numFmtId="164" fontId="0" fillId="0" borderId="0" applyAlignment="1" pivotButton="0" quotePrefix="0" xfId="0">
      <alignment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164" fontId="0" fillId="0" borderId="0" applyAlignment="1" pivotButton="0" quotePrefix="0" xfId="0">
      <alignment vertical="center"/>
    </xf>
    <xf numFmtId="164" fontId="2" fillId="0" borderId="1" applyAlignment="1" pivotButton="0" quotePrefix="0" xfId="0">
      <alignment horizontal="center" vertical="center" wrapText="1"/>
    </xf>
    <xf numFmtId="164" fontId="0" fillId="0" borderId="1" applyAlignment="1" pivotButton="0" quotePrefix="0" xfId="0">
      <alignment vertical="center" wrapText="1"/>
    </xf>
    <xf numFmtId="164" fontId="0" fillId="4" borderId="1" applyAlignment="1" pivotButton="0" quotePrefix="0" xfId="0">
      <alignment vertical="center" wrapText="1"/>
    </xf>
    <xf numFmtId="164" fontId="7" fillId="0" borderId="3" applyAlignment="1" pivotButton="0" quotePrefix="0" xfId="0">
      <alignment wrapText="1"/>
    </xf>
    <xf numFmtId="164" fontId="7" fillId="4" borderId="3" applyAlignment="1" pivotButton="0" quotePrefix="0" xfId="0">
      <alignment wrapText="1"/>
    </xf>
    <xf numFmtId="0" fontId="0" fillId="4" borderId="3" applyAlignment="1" pivotButton="0" quotePrefix="0" xfId="0">
      <alignment vertical="center" wrapText="1"/>
    </xf>
    <xf numFmtId="164" fontId="8" fillId="0" borderId="1" pivotButton="0" quotePrefix="0" xfId="0"/>
    <xf numFmtId="164" fontId="8" fillId="4" borderId="1" pivotButton="0" quotePrefix="0" xfId="0"/>
    <xf numFmtId="164" fontId="0" fillId="0" borderId="8" applyAlignment="1" pivotButton="0" quotePrefix="0" xfId="0">
      <alignment vertical="center" wrapText="1"/>
    </xf>
    <xf numFmtId="164" fontId="0" fillId="0" borderId="3" applyAlignment="1" pivotButton="0" quotePrefix="0" xfId="0">
      <alignment vertical="center" wrapText="1"/>
    </xf>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469" TargetMode="External" Id="rId1"/><Relationship Type="http://schemas.openxmlformats.org/officeDocument/2006/relationships/hyperlink" Target="https://co.pims.undp.org/project/view?id=5484" TargetMode="External" Id="rId2"/></Relationships>
</file>

<file path=xl/worksheets/_rels/sheet2.xml.rels><Relationships xmlns="http://schemas.openxmlformats.org/package/2006/relationships"><Relationship Type="http://schemas.openxmlformats.org/officeDocument/2006/relationships/hyperlink" Target="https://co.pims.undp.org/project/view?id=6469" TargetMode="External" Id="rId1"/><Relationship Type="http://schemas.openxmlformats.org/officeDocument/2006/relationships/hyperlink" Target="https://co.pims.undp.org/project/view?id=5484" TargetMode="External" Id="rId2"/></Relationships>
</file>

<file path=xl/worksheets/sheet1.xml><?xml version="1.0" encoding="utf-8"?>
<worksheet xmlns="http://schemas.openxmlformats.org/spreadsheetml/2006/main">
  <sheetPr>
    <outlinePr summaryBelow="1" summaryRight="1"/>
    <pageSetUpPr/>
  </sheetPr>
  <dimension ref="A1:Y13"/>
  <sheetViews>
    <sheetView tabSelected="1" workbookViewId="0">
      <pane xSplit="1" ySplit="1" topLeftCell="B9" activePane="bottomRight" state="frozen"/>
      <selection pane="bottomRight" activeCell="D1" sqref="D1:D1048576"/>
      <selection pane="bottomLeft" activeCell="A1" sqref="A1"/>
      <selection pane="topRight" activeCell="A1" sqref="A1"/>
    </sheetView>
  </sheetViews>
  <sheetFormatPr baseColWidth="8" defaultRowHeight="15"/>
  <cols>
    <col width="9.140625" customWidth="1" style="2" min="1" max="1"/>
    <col width="21.85546875" customWidth="1" style="2" min="2" max="2"/>
    <col width="20.7109375" customWidth="1" style="2" min="3" max="3"/>
    <col width="12.7109375" bestFit="1" customWidth="1" style="52" min="4" max="4"/>
    <col width="12.7109375" customWidth="1" style="2" min="5" max="5"/>
    <col width="12.7109375" customWidth="1" style="2" min="6" max="6"/>
    <col width="12.7109375" customWidth="1" style="2" min="7" max="8"/>
    <col width="12.7109375" customWidth="1" min="8" max="8"/>
    <col width="32.7109375" customWidth="1" style="2" min="9" max="10"/>
    <col width="9.140625" customWidth="1" style="2" min="11" max="14"/>
    <col width="12.7109375" customWidth="1" style="2" min="15" max="15"/>
    <col width="17.5703125" bestFit="1" customWidth="1" style="2" min="16" max="16"/>
    <col width="12.42578125" customWidth="1" style="2" min="17" max="17"/>
    <col width="21.5703125" bestFit="1" customWidth="1" style="2" min="18" max="18"/>
    <col width="18.140625" bestFit="1" customWidth="1" style="2" min="19" max="19"/>
    <col width="11.28515625" bestFit="1" customWidth="1" style="2" min="20" max="20"/>
    <col width="30.28515625" bestFit="1" customWidth="1" style="2" min="21" max="21"/>
    <col width="33.28515625" bestFit="1" customWidth="1" style="2" min="22" max="22"/>
    <col width="9.140625" customWidth="1" style="2" min="23" max="16384"/>
  </cols>
  <sheetData>
    <row r="1" ht="30.75" customHeight="1">
      <c r="A1" s="17" t="inlineStr">
        <is>
          <t>Project ID</t>
        </is>
      </c>
      <c r="B1" s="17" t="inlineStr">
        <is>
          <t>Title</t>
        </is>
      </c>
      <c r="C1" s="17" t="inlineStr">
        <is>
          <t>Link</t>
        </is>
      </c>
      <c r="D1" s="53" t="inlineStr">
        <is>
          <t>Budget</t>
        </is>
      </c>
      <c r="E1" s="53" t="inlineStr">
        <is>
          <t>Start Year</t>
        </is>
      </c>
      <c r="F1" s="53" t="inlineStr">
        <is>
          <t>End Year</t>
        </is>
      </c>
      <c r="G1" s="53" t="inlineStr">
        <is>
          <t>Status</t>
        </is>
      </c>
      <c r="H1" s="53" t="inlineStr">
        <is>
          <t>VF or Non-VF</t>
        </is>
      </c>
      <c r="I1" s="17" t="inlineStr">
        <is>
          <t>Beneficiary Category</t>
        </is>
      </c>
      <c r="J1" s="17" t="inlineStr">
        <is>
          <t>Indicator</t>
        </is>
      </c>
      <c r="K1" s="17" t="inlineStr">
        <is>
          <t>Baseline</t>
        </is>
      </c>
      <c r="L1" s="17" t="inlineStr">
        <is>
          <t>Target</t>
        </is>
      </c>
      <c r="M1" s="17" t="inlineStr">
        <is>
          <t>Notes</t>
        </is>
      </c>
      <c r="N1" s="17" t="inlineStr">
        <is>
          <t>Indirect Beneficiaries</t>
        </is>
      </c>
      <c r="O1" s="18" t="inlineStr">
        <is>
          <t>Donors</t>
        </is>
      </c>
      <c r="P1" s="1" t="inlineStr">
        <is>
          <t>Gender (% female)</t>
        </is>
      </c>
      <c r="Q1" s="23" t="inlineStr">
        <is>
          <t>Tag</t>
        </is>
      </c>
      <c r="R1" s="22" t="inlineStr">
        <is>
          <t>SEH Taxonomy</t>
        </is>
      </c>
      <c r="S1" s="22" t="inlineStr">
        <is>
          <t>RISE Taxonomy</t>
        </is>
      </c>
      <c r="T1" s="22" t="inlineStr">
        <is>
          <t>Flagship</t>
        </is>
      </c>
      <c r="U1" s="22" t="inlineStr">
        <is>
          <t>Indirect Category</t>
        </is>
      </c>
      <c r="V1" s="24" t="inlineStr">
        <is>
          <t>Indirect Taxonomy</t>
        </is>
      </c>
      <c r="W1" s="25" t="inlineStr">
        <is>
          <t>Technology</t>
        </is>
      </c>
      <c r="X1" s="24" t="inlineStr">
        <is>
          <t>Policy or Regulatory Framework</t>
        </is>
      </c>
      <c r="Y1" s="25" t="inlineStr">
        <is>
          <t>Policy Population</t>
        </is>
      </c>
    </row>
    <row r="2" ht="75.75" customHeight="1">
      <c r="A2" s="13" t="n">
        <v>6469</v>
      </c>
      <c r="B2" s="13" t="inlineStr">
        <is>
          <t>Comoros national child project - Africa Minigrids Program (AMP)</t>
        </is>
      </c>
      <c r="C2" s="41" t="inlineStr">
        <is>
          <t>https://co.pims.undp.org/project/view?id=6469</t>
        </is>
      </c>
      <c r="D2" s="54" t="n">
        <v>1269863</v>
      </c>
      <c r="E2" s="55" t="n"/>
      <c r="F2" s="55" t="n"/>
      <c r="G2" s="55" t="n"/>
      <c r="H2" s="54" t="inlineStr">
        <is>
          <t>VF</t>
        </is>
      </c>
      <c r="I2" s="13" t="inlineStr">
        <is>
          <t>Electricity Access</t>
        </is>
      </c>
      <c r="J2" s="13" t="inlineStr">
        <is>
          <t xml:space="preserve">Nombre de personne bénéficiant d'un accé direct à l'éléctrité </t>
        </is>
      </c>
      <c r="K2" s="13" t="n">
        <v>0</v>
      </c>
      <c r="L2" s="13" t="n">
        <v>3042</v>
      </c>
      <c r="M2" s="13" t="inlineStr">
        <is>
          <t>Nombre de bénéficiaires en zones residentielles 2990, en moyenne 16 beneficiaires dans les centres sociaux et 36 benéficiaires issus des commerces</t>
        </is>
      </c>
      <c r="N2" s="13" t="n"/>
      <c r="O2" s="13" t="inlineStr">
        <is>
          <t>GEF/PNUD</t>
        </is>
      </c>
      <c r="P2" s="26" t="n"/>
      <c r="Q2" s="21" t="n"/>
      <c r="R2" s="28" t="inlineStr">
        <is>
          <t>Close the gap on energy access</t>
        </is>
      </c>
      <c r="S2" s="21" t="n"/>
      <c r="T2" s="21" t="n"/>
      <c r="U2" s="21" t="n"/>
      <c r="V2" s="21" t="n"/>
      <c r="W2" s="3" t="inlineStr">
        <is>
          <t>Solar</t>
        </is>
      </c>
      <c r="X2" s="27" t="n"/>
      <c r="Y2" s="3" t="n"/>
    </row>
    <row r="3" ht="84.75" customHeight="1">
      <c r="A3" s="13" t="n"/>
      <c r="B3" s="13" t="n"/>
      <c r="C3" s="13" t="n"/>
      <c r="D3" s="54" t="n"/>
      <c r="E3" s="54" t="n"/>
      <c r="F3" s="54" t="n"/>
      <c r="G3" s="54" t="n"/>
      <c r="H3" s="54" t="n"/>
      <c r="I3" s="13" t="inlineStr">
        <is>
          <t>Policy or Regulatory Framework</t>
        </is>
      </c>
      <c r="J3" s="13" t="inlineStr">
        <is>
          <t>Note de l'évaluation des capacités des développeurs et des oppérateurs de mini-reseaux à mettre en oeuvre des modéles commerciaux innovants et integrer des leviers de reduction des couts</t>
        </is>
      </c>
      <c r="K3" s="13" t="n">
        <v>0</v>
      </c>
      <c r="L3" s="13" t="n"/>
      <c r="M3" s="13" t="inlineStr">
        <is>
          <t>la capacité des bénéficiaires ciblés est évaluée par sondage à la fin du projet. Sur une échelle de 1 à 5, une note moyenne d'au moins 4 doit etre obtenue.</t>
        </is>
      </c>
      <c r="N3" s="13" t="n"/>
      <c r="O3" s="13" t="inlineStr">
        <is>
          <t>GEF/PNUD</t>
        </is>
      </c>
      <c r="P3" s="13" t="n"/>
      <c r="Q3" s="13" t="n"/>
      <c r="R3" s="28" t="inlineStr">
        <is>
          <t>Close the gap on energy access</t>
        </is>
      </c>
      <c r="S3" s="21" t="inlineStr">
        <is>
          <t>Electricity Access</t>
        </is>
      </c>
      <c r="T3" s="21" t="n"/>
      <c r="U3" s="21" t="inlineStr">
        <is>
          <t>Business Model</t>
        </is>
      </c>
      <c r="V3" s="21" t="inlineStr">
        <is>
          <t>Grant &amp; Investment</t>
        </is>
      </c>
      <c r="W3" s="3" t="n"/>
      <c r="X3" s="27" t="inlineStr">
        <is>
          <t>Regional</t>
        </is>
      </c>
      <c r="Y3" s="3" t="inlineStr">
        <is>
          <t>in Grande Comore, Moheli, Anjouan</t>
        </is>
      </c>
    </row>
    <row r="4" ht="45.75" customHeight="1">
      <c r="A4" s="13" t="n"/>
      <c r="B4" s="13" t="n"/>
      <c r="C4" s="13" t="n"/>
      <c r="D4" s="54" t="n"/>
      <c r="E4" s="54" t="n"/>
      <c r="F4" s="54" t="n"/>
      <c r="G4" s="54" t="n"/>
      <c r="H4" s="54" t="n"/>
      <c r="I4" s="13" t="inlineStr">
        <is>
          <t>Energy (MW added)</t>
        </is>
      </c>
      <c r="J4" s="13" t="inlineStr">
        <is>
          <t>Capacité (Puissance) solaire photovoltaique installée</t>
        </is>
      </c>
      <c r="K4" s="13" t="n">
        <v>0</v>
      </c>
      <c r="L4" s="13" t="n">
        <v>0.449</v>
      </c>
      <c r="M4" s="13" t="inlineStr">
        <is>
          <t>Le projet prévoit d'installer une capacité de 0,449MW associée à un parc batterie de 1,137MWh</t>
        </is>
      </c>
      <c r="N4" s="13" t="n"/>
      <c r="O4" s="13" t="inlineStr">
        <is>
          <t>GEF/PNUD</t>
        </is>
      </c>
      <c r="P4" s="13" t="n"/>
      <c r="Q4" s="13" t="n"/>
      <c r="R4" s="28" t="inlineStr">
        <is>
          <t>Close the gap on energy access</t>
        </is>
      </c>
      <c r="S4" s="21" t="n"/>
      <c r="T4" s="21" t="n"/>
      <c r="U4" s="21" t="n"/>
      <c r="V4" s="21" t="n"/>
      <c r="W4" s="3" t="inlineStr">
        <is>
          <t>Solar</t>
        </is>
      </c>
      <c r="X4" s="27" t="n"/>
      <c r="Y4" s="3" t="n"/>
    </row>
    <row r="5" ht="106.5" customHeight="1">
      <c r="A5" s="13" t="n"/>
      <c r="B5" s="13" t="n"/>
      <c r="C5" s="13" t="n"/>
      <c r="D5" s="54" t="n"/>
      <c r="E5" s="54" t="n"/>
      <c r="F5" s="54" t="n"/>
      <c r="G5" s="54" t="n"/>
      <c r="H5" s="54" t="n"/>
      <c r="I5" s="13" t="inlineStr">
        <is>
          <t>Policy or Regulatory Framework</t>
        </is>
      </c>
      <c r="J5" s="13" t="inlineStr">
        <is>
          <t>Nombre d'instruments politiques de réduction des risques</t>
        </is>
      </c>
      <c r="K5" s="13" t="n">
        <v>0</v>
      </c>
      <c r="L5" s="13" t="n">
        <v>2</v>
      </c>
      <c r="M5" s="13" t="inlineStr">
        <is>
          <t>Un proposition de cadre réglementaire approprié pour les mini-réseaux renouvelables finalisée, validée et adoptée par le gouvernement / Une application généralisée de la défiscalisation des équipements d'énergie renouvelable</t>
        </is>
      </c>
      <c r="N5" s="13" t="n"/>
      <c r="O5" s="13" t="inlineStr">
        <is>
          <t>GEF/PNUD</t>
        </is>
      </c>
      <c r="P5" s="13" t="n"/>
      <c r="Q5" s="13" t="n"/>
      <c r="R5" s="28" t="inlineStr">
        <is>
          <t>Close the gap on energy access</t>
        </is>
      </c>
      <c r="S5" s="21" t="inlineStr">
        <is>
          <t>Electricity Access</t>
        </is>
      </c>
      <c r="T5" s="21" t="n"/>
      <c r="U5" s="21" t="inlineStr">
        <is>
          <t>Incentives and Support</t>
        </is>
      </c>
      <c r="V5" s="21" t="inlineStr">
        <is>
          <t>Electricity Access</t>
        </is>
      </c>
      <c r="W5" s="3" t="n"/>
      <c r="X5" s="27" t="inlineStr">
        <is>
          <t>National</t>
        </is>
      </c>
      <c r="Y5" s="3" t="n"/>
    </row>
    <row r="6" ht="152.25" customHeight="1">
      <c r="A6" s="13" t="n">
        <v>5484</v>
      </c>
      <c r="B6" s="13" t="inlineStr">
        <is>
          <t>Comoros Geothermal</t>
        </is>
      </c>
      <c r="C6" s="41" t="inlineStr">
        <is>
          <t>https://co.pims.undp.org/project/view?id=5484</t>
        </is>
      </c>
      <c r="D6" s="54" t="n">
        <v>5905662</v>
      </c>
      <c r="E6" s="55" t="n"/>
      <c r="F6" s="55" t="n"/>
      <c r="G6" s="55" t="n"/>
      <c r="H6" s="54" t="inlineStr">
        <is>
          <t>VF</t>
        </is>
      </c>
      <c r="I6" s="13" t="inlineStr">
        <is>
          <t>Policy or Regulatory Framework</t>
        </is>
      </c>
      <c r="J6" s="13" t="inlineStr">
        <is>
          <t>Nombre de mesures pour le développement des énergies renouvelables et d'instruments de dérisquage financier pour le développement géothermique</t>
        </is>
      </c>
      <c r="K6" s="13" t="n">
        <v>0</v>
      </c>
      <c r="L6" s="13" t="n">
        <v>2</v>
      </c>
      <c r="M6" s="13" t="inlineStr">
        <is>
          <t xml:space="preserve">Proposition d'un cadre légal et reglementaire des énergies renouvelables finalisé et validée </t>
        </is>
      </c>
      <c r="N6" s="13" t="n"/>
      <c r="O6" s="13" t="inlineStr">
        <is>
          <t>GEF /PNUD</t>
        </is>
      </c>
      <c r="P6" s="13" t="n"/>
      <c r="Q6" s="13" t="n"/>
      <c r="R6" s="13" t="inlineStr">
        <is>
          <t>Accelerating just energy transition</t>
        </is>
      </c>
      <c r="S6" s="21" t="inlineStr">
        <is>
          <t>Renewable Energy</t>
        </is>
      </c>
      <c r="T6" s="21" t="n"/>
      <c r="U6" s="21" t="inlineStr">
        <is>
          <t>Legal Framework</t>
        </is>
      </c>
      <c r="V6" s="21" t="inlineStr">
        <is>
          <t>Renewable Energy</t>
        </is>
      </c>
      <c r="W6" s="3" t="n"/>
      <c r="X6" s="27" t="inlineStr">
        <is>
          <t>National</t>
        </is>
      </c>
      <c r="Y6" s="3" t="n"/>
    </row>
    <row r="7" ht="45.75" customHeight="1">
      <c r="A7" s="13" t="n"/>
      <c r="B7" s="13" t="n"/>
      <c r="C7" s="13" t="n"/>
      <c r="D7" s="54" t="n"/>
      <c r="E7" s="54" t="n"/>
      <c r="F7" s="54" t="n"/>
      <c r="G7" s="54" t="n"/>
      <c r="H7" s="54" t="n"/>
      <c r="I7" s="13" t="inlineStr">
        <is>
          <t>Energy (MW added)</t>
        </is>
      </c>
      <c r="J7" s="13" t="inlineStr">
        <is>
          <t>Capacité (Puissance) en énergie géothermique instalée</t>
        </is>
      </c>
      <c r="K7" s="13" t="n">
        <v>0</v>
      </c>
      <c r="L7" s="13" t="n">
        <v>10</v>
      </c>
      <c r="M7" s="13" t="inlineStr">
        <is>
          <t>le projet prévoit l'instalation d'une central géothermique de  10 MW d'électricité</t>
        </is>
      </c>
      <c r="N7" s="13" t="n"/>
      <c r="O7" s="13" t="inlineStr">
        <is>
          <t>GEF /PNUD</t>
        </is>
      </c>
      <c r="P7" s="13" t="n"/>
      <c r="Q7" s="13" t="n"/>
      <c r="R7" s="13" t="inlineStr">
        <is>
          <t>Accelerating just energy transition</t>
        </is>
      </c>
      <c r="S7" s="21" t="n"/>
      <c r="T7" s="21" t="n"/>
      <c r="U7" s="21" t="n"/>
      <c r="V7" s="21" t="n"/>
      <c r="W7" s="3" t="inlineStr">
        <is>
          <t>Geothermal</t>
        </is>
      </c>
      <c r="X7" s="27" t="n"/>
      <c r="Y7" s="3" t="n"/>
    </row>
    <row r="8" ht="152.25" customHeight="1">
      <c r="A8" s="13" t="n"/>
      <c r="B8" s="13" t="n"/>
      <c r="C8" s="13" t="n"/>
      <c r="D8" s="54" t="n"/>
      <c r="E8" s="54" t="n"/>
      <c r="F8" s="54" t="n"/>
      <c r="G8" s="54" t="n"/>
      <c r="H8" s="54" t="n"/>
      <c r="I8" s="13" t="inlineStr">
        <is>
          <t>Electricity Access</t>
        </is>
      </c>
      <c r="J8" s="13" t="inlineStr">
        <is>
          <t xml:space="preserve"> Nombre de ménages et d'entreprises bénéficiaires d'un accé à l'élécricité de source renouvelable et prope dans tout le pays</t>
        </is>
      </c>
      <c r="K8" s="13" t="n">
        <v>0</v>
      </c>
      <c r="L8" s="19" t="inlineStr">
        <is>
          <t>358 363</t>
        </is>
      </c>
      <c r="M8" s="20" t="inlineStr">
        <is>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is>
      </c>
      <c r="N8" s="19" t="n"/>
      <c r="O8" s="13" t="inlineStr">
        <is>
          <t>GEF /PNUD</t>
        </is>
      </c>
      <c r="P8" s="13" t="n"/>
      <c r="Q8" s="13" t="n"/>
      <c r="R8" s="13" t="inlineStr">
        <is>
          <t>Accelerating just energy transition</t>
        </is>
      </c>
      <c r="S8" s="21" t="n"/>
      <c r="T8" s="21" t="n"/>
      <c r="U8" s="21" t="n"/>
      <c r="V8" s="21" t="n"/>
      <c r="W8" s="3" t="inlineStr">
        <is>
          <t>Geothermal</t>
        </is>
      </c>
      <c r="X8" s="27" t="n"/>
      <c r="Y8" s="3" t="n"/>
    </row>
    <row r="9" ht="123.75" customHeight="1">
      <c r="A9" s="31" t="n">
        <v>5740</v>
      </c>
      <c r="B9" s="31" t="inlineStr">
        <is>
          <t xml:space="preserve">Assurer un approvisionnement en eau résilient aux changement climatique aux comores ER2C </t>
        </is>
      </c>
      <c r="C9" s="31" t="inlineStr">
        <is>
          <t>Pims +</t>
        </is>
      </c>
      <c r="D9" s="56" t="n">
        <v>20345141</v>
      </c>
      <c r="E9" s="57" t="n"/>
      <c r="F9" s="57" t="n"/>
      <c r="G9" s="57" t="n"/>
      <c r="H9" s="56" t="inlineStr">
        <is>
          <t>VF</t>
        </is>
      </c>
      <c r="I9" s="31" t="inlineStr">
        <is>
          <t>Water Services</t>
        </is>
      </c>
      <c r="J9" s="31" t="inlineStr">
        <is>
          <t xml:space="preserve">Nombre de personnes bénéficiant dans tout le pays d'un approvisionnement en eau assuré par un pompage en énergie renouvelables (Photovoltïque) </t>
        </is>
      </c>
      <c r="K9" s="31" t="n">
        <v>0</v>
      </c>
      <c r="L9" s="31" t="n">
        <v>35529</v>
      </c>
      <c r="M9" s="31" t="inlineStr">
        <is>
          <t xml:space="preserve">Le projet prévoit d'installer prés de 289 KW de solaire photovoltaïque pour le pompage d'eau pour assurer l'alimentation en eau potable à 35 529 personnes </t>
        </is>
      </c>
      <c r="N9" s="31" t="n"/>
      <c r="O9" s="31" t="inlineStr">
        <is>
          <t>GCF /PNUD</t>
        </is>
      </c>
      <c r="P9" s="31" t="n"/>
      <c r="Q9" s="31" t="n"/>
      <c r="R9" s="31" t="inlineStr">
        <is>
          <t>Close the gap on energy access</t>
        </is>
      </c>
      <c r="S9" s="33" t="n"/>
      <c r="T9" s="33" t="n"/>
      <c r="U9" s="33" t="n"/>
      <c r="V9" s="33" t="n"/>
      <c r="W9" s="9" t="inlineStr">
        <is>
          <t>Solar</t>
        </is>
      </c>
      <c r="X9" s="34" t="n"/>
      <c r="Y9" s="9" t="n"/>
    </row>
    <row r="10" ht="45.75" customHeight="1">
      <c r="A10" s="31" t="n"/>
      <c r="B10" s="31" t="n"/>
      <c r="C10" s="31" t="n"/>
      <c r="D10" s="56" t="n"/>
      <c r="E10" s="56" t="n"/>
      <c r="F10" s="56" t="n"/>
      <c r="G10" s="56" t="n"/>
      <c r="H10" s="56" t="n"/>
      <c r="I10" s="31" t="inlineStr">
        <is>
          <t>Energy (MW added)</t>
        </is>
      </c>
      <c r="J10" s="31" t="inlineStr">
        <is>
          <t>Installed capacity in MW for access/productive-use outputs</t>
        </is>
      </c>
      <c r="K10" s="31" t="n">
        <v>0</v>
      </c>
      <c r="L10" s="58" t="n"/>
      <c r="M10" s="58" t="inlineStr">
        <is>
          <t>[AUTO-ADDED] Project reports access/productive-use beneficiary numbers but no MW value. Please add installed capacity (MW) or confirm not applicable.</t>
        </is>
      </c>
      <c r="N10" s="31" t="n"/>
      <c r="O10" s="31" t="n"/>
      <c r="P10" s="31" t="n"/>
      <c r="Q10" s="31" t="n"/>
      <c r="R10" s="31" t="n"/>
      <c r="S10" s="33" t="n"/>
      <c r="T10" s="33" t="n"/>
      <c r="U10" s="33" t="n"/>
      <c r="V10" s="33" t="n"/>
      <c r="W10" s="9" t="n"/>
      <c r="X10" s="34" t="n"/>
      <c r="Y10" s="9" t="n"/>
    </row>
    <row r="11" ht="91.5" customHeight="1">
      <c r="A11" s="31" t="n">
        <v>1001412</v>
      </c>
      <c r="B11" s="31" t="inlineStr">
        <is>
          <t>Électrification et Croissance en Union des Comores</t>
        </is>
      </c>
      <c r="C11" s="36" t="n"/>
      <c r="D11" s="59" t="n">
        <v>2000000</v>
      </c>
      <c r="E11" s="60" t="n"/>
      <c r="F11" s="60" t="n"/>
      <c r="G11" s="60" t="n"/>
      <c r="H11" s="59" t="inlineStr">
        <is>
          <t>Non-VF</t>
        </is>
      </c>
      <c r="I11" s="13" t="inlineStr">
        <is>
          <t>Energy (MW added)</t>
        </is>
      </c>
      <c r="J11" s="13" t="inlineStr">
        <is>
          <t>Capacité (Puissance) solaire photovoltaique installée</t>
        </is>
      </c>
      <c r="K11" s="31" t="n">
        <v>0</v>
      </c>
      <c r="L11" s="31" t="n">
        <v>0.07000000000000001</v>
      </c>
      <c r="M11" s="31" t="inlineStr">
        <is>
          <t>Le projet va installer preès de70 kW de solaire photovoltaique sur des batiments et place publique</t>
        </is>
      </c>
      <c r="N11" s="3" t="n"/>
      <c r="O11" s="3" t="inlineStr">
        <is>
          <t>USAID/ PNUD</t>
        </is>
      </c>
      <c r="P11" s="3" t="n"/>
      <c r="Q11" s="3" t="n"/>
      <c r="R11" s="3" t="n"/>
      <c r="S11" s="3" t="n"/>
      <c r="T11" s="3" t="n"/>
      <c r="U11" s="3" t="n"/>
      <c r="V11" s="3" t="n"/>
      <c r="W11" s="3" t="inlineStr">
        <is>
          <t>solar</t>
        </is>
      </c>
      <c r="X11" s="3" t="n"/>
      <c r="Y11" s="3" t="n"/>
    </row>
    <row r="12">
      <c r="A12" s="31" t="n"/>
      <c r="B12" s="31" t="n"/>
      <c r="C12" s="31" t="n"/>
      <c r="D12" s="61" t="n"/>
      <c r="E12" s="61" t="n"/>
      <c r="F12" s="61" t="n"/>
      <c r="G12" s="61" t="n"/>
      <c r="H12" s="61" t="n"/>
      <c r="I12" s="13" t="inlineStr">
        <is>
          <t>Electricity Access</t>
        </is>
      </c>
      <c r="J12" s="13" t="inlineStr">
        <is>
          <t xml:space="preserve">Nombre de personne bénéficiant d'un accé direct à l'éléctrité </t>
        </is>
      </c>
      <c r="K12" s="31" t="n">
        <v>0</v>
      </c>
      <c r="L12" s="31" t="n">
        <v>11705</v>
      </c>
      <c r="M12" s="31" t="inlineStr">
        <is>
          <t xml:space="preserve">le projet prévoit d'installer 2 centre de dispashing et construre 6 km de reseau électrique pour facilité le transport et la distribution de près 3 MW d'un centrale solaire, au beneffice de près de 11705 cliants. </t>
        </is>
      </c>
      <c r="N12" s="3" t="n"/>
      <c r="O12" s="3" t="n"/>
      <c r="P12" s="3" t="n"/>
      <c r="Q12" s="3" t="n"/>
      <c r="R12" s="3" t="n"/>
      <c r="S12" s="3" t="n"/>
      <c r="T12" s="3" t="n"/>
      <c r="U12" s="3" t="n"/>
      <c r="V12" s="3" t="n"/>
      <c r="W12" s="3" t="n"/>
      <c r="X12" s="3" t="n"/>
      <c r="Y12" s="3" t="n"/>
    </row>
    <row r="13">
      <c r="A13" s="31" t="n"/>
      <c r="B13" s="31" t="n"/>
      <c r="C13" s="31" t="n"/>
      <c r="D13" s="62" t="n"/>
      <c r="E13" s="62" t="n"/>
      <c r="F13" s="62" t="n"/>
      <c r="G13" s="62" t="n"/>
      <c r="H13" s="62" t="n"/>
      <c r="I13" s="31" t="n"/>
      <c r="J13" s="31" t="n"/>
      <c r="K13" s="31" t="n"/>
      <c r="L13" s="31" t="n"/>
      <c r="M13" s="31" t="n"/>
      <c r="N13" s="3" t="n"/>
      <c r="O13" s="3" t="n"/>
      <c r="P13" s="3" t="n"/>
      <c r="Q13" s="3" t="n"/>
      <c r="R13" s="3" t="n"/>
      <c r="S13" s="3" t="n"/>
      <c r="T13" s="3" t="n"/>
      <c r="U13" s="3" t="n"/>
      <c r="V13" s="3" t="n"/>
      <c r="W13" s="3" t="n"/>
      <c r="X13" s="3" t="n"/>
      <c r="Y13" s="3" t="n"/>
    </row>
  </sheetData>
  <dataValidations count="11">
    <dataValidation sqref="S2:S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T2:T9" showDropDown="0" showInputMessage="1" showErrorMessage="1" allowBlank="1" type="list">
      <formula1>"Solar, Wind, Bioenergy, Hydro, Geothermal, Waste, Some Sources, Other, Unknown"</formula1>
    </dataValidation>
    <dataValidation sqref="N2" showDropDown="0" showInputMessage="1" showErrorMessage="1" allowBlank="1" type="list">
      <formula1>"Finance, Gender, Efficiency, Just, Health"</formula1>
    </dataValidation>
    <dataValidation sqref="U2:U9" showDropDown="0" showInputMessage="1" showErrorMessage="1" allowBlank="1" type="list">
      <formula1>"National, Regional, City, Community"</formula1>
    </dataValidation>
    <dataValidation sqref="P2:P9" showDropDown="0" showInputMessage="1" showErrorMessage="1" allowBlank="1" type="list">
      <formula1>"Electricity Access, Energy Efficiency, Clean Cooking, Renewable Energy, Overall"</formula1>
    </dataValidation>
    <dataValidation sqref="R2:R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9" showDropDown="0" showInputMessage="1" showErrorMessage="1" allowBlank="1" type="list">
      <formula1>"AMP, PUDC, Solar4Health, Action Opportunities, Italy UNDP Energy Partnership"</formula1>
    </dataValidation>
    <dataValidation sqref="O2:O9" showDropDown="0" showInputMessage="1" showErrorMessage="1" allowBlank="1" type="list">
      <formula1>"Accelerating just energy transition, Close the gap on energy access, Scale up energy finance"</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12"/>
  <sheetViews>
    <sheetView workbookViewId="0">
      <pane xSplit="1" ySplit="1" topLeftCell="C2" activePane="bottomRight" state="frozen"/>
      <selection pane="bottomRight" activeCell="C2" sqref="C2"/>
      <selection pane="bottomLeft" activeCell="A1" sqref="A1"/>
      <selection pane="topRight" activeCell="A1" sqref="A1"/>
    </sheetView>
  </sheetViews>
  <sheetFormatPr baseColWidth="8" defaultRowHeight="15"/>
  <cols>
    <col width="9.140625" customWidth="1" style="2" min="1" max="1"/>
    <col width="21.85546875" customWidth="1" style="2" min="2" max="2"/>
    <col width="20.7109375" customWidth="1" style="2" min="3" max="3"/>
    <col width="9.140625" customWidth="1" style="2" min="4" max="4"/>
    <col width="21" customWidth="1" style="2" min="5" max="5"/>
    <col width="20.7109375" customWidth="1" style="2" min="6" max="6"/>
    <col width="12.7109375" customWidth="1" style="2" min="7" max="8"/>
    <col width="32.7109375" customWidth="1" style="2" min="9" max="10"/>
    <col width="9.140625" customWidth="1" style="2" min="11" max="14"/>
    <col width="12.7109375" customWidth="1" style="2" min="15" max="15"/>
    <col width="17.5703125" bestFit="1" customWidth="1" style="2" min="16" max="16"/>
    <col width="12.42578125" customWidth="1" style="2" min="17" max="17"/>
    <col width="21.5703125" bestFit="1" customWidth="1" style="2" min="18" max="18"/>
    <col width="18.140625" bestFit="1" customWidth="1" style="2" min="19" max="19"/>
    <col width="11.28515625" bestFit="1" customWidth="1" style="2" min="20" max="20"/>
    <col width="30.28515625" bestFit="1" customWidth="1" style="2" min="21" max="21"/>
    <col width="33.28515625" bestFit="1" customWidth="1" style="2" min="22" max="22"/>
    <col width="9.140625" customWidth="1" style="2" min="23" max="16384"/>
  </cols>
  <sheetData>
    <row r="1" ht="45.75" customHeight="1">
      <c r="A1" s="17" t="inlineStr">
        <is>
          <t>Project ID</t>
        </is>
      </c>
      <c r="B1" s="17" t="inlineStr">
        <is>
          <t>Title</t>
        </is>
      </c>
      <c r="C1" s="17" t="inlineStr">
        <is>
          <t>Link</t>
        </is>
      </c>
      <c r="D1" s="17" t="inlineStr">
        <is>
          <t>Budget</t>
        </is>
      </c>
      <c r="E1" s="17" t="inlineStr">
        <is>
          <t>Beneficiary Category</t>
        </is>
      </c>
      <c r="F1" s="17" t="inlineStr">
        <is>
          <t>Indicator</t>
        </is>
      </c>
      <c r="G1" s="17" t="inlineStr">
        <is>
          <t>Baseline</t>
        </is>
      </c>
      <c r="H1" s="17" t="inlineStr">
        <is>
          <t>Target</t>
        </is>
      </c>
      <c r="I1" s="17" t="inlineStr">
        <is>
          <t>Notes</t>
        </is>
      </c>
      <c r="J1" s="17" t="inlineStr">
        <is>
          <t>Indirect Beneficiaries</t>
        </is>
      </c>
      <c r="K1" s="18" t="inlineStr">
        <is>
          <t>Donors</t>
        </is>
      </c>
      <c r="L1" s="1" t="inlineStr">
        <is>
          <t>Gender (% female)</t>
        </is>
      </c>
      <c r="M1" s="22" t="inlineStr">
        <is>
          <t>VF or Non-VF</t>
        </is>
      </c>
      <c r="N1" s="23" t="inlineStr">
        <is>
          <t>Tag</t>
        </is>
      </c>
      <c r="O1" s="22" t="inlineStr">
        <is>
          <t>SEH Taxonomy</t>
        </is>
      </c>
      <c r="P1" s="22" t="inlineStr">
        <is>
          <t>RISE Taxonomy</t>
        </is>
      </c>
      <c r="Q1" s="22" t="inlineStr">
        <is>
          <t>Flagship</t>
        </is>
      </c>
      <c r="R1" s="22" t="inlineStr">
        <is>
          <t>Indirect Category</t>
        </is>
      </c>
      <c r="S1" s="24" t="inlineStr">
        <is>
          <t>Indirect Taxonomy</t>
        </is>
      </c>
      <c r="T1" s="25" t="inlineStr">
        <is>
          <t>Technology</t>
        </is>
      </c>
      <c r="U1" s="24" t="inlineStr">
        <is>
          <t>Policy or Regulatory Framework</t>
        </is>
      </c>
      <c r="V1" s="25" t="inlineStr">
        <is>
          <t>Policy Population</t>
        </is>
      </c>
    </row>
    <row r="2" ht="75.75" customHeight="1">
      <c r="A2" s="13" t="n">
        <v>6469</v>
      </c>
      <c r="B2" s="13" t="inlineStr">
        <is>
          <t>Comoros national child project - Africa Minigrids Program (AMP)</t>
        </is>
      </c>
      <c r="C2" s="41" t="inlineStr">
        <is>
          <t>https://co.pims.undp.org/project/view?id=6469</t>
        </is>
      </c>
      <c r="D2" s="13" t="n">
        <v>1269863</v>
      </c>
      <c r="E2" s="13" t="inlineStr">
        <is>
          <t>Electricity Access</t>
        </is>
      </c>
      <c r="F2" s="13" t="inlineStr">
        <is>
          <t xml:space="preserve">Nombre de personne bénéficiant d'un accé direct à l'éléctrité </t>
        </is>
      </c>
      <c r="G2" s="13" t="n">
        <v>0</v>
      </c>
      <c r="H2" s="13" t="n">
        <v>3042</v>
      </c>
      <c r="I2" s="13" t="inlineStr">
        <is>
          <t>Nombre de bénéficiaires en zones residentielles 2990, en moyenne 16 beneficiaires dans les centres sociaux et 36 benéficiaires issus des commerces</t>
        </is>
      </c>
      <c r="J2" s="13" t="n"/>
      <c r="K2" s="13" t="inlineStr">
        <is>
          <t>GEF/PNUD</t>
        </is>
      </c>
      <c r="L2" s="26" t="n"/>
      <c r="M2" s="13" t="inlineStr">
        <is>
          <t>VF</t>
        </is>
      </c>
      <c r="N2" s="21" t="n"/>
      <c r="O2" s="28" t="inlineStr">
        <is>
          <t>Close the gap on energy access</t>
        </is>
      </c>
      <c r="P2" s="21" t="n"/>
      <c r="Q2" s="21" t="n"/>
      <c r="R2" s="21" t="n"/>
      <c r="S2" s="21" t="n"/>
      <c r="T2" s="3" t="inlineStr">
        <is>
          <t>Solar</t>
        </is>
      </c>
      <c r="U2" s="27" t="n"/>
      <c r="V2" s="3" t="n"/>
    </row>
    <row r="3" ht="84.75" customHeight="1">
      <c r="A3" s="13" t="n"/>
      <c r="B3" s="13" t="n"/>
      <c r="C3" s="13" t="n"/>
      <c r="D3" s="13" t="n"/>
      <c r="E3" s="13" t="inlineStr">
        <is>
          <t>Policy or Regulatory Framework</t>
        </is>
      </c>
      <c r="F3" s="13" t="inlineStr">
        <is>
          <t>Note de l'évaluation des capacités des développeurs et des oppérateurs de mini-reseaux à mettre en oeuvre des modéles commerciaux innovants et integrer des leviers de reduction des couts</t>
        </is>
      </c>
      <c r="G3" s="13" t="n">
        <v>0</v>
      </c>
      <c r="H3" s="13" t="n"/>
      <c r="I3" s="13" t="inlineStr">
        <is>
          <t>la capacité des bénéficiaires ciblés est évaluée par sondage à la fin du projet. Sur une échelle de 1 à 5, une note moyenne d'au moins 4 doit etre obtenue.</t>
        </is>
      </c>
      <c r="J3" s="13" t="n"/>
      <c r="K3" s="13" t="inlineStr">
        <is>
          <t>GEF/PNUD</t>
        </is>
      </c>
      <c r="L3" s="13" t="n"/>
      <c r="M3" s="13" t="inlineStr">
        <is>
          <t>VF</t>
        </is>
      </c>
      <c r="N3" s="13" t="n"/>
      <c r="O3" s="28" t="inlineStr">
        <is>
          <t>Close the gap on energy access</t>
        </is>
      </c>
      <c r="P3" s="21" t="inlineStr">
        <is>
          <t>Electricity Access</t>
        </is>
      </c>
      <c r="Q3" s="21" t="n"/>
      <c r="R3" s="21" t="inlineStr">
        <is>
          <t>Business Model</t>
        </is>
      </c>
      <c r="S3" s="21" t="inlineStr">
        <is>
          <t>Grant &amp; Investment</t>
        </is>
      </c>
      <c r="T3" s="3" t="n"/>
      <c r="U3" s="27" t="inlineStr">
        <is>
          <t>Regional</t>
        </is>
      </c>
      <c r="V3" s="3" t="inlineStr">
        <is>
          <t>in Grande Comore, Moheli, Anjouan</t>
        </is>
      </c>
    </row>
    <row r="4" ht="45.75" customHeight="1">
      <c r="A4" s="13" t="n"/>
      <c r="B4" s="13" t="n"/>
      <c r="C4" s="13" t="n"/>
      <c r="D4" s="13" t="n"/>
      <c r="E4" s="13" t="inlineStr">
        <is>
          <t>Energy (MW added)</t>
        </is>
      </c>
      <c r="F4" s="13" t="inlineStr">
        <is>
          <t>Capacité (Puissance) solaire photovoltaique installée</t>
        </is>
      </c>
      <c r="G4" s="13" t="n">
        <v>0</v>
      </c>
      <c r="H4" s="13" t="n">
        <v>0.449</v>
      </c>
      <c r="I4" s="13" t="inlineStr">
        <is>
          <t>Le projet prévoit d'installer une capacité de 0,449MW associée à un parc batterie de 1,137MWh</t>
        </is>
      </c>
      <c r="J4" s="13" t="n"/>
      <c r="K4" s="13" t="inlineStr">
        <is>
          <t>GEF/PNUD</t>
        </is>
      </c>
      <c r="L4" s="13" t="n"/>
      <c r="M4" s="13" t="inlineStr">
        <is>
          <t>VF</t>
        </is>
      </c>
      <c r="N4" s="13" t="n"/>
      <c r="O4" s="28" t="inlineStr">
        <is>
          <t>Close the gap on energy access</t>
        </is>
      </c>
      <c r="P4" s="21" t="n"/>
      <c r="Q4" s="21" t="n"/>
      <c r="R4" s="21" t="n"/>
      <c r="S4" s="21" t="n"/>
      <c r="T4" s="3" t="inlineStr">
        <is>
          <t>Solar</t>
        </is>
      </c>
      <c r="U4" s="27" t="n"/>
      <c r="V4" s="3" t="n"/>
    </row>
    <row r="5" ht="106.5" customHeight="1">
      <c r="A5" s="13" t="n"/>
      <c r="B5" s="13" t="n"/>
      <c r="C5" s="13" t="n"/>
      <c r="D5" s="13" t="n"/>
      <c r="E5" s="13" t="inlineStr">
        <is>
          <t>Policy or Regulatory Framework</t>
        </is>
      </c>
      <c r="F5" s="13" t="inlineStr">
        <is>
          <t>Nombre d'instruments politiques de réduction des risques</t>
        </is>
      </c>
      <c r="G5" s="13" t="n">
        <v>0</v>
      </c>
      <c r="H5" s="13" t="n">
        <v>2</v>
      </c>
      <c r="I5" s="13" t="inlineStr">
        <is>
          <t>Un proposition de cadre réglementaire approprié pour les mini-réseaux renouvelables finalisée, validée et adoptée par le gouvernement / Une application généralisée de la défiscalisation des équipements d'énergie renouvelable</t>
        </is>
      </c>
      <c r="J5" s="13" t="n"/>
      <c r="K5" s="13" t="inlineStr">
        <is>
          <t>GEF/PNUD</t>
        </is>
      </c>
      <c r="L5" s="13" t="n"/>
      <c r="M5" s="13" t="inlineStr">
        <is>
          <t>VF</t>
        </is>
      </c>
      <c r="N5" s="13" t="n"/>
      <c r="O5" s="28" t="inlineStr">
        <is>
          <t>Close the gap on energy access</t>
        </is>
      </c>
      <c r="P5" s="21" t="inlineStr">
        <is>
          <t>Electricity Access</t>
        </is>
      </c>
      <c r="Q5" s="21" t="n"/>
      <c r="R5" s="21" t="inlineStr">
        <is>
          <t>Incentives and Support</t>
        </is>
      </c>
      <c r="S5" s="21" t="inlineStr">
        <is>
          <t>Electricity Access</t>
        </is>
      </c>
      <c r="T5" s="3" t="n"/>
      <c r="U5" s="27" t="inlineStr">
        <is>
          <t>National</t>
        </is>
      </c>
      <c r="V5" s="3" t="n"/>
    </row>
    <row r="6" ht="152.25" customHeight="1">
      <c r="A6" s="13" t="n">
        <v>5484</v>
      </c>
      <c r="B6" s="13" t="inlineStr">
        <is>
          <t>Comoros Geothermal</t>
        </is>
      </c>
      <c r="C6" s="41" t="inlineStr">
        <is>
          <t>https://co.pims.undp.org/project/view?id=5484</t>
        </is>
      </c>
      <c r="D6" s="13" t="n">
        <v>5905662</v>
      </c>
      <c r="E6" s="13" t="inlineStr">
        <is>
          <t>Policy or Regulatory Framework</t>
        </is>
      </c>
      <c r="F6" s="13" t="inlineStr">
        <is>
          <t>Nombre de mesures pour le développement des énergies renouvelables et d'instruments de dérisquage financier pour le développement géothermique</t>
        </is>
      </c>
      <c r="G6" s="13" t="n">
        <v>0</v>
      </c>
      <c r="H6" s="13" t="n">
        <v>2</v>
      </c>
      <c r="I6" s="13" t="inlineStr">
        <is>
          <t xml:space="preserve">Proposition d'un cadre légal et reglementaire des énergies renouvelables finalisé et validée </t>
        </is>
      </c>
      <c r="J6" s="13" t="n"/>
      <c r="K6" s="13" t="inlineStr">
        <is>
          <t>GEF /PNUD</t>
        </is>
      </c>
      <c r="L6" s="13" t="n"/>
      <c r="M6" s="13" t="inlineStr">
        <is>
          <t>VF</t>
        </is>
      </c>
      <c r="N6" s="13" t="n"/>
      <c r="O6" s="13" t="inlineStr">
        <is>
          <t>Accelerating just energy transition</t>
        </is>
      </c>
      <c r="P6" s="21" t="inlineStr">
        <is>
          <t>Renewable Energy</t>
        </is>
      </c>
      <c r="Q6" s="21" t="n"/>
      <c r="R6" s="21" t="inlineStr">
        <is>
          <t>Legal Framework</t>
        </is>
      </c>
      <c r="S6" s="21" t="inlineStr">
        <is>
          <t>Renewable Energy</t>
        </is>
      </c>
      <c r="T6" s="3" t="n"/>
      <c r="U6" s="27" t="inlineStr">
        <is>
          <t>National</t>
        </is>
      </c>
      <c r="V6" s="3" t="n"/>
    </row>
    <row r="7" ht="45.75" customHeight="1">
      <c r="A7" s="13" t="n"/>
      <c r="B7" s="13" t="n"/>
      <c r="C7" s="13" t="n"/>
      <c r="D7" s="13" t="n"/>
      <c r="E7" s="13" t="inlineStr">
        <is>
          <t>Energy (MW added)</t>
        </is>
      </c>
      <c r="F7" s="13" t="inlineStr">
        <is>
          <t>Capacité (Puissance) en énergie géothermique instalée</t>
        </is>
      </c>
      <c r="G7" s="13" t="n">
        <v>0</v>
      </c>
      <c r="H7" s="13" t="n">
        <v>10</v>
      </c>
      <c r="I7" s="13" t="inlineStr">
        <is>
          <t>le projet prévoit l'instalation d'une central géothermique de  10 MW d'électricité</t>
        </is>
      </c>
      <c r="J7" s="13" t="n"/>
      <c r="K7" s="13" t="inlineStr">
        <is>
          <t>GEF /PNUD</t>
        </is>
      </c>
      <c r="L7" s="13" t="n"/>
      <c r="M7" s="13" t="inlineStr">
        <is>
          <t>VF</t>
        </is>
      </c>
      <c r="N7" s="13" t="n"/>
      <c r="O7" s="13" t="inlineStr">
        <is>
          <t>Accelerating just energy transition</t>
        </is>
      </c>
      <c r="P7" s="21" t="n"/>
      <c r="Q7" s="21" t="n"/>
      <c r="R7" s="21" t="n"/>
      <c r="S7" s="21" t="n"/>
      <c r="T7" s="3" t="inlineStr">
        <is>
          <t>Geothermal</t>
        </is>
      </c>
      <c r="U7" s="27" t="n"/>
      <c r="V7" s="3" t="n"/>
    </row>
    <row r="8" ht="152.25" customHeight="1">
      <c r="A8" s="13" t="n"/>
      <c r="B8" s="13" t="n"/>
      <c r="C8" s="13" t="n"/>
      <c r="D8" s="13" t="n"/>
      <c r="E8" s="13" t="inlineStr">
        <is>
          <t>Electricity Access</t>
        </is>
      </c>
      <c r="F8" s="13" t="inlineStr">
        <is>
          <t xml:space="preserve"> Nombre de ménages et d'entreprises bénéficiaires d'un accé à l'élécricité de source renouvelable et prope dans tout le pays</t>
        </is>
      </c>
      <c r="G8" s="13" t="n">
        <v>0</v>
      </c>
      <c r="H8" s="19" t="inlineStr">
        <is>
          <t>358 363</t>
        </is>
      </c>
      <c r="I8" s="20" t="inlineStr">
        <is>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is>
      </c>
      <c r="J8" s="19" t="n"/>
      <c r="K8" s="13" t="inlineStr">
        <is>
          <t>GEF /PNUD</t>
        </is>
      </c>
      <c r="L8" s="13" t="n"/>
      <c r="M8" s="13" t="inlineStr">
        <is>
          <t>VF</t>
        </is>
      </c>
      <c r="N8" s="13" t="n"/>
      <c r="O8" s="13" t="inlineStr">
        <is>
          <t>Accelerating just energy transition</t>
        </is>
      </c>
      <c r="P8" s="21" t="n"/>
      <c r="Q8" s="21" t="n"/>
      <c r="R8" s="21" t="n"/>
      <c r="S8" s="21" t="n"/>
      <c r="T8" s="3" t="inlineStr">
        <is>
          <t>Geothermal</t>
        </is>
      </c>
      <c r="U8" s="27" t="n"/>
      <c r="V8" s="3" t="n"/>
    </row>
    <row r="9" ht="123.75" customHeight="1">
      <c r="A9" s="31" t="n">
        <v>5740</v>
      </c>
      <c r="B9" s="31" t="inlineStr">
        <is>
          <t xml:space="preserve">Assurer un approvisionnement en eau résilient aux changement climatique aux comores ER2C </t>
        </is>
      </c>
      <c r="C9" s="31" t="inlineStr">
        <is>
          <t>Pims +</t>
        </is>
      </c>
      <c r="D9" s="32" t="n">
        <v>20345141</v>
      </c>
      <c r="E9" s="31" t="inlineStr">
        <is>
          <t>Water Services</t>
        </is>
      </c>
      <c r="F9" s="31" t="inlineStr">
        <is>
          <t xml:space="preserve">Nombre de personnes bénéficiant dans tout le pays d'un approvisionnement en eau assuré par un pompage en énergie renouvelables (Photovoltïque) </t>
        </is>
      </c>
      <c r="G9" s="31" t="n">
        <v>0</v>
      </c>
      <c r="H9" s="31" t="n">
        <v>35529</v>
      </c>
      <c r="I9" s="31" t="inlineStr">
        <is>
          <t xml:space="preserve">Le projet prévoit d'installer prés de 289 KW de solaire photovoltaïque pour le pompage d'eau pour assurer l'alimentation en eau potable à 35 529 personnes </t>
        </is>
      </c>
      <c r="J9" s="31" t="n"/>
      <c r="K9" s="31" t="inlineStr">
        <is>
          <t>GCF /PNUD</t>
        </is>
      </c>
      <c r="L9" s="31" t="n"/>
      <c r="M9" s="31" t="inlineStr">
        <is>
          <t>VF</t>
        </is>
      </c>
      <c r="N9" s="31" t="n"/>
      <c r="O9" s="31" t="inlineStr">
        <is>
          <t>Close the gap on energy access</t>
        </is>
      </c>
      <c r="P9" s="33" t="n"/>
      <c r="Q9" s="33" t="n"/>
      <c r="R9" s="33" t="n"/>
      <c r="S9" s="33" t="n"/>
      <c r="T9" s="9" t="inlineStr">
        <is>
          <t>Solar</t>
        </is>
      </c>
      <c r="U9" s="34" t="n"/>
      <c r="V9" s="9" t="n"/>
    </row>
    <row r="10" ht="45.75" customHeight="1">
      <c r="A10" s="31" t="n">
        <v>1001412</v>
      </c>
      <c r="B10" s="31" t="inlineStr">
        <is>
          <t>Électrification et Croissance en Union des Comores</t>
        </is>
      </c>
      <c r="C10" s="36" t="n"/>
      <c r="D10" s="35" t="n">
        <v>2000000</v>
      </c>
      <c r="E10" s="13" t="inlineStr">
        <is>
          <t>Energy (MW added)</t>
        </is>
      </c>
      <c r="F10" s="13" t="inlineStr">
        <is>
          <t>Capacité (Puissance) solaire photovoltaique installée</t>
        </is>
      </c>
      <c r="G10" s="31" t="n">
        <v>0</v>
      </c>
      <c r="H10" s="31" t="n">
        <v>0.07000000000000001</v>
      </c>
      <c r="I10" s="31" t="inlineStr">
        <is>
          <t>Le projet va installer preès de70 kW de solaire photovoltaique sur des batiments et place publique</t>
        </is>
      </c>
      <c r="J10" s="3" t="n"/>
      <c r="K10" s="3" t="inlineStr">
        <is>
          <t>USAID/ PNUD</t>
        </is>
      </c>
      <c r="L10" s="3" t="n"/>
      <c r="M10" s="3" t="n"/>
      <c r="N10" s="3" t="n"/>
      <c r="O10" s="3" t="n"/>
      <c r="P10" s="3" t="n"/>
      <c r="Q10" s="3" t="n"/>
      <c r="R10" s="3" t="n"/>
      <c r="S10" s="3" t="n"/>
      <c r="T10" s="3" t="inlineStr">
        <is>
          <t>solar</t>
        </is>
      </c>
      <c r="U10" s="3" t="n"/>
      <c r="V10" s="3" t="n"/>
    </row>
    <row r="11" ht="91.5" customHeight="1">
      <c r="A11" s="31" t="n"/>
      <c r="B11" s="31" t="n"/>
      <c r="C11" s="31" t="n"/>
      <c r="D11" s="37" t="n"/>
      <c r="E11" s="13" t="inlineStr">
        <is>
          <t>Electricity Access</t>
        </is>
      </c>
      <c r="F11" s="13" t="inlineStr">
        <is>
          <t xml:space="preserve">Nombre de personne bénéficiant d'un accé direct à l'éléctrité </t>
        </is>
      </c>
      <c r="G11" s="31" t="n">
        <v>0</v>
      </c>
      <c r="H11" s="31" t="n">
        <v>11705</v>
      </c>
      <c r="I11" s="31" t="inlineStr">
        <is>
          <t xml:space="preserve">le projet prévoit d'installer 2 centre de dispashing et construre 6 km de reseau électrique pour facilité le transport et la distribution de près 3 MW d'un centrale solaire, au beneffice de près de 11705 cliants. </t>
        </is>
      </c>
      <c r="J11" s="3" t="n"/>
      <c r="K11" s="3" t="n"/>
      <c r="L11" s="3" t="n"/>
      <c r="M11" s="3" t="inlineStr">
        <is>
          <t>Non VF</t>
        </is>
      </c>
      <c r="N11" s="3" t="n"/>
      <c r="O11" s="3" t="n"/>
      <c r="P11" s="3" t="n"/>
      <c r="Q11" s="3" t="n"/>
      <c r="R11" s="3" t="n"/>
      <c r="S11" s="3" t="n"/>
      <c r="T11" s="3" t="n"/>
      <c r="U11" s="3" t="n"/>
      <c r="V11" s="3" t="n"/>
    </row>
    <row r="12">
      <c r="A12" s="31" t="n"/>
      <c r="B12" s="31" t="n"/>
      <c r="C12" s="31" t="n"/>
      <c r="D12" s="31" t="n"/>
      <c r="E12" s="31" t="n"/>
      <c r="F12" s="31" t="n"/>
      <c r="G12" s="31" t="n"/>
      <c r="H12" s="31" t="n"/>
      <c r="I12" s="31" t="n"/>
      <c r="J12" s="3" t="n"/>
      <c r="K12" s="3" t="n"/>
      <c r="L12" s="3" t="n"/>
      <c r="M12" s="3" t="n"/>
      <c r="N12" s="3" t="n"/>
      <c r="O12" s="3" t="n"/>
      <c r="P12" s="3" t="n"/>
      <c r="Q12" s="3" t="n"/>
      <c r="R12" s="3" t="n"/>
      <c r="S12" s="3" t="n"/>
      <c r="T12" s="3" t="n"/>
      <c r="U12" s="3" t="n"/>
      <c r="V12" s="3" t="n"/>
    </row>
  </sheetData>
  <dataValidations count="8">
    <dataValidation sqref="O2:O9" showDropDown="0" showInputMessage="1" showErrorMessage="1" allowBlank="1" type="list">
      <formula1>"Accelerating just energy transition, Close the gap on energy access, Scale up energy finance"</formula1>
    </dataValidation>
    <dataValidation sqref="Q2:Q9" showDropDown="0" showInputMessage="1" showErrorMessage="1" allowBlank="1" type="list">
      <formula1>"AMP, PUDC, Solar4Health, Action Opportunities, Italy UNDP Energy Partnership"</formula1>
    </dataValidation>
    <dataValidation sqref="R2:R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9" showDropDown="0" showInputMessage="1" showErrorMessage="1" allowBlank="1" type="list">
      <formula1>"Electricity Access, Energy Efficiency, Clean Cooking, Renewable Energy, Overall"</formula1>
    </dataValidation>
    <dataValidation sqref="U2:U9" showDropDown="0" showInputMessage="1" showErrorMessage="1" allowBlank="1" type="list">
      <formula1>"National, Regional, City, Community"</formula1>
    </dataValidation>
    <dataValidation sqref="N2" showDropDown="0" showInputMessage="1" showErrorMessage="1" allowBlank="1" type="list">
      <formula1>"Finance, Gender, Efficiency, Just, Health"</formula1>
    </dataValidation>
    <dataValidation sqref="T2:T9" showDropDown="0" showInputMessage="1" showErrorMessage="1" allowBlank="1" type="list">
      <formula1>"Solar, Wind, Bioenergy, Hydro, Geothermal, Waste, Some Sources, Other, Unknown"</formula1>
    </dataValidation>
    <dataValidation sqref="S2:S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D2" sqref="D2"/>
    </sheetView>
  </sheetViews>
  <sheetFormatPr baseColWidth="8" defaultRowHeight="15"/>
  <cols>
    <col width="9.140625" customWidth="1" style="2" min="1" max="1"/>
    <col width="21.85546875" customWidth="1" style="2" min="2" max="2"/>
    <col width="20.7109375" customWidth="1" style="2" min="3" max="3"/>
    <col width="9.140625" customWidth="1" style="2" min="4" max="4"/>
    <col width="29" customWidth="1" style="2" min="5" max="5"/>
    <col width="20.7109375" customWidth="1" style="2" min="6" max="6"/>
    <col width="12.7109375" customWidth="1" style="2" min="7" max="8"/>
    <col width="32.7109375" customWidth="1" style="2" min="9" max="9"/>
    <col width="9.140625" customWidth="1" style="2" min="10"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6" t="inlineStr">
        <is>
          <t>Donors</t>
        </is>
      </c>
    </row>
    <row r="2" ht="76.5" customHeight="1">
      <c r="A2" s="3" t="n">
        <v>6469</v>
      </c>
      <c r="B2" s="3" t="inlineStr">
        <is>
          <t>Comoros national child project - Africa Minigrids Program (AMP)</t>
        </is>
      </c>
      <c r="C2" s="3" t="inlineStr">
        <is>
          <t>PIMS+</t>
        </is>
      </c>
      <c r="D2" s="3" t="n">
        <v>1269863</v>
      </c>
      <c r="E2" s="4" t="inlineStr">
        <is>
          <t>Electricity Access</t>
        </is>
      </c>
      <c r="F2" s="5" t="inlineStr">
        <is>
          <t xml:space="preserve">Nombre de personne bénéficiant d'un accé direct à l'éléctrité </t>
        </is>
      </c>
      <c r="G2" s="4" t="n">
        <v>0</v>
      </c>
      <c r="H2" s="4" t="n">
        <v>3042</v>
      </c>
      <c r="I2" s="5" t="inlineStr">
        <is>
          <t>Nombre de bénéficiaires en zones residentielles 2990, en moyenne 16 beneficiaires dans les centres sociaux et 36 benéficiaires issus des commerces</t>
        </is>
      </c>
    </row>
    <row r="3" ht="152.25" customHeight="1">
      <c r="A3" s="3" t="n"/>
      <c r="B3" s="3" t="n"/>
      <c r="C3" s="3" t="n"/>
      <c r="D3" s="3" t="n"/>
      <c r="E3" s="4" t="inlineStr">
        <is>
          <t>Entrepreneurship Training</t>
        </is>
      </c>
      <c r="F3" s="5" t="inlineStr">
        <is>
          <t>Note de l'évaluation des capacités des développeurs et des oppérateurs de mini-reseaux à mettre en oeuvre des modéles commerciaux innovants et integrer des leviers de reduction des couts</t>
        </is>
      </c>
      <c r="G3" s="4" t="n">
        <v>0</v>
      </c>
      <c r="H3" s="4" t="n">
        <v>4</v>
      </c>
      <c r="I3" s="5" t="inlineStr">
        <is>
          <t>la capacité des bénéficiaires ciblés est évaluée par sondage à la fin du projet. Sur une échelle de 1 à 5, une note moyenne d'au moins 4 doit etre obtenue.</t>
        </is>
      </c>
    </row>
    <row r="4" ht="45.75" customHeight="1">
      <c r="A4" s="3" t="n"/>
      <c r="B4" s="3" t="n"/>
      <c r="C4" s="3" t="n"/>
      <c r="D4" s="3" t="n"/>
      <c r="E4" s="4" t="inlineStr">
        <is>
          <t>Energy (MW added)</t>
        </is>
      </c>
      <c r="F4" s="5" t="inlineStr">
        <is>
          <t>Capacité (Puissance) solaire photovoltaique installée</t>
        </is>
      </c>
      <c r="G4" s="4" t="n">
        <v>0</v>
      </c>
      <c r="H4" s="4" t="inlineStr">
        <is>
          <t>0,449MW</t>
        </is>
      </c>
      <c r="I4" s="5" t="inlineStr">
        <is>
          <t>Le projet prévoit d'installer une capacité de 0,449MW associée à un parc batterie de 1,137MWh</t>
        </is>
      </c>
    </row>
    <row r="5" ht="106.5" customHeight="1">
      <c r="A5" s="9" t="n"/>
      <c r="B5" s="9" t="n"/>
      <c r="C5" s="9" t="n"/>
      <c r="D5" s="9" t="n"/>
      <c r="E5" s="4" t="inlineStr">
        <is>
          <t>Policy or Regulatory Framework</t>
        </is>
      </c>
      <c r="F5" s="5" t="inlineStr">
        <is>
          <t>Nombre d'instruments politiques de réduction des risques</t>
        </is>
      </c>
      <c r="G5" s="4" t="n">
        <v>0</v>
      </c>
      <c r="H5" s="4" t="n">
        <v>2</v>
      </c>
      <c r="I5" s="5" t="inlineStr">
        <is>
          <t>Un proposition de cadre réglementaire approprié pour les mini-réseaux renouvelables finalisée, validée et adoptée par le gouvernement / Une application généralisée de la défiscalisation des équipements d'énergie renouvelable</t>
        </is>
      </c>
    </row>
    <row r="6" ht="152.25" customHeight="1">
      <c r="A6" s="3" t="n">
        <v>5484</v>
      </c>
      <c r="B6" s="3" t="inlineStr">
        <is>
          <t>Comoros Geothermal</t>
        </is>
      </c>
      <c r="C6" s="3" t="inlineStr">
        <is>
          <t>PIMS+</t>
        </is>
      </c>
      <c r="D6" s="3" t="n">
        <v>5905662</v>
      </c>
      <c r="E6" s="8" t="inlineStr">
        <is>
          <t>Policy or Regulatory Framework</t>
        </is>
      </c>
      <c r="F6" s="5" t="inlineStr">
        <is>
          <t>Nombre de mesures pour le développement des énergies renouvelables et d'instruments de dérisquage financier pour le développement géothermique</t>
        </is>
      </c>
      <c r="G6" s="4" t="n">
        <v>0</v>
      </c>
      <c r="H6" s="4" t="n">
        <v>2</v>
      </c>
      <c r="I6" s="5" t="inlineStr">
        <is>
          <t xml:space="preserve">Proposition d'un cadre légal et reglementaire des énergies renouvelables finalisé et validée </t>
        </is>
      </c>
    </row>
    <row r="7" ht="45.75" customHeight="1">
      <c r="A7" s="9" t="n"/>
      <c r="B7" s="9" t="n"/>
      <c r="C7" s="9" t="n"/>
      <c r="D7" s="9" t="n"/>
      <c r="E7" s="10" t="inlineStr">
        <is>
          <t>Energy (MW added)</t>
        </is>
      </c>
      <c r="F7" s="11" t="inlineStr">
        <is>
          <t>Capacité (Puissance) en énergie géothermique instalée</t>
        </is>
      </c>
      <c r="G7" s="12" t="n">
        <v>0</v>
      </c>
      <c r="H7" s="12" t="inlineStr">
        <is>
          <t>10 MW</t>
        </is>
      </c>
      <c r="I7" s="11" t="inlineStr">
        <is>
          <t>le projet prévoit l'instalation d'une central géothermique de  10 MW d'électricité</t>
        </is>
      </c>
    </row>
    <row r="8" ht="152.25" customHeight="1">
      <c r="A8" s="9" t="n"/>
      <c r="B8" s="9" t="n"/>
      <c r="C8" s="9" t="n"/>
      <c r="D8" s="9" t="n"/>
      <c r="E8" s="12" t="inlineStr">
        <is>
          <t>Electricity Access</t>
        </is>
      </c>
      <c r="F8" s="11" t="inlineStr">
        <is>
          <t xml:space="preserve"> Nombre de ménages et d'entreprises bénéficiaires d'un accé à l'élécricité de source renouvelable et prope dans tout le pays</t>
        </is>
      </c>
      <c r="G8" s="12" t="n">
        <v>0</v>
      </c>
      <c r="H8" s="15" t="inlineStr">
        <is>
          <t>592 782 personnes</t>
        </is>
      </c>
      <c r="I8" s="14" t="inlineStr">
        <is>
          <t>le projet prévoit de faire bénéficier l'accés aux services d'électricité avec une source renouvelable et prope a  592 782 personnes une fois que le central geothermique sera operationelle (le projet ne va pas construir le central mais il va mettre en ouvre des activities de derisking pour les investisseurs dans la geothermie).</t>
        </is>
      </c>
    </row>
    <row r="9" ht="123.75" customHeight="1">
      <c r="A9" s="3" t="n">
        <v>5740</v>
      </c>
      <c r="B9" s="13" t="inlineStr">
        <is>
          <t xml:space="preserve">Assurer un approvisionnement en eau résilient aux changement climatique aux comores ER2C </t>
        </is>
      </c>
      <c r="C9" s="3" t="inlineStr">
        <is>
          <t>Pims +</t>
        </is>
      </c>
      <c r="D9" s="3" t="n"/>
      <c r="E9" s="6" t="inlineStr">
        <is>
          <t>Water Services</t>
        </is>
      </c>
      <c r="F9" s="7" t="inlineStr">
        <is>
          <t xml:space="preserve">Nombre de personnes bénéficiant dans tout le pays d'un approvisionnement en eau assuré par un pompage en énergie renouvelables (Photovoltïque) </t>
        </is>
      </c>
      <c r="G9" s="6" t="n">
        <v>0</v>
      </c>
      <c r="H9" s="6" t="inlineStr">
        <is>
          <t>35 529</t>
        </is>
      </c>
      <c r="I9" s="7" t="inlineStr">
        <is>
          <t xml:space="preserve">Le projet prévoit d'installer prés de 289 KW de solaire photovoltaïque pour le pompage d'eau pour assurer l'alimentation en eau potable à 35 529 personnes </t>
        </is>
      </c>
    </row>
    <row r="10" ht="45.75" customHeight="1">
      <c r="A10" s="31" t="n">
        <v>1001412</v>
      </c>
      <c r="B10" s="31" t="inlineStr">
        <is>
          <t>Électrification et Croissance en Union des Comores</t>
        </is>
      </c>
      <c r="C10" s="36" t="n"/>
      <c r="D10" s="39" t="n">
        <v>2000000</v>
      </c>
      <c r="E10" s="13" t="inlineStr">
        <is>
          <t>Energy (MW added)</t>
        </is>
      </c>
      <c r="F10" s="13" t="inlineStr">
        <is>
          <t>Capacité (Puissance) solaire photovoltaique installée</t>
        </is>
      </c>
      <c r="G10" s="31" t="n">
        <v>0</v>
      </c>
      <c r="H10" s="31" t="n">
        <v>0.07000000000000001</v>
      </c>
      <c r="I10" s="31" t="inlineStr">
        <is>
          <t>Le projet va installer preès de70 kW de solaire photovoltaique sur des batiments et place publique</t>
        </is>
      </c>
    </row>
    <row r="11" ht="91.5" customHeight="1">
      <c r="A11" s="13" t="n"/>
      <c r="B11" s="13" t="n"/>
      <c r="C11" s="13" t="n"/>
      <c r="D11" s="13" t="n"/>
      <c r="E11" s="38" t="inlineStr">
        <is>
          <t>Electricity Access</t>
        </is>
      </c>
      <c r="F11" s="40" t="inlineStr">
        <is>
          <t xml:space="preserve">Nombre de personne bénéficiant d'un accé direct à l'éléctrité </t>
        </is>
      </c>
      <c r="G11" s="13" t="n">
        <v>0</v>
      </c>
      <c r="H11" s="13" t="n">
        <v>11705</v>
      </c>
      <c r="I11" s="13" t="inlineStr">
        <is>
          <t xml:space="preserve">le projet prévoit d'installer 2 centre de dispashing et construre 6 km de reseau électrique pour facilité le transport et la distribution de près 3 MW d'un centrale solaire, au beneffice de près de 11705 cliants.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63" t="inlineStr">
        <is>
          <t>Beneficiary Category</t>
        </is>
      </c>
      <c r="B1" s="63" t="inlineStr">
        <is>
          <t>Indicator</t>
        </is>
      </c>
    </row>
    <row r="2" ht="45.75" customHeight="1">
      <c r="A2" s="64" t="inlineStr">
        <is>
          <t>Electricity Access</t>
        </is>
      </c>
      <c r="B2" s="64" t="inlineStr">
        <is>
          <t>Number of people, disaggregated by sex, who gain access to clean electricity (direct access to electricity, lighting, cooling, etc.).</t>
        </is>
      </c>
    </row>
    <row r="3">
      <c r="A3" s="64" t="inlineStr">
        <is>
          <t>Energy (MW added)</t>
        </is>
      </c>
      <c r="B3" s="64" t="inlineStr">
        <is>
          <t>Installed renewable or clean-energy power capacity added, in MW.</t>
        </is>
      </c>
    </row>
    <row r="4" ht="30.75" customHeight="1">
      <c r="A4" s="64" t="inlineStr">
        <is>
          <t>Energy Storage (MW)</t>
        </is>
      </c>
      <c r="B4" s="64" t="inlineStr">
        <is>
          <t>Installed energy storage power capacity added, in MW.</t>
        </is>
      </c>
    </row>
    <row r="5" ht="30.75" customHeight="1">
      <c r="A5" s="64" t="inlineStr">
        <is>
          <t>Clean Cooking</t>
        </is>
      </c>
      <c r="B5" s="64" t="inlineStr">
        <is>
          <t>Number of people who gain access to clean cooking (direct access to clean cook stoves, clean fuels, biomass, etc.).</t>
        </is>
      </c>
    </row>
    <row r="6" ht="91.5" customHeight="1">
      <c r="A6" s="64" t="inlineStr">
        <is>
          <t>Clean Heating</t>
        </is>
      </c>
      <c r="B6" s="64" t="inlineStr">
        <is>
          <t>Number of people who gain access to clean heating (direct access to clean electric heaters, clean fuels, etc.).</t>
        </is>
      </c>
    </row>
    <row r="7" ht="45.75" customHeight="1">
      <c r="A7" s="64" t="inlineStr">
        <is>
          <t>Agriculture and Food System</t>
        </is>
      </c>
      <c r="B7" s="64" t="inlineStr">
        <is>
          <t>Number of people who gain access to clean, affordable, and sustainable energy for agricultural and food-system activities.</t>
        </is>
      </c>
    </row>
    <row r="8" ht="45.75" customHeight="1">
      <c r="A8" s="64" t="inlineStr">
        <is>
          <t>Health Services</t>
        </is>
      </c>
      <c r="B8" s="64" t="inlineStr">
        <is>
          <t>Number of people who gain access to health care facilities through clean energy systems.</t>
        </is>
      </c>
    </row>
    <row r="9" ht="45.75" customHeight="1">
      <c r="A9" s="64" t="inlineStr">
        <is>
          <t>Water Services</t>
        </is>
      </c>
      <c r="B9" s="64" t="inlineStr">
        <is>
          <t>Number of people who gain access to water services through clean energy systems.</t>
        </is>
      </c>
    </row>
    <row r="10" ht="30.75" customHeight="1">
      <c r="A10" s="64" t="inlineStr">
        <is>
          <t>Education Services</t>
        </is>
      </c>
      <c r="B10" s="64" t="inlineStr">
        <is>
          <t>Number of people who gain access to education services through clean energy systems, including students and teachers.</t>
        </is>
      </c>
    </row>
    <row r="11" ht="30.75" customHeight="1">
      <c r="A11" s="64" t="inlineStr">
        <is>
          <t>Transportation and E-mobility Services</t>
        </is>
      </c>
      <c r="B11" s="64" t="inlineStr">
        <is>
          <t>Number of people served or energy saved from transport and e-mobility interventions, such as electric vehicles or charging stations.</t>
        </is>
      </c>
    </row>
    <row r="12" ht="45.75" customHeight="1">
      <c r="A12" s="64" t="inlineStr">
        <is>
          <t>Energy Efficiency Services</t>
        </is>
      </c>
      <c r="B12" s="64" t="inlineStr">
        <is>
          <t>Energy saved from energy-efficiency interventions, such as building or industrial efficiency.</t>
        </is>
      </c>
    </row>
    <row r="13" ht="30.75" customHeight="1">
      <c r="A13" s="64" t="inlineStr">
        <is>
          <t>Energy Infrastructure Services</t>
        </is>
      </c>
      <c r="B13" s="64" t="inlineStr">
        <is>
          <t>Number of people benefiting from energy infrastructure interventions, such as streetlights, transmission, and distribution lines.</t>
        </is>
      </c>
    </row>
    <row r="14">
      <c r="A14" s="64" t="inlineStr">
        <is>
          <t>Other Energy Services</t>
        </is>
      </c>
      <c r="B14" s="64" t="inlineStr">
        <is>
          <t>Access to other energy services not captured by the categories above.</t>
        </is>
      </c>
    </row>
    <row r="15" ht="30.75" customHeight="1">
      <c r="A15" s="64" t="inlineStr">
        <is>
          <t>Financing support</t>
        </is>
      </c>
      <c r="B15" s="64" t="inlineStr">
        <is>
          <t>Support for the development of the energy market ecosystem.</t>
        </is>
      </c>
    </row>
    <row r="16" ht="30.75" customHeight="1">
      <c r="A16" s="64" t="inlineStr">
        <is>
          <t>Medium Enterprises</t>
        </is>
      </c>
      <c r="B16" s="64" t="inlineStr">
        <is>
          <t>Support for the development of medium enterprises in the energy transition market.</t>
        </is>
      </c>
    </row>
    <row r="17" ht="30.75" customHeight="1">
      <c r="A17" s="64" t="inlineStr">
        <is>
          <t>Small Enterprises</t>
        </is>
      </c>
      <c r="B17" s="64" t="inlineStr">
        <is>
          <t>Support for the development of small enterprises in the energy transition market.</t>
        </is>
      </c>
    </row>
    <row r="18" ht="30.75" customHeight="1">
      <c r="A18" s="64" t="inlineStr">
        <is>
          <t>Capacity Building Training</t>
        </is>
      </c>
      <c r="B18" s="64" t="inlineStr">
        <is>
          <t>Number of people benefiting from training on energy business, energy finance, or related implementation capacity.</t>
        </is>
      </c>
    </row>
    <row r="19" ht="76.5" customHeight="1">
      <c r="A19" s="64" t="inlineStr">
        <is>
          <t>Entrepreneurship Training</t>
        </is>
      </c>
      <c r="B19" s="64" t="inlineStr">
        <is>
          <t>Training for enterprises on the energy business, assumed to result in direct beneficiaries.</t>
        </is>
      </c>
    </row>
    <row r="20" ht="30.75" customHeight="1">
      <c r="A20" s="64" t="inlineStr">
        <is>
          <t>Market Intervention</t>
        </is>
      </c>
      <c r="B20" s="64" t="inlineStr">
        <is>
          <t>Volume of investment leveraged or barriers removed for clean, reliable, affordable, and sustainable energy solutions.</t>
        </is>
      </c>
    </row>
    <row r="21" ht="45.75" customHeight="1">
      <c r="A21" s="64" t="inlineStr">
        <is>
          <t>Campaign Participant</t>
        </is>
      </c>
      <c r="B21" s="64" t="inlineStr">
        <is>
          <t>Individuals who participate in advocacy or awareness campaigns on energy.</t>
        </is>
      </c>
    </row>
    <row r="22" ht="30.75" customHeight="1">
      <c r="A22" s="64" t="inlineStr">
        <is>
          <t>Policy or Regulatory Framework</t>
        </is>
      </c>
      <c r="B22" s="64" t="inlineStr">
        <is>
          <t>Policies, regulations, strategies, plans, or frameworks developed, approved, implemented, or strengthened.</t>
        </is>
      </c>
    </row>
    <row r="23">
      <c r="A23" s="64" t="inlineStr">
        <is>
          <t>GHG Emissions Reduction</t>
        </is>
      </c>
      <c r="B23" s="64" t="inlineStr">
        <is>
          <t>Greenhouse gas emissions reduced or mitigated, in tCO2e.</t>
        </is>
      </c>
    </row>
    <row r="24">
      <c r="A24" s="64" t="inlineStr">
        <is>
          <t>Other</t>
        </is>
      </c>
      <c r="B24" s="64"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