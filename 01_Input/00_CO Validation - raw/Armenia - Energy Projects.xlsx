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224"/>
  <workbookPr defaultThemeVersion="124226"/>
  <xr:revisionPtr revIDLastSave="292" documentId="11_3FDCF7DD5C0C66CEAA236E29469F3C7D98A830FF" xr6:coauthVersionLast="47" xr6:coauthVersionMax="47" xr10:uidLastSave="{EEAF092A-65CD-4E6B-842F-0304DD44C716}"/>
  <bookViews>
    <workbookView xWindow="240" yWindow="15" windowWidth="16095" windowHeight="9660" activeTab="3" xr2:uid="{00000000-000D-0000-FFFF-FFFF00000000}"/>
  </bookViews>
  <sheets>
    <sheet name="Projects (3)" sheetId="4" r:id="rId1"/>
    <sheet name="Projects (2)" sheetId="3" state="hidden" r:id="rId2"/>
    <sheet name="Projects" sheetId="1" state="hidden" r:id="rId3"/>
    <sheet name="Beneficiary Categorie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<sst xmlns="http://schemas.openxmlformats.org/spreadsheetml/2006/main" count="210" uniqueCount="103">
  <si>
    <t>Project ID</t>
  </si>
  <si>
    <t>Title</t>
  </si>
  <si>
    <t>Link</t>
  </si>
  <si>
    <t>Budget</t>
  </si>
  <si>
    <t>Beneficiary Category</t>
  </si>
  <si>
    <t>Indicator</t>
  </si>
  <si>
    <t>Baseline</t>
  </si>
  <si>
    <t>Target</t>
  </si>
  <si>
    <t>Notes</t>
  </si>
  <si>
    <t>Donors</t>
  </si>
  <si>
    <t>Gender (% female)</t>
  </si>
  <si>
    <t>VF or Non-VF</t>
  </si>
  <si>
    <t>Tag</t>
  </si>
  <si>
    <t>SEH Taxonomy</t>
  </si>
  <si>
    <t>RISE Taxonomy</t>
  </si>
  <si>
    <t>Flagship</t>
  </si>
  <si>
    <t>Indirect Category</t>
  </si>
  <si>
    <t>Indirect Taxonomy</t>
  </si>
  <si>
    <t>Technology</t>
  </si>
  <si>
    <t>Policy or Regulatory Framework</t>
  </si>
  <si>
    <t>Policy Population</t>
  </si>
  <si>
    <t>Small Grants Programme</t>
  </si>
  <si>
    <t>http://open.undp.org/projects/00046258</t>
  </si>
  <si>
    <t xml:space="preserve">General population </t>
  </si>
  <si>
    <t>UNDP, Arm.Gov, 
Gov. Finland</t>
  </si>
  <si>
    <t>Non-VF</t>
  </si>
  <si>
    <t>Accelerating just energy transition</t>
  </si>
  <si>
    <t>Overall</t>
  </si>
  <si>
    <t>National Strategy</t>
  </si>
  <si>
    <t>Grant &amp; Investment</t>
  </si>
  <si>
    <t>National</t>
  </si>
  <si>
    <t>Climate Smart Solutions in Communities</t>
  </si>
  <si>
    <t>http://open.undp.org/projects/00118602</t>
  </si>
  <si>
    <t>Energy Infrastructure Services</t>
  </si>
  <si>
    <t xml:space="preserve">The population of capital city of Yerevan benefitting from the street lighting. According to our math, we include this number as inderect beneficiaries. This is assumed 10% of the population of 1000000 </t>
  </si>
  <si>
    <t>Arm.Gov., UNDP</t>
  </si>
  <si>
    <t>Phase II_Climate Smart Solutions</t>
  </si>
  <si>
    <t>http://open.undp.org/projects/00133238</t>
  </si>
  <si>
    <r>
      <rPr>
        <sz val="11"/>
        <color rgb="FF000000"/>
        <rFont val="Calibri"/>
      </rPr>
      <t xml:space="preserve">The population of capital city of Yerevan benefitting from the street lighting. </t>
    </r>
    <r>
      <rPr>
        <sz val="11"/>
        <color rgb="FFFF0000"/>
        <rFont val="Calibri"/>
      </rPr>
      <t>(Note, this was changed to zero to prevent overlap with project 118602)</t>
    </r>
  </si>
  <si>
    <t>De-Risking Investment In Energy Efficient Retrofits</t>
  </si>
  <si>
    <t xml:space="preserve">https://open.undp.org/projects/00098348 </t>
  </si>
  <si>
    <t>Other Energy Services</t>
  </si>
  <si>
    <t xml:space="preserve">Number of beneficiaries:
- vulnerable beneficiaries (lowest quintile of household income) with improved building EE
- occupants of public buildings
</t>
  </si>
  <si>
    <t xml:space="preserve">In total, 29,844 (~65% are women), including:
Public buildings: 20,773 (~70% are women) in 44 buildings;
Residential buildings: 9,071 (~52% are women) in 98 buildings.
</t>
  </si>
  <si>
    <t>GEF, Arm.Gov., 
UNDP</t>
  </si>
  <si>
    <t>Strengthened Community Resilience through Energy Efficiency and Low
Emission Development</t>
  </si>
  <si>
    <t>Electricity Access</t>
  </si>
  <si>
    <t>Alaverdi community general population</t>
  </si>
  <si>
    <t>The figure captures MABs, public building staff, 5% of the general population that will benefit from the PV plant and street lighting</t>
  </si>
  <si>
    <t>Solar</t>
  </si>
  <si>
    <t>Category</t>
  </si>
  <si>
    <t>US$429168</t>
  </si>
  <si>
    <t>Scale up energy finance</t>
  </si>
  <si>
    <t>US$916858</t>
  </si>
  <si>
    <t>Energy Infrastructure services </t>
  </si>
  <si>
    <t xml:space="preserve">The population of capital city of Yerevan benefitting from the street lighting. According to our meth, we include this number as inderect beneficiaries. </t>
  </si>
  <si>
    <t>US$595301</t>
  </si>
  <si>
    <t>00101711</t>
  </si>
  <si>
    <t>US$20420000</t>
  </si>
  <si>
    <t>Energy Efficiency</t>
  </si>
  <si>
    <t>`00140158</t>
  </si>
  <si>
    <t>US$1000000</t>
  </si>
  <si>
    <t>Note</t>
  </si>
  <si>
    <t>The population of capital city of Yerevan benefitting from the street lighting.</t>
  </si>
  <si>
    <t>Review the output of the project to find indicators to apply a methodology for verfy/count the number of beneficiaries</t>
  </si>
  <si>
    <t>Number of people, disaggregated by sex, who gain access to clean electricity (direct access to electricity, lighting, cooling, etc.) </t>
  </si>
  <si>
    <t>Energy (MW added)</t>
  </si>
  <si>
    <t>Number of MW installed capacity</t>
  </si>
  <si>
    <t>Clean Cooking</t>
  </si>
  <si>
    <t>Number of people who gain access to clean cooking (direct access to clean cook stoves, clean fuels, biomass, etc.).</t>
  </si>
  <si>
    <t>Clean Heating</t>
  </si>
  <si>
    <t>Number of people who gain access to clean heating (direct access to clean electric heaters, clean fuels, etc.).</t>
  </si>
  <si>
    <t>Agriculture and Food System</t>
  </si>
  <si>
    <t>Number of people who gain access to clean, affordable, and sustainable electricity for agricultural and food system activities (direct access to power machines for crop, processing, milling, grinding, de-husking, pressing, canning, sealing and packaging electricity, heating, cooling, solar water pumping for irrigation etc.) </t>
  </si>
  <si>
    <t>Health Services</t>
  </si>
  <si>
    <t>Number of people who gain access to health care facilities (direct access to electricity and heating systems for clinics, hospitals, health centers etc.) </t>
  </si>
  <si>
    <t>Water Services</t>
  </si>
  <si>
    <t>Number of people who gain access to water services (powering water pumps, water distributions, waste management, etc.).  </t>
  </si>
  <si>
    <t>Education Services</t>
  </si>
  <si>
    <t>Number of people who gain access to education services through clean energy systems (including students, teachers, etc.) </t>
  </si>
  <si>
    <t>Transportation and E-mobility Services</t>
  </si>
  <si>
    <t xml:space="preserve">Number of MJ saved from transport and e-mobility interventions (e.g., electric vehicles, charging stations, etc.)  </t>
  </si>
  <si>
    <t>Energy Efficiency Services</t>
  </si>
  <si>
    <t xml:space="preserve">Number of MJ saved from energy efficiency interventions (e.g., building efficiency, industries, etc.)  </t>
  </si>
  <si>
    <t>Number of people who benefits from energy infrastructure interventions (streetlight, transmission, and distribution lines, etc.) </t>
  </si>
  <si>
    <t>Access to other service (electric vehicles, industries efficiency etc.)</t>
  </si>
  <si>
    <t xml:space="preserve">Financing support </t>
  </si>
  <si>
    <t xml:space="preserve">Support for the development of market ecosystem </t>
  </si>
  <si>
    <t>Medium Enterprises</t>
  </si>
  <si>
    <t>Support for the development of medium enterprises in the energy transition market</t>
  </si>
  <si>
    <t>Small Enterprises</t>
  </si>
  <si>
    <t>Support for the development of small enterprises in the energy transition market</t>
  </si>
  <si>
    <t>Capacity Building Training</t>
  </si>
  <si>
    <t>Number of people who benefits from training for enterprises on the energy business and energy finance. </t>
  </si>
  <si>
    <t>Entrepreneurship Training</t>
  </si>
  <si>
    <t>Training for enterprises on the energy business is assumed to result in at least 100 direct beneficiaries</t>
  </si>
  <si>
    <t>Market Intervention</t>
  </si>
  <si>
    <t xml:space="preserve">Volume of investment (US dollars) leverage removing barriers to private and public investment in clean, reliable, affordable, and sustainable energy solutions and energy efficiency for social infrastructure, productive use of electricity and other services </t>
  </si>
  <si>
    <t>Campaign Participant</t>
  </si>
  <si>
    <t>Individuals who participate in advocacy and campaign on energy</t>
  </si>
  <si>
    <t xml:space="preserve">Number of people supported by policy and regulatory framework development on clean, affordable, and sustainable energy </t>
  </si>
  <si>
    <t>Other</t>
  </si>
  <si>
    <t>Any other type of beneficiary (please specify justification in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</si>
</sst>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sz val="11"/>
      <color theme="1"/>
      <name val="Calibri"/>
      <scheme val="minor"/>
    </font>
    <font>
      <b/>
      <sz val="11"/>
      <color theme="1"/>
      <name val="Calibri"/>
      <family val="2"/>
      <scheme val="minor"/>
    </font>
    <font>
      <u/>
      <sz val="11"/>
      <color theme="10"/>
      <name val="Calibri"/>
      <family val="2"/>
    </font>
    <font>
      <sz val="12"/>
      <color rgb="FF000000"/>
      <name val="Calibri"/>
      <family val="2"/>
      <charset val="1"/>
    </font>
    <font>
      <sz val="11"/>
      <color rgb="FF000000"/>
      <name val="Calibri"/>
    </font>
    <font>
      <sz val="11"/>
      <color rgb="FFFF0000"/>
      <name val="Calibri"/>
    </font>
    <font>
      <sz val="11"/>
      <color theme="1"/>
      <name val="Calibri"/>
    </font>
    <font>
      <sz val="10.5"/>
      <color rgb="FF000000"/>
      <name val="Calibri"/>
      <charset val="1"/>
    </font>
    <font>
      <b/>
      <sz val="11"/>
      <color theme="1"/>
      <name val="Calibri"/>
      <scheme val="minor"/>
    </font>
    <font>
      <sz val="11"/>
      <color rgb="FF000000"/>
      <name val="Calibri"/>
      <scheme val="minor"/>
    </font>
  </fonts>
  <fills count="4">
    <fill>
      <patternFill patternType="none"/>
    </fill>
    <fill>
      <patternFill patternType="gray125"/>
    </fill>
    <fill>
      <patternFill patternType="solid">
        <fgColor rgb="FFFFE497"/>
        <bgColor indexed="64"/>
      </patternFill>
    </fill>
    <fill>
      <patternFill patternType="solid">
        <fgColor rgb="FFFFFF0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62">
    <xf numFmtId="0" fontId="0" fillId="0" borderId="0" xfId="0"/>
    <xf numFmtId="0" fontId="2" fillId="0" borderId="1" xfId="0" applyFont="1" applyBorder="1" applyAlignment="1">
      <alignment horizontal="center" vertical="top"/>
    </xf>
    <xf numFmtId="0" fontId="3" fillId="0" borderId="0" xfId="1" applyAlignment="1" applyProtection="1"/>
    <xf numFmtId="0" fontId="0" fillId="2" borderId="0" xfId="0" applyFill="1"/>
    <xf numFmtId="0" fontId="2" fillId="0" borderId="2" xfId="0" applyFont="1" applyBorder="1" applyAlignment="1">
      <alignment horizontal="center" vertical="top"/>
    </xf>
    <xf numFmtId="3" fontId="0" fillId="2" borderId="0" xfId="0" applyNumberFormat="1" applyFill="1" applyAlignment="1">
      <alignment horizontal="center" wrapText="1"/>
    </xf>
    <xf numFmtId="0" fontId="0" fillId="2" borderId="0" xfId="0" applyFill="1" applyAlignment="1">
      <alignment wrapText="1"/>
    </xf>
    <xf numFmtId="0" fontId="0" fillId="2" borderId="0" xfId="0" applyFill="1" applyAlignment="1">
      <alignment horizontal="center" wrapText="1"/>
    </xf>
    <xf numFmtId="0" fontId="0" fillId="0" borderId="0" xfId="0" quotePrefix="1"/>
    <xf numFmtId="0" fontId="4" fillId="0" borderId="0" xfId="0" applyFont="1"/>
    <xf numFmtId="0" fontId="0" fillId="0" borderId="0" xfId="0" applyAlignment="1">
      <alignment wrapText="1"/>
    </xf>
    <xf numFmtId="0" fontId="2" fillId="0" borderId="3" xfId="0" applyFont="1" applyBorder="1"/>
    <xf numFmtId="0" fontId="2" fillId="0" borderId="4" xfId="0" applyFont="1" applyBorder="1" applyAlignment="1">
      <alignment horizontal="center" vertical="top"/>
    </xf>
    <xf numFmtId="0" fontId="2" fillId="0" borderId="3" xfId="0" applyFont="1" applyBorder="1" applyAlignment="1">
      <alignment horizontal="center" vertical="top"/>
    </xf>
    <xf numFmtId="0" fontId="0" fillId="0" borderId="3" xfId="0" applyBorder="1"/>
    <xf numFmtId="0" fontId="3" fillId="0" borderId="3" xfId="1" applyBorder="1" applyAlignment="1" applyProtection="1"/>
    <xf numFmtId="0" fontId="0" fillId="2" borderId="3" xfId="0" applyFill="1" applyBorder="1"/>
    <xf numFmtId="0" fontId="0" fillId="0" borderId="3" xfId="0" quotePrefix="1" applyBorder="1"/>
    <xf numFmtId="0" fontId="0" fillId="2" borderId="3" xfId="0" applyFill="1" applyBorder="1" applyAlignment="1">
      <alignment wrapText="1"/>
    </xf>
    <xf numFmtId="0" fontId="0" fillId="0" borderId="3" xfId="0" applyBorder="1" applyAlignment="1">
      <alignment wrapText="1"/>
    </xf>
    <xf numFmtId="0" fontId="2" fillId="0" borderId="5" xfId="0" applyFont="1" applyBorder="1"/>
    <xf numFmtId="0" fontId="0" fillId="0" borderId="6" xfId="0" applyBorder="1"/>
    <xf numFmtId="0" fontId="0" fillId="2" borderId="5" xfId="0" applyFill="1" applyBorder="1"/>
    <xf numFmtId="0" fontId="4" fillId="0" borderId="5" xfId="0" applyFont="1" applyBorder="1"/>
    <xf numFmtId="0" fontId="0" fillId="0" borderId="7" xfId="0" applyBorder="1"/>
    <xf numFmtId="0" fontId="2" fillId="0" borderId="8" xfId="0" applyFont="1" applyBorder="1" applyAlignment="1">
      <alignment horizontal="center" vertical="top"/>
    </xf>
    <xf numFmtId="0" fontId="0" fillId="2" borderId="8" xfId="0" applyFill="1" applyBorder="1"/>
    <xf numFmtId="0" fontId="0" fillId="2" borderId="6" xfId="0" applyFill="1" applyBorder="1" applyAlignment="1">
      <alignment wrapText="1"/>
    </xf>
    <xf numFmtId="0" fontId="3" fillId="0" borderId="3" xfId="1" applyFill="1" applyBorder="1" applyAlignment="1" applyProtection="1"/>
    <xf numFmtId="0" fontId="0" fillId="2" borderId="3" xfId="0" applyFill="1" applyBorder="1" applyAlignment="1">
      <alignment horizontal="right" wrapText="1"/>
    </xf>
    <xf numFmtId="3" fontId="0" fillId="2" borderId="5" xfId="0" applyNumberFormat="1" applyFill="1" applyBorder="1" applyAlignment="1">
      <alignment horizontal="right" wrapText="1"/>
    </xf>
    <xf numFmtId="0" fontId="0" fillId="0" borderId="7" xfId="0" applyBorder="1" applyAlignment="1">
      <alignment wrapText="1"/>
    </xf>
    <xf numFmtId="0" fontId="0" fillId="0" borderId="7" xfId="0" applyBorder="1" applyAlignment="1">
      <alignment vertical="top" wrapText="1"/>
    </xf>
    <xf numFmtId="0" fontId="7" fillId="2" borderId="3" xfId="0" applyFont="1" applyFill="1" applyBorder="1" applyAlignment="1">
      <alignment wrapText="1"/>
    </xf>
    <xf numFmtId="9" fontId="0" fillId="0" borderId="3" xfId="0" applyNumberFormat="1" applyBorder="1" applyAlignment="1">
      <alignment horizontal="center" vertical="center"/>
    </xf>
    <xf numFmtId="0" fontId="2" fillId="0" borderId="0" xfId="0" applyFont="1"/>
    <xf numFmtId="0" fontId="8" fillId="0" borderId="0" xfId="0" applyFont="1"/>
    <xf numFmtId="0" fontId="0" fillId="0" borderId="9" xfId="0" applyBorder="1"/>
    <xf numFmtId="0" fontId="0" fillId="0" borderId="5" xfId="0" applyBorder="1"/>
    <xf numFmtId="9" fontId="0" fillId="0" borderId="5" xfId="0" applyNumberFormat="1" applyBorder="1" applyAlignment="1">
      <alignment horizontal="center" vertical="center"/>
    </xf>
    <xf numFmtId="0" fontId="0" fillId="0" borderId="8" xfId="0" applyBorder="1"/>
    <xf numFmtId="0" fontId="0" fillId="0" borderId="3" xfId="0" applyBorder="1" applyAlignment="1">
      <alignment horizontal="right" wrapText="1"/>
    </xf>
    <xf numFmtId="3" fontId="0" fillId="0" borderId="5" xfId="0" applyNumberFormat="1" applyBorder="1" applyAlignment="1">
      <alignment horizontal="right" wrapText="1"/>
    </xf>
    <xf numFmtId="0" fontId="0" fillId="0" borderId="6" xfId="0" applyBorder="1" applyAlignment="1">
      <alignment wrapText="1"/>
    </xf>
    <xf numFmtId="0" fontId="0" fillId="0" borderId="3" xfId="0" applyBorder="1" applyAlignment="1">
      <alignment horizontal="center" vertical="center"/>
    </xf>
    <xf numFmtId="0" fontId="0" fillId="3" borderId="3" xfId="0" applyFill="1" applyBorder="1"/>
    <xf numFmtId="0" fontId="3" fillId="3" borderId="3" xfId="1" applyFill="1" applyBorder="1" applyAlignment="1" applyProtection="1"/>
    <xf numFmtId="0" fontId="0" fillId="3" borderId="5" xfId="0" applyFill="1" applyBorder="1"/>
    <xf numFmtId="0" fontId="7" fillId="3" borderId="3" xfId="0" applyFont="1" applyFill="1" applyBorder="1" applyAlignment="1">
      <alignment wrapText="1"/>
    </xf>
    <xf numFmtId="0" fontId="0" fillId="3" borderId="7" xfId="0" applyFill="1" applyBorder="1"/>
    <xf numFmtId="0" fontId="9" fillId="0" borderId="3" xfId="0" applyFont="1" applyBorder="1" applyAlignment="1">
      <alignment horizontal="center" vertical="top" wrapText="1"/>
    </xf>
    <xf numFmtId="0" fontId="10" fillId="0" borderId="3" xfId="0" applyFont="1" applyBorder="1" applyAlignment="1">
      <alignment wrapText="1"/>
    </xf>
    <xf numFmtId="0" fontId="2" fillId="0" borderId="3" xfId="0" applyFont="1" applyBorder="1" applyAlignment="1">
      <alignment horizontal="center"/>
    </xf>
    <xf numFmtId="0" fontId="2" fillId="0" borderId="8" xfId="0" applyFont="1" applyBorder="1" applyAlignment="1">
      <alignment horizontal="center"/>
    </xf>
    <xf numFmtId="0" fontId="2" fillId="0" borderId="10" xfId="0" applyFont="1" applyBorder="1" applyAlignment="1">
      <alignment horizontal="center"/>
    </xf>
    <xf numFmtId="0" fontId="2" fillId="0" borderId="8" xfId="0" applyFont="1" applyBorder="1"/>
    <xf numFmtId="0" fontId="0" fillId="0" borderId="5" xfId="0" applyBorder="1" applyAlignment="1">
      <alignment horizontal="center" vertical="center"/>
    </xf>
    <xf numFmtId="0" fontId="0" fillId="0" borderId="7" xfId="0" applyBorder="1" applyAlignment="1">
      <alignment horizontal="center" vertical="center" wrapText="1"/>
    </xf>
    <xf numFmtId="0" fontId="0" fillId="0" borderId="3" xfId="0" applyBorder="1" applyAlignment="1">
      <alignment vertical="center"/>
    </xf>
    <xf numFmtId="0" fontId="1" fillId="0" borderId="3" xfId="0" applyFont="1" applyBorder="1" applyAlignment="1">
      <alignment horizontal="left" vertical="center" wrapText="1"/>
    </xf>
    <xf numFmtId="0" fontId="1" fillId="0" borderId="3" xfId="0" applyFont="1" applyBorder="1" applyAlignment="1">
      <alignment wrapText="1"/>
    </xf>
    <xf numFmtId="0" fontId="1" fillId="0" borderId="3" xfId="0" applyFont="1" applyBorder="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open.undp.org/projects/00133238" TargetMode="External"/><Relationship Id="rId2" Type="http://schemas.openxmlformats.org/officeDocument/2006/relationships/hyperlink" Target="http://open.undp.org/projects/00118602" TargetMode="External"/><Relationship Id="rId1" Type="http://schemas.openxmlformats.org/officeDocument/2006/relationships/hyperlink" Target="http://open.undp.org/projects/00046258" TargetMode="External"/><Relationship Id="rId4" Type="http://schemas.openxmlformats.org/officeDocument/2006/relationships/hyperlink" Target="https://open.undp.org/projects/00098348"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open.undp.org/projects/00133238" TargetMode="External"/><Relationship Id="rId2" Type="http://schemas.openxmlformats.org/officeDocument/2006/relationships/hyperlink" Target="http://open.undp.org/projects/00118602" TargetMode="External"/><Relationship Id="rId1" Type="http://schemas.openxmlformats.org/officeDocument/2006/relationships/hyperlink" Target="http://open.undp.org/projects/00046258" TargetMode="External"/><Relationship Id="rId4" Type="http://schemas.openxmlformats.org/officeDocument/2006/relationships/hyperlink" Target="https://open.undp.org/projects/00098348"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open.undp.org/projects/00133238" TargetMode="External"/><Relationship Id="rId2" Type="http://schemas.openxmlformats.org/officeDocument/2006/relationships/hyperlink" Target="http://open.undp.org/projects/00118602" TargetMode="External"/><Relationship Id="rId1" Type="http://schemas.openxmlformats.org/officeDocument/2006/relationships/hyperlink" Target="http://open.undp.org/projects/00046258" TargetMode="External"/><Relationship Id="rId4" Type="http://schemas.openxmlformats.org/officeDocument/2006/relationships/hyperlink" Target="https://open.undp.org/projects/0009834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9DD423-09D2-4198-9F99-4FEF653F5E55}">
  <dimension ref="A1:U6"/>
  <sheetViews>
    <sheetView workbookViewId="0">
      <pane xSplit="1" ySplit="1" topLeftCell="C2" activePane="bottomRight" state="frozen"/>
      <selection pane="bottomRight" activeCell="C9" sqref="C9"/>
      <selection pane="bottomLeft"/>
      <selection pane="topRight"/>
    </sheetView>
  </sheetViews>
  <sheetFormatPr defaultRowHeight="15"/>
  <cols>
    <col min="1" max="1" width="10.140625" customWidth="1"/>
    <col min="2" max="2" width="44.42578125" customWidth="1"/>
    <col min="3" max="3" width="38.5703125" customWidth="1"/>
    <col min="4" max="4" width="22.85546875" customWidth="1"/>
    <col min="5" max="5" width="25" customWidth="1"/>
    <col min="6" max="6" width="20.7109375" customWidth="1"/>
    <col min="7" max="8" width="12.7109375" customWidth="1"/>
    <col min="9" max="9" width="66.140625" customWidth="1"/>
    <col min="10" max="10" width="16" customWidth="1"/>
    <col min="11" max="11" width="18" bestFit="1" customWidth="1"/>
    <col min="12" max="12" width="12.85546875" bestFit="1" customWidth="1"/>
    <col min="14" max="14" width="36.5703125" customWidth="1"/>
    <col min="15" max="15" width="16.140625" bestFit="1" customWidth="1"/>
    <col min="16" max="16" width="16.140625" customWidth="1"/>
    <col min="17" max="17" width="16.5703125" bestFit="1" customWidth="1"/>
    <col min="18" max="18" width="21.5703125" bestFit="1" customWidth="1"/>
    <col min="19" max="19" width="11.28515625" bestFit="1" customWidth="1"/>
    <col min="20" max="20" width="30.28515625" bestFit="1" customWidth="1"/>
    <col min="21" max="21" width="16.7109375" bestFit="1" customWidth="1"/>
  </cols>
  <sheetData>
    <row r="1" spans="1:21">
      <c r="A1" s="13" t="s">
        <v>0</v>
      </c>
      <c r="B1" s="13" t="s">
        <v>1</v>
      </c>
      <c r="C1" s="13" t="s">
        <v>2</v>
      </c>
      <c r="D1" s="13" t="s">
        <v>3</v>
      </c>
      <c r="E1" s="13" t="s">
        <v>4</v>
      </c>
      <c r="F1" s="13" t="s">
        <v>5</v>
      </c>
      <c r="G1" s="13" t="s">
        <v>6</v>
      </c>
      <c r="H1" s="13" t="s">
        <v>7</v>
      </c>
      <c r="I1" s="25" t="s">
        <v>8</v>
      </c>
      <c r="J1" s="20" t="s">
        <v>9</v>
      </c>
      <c r="K1" s="20" t="s">
        <v>10</v>
      </c>
      <c r="L1" s="52" t="s">
        <v>11</v>
      </c>
      <c r="M1" s="53" t="s">
        <v>12</v>
      </c>
      <c r="N1" s="52" t="s">
        <v>13</v>
      </c>
      <c r="O1" s="52" t="s">
        <v>14</v>
      </c>
      <c r="P1" s="53" t="s">
        <v>15</v>
      </c>
      <c r="Q1" s="53" t="s">
        <v>16</v>
      </c>
      <c r="R1" s="54" t="s">
        <v>17</v>
      </c>
      <c r="S1" s="55" t="s">
        <v>18</v>
      </c>
      <c r="T1" s="54" t="s">
        <v>19</v>
      </c>
      <c r="U1" s="55" t="s">
        <v>20</v>
      </c>
    </row>
    <row r="2" spans="1:21" ht="30.75">
      <c r="A2" s="14">
        <v>46258</v>
      </c>
      <c r="B2" s="14" t="s">
        <v>21</v>
      </c>
      <c r="C2" s="15" t="s">
        <v>22</v>
      </c>
      <c r="D2" s="14">
        <v>429168</v>
      </c>
      <c r="E2" s="14" t="s">
        <v>19</v>
      </c>
      <c r="F2" s="14" t="s">
        <v>23</v>
      </c>
      <c r="G2" s="14">
        <v>0</v>
      </c>
      <c r="H2" s="38">
        <v>20000</v>
      </c>
      <c r="I2" s="40"/>
      <c r="J2" s="31" t="s">
        <v>24</v>
      </c>
      <c r="K2" s="37"/>
      <c r="L2" s="56" t="s">
        <v>25</v>
      </c>
      <c r="M2" s="44"/>
      <c r="N2" s="57" t="s">
        <v>26</v>
      </c>
      <c r="O2" s="44" t="s">
        <v>27</v>
      </c>
      <c r="P2" s="44"/>
      <c r="Q2" s="44" t="s">
        <v>28</v>
      </c>
      <c r="R2" s="44" t="s">
        <v>29</v>
      </c>
      <c r="S2" s="58"/>
      <c r="T2" s="44" t="s">
        <v>30</v>
      </c>
      <c r="U2" s="58"/>
    </row>
    <row r="3" spans="1:21">
      <c r="A3" s="14">
        <v>118602</v>
      </c>
      <c r="B3" s="14" t="s">
        <v>31</v>
      </c>
      <c r="C3" s="15" t="s">
        <v>32</v>
      </c>
      <c r="D3" s="14">
        <v>916858</v>
      </c>
      <c r="E3" s="14" t="s">
        <v>33</v>
      </c>
      <c r="F3" s="14" t="s">
        <v>23</v>
      </c>
      <c r="G3" s="14">
        <v>0</v>
      </c>
      <c r="H3" s="38">
        <v>100000</v>
      </c>
      <c r="I3" s="14" t="s">
        <v>34</v>
      </c>
      <c r="J3" s="24" t="s">
        <v>35</v>
      </c>
      <c r="K3" s="38"/>
      <c r="L3" s="56" t="s">
        <v>25</v>
      </c>
      <c r="M3" s="44"/>
      <c r="N3" s="57" t="s">
        <v>26</v>
      </c>
      <c r="O3" s="44"/>
      <c r="P3" s="44"/>
      <c r="Q3" s="44"/>
      <c r="R3" s="44"/>
      <c r="S3" s="58"/>
      <c r="T3" s="44"/>
      <c r="U3" s="58"/>
    </row>
    <row r="4" spans="1:21" ht="51" customHeight="1">
      <c r="A4" s="45">
        <v>133238</v>
      </c>
      <c r="B4" s="45" t="s">
        <v>36</v>
      </c>
      <c r="C4" s="46" t="s">
        <v>37</v>
      </c>
      <c r="D4" s="45">
        <v>595301</v>
      </c>
      <c r="E4" s="45" t="s">
        <v>33</v>
      </c>
      <c r="F4" s="45" t="s">
        <v>23</v>
      </c>
      <c r="G4" s="45">
        <v>0</v>
      </c>
      <c r="H4" s="47">
        <v>0</v>
      </c>
      <c r="I4" s="48" t="s">
        <v>38</v>
      </c>
      <c r="J4" s="49" t="s">
        <v>35</v>
      </c>
      <c r="K4" s="47"/>
      <c r="L4" s="56" t="s">
        <v>25</v>
      </c>
      <c r="M4" s="44"/>
      <c r="N4" s="57" t="s">
        <v>26</v>
      </c>
      <c r="O4" s="44"/>
      <c r="P4" s="44"/>
      <c r="Q4" s="44"/>
      <c r="R4" s="44"/>
      <c r="S4" s="58"/>
      <c r="T4" s="44"/>
      <c r="U4" s="58"/>
    </row>
    <row r="5" spans="1:21" ht="147" customHeight="1">
      <c r="A5" s="17">
        <v>98348</v>
      </c>
      <c r="B5" s="14" t="s">
        <v>39</v>
      </c>
      <c r="C5" s="15" t="s">
        <v>40</v>
      </c>
      <c r="D5" s="14">
        <v>20420000</v>
      </c>
      <c r="E5" s="14" t="s">
        <v>41</v>
      </c>
      <c r="F5" s="19" t="s">
        <v>42</v>
      </c>
      <c r="G5" s="41">
        <v>0</v>
      </c>
      <c r="H5" s="42">
        <v>225000</v>
      </c>
      <c r="I5" s="43" t="s">
        <v>43</v>
      </c>
      <c r="J5" s="32" t="s">
        <v>44</v>
      </c>
      <c r="K5" s="39">
        <v>0.65</v>
      </c>
      <c r="L5" s="56" t="s">
        <v>25</v>
      </c>
      <c r="M5" s="44"/>
      <c r="N5" s="57" t="s">
        <v>26</v>
      </c>
      <c r="O5" s="44"/>
      <c r="P5" s="44"/>
      <c r="Q5" s="44"/>
      <c r="R5" s="44"/>
      <c r="S5" s="58"/>
      <c r="T5" s="44"/>
      <c r="U5" s="58"/>
    </row>
    <row r="6" spans="1:21" ht="45.75">
      <c r="A6" s="14">
        <v>140158</v>
      </c>
      <c r="B6" s="19" t="s">
        <v>45</v>
      </c>
      <c r="C6" s="14"/>
      <c r="D6" s="14">
        <v>1000000</v>
      </c>
      <c r="E6" s="14" t="s">
        <v>46</v>
      </c>
      <c r="F6" s="19" t="s">
        <v>47</v>
      </c>
      <c r="G6" s="14">
        <v>0</v>
      </c>
      <c r="H6" s="23">
        <v>14000</v>
      </c>
      <c r="I6" s="19" t="s">
        <v>48</v>
      </c>
      <c r="J6" s="24"/>
      <c r="K6" s="38"/>
      <c r="L6" s="56" t="s">
        <v>25</v>
      </c>
      <c r="M6" s="44"/>
      <c r="N6" s="57" t="s">
        <v>26</v>
      </c>
      <c r="O6" s="44"/>
      <c r="P6" s="44"/>
      <c r="Q6" s="44"/>
      <c r="R6" s="44"/>
      <c r="S6" s="58" t="s">
        <v>49</v>
      </c>
      <c r="T6" s="44"/>
      <c r="U6" s="58"/>
    </row>
  </sheetData>
  <dataValidations count="9">
    <dataValidation type="list" allowBlank="1" showInputMessage="1" showErrorMessage="1" sqref="Q2:Q6" xr:uid="{3AE515C4-F742-4FB5-B8DD-5A2199346251}">
      <formula1>"NDC Support, National Strategy, Legal Framework,Incentives and Support, Government Capacity-Building, Carbon Pricing and Monitoring, Financing Model, Business Model"</formula1>
    </dataValidation>
    <dataValidation type="list" allowBlank="1" showInputMessage="1" showErrorMessage="1" sqref="P2:P6" xr:uid="{479866B7-6869-4C5C-B8E5-17BFD346B694}">
      <formula1>"AMP, PUDC, Solar4Health, Action Opportunities, Italy UNDP Energy Partnership"</formula1>
    </dataValidation>
    <dataValidation type="list" allowBlank="1" showInputMessage="1" showErrorMessage="1" sqref="N2:N6" xr:uid="{6DB2787C-BCD3-4DBD-B192-0E0F6DA3AAA7}">
      <formula1>"Accelerating just energy transition, Close the gap on energy access, Scale up energy finance"</formula1>
    </dataValidation>
    <dataValidation type="list" allowBlank="1" showInputMessage="1" showErrorMessage="1" sqref="O2:O6" xr:uid="{080F569F-D52C-405E-8F66-060D3BB84246}">
      <formula1>"Electricity Access, Energy Efficiency, Clean Cooking, Renewable Energy, Overall"</formula1>
    </dataValidation>
    <dataValidation type="list" allowBlank="1" showInputMessage="1" showErrorMessage="1" sqref="L2:L6" xr:uid="{FA7242AF-A943-4600-8D5C-ADD5F76CCD85}">
      <formula1>"Non-VF, VF"</formula1>
    </dataValidation>
    <dataValidation type="list" allowBlank="1" showInputMessage="1" showErrorMessage="1" sqref="M2:M6" xr:uid="{517BBE90-EC98-4A0F-9A56-F444FA3966AB}">
      <formula1>"Finance, Gender, Efficiency, Just, Health"</formula1>
    </dataValidation>
    <dataValidation type="list" allowBlank="1" showInputMessage="1" showErrorMessage="1" sqref="T2:T6" xr:uid="{381204AD-61C8-43AC-9321-B28A204C9149}">
      <formula1>"National, Regional, City, Community"</formula1>
    </dataValidation>
    <dataValidation type="list" allowBlank="1" showInputMessage="1" showErrorMessage="1" sqref="S2:S6" xr:uid="{D414E82B-ECCC-47D7-880E-F085FC87CB6A}">
      <formula1>"Solar, Wind, Bioenergy, Hydro, Geothermal, Waste, Other, Unknown"</formula1>
    </dataValidation>
    <dataValidation type="list" allowBlank="1" showInputMessage="1" showErrorMessage="1" sqref="R2:R6" xr:uid="{DB933760-85E7-47C7-AE11-BCC08FD1E512}">
      <formula1>"Electricity Access, Energy Efficiency, Renewable Energy, Infrastructure,  Transport, Digital &amp; Data, Clean Cooking, Decarbonization, Hydrogen, Off-Grid, On-Grid, Research &amp; Innovation, Grant &amp; Investment"</formula1>
    </dataValidation>
  </dataValidations>
  <hyperlinks>
    <hyperlink ref="C2" r:id="rId1" xr:uid="{9A092540-D2F9-4BE3-9775-1D1B90E3C24D}"/>
    <hyperlink ref="C3" r:id="rId2" xr:uid="{97F0456B-AEDE-4E66-92DE-9B68240E9093}"/>
    <hyperlink ref="C4" r:id="rId3" xr:uid="{BA97D05B-16C7-4F31-B862-EEF8744D7E04}"/>
    <hyperlink ref="C5" r:id="rId4" xr:uid="{148D515A-D184-4F57-8432-0A38971BB2CF}"/>
  </hyperlink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274769AC-551F-4112-B292-AD985A09D6F7}">
          <x14:formula1>
            <xm:f>'Beneficiary Categories'!$A$2:$A$16</xm:f>
          </x14:formula1>
          <xm:sqref>E7:E8</xm:sqref>
        </x14:dataValidation>
        <x14:dataValidation type="list" allowBlank="1" showInputMessage="1" showErrorMessage="1" xr:uid="{08D6C235-003B-4AB3-9E3D-4564440272A4}">
          <x14:formula1>
            <xm:f>'Beneficiary Categories'!$A$2:$A$22</xm:f>
          </x14:formula1>
          <xm:sqref>E2:E6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A7628-E1A8-4B12-9DD7-67F3C4A1D0E3}">
  <dimension ref="A1:S6"/>
  <sheetViews>
    <sheetView workbookViewId="0">
      <pane xSplit="1" ySplit="1" topLeftCell="E2" activePane="bottomRight" state="frozen"/>
      <selection pane="bottomRight" activeCell="E1" sqref="E1"/>
      <selection pane="bottomLeft"/>
      <selection pane="topRight"/>
    </sheetView>
  </sheetViews>
  <sheetFormatPr defaultRowHeight="15"/>
  <cols>
    <col min="1" max="1" width="10.140625" customWidth="1"/>
    <col min="2" max="2" width="44.42578125" customWidth="1"/>
    <col min="3" max="3" width="38.5703125" customWidth="1"/>
    <col min="4" max="4" width="22.85546875" customWidth="1"/>
    <col min="5" max="5" width="25" customWidth="1"/>
    <col min="6" max="6" width="20.7109375" customWidth="1"/>
    <col min="7" max="8" width="12.7109375" customWidth="1"/>
    <col min="9" max="9" width="66.140625" customWidth="1"/>
    <col min="10" max="10" width="16" customWidth="1"/>
    <col min="11" max="11" width="10.140625" customWidth="1"/>
  </cols>
  <sheetData>
    <row r="1" spans="1:19">
      <c r="A1" s="13" t="s">
        <v>0</v>
      </c>
      <c r="B1" s="13" t="s">
        <v>1</v>
      </c>
      <c r="C1" s="13" t="s">
        <v>2</v>
      </c>
      <c r="D1" s="13" t="s">
        <v>3</v>
      </c>
      <c r="E1" s="13" t="s">
        <v>4</v>
      </c>
      <c r="F1" s="13" t="s">
        <v>5</v>
      </c>
      <c r="G1" s="13" t="s">
        <v>6</v>
      </c>
      <c r="H1" s="13" t="s">
        <v>7</v>
      </c>
      <c r="I1" s="25" t="s">
        <v>8</v>
      </c>
      <c r="J1" s="20" t="s">
        <v>9</v>
      </c>
      <c r="K1" s="11" t="s">
        <v>10</v>
      </c>
      <c r="L1" s="11" t="s">
        <v>50</v>
      </c>
      <c r="O1" s="35" t="s">
        <v>13</v>
      </c>
      <c r="P1" s="35" t="s">
        <v>14</v>
      </c>
      <c r="Q1" s="35" t="s">
        <v>15</v>
      </c>
      <c r="R1" s="35" t="s">
        <v>16</v>
      </c>
      <c r="S1" s="35" t="s">
        <v>17</v>
      </c>
    </row>
    <row r="2" spans="1:19" ht="30.75">
      <c r="A2" s="14">
        <v>46258</v>
      </c>
      <c r="B2" s="14" t="s">
        <v>21</v>
      </c>
      <c r="C2" s="15" t="s">
        <v>22</v>
      </c>
      <c r="D2" s="14" t="s">
        <v>51</v>
      </c>
      <c r="E2" s="16" t="s">
        <v>46</v>
      </c>
      <c r="F2" s="16" t="s">
        <v>23</v>
      </c>
      <c r="G2" s="16">
        <v>0</v>
      </c>
      <c r="H2" s="22">
        <v>20000</v>
      </c>
      <c r="I2" s="26"/>
      <c r="J2" s="31" t="s">
        <v>24</v>
      </c>
      <c r="K2" s="21"/>
      <c r="L2" s="21" t="s">
        <v>25</v>
      </c>
      <c r="O2" t="s">
        <v>52</v>
      </c>
      <c r="P2" t="s">
        <v>46</v>
      </c>
    </row>
    <row r="3" spans="1:19">
      <c r="A3" s="14">
        <v>118602</v>
      </c>
      <c r="B3" s="14" t="s">
        <v>31</v>
      </c>
      <c r="C3" s="15" t="s">
        <v>32</v>
      </c>
      <c r="D3" s="14" t="s">
        <v>53</v>
      </c>
      <c r="E3" s="36" t="s">
        <v>54</v>
      </c>
      <c r="F3" s="16" t="s">
        <v>23</v>
      </c>
      <c r="G3" s="16">
        <v>0</v>
      </c>
      <c r="H3" s="22">
        <v>1000000</v>
      </c>
      <c r="I3" s="16" t="s">
        <v>55</v>
      </c>
      <c r="J3" s="24" t="s">
        <v>35</v>
      </c>
      <c r="K3" s="14"/>
      <c r="L3" s="21" t="s">
        <v>25</v>
      </c>
      <c r="O3" t="s">
        <v>26</v>
      </c>
      <c r="P3" t="s">
        <v>46</v>
      </c>
    </row>
    <row r="4" spans="1:19" ht="51" customHeight="1">
      <c r="A4" s="14">
        <v>133238</v>
      </c>
      <c r="B4" s="14" t="s">
        <v>36</v>
      </c>
      <c r="C4" s="28" t="s">
        <v>37</v>
      </c>
      <c r="D4" s="14" t="s">
        <v>56</v>
      </c>
      <c r="E4" s="16"/>
      <c r="F4" s="16" t="s">
        <v>23</v>
      </c>
      <c r="G4" s="16">
        <v>0</v>
      </c>
      <c r="H4" s="22">
        <v>0</v>
      </c>
      <c r="I4" s="33" t="s">
        <v>38</v>
      </c>
      <c r="J4" s="24" t="s">
        <v>35</v>
      </c>
      <c r="K4" s="14"/>
      <c r="L4" s="21" t="s">
        <v>25</v>
      </c>
      <c r="O4" t="s">
        <v>26</v>
      </c>
      <c r="P4" t="s">
        <v>46</v>
      </c>
    </row>
    <row r="5" spans="1:19" ht="147" customHeight="1">
      <c r="A5" s="17" t="s">
        <v>57</v>
      </c>
      <c r="B5" s="14" t="s">
        <v>39</v>
      </c>
      <c r="C5" s="15" t="s">
        <v>40</v>
      </c>
      <c r="D5" s="14" t="s">
        <v>58</v>
      </c>
      <c r="E5" s="16" t="s">
        <v>41</v>
      </c>
      <c r="F5" s="18" t="s">
        <v>42</v>
      </c>
      <c r="G5" s="29">
        <v>0</v>
      </c>
      <c r="H5" s="30">
        <v>225000</v>
      </c>
      <c r="I5" s="27" t="s">
        <v>43</v>
      </c>
      <c r="J5" s="32" t="s">
        <v>44</v>
      </c>
      <c r="K5" s="34">
        <v>0.65</v>
      </c>
      <c r="L5" s="21" t="s">
        <v>25</v>
      </c>
      <c r="O5" t="s">
        <v>26</v>
      </c>
      <c r="P5" t="s">
        <v>59</v>
      </c>
    </row>
    <row r="6" spans="1:19" ht="45.75">
      <c r="A6" s="14" t="s">
        <v>60</v>
      </c>
      <c r="B6" s="19" t="s">
        <v>45</v>
      </c>
      <c r="C6" s="14"/>
      <c r="D6" s="14" t="s">
        <v>61</v>
      </c>
      <c r="E6" s="14" t="s">
        <v>46</v>
      </c>
      <c r="F6" s="19" t="s">
        <v>47</v>
      </c>
      <c r="G6" s="14">
        <v>0</v>
      </c>
      <c r="H6" s="23">
        <v>14000</v>
      </c>
      <c r="I6" s="19" t="s">
        <v>48</v>
      </c>
      <c r="J6" s="24"/>
      <c r="K6" s="14"/>
      <c r="L6" s="21" t="s">
        <v>25</v>
      </c>
      <c r="O6" t="s">
        <v>26</v>
      </c>
      <c r="P6" t="s">
        <v>46</v>
      </c>
    </row>
  </sheetData>
  <dataValidations count="5">
    <dataValidation type="list" allowBlank="1" showInputMessage="1" showErrorMessage="1" sqref="O2:O6" xr:uid="{E1304685-B69D-48C4-9867-DAD2E18D0595}">
      <formula1>"Accelerating just energy transition, Close the gap on energy access, Scale up energy finance"</formula1>
    </dataValidation>
    <dataValidation type="list" allowBlank="1" showInputMessage="1" showErrorMessage="1" sqref="P2:P6" xr:uid="{DD52033B-A8F2-4C77-AFA5-4042FA16E572}">
      <formula1>"Electricity Access, Energy Efficiency, Clean Cooking, Renewable Energy"</formula1>
    </dataValidation>
    <dataValidation type="list" allowBlank="1" showInputMessage="1" showErrorMessage="1" sqref="Q2:Q6" xr:uid="{5FEDDD02-C2B4-4FD3-8495-9525D8ED96FA}">
      <formula1>"AMP, PUDC, Solar4Health, Action Opportunities, Italy UNDP Energy Partnership"</formula1>
    </dataValidation>
    <dataValidation type="list" allowBlank="1" showInputMessage="1" showErrorMessage="1" sqref="R2:R6" xr:uid="{620D1AEA-68AE-49DA-BA20-2FF832663231}">
      <formula1>"NDC Support, National Strategy, Legal Framework,Incentives and Support, Government Capacity-Building, Carbon Pricing and Monitoring, Financing Model, Business Model"</formula1>
    </dataValidation>
    <dataValidation type="list" allowBlank="1" showInputMessage="1" showErrorMessage="1" sqref="S2:S6" xr:uid="{36692223-DD91-4F55-97AA-55641A31784D}">
      <formula1>"Electricity Access, Energy Efficiency, Renewable EnergyEnergy Infrastructure,   Transport, Digital &amp; Data, Clean Cooking, Decarbonization, Hydrogen, Off-Grid, On-Grid"</formula1>
    </dataValidation>
  </dataValidations>
  <hyperlinks>
    <hyperlink ref="C2" r:id="rId1" xr:uid="{B3D6DB23-EE27-4840-8361-1FFD5AB561F9}"/>
    <hyperlink ref="C3" r:id="rId2" xr:uid="{8E465D34-95D3-4F88-BAD6-313A154F5A95}"/>
    <hyperlink ref="C4" r:id="rId3" xr:uid="{A689D98E-F914-4A1C-A567-8BBB10E704B9}"/>
    <hyperlink ref="C5" r:id="rId4" xr:uid="{223B1088-B4A8-431F-9750-200B8270DC4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201BC318-86E5-4213-A645-14296D41E503}">
          <x14:formula1>
            <xm:f>'Beneficiary Categories'!$A$2:$A$16</xm:f>
          </x14:formula1>
          <xm:sqref>E2 E4:E12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6"/>
  <sheetViews>
    <sheetView workbookViewId="0">
      <pane xSplit="1" ySplit="1" topLeftCell="E5" activePane="bottomRight" state="frozen"/>
      <selection pane="bottomRight" activeCell="E5" sqref="E5"/>
      <selection pane="bottomLeft"/>
      <selection pane="topRight"/>
    </sheetView>
  </sheetViews>
  <sheetFormatPr defaultRowHeight="15"/>
  <cols>
    <col min="1" max="1" width="10.140625" customWidth="1"/>
    <col min="2" max="2" width="44.42578125" customWidth="1"/>
    <col min="3" max="3" width="38.5703125" customWidth="1"/>
    <col min="4" max="4" width="22.85546875" customWidth="1"/>
    <col min="5" max="6" width="20.7109375" customWidth="1"/>
    <col min="7" max="8" width="12.7109375" customWidth="1"/>
    <col min="9" max="9" width="66.140625" customWidth="1"/>
  </cols>
  <sheetData>
    <row r="1" spans="1:11">
      <c r="A1" s="1" t="s">
        <v>0</v>
      </c>
      <c r="B1" s="1" t="s">
        <v>1</v>
      </c>
      <c r="C1" s="1" t="s">
        <v>2</v>
      </c>
      <c r="D1" s="1" t="s">
        <v>3</v>
      </c>
      <c r="E1" s="4" t="s">
        <v>4</v>
      </c>
      <c r="F1" s="4" t="s">
        <v>5</v>
      </c>
      <c r="G1" s="4" t="s">
        <v>6</v>
      </c>
      <c r="H1" s="4" t="s">
        <v>7</v>
      </c>
      <c r="I1" s="12" t="s">
        <v>8</v>
      </c>
      <c r="J1" s="11" t="s">
        <v>9</v>
      </c>
      <c r="K1" t="s">
        <v>62</v>
      </c>
    </row>
    <row r="2" spans="1:11">
      <c r="A2">
        <v>46258</v>
      </c>
      <c r="B2" t="s">
        <v>21</v>
      </c>
      <c r="C2" s="2" t="s">
        <v>22</v>
      </c>
      <c r="D2">
        <v>429168</v>
      </c>
      <c r="E2" s="3" t="s">
        <v>46</v>
      </c>
      <c r="F2" s="3" t="s">
        <v>23</v>
      </c>
      <c r="G2" s="3">
        <v>0</v>
      </c>
      <c r="H2" s="3">
        <v>20000</v>
      </c>
      <c r="I2" s="3"/>
    </row>
    <row r="3" spans="1:11">
      <c r="A3">
        <v>118602</v>
      </c>
      <c r="B3" t="s">
        <v>31</v>
      </c>
      <c r="C3" s="2" t="s">
        <v>32</v>
      </c>
      <c r="D3">
        <v>916858</v>
      </c>
      <c r="E3" s="3" t="s">
        <v>46</v>
      </c>
      <c r="F3" s="3" t="s">
        <v>23</v>
      </c>
      <c r="G3" s="3"/>
      <c r="H3" s="3">
        <v>1000000</v>
      </c>
      <c r="I3" s="3" t="s">
        <v>63</v>
      </c>
      <c r="K3" t="s">
        <v>64</v>
      </c>
    </row>
    <row r="4" spans="1:11">
      <c r="A4">
        <v>133238</v>
      </c>
      <c r="B4" t="s">
        <v>36</v>
      </c>
      <c r="C4" s="2" t="s">
        <v>37</v>
      </c>
      <c r="D4">
        <v>595301</v>
      </c>
      <c r="E4" s="3" t="s">
        <v>46</v>
      </c>
      <c r="F4" s="3" t="s">
        <v>23</v>
      </c>
      <c r="G4" s="3"/>
      <c r="H4" s="3">
        <v>1000000</v>
      </c>
      <c r="I4" s="3" t="s">
        <v>63</v>
      </c>
      <c r="K4" t="s">
        <v>64</v>
      </c>
    </row>
    <row r="5" spans="1:11" ht="147" customHeight="1">
      <c r="A5" s="8" t="s">
        <v>57</v>
      </c>
      <c r="B5" t="s">
        <v>39</v>
      </c>
      <c r="C5" s="2" t="s">
        <v>40</v>
      </c>
      <c r="D5">
        <v>20420000</v>
      </c>
      <c r="E5" s="3" t="s">
        <v>41</v>
      </c>
      <c r="F5" s="6" t="s">
        <v>42</v>
      </c>
      <c r="G5" s="7">
        <v>0</v>
      </c>
      <c r="H5" s="5">
        <v>225000</v>
      </c>
      <c r="I5" s="6" t="s">
        <v>43</v>
      </c>
    </row>
    <row r="6" spans="1:11" ht="45.75">
      <c r="A6" t="s">
        <v>60</v>
      </c>
      <c r="B6" s="10" t="s">
        <v>45</v>
      </c>
      <c r="D6">
        <v>1000000</v>
      </c>
      <c r="E6" t="s">
        <v>46</v>
      </c>
      <c r="F6" s="10" t="s">
        <v>47</v>
      </c>
      <c r="G6">
        <v>0</v>
      </c>
      <c r="H6" s="9">
        <v>14000</v>
      </c>
      <c r="I6" s="10" t="s">
        <v>48</v>
      </c>
    </row>
  </sheetData>
  <hyperlinks>
    <hyperlink ref="C2" r:id="rId1" xr:uid="{00000000-0004-0000-0000-000000000000}"/>
    <hyperlink ref="C3" r:id="rId2" xr:uid="{00000000-0004-0000-0000-000001000000}"/>
    <hyperlink ref="C4" r:id="rId3" xr:uid="{00000000-0004-0000-0000-000002000000}"/>
    <hyperlink ref="C5" r:id="rId4" xr:uid="{DC7A3A01-5239-4399-B8B2-41EE895CECDF}"/>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'Beneficiary Categories'!$A$2:$A$16</xm:f>
          </x14:formula1>
          <xm:sqref>E2:E12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2"/>
  <sheetViews>
    <sheetView tabSelected="1" workbookViewId="0">
      <selection activeCell="A13" sqref="A13"/>
    </sheetView>
  </sheetViews>
  <sheetFormatPr defaultRowHeight="15"/>
  <cols>
    <col min="1" max="1" width="52.7109375" customWidth="1"/>
    <col min="2" max="2" width="95.7109375" customWidth="1"/>
  </cols>
  <sheetData>
    <row r="1" spans="1:2">
      <c r="A1" s="50" t="s">
        <v>4</v>
      </c>
      <c r="B1" s="50" t="s">
        <v>5</v>
      </c>
    </row>
    <row r="2" spans="1:2" ht="30.75">
      <c r="A2" s="59" t="s">
        <v>46</v>
      </c>
      <c r="B2" s="51" t="s">
        <v>65</v>
      </c>
    </row>
    <row r="3" spans="1:2">
      <c r="A3" s="59" t="s">
        <v>66</v>
      </c>
      <c r="B3" s="51" t="s">
        <v>67</v>
      </c>
    </row>
    <row r="4" spans="1:2" ht="30.75">
      <c r="A4" s="59" t="s">
        <v>68</v>
      </c>
      <c r="B4" s="51" t="s">
        <v>69</v>
      </c>
    </row>
    <row r="5" spans="1:2">
      <c r="A5" s="59" t="s">
        <v>70</v>
      </c>
      <c r="B5" s="51" t="s">
        <v>71</v>
      </c>
    </row>
    <row r="6" spans="1:2" ht="45.75">
      <c r="A6" s="59" t="s">
        <v>72</v>
      </c>
      <c r="B6" s="51" t="s">
        <v>73</v>
      </c>
    </row>
    <row r="7" spans="1:2" ht="30.75">
      <c r="A7" s="59" t="s">
        <v>74</v>
      </c>
      <c r="B7" s="51" t="s">
        <v>75</v>
      </c>
    </row>
    <row r="8" spans="1:2" ht="30.75">
      <c r="A8" s="59" t="s">
        <v>76</v>
      </c>
      <c r="B8" s="51" t="s">
        <v>77</v>
      </c>
    </row>
    <row r="9" spans="1:2" ht="30.75">
      <c r="A9" s="59" t="s">
        <v>78</v>
      </c>
      <c r="B9" s="51" t="s">
        <v>79</v>
      </c>
    </row>
    <row r="10" spans="1:2" ht="30.75">
      <c r="A10" s="59" t="s">
        <v>80</v>
      </c>
      <c r="B10" s="60" t="s">
        <v>81</v>
      </c>
    </row>
    <row r="11" spans="1:2">
      <c r="A11" s="59" t="s">
        <v>82</v>
      </c>
      <c r="B11" s="60" t="s">
        <v>83</v>
      </c>
    </row>
    <row r="12" spans="1:2" ht="30.75">
      <c r="A12" s="59" t="s">
        <v>33</v>
      </c>
      <c r="B12" s="51" t="s">
        <v>84</v>
      </c>
    </row>
    <row r="13" spans="1:2">
      <c r="A13" s="59" t="s">
        <v>41</v>
      </c>
      <c r="B13" s="60" t="s">
        <v>85</v>
      </c>
    </row>
    <row r="14" spans="1:2">
      <c r="A14" s="59" t="s">
        <v>86</v>
      </c>
      <c r="B14" s="60" t="s">
        <v>87</v>
      </c>
    </row>
    <row r="15" spans="1:2">
      <c r="A15" s="59" t="s">
        <v>88</v>
      </c>
      <c r="B15" s="60" t="s">
        <v>89</v>
      </c>
    </row>
    <row r="16" spans="1:2">
      <c r="A16" s="59" t="s">
        <v>90</v>
      </c>
      <c r="B16" s="60" t="s">
        <v>91</v>
      </c>
    </row>
    <row r="17" spans="1:2">
      <c r="A17" s="59" t="s">
        <v>92</v>
      </c>
      <c r="B17" s="51" t="s">
        <v>93</v>
      </c>
    </row>
    <row r="18" spans="1:2">
      <c r="A18" s="59" t="s">
        <v>94</v>
      </c>
      <c r="B18" s="60" t="s">
        <v>95</v>
      </c>
    </row>
    <row r="19" spans="1:2" ht="45.75">
      <c r="A19" s="59" t="s">
        <v>96</v>
      </c>
      <c r="B19" s="60" t="s">
        <v>97</v>
      </c>
    </row>
    <row r="20" spans="1:2">
      <c r="A20" s="59" t="s">
        <v>98</v>
      </c>
      <c r="B20" s="60" t="s">
        <v>99</v>
      </c>
    </row>
    <row r="21" spans="1:2" ht="30.75">
      <c r="A21" s="59" t="s">
        <v>19</v>
      </c>
      <c r="B21" s="61" t="s">
        <v>100</v>
      </c>
    </row>
    <row r="22" spans="1:2">
      <c r="A22" s="59" t="s">
        <v>101</v>
      </c>
      <c r="B22" s="60" t="s">
        <v>102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1A889D055969F449BCDADF9B8A9C0F0" ma:contentTypeVersion="18" ma:contentTypeDescription="Create a new document." ma:contentTypeScope="" ma:versionID="dd25160c21e587dbb66203dfb8c7aa52">
  <xsd:schema xmlns:xsd="http://www.w3.org/2001/XMLSchema" xmlns:xs="http://www.w3.org/2001/XMLSchema" xmlns:p="http://schemas.microsoft.com/office/2006/metadata/properties" xmlns:ns2="720239d0-7d3a-4257-bb40-a2a3b1409bb2" xmlns:ns3="fb9e4d32-074f-4c04-81ef-e811753dfd59" targetNamespace="http://schemas.microsoft.com/office/2006/metadata/properties" ma:root="true" ma:fieldsID="05ccd5be12d50c438f9536854e894bcb" ns2:_="" ns3:_="">
    <xsd:import namespace="720239d0-7d3a-4257-bb40-a2a3b1409bb2"/>
    <xsd:import namespace="fb9e4d32-074f-4c04-81ef-e811753dfd5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0239d0-7d3a-4257-bb40-a2a3b1409b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8ebb0a5-c57d-4c3a-bec7-8a38252dd05c"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b9e4d32-074f-4c04-81ef-e811753dfd59"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d5300f42-37b4-4000-b69c-e0298172bf57}" ma:internalName="TaxCatchAll" ma:showField="CatchAllData" ma:web="fb9e4d32-074f-4c04-81ef-e811753dfd5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20239d0-7d3a-4257-bb40-a2a3b1409bb2">
      <Terms xmlns="http://schemas.microsoft.com/office/infopath/2007/PartnerControls"/>
    </lcf76f155ced4ddcb4097134ff3c332f>
    <TaxCatchAll xmlns="fb9e4d32-074f-4c04-81ef-e811753dfd59" xsi:nil="true"/>
  </documentManagement>
</p:properties>
</file>

<file path=customXml/itemProps1.xml><?xml version="1.0" encoding="utf-8"?>
<ds:datastoreItem xmlns:ds="http://schemas.openxmlformats.org/officeDocument/2006/customXml" ds:itemID="{C205337E-C36A-498F-A893-DCE8E77669FE}"/>
</file>

<file path=customXml/itemProps2.xml><?xml version="1.0" encoding="utf-8"?>
<ds:datastoreItem xmlns:ds="http://schemas.openxmlformats.org/officeDocument/2006/customXml" ds:itemID="{03171544-9D05-41D8-9190-9725362B6A2A}"/>
</file>

<file path=customXml/itemProps3.xml><?xml version="1.0" encoding="utf-8"?>
<ds:datastoreItem xmlns:ds="http://schemas.openxmlformats.org/officeDocument/2006/customXml" ds:itemID="{DD84FBF8-7168-4DC1-8C7D-8F172FF6890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Vaidehi Kad</cp:lastModifiedBy>
  <cp:revision/>
  <dcterms:created xsi:type="dcterms:W3CDTF">2023-05-05T09:33:40Z</dcterms:created>
  <dcterms:modified xsi:type="dcterms:W3CDTF">2024-10-29T14:37:36Z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0x01010081A889D055969F449BCDADF9B8A9C0F0</vt:lpwstr>
  </property>
  <property fmtid="{D5CDD505-2E9C-101B-9397-08002B2CF9AE}" pid="3" name="MediaServiceImageTags">
    <vt:lpwstr/>
  </property>
</Properties>
</file>