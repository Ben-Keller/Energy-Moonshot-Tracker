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16"/>
  <workbookPr defaultThemeVersion="124226"/>
  <mc:AlternateContent xmlns:mc="http://schemas.openxmlformats.org/markup-compatibility/2006">
    <mc:Choice Requires="x15">
      <x15ac:absPath xmlns:x15ac="http://schemas.microsoft.com/office/spreadsheetml/2010/11/ac" url="https://undp-my.sharepoint.com/personal/francisco_pons_undp_org/Documents/Desktop/"/>
    </mc:Choice>
  </mc:AlternateContent>
  <xr:revisionPtr revIDLastSave="426" documentId="8_{6D6471CB-FAF8-4968-BD43-6FD4323F67C5}" xr6:coauthVersionLast="47" xr6:coauthVersionMax="47" xr10:uidLastSave="{9D91A276-5130-4209-AB15-6BDF322A7B73}"/>
  <bookViews>
    <workbookView xWindow="-110" yWindow="-110" windowWidth="19420" windowHeight="1042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<sst xmlns="http://schemas.openxmlformats.org/spreadsheetml/2006/main" count="232" uniqueCount="113">
  <si>
    <t>Project ID</t>
  </si>
  <si>
    <t>Title</t>
  </si>
  <si>
    <t>Link</t>
  </si>
  <si>
    <t>Project Description</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</si>
  <si>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</si>
  <si>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</si>
  <si>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</si>
  <si>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</si>
  <si>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</si>
  <si>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</si>
  <si>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</si>
  <si>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</si>
  <si>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</si>
  <si>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</si>
  <si>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</si>
  <si>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</si>
  <si>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</si>
  <si>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</si>
  <si>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</si>
  <si>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</si>
  <si>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</si>
  <si>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</si>
  <si>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Gender Marker</t>
  </si>
  <si>
    <t xml:space="preserve">ONU/21/001 Innovative Finance for Clean Tech Solutions in Uruguay´s Renewable Energy Sector: The Renewable Energy Innovation Fund (REIF)
</t>
  </si>
  <si>
    <t>https://open.undp.org/projects/00137005</t>
  </si>
  <si>
    <t>The program seeks to decarbonize the industrial and transportation sectors, promote universal access to renewable energy sources, and increase innovation and competitiveness in the energy sector by reducing energy costs and increasing the participation of women in the clean energy economy.</t>
  </si>
  <si>
    <t>Transportation and E-mobility Services</t>
  </si>
  <si>
    <t>1,000,000 anual users of the public transport system that would be positively impacted with the new electric buses</t>
  </si>
  <si>
    <t>JP:10000000
UNDP: 804250</t>
  </si>
  <si>
    <t>Joint SDG Fund</t>
  </si>
  <si>
    <t>Non-VF</t>
  </si>
  <si>
    <t>Close the gap on energy access</t>
  </si>
  <si>
    <t>Energy Efficiency</t>
  </si>
  <si>
    <t>Incentives and Support</t>
  </si>
  <si>
    <t>GEN2</t>
  </si>
  <si>
    <t>Electricity Access</t>
  </si>
  <si>
    <t>5000 people vinculated to the hydrogen development</t>
  </si>
  <si>
    <t>Renewable Energy</t>
  </si>
  <si>
    <t>National Strategy</t>
  </si>
  <si>
    <t>Other</t>
  </si>
  <si>
    <t>Energy Efficiency Services</t>
  </si>
  <si>
    <t>100,000 approximated stakeholders related to the activity areas of feasibility studies</t>
  </si>
  <si>
    <t>Financing leveraged by REIF from local financial institutions (USD)</t>
  </si>
  <si>
    <t>n/a since it depends on the type of investment projects pending to be approved by the fund. However, we estimate 10 private projects during the first year</t>
  </si>
  <si>
    <t>Financing Model</t>
  </si>
  <si>
    <t>GHG Emissions Reduction</t>
  </si>
  <si>
    <t>kt of CO2 equivalent</t>
  </si>
  <si>
    <t>URU/17/G32 MOVÉS: Towards a sustainable and efficient urban mobility system in Uruguay</t>
  </si>
  <si>
    <t>https://www.undp.org/es/uruguay/proyectos/moves-hacia-un-sistema-de-movilidad-urbana-sostenible-y-eficiente-en-uruguay</t>
  </si>
  <si>
    <t>The project aimed to empower relevant stakeholders in the urban transport sector to carry out a strategic transition to low-carbon passenger and freight mobility. It tested the effectiveness of a set of innovative policies and measures and launched a reform process to establish an enabling environment for urban transport policy innovation. It also facilitated the reform of the framework of urban transport regulations and incentives, focusing on public transport quality, the promotion of non-motorized transport modes, the adoption of electric vehicles in the public transport and urban distribution services sectors, cooperation between authorities, relevant stakeholders, and GHG emission control systems.</t>
  </si>
  <si>
    <t>13 new partnerships developed for improving energy efficiency in transport</t>
  </si>
  <si>
    <t>Partnerships signed between government and companies interested in using EVs.</t>
  </si>
  <si>
    <t>Global Environment Fund Truste</t>
  </si>
  <si>
    <t>VF</t>
  </si>
  <si>
    <t>Accelerating Just Energy Transition</t>
  </si>
  <si>
    <t xml:space="preserve">Financing support </t>
  </si>
  <si>
    <t>Number of e-buses co-financed and operational</t>
  </si>
  <si>
    <t>New e-bus subsidy increased from original scope of 5 to 32 e-buses now in use, with $14M co-investments.</t>
  </si>
  <si>
    <t>Number of companies participating in e-vehicle trials</t>
  </si>
  <si>
    <t>Rental trials for e-bikes/tricycles in logistics. 3 years of 100% EV sales growth.</t>
  </si>
  <si>
    <t>Number of formalized coordination bodies on transport energy efficiency</t>
  </si>
  <si>
    <t>Established National Commission on Transport Energy Efficiency to ensure sustainability of results.</t>
  </si>
  <si>
    <t>Number of revised regulations supporting e-mobility</t>
  </si>
  <si>
    <t>Revised policies on tax, incentives, vehicle labeling, battery/ end-of-life management, etc.</t>
  </si>
  <si>
    <t>Category</t>
  </si>
  <si>
    <t>Comments</t>
  </si>
  <si>
    <t>ONU/21/001 Financiación innovadora para soluciones de tecnología limpia en el sector de las energías renovables de Uruguay: El Fondo de Innovación de Energías Renovables (REIF)</t>
  </si>
  <si>
    <t>Other Energy Services</t>
  </si>
  <si>
    <t>Scale up energy finance</t>
  </si>
  <si>
    <t>Hydrogen</t>
  </si>
  <si>
    <t>Transport</t>
  </si>
  <si>
    <t>Renewable EnergyEnergy Infrastructure</t>
  </si>
  <si>
    <t>Cumulative number of electric buses</t>
  </si>
  <si>
    <t xml:space="preserve">Can you please provide in the Notes an estimate of number of beneficiaries that you can reach trough this indicator ? </t>
  </si>
  <si>
    <t>Green hydrogen strategy and regulation development (gender-responsive). Number of regulatory needs assessment completed</t>
  </si>
  <si>
    <t>Electromobility technology knowledge and capacities developed. Number of feasibility studies for electric vehicles penetration in different activity sectors</t>
  </si>
  <si>
    <t>Capacity Training</t>
  </si>
  <si>
    <t xml:space="preserve">Needs beneficiary estimates listed in target for policies, with explanation to Notes.
</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</si>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</sst>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409]* #,##0.00_);_([$$-409]* \(#,##0.00\);_([$$-409]* &quot;-&quot;??_);_(@_)"/>
  </numFmts>
  <fonts count="11">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b/>
      <sz val="11"/>
      <color rgb="FFFF0000"/>
      <name val="Calibri"/>
      <family val="2"/>
    </font>
    <font>
      <b/>
      <sz val="11"/>
      <color rgb="FFFF0000"/>
      <name val="Calibri"/>
      <family val="2"/>
      <scheme val="minor"/>
    </font>
    <font>
      <sz val="11"/>
      <color rgb="FF000000"/>
      <name val="Calibri"/>
      <charset val="1"/>
    </font>
    <font>
      <b/>
      <sz val="11"/>
      <color theme="1"/>
      <name val="Calibri"/>
      <scheme val="minor"/>
    </font>
    <font>
      <sz val="11"/>
      <color rgb="FF000000"/>
      <name val="Calibri"/>
      <scheme val="minor"/>
    </font>
    <font>
      <sz val="11"/>
      <color rgb="FF000000"/>
      <name val="Calibri"/>
      <family val="2"/>
    </font>
    <font>
      <sz val="11"/>
      <color rgb="FF000000"/>
      <name val="Calibri"/>
      <family val="2"/>
      <scheme val="minor"/>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3" fillId="0" borderId="0" applyNumberFormat="0" applyFill="0" applyBorder="0" applyAlignment="0" applyProtection="0"/>
  </cellStyleXfs>
  <cellXfs count="100">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center" vertical="top" wrapText="1"/>
    </xf>
    <xf numFmtId="43" fontId="2" fillId="0" borderId="1" xfId="0" applyNumberFormat="1" applyFont="1" applyBorder="1" applyAlignment="1">
      <alignment horizontal="center" vertical="top"/>
    </xf>
    <xf numFmtId="43" fontId="0" fillId="0" borderId="0" xfId="0" applyNumberFormat="1" applyAlignment="1">
      <alignment vertical="top"/>
    </xf>
    <xf numFmtId="0" fontId="3" fillId="0" borderId="0" xfId="1" applyAlignment="1" applyProtection="1"/>
    <xf numFmtId="0" fontId="0" fillId="0" borderId="0" xfId="0" applyAlignment="1">
      <alignment wrapText="1"/>
    </xf>
    <xf numFmtId="0" fontId="2" fillId="0" borderId="0" xfId="0" applyFont="1" applyAlignment="1">
      <alignment vertical="top"/>
    </xf>
    <xf numFmtId="43" fontId="0" fillId="0" borderId="0" xfId="0" applyNumberFormat="1" applyAlignment="1">
      <alignment wrapText="1"/>
    </xf>
    <xf numFmtId="0" fontId="0" fillId="0" borderId="0" xfId="0" applyAlignment="1">
      <alignment horizontal="left" vertical="center"/>
    </xf>
    <xf numFmtId="0" fontId="0" fillId="0" borderId="0" xfId="0" applyAlignment="1">
      <alignment horizontal="left" vertical="center" wrapText="1"/>
    </xf>
    <xf numFmtId="0" fontId="4" fillId="0" borderId="0" xfId="0" applyFont="1" applyAlignment="1">
      <alignment wrapText="1"/>
    </xf>
    <xf numFmtId="0" fontId="5" fillId="0" borderId="0" xfId="0" applyFont="1" applyAlignment="1">
      <alignment vertical="top"/>
    </xf>
    <xf numFmtId="3" fontId="0" fillId="0" borderId="0" xfId="0" applyNumberFormat="1" applyAlignment="1">
      <alignment horizontal="left" vertical="center" wrapText="1"/>
    </xf>
    <xf numFmtId="0" fontId="2" fillId="0" borderId="0" xfId="0" applyFont="1"/>
    <xf numFmtId="0" fontId="2" fillId="0" borderId="1" xfId="0" applyFont="1" applyBorder="1" applyAlignment="1">
      <alignment vertical="top"/>
    </xf>
    <xf numFmtId="0" fontId="2" fillId="0" borderId="1" xfId="0" applyFont="1" applyBorder="1"/>
    <xf numFmtId="0" fontId="0" fillId="0" borderId="1" xfId="0" applyBorder="1" applyAlignment="1">
      <alignment horizontal="left" vertical="center" wrapText="1"/>
    </xf>
    <xf numFmtId="3" fontId="0" fillId="0" borderId="1" xfId="0" applyNumberFormat="1" applyBorder="1" applyAlignment="1">
      <alignment horizontal="left" vertical="center" wrapText="1"/>
    </xf>
    <xf numFmtId="0" fontId="2" fillId="0" borderId="3" xfId="0" applyFont="1" applyBorder="1" applyAlignment="1">
      <alignment horizontal="center" vertical="top"/>
    </xf>
    <xf numFmtId="43" fontId="2" fillId="0" borderId="3" xfId="0" applyNumberFormat="1" applyFont="1" applyBorder="1" applyAlignment="1">
      <alignment horizontal="center" vertical="top"/>
    </xf>
    <xf numFmtId="0" fontId="0" fillId="0" borderId="4" xfId="0" applyBorder="1" applyAlignment="1">
      <alignment vertical="center" wrapText="1"/>
    </xf>
    <xf numFmtId="0" fontId="3" fillId="0" borderId="4" xfId="1" applyBorder="1" applyAlignment="1" applyProtection="1">
      <alignment vertical="center" wrapText="1"/>
    </xf>
    <xf numFmtId="43" fontId="0" fillId="0" borderId="3" xfId="0" applyNumberFormat="1" applyBorder="1" applyAlignment="1">
      <alignment vertical="center" wrapText="1"/>
    </xf>
    <xf numFmtId="0" fontId="0" fillId="0" borderId="2" xfId="0" applyBorder="1" applyAlignment="1">
      <alignment vertical="center" wrapText="1"/>
    </xf>
    <xf numFmtId="0" fontId="6" fillId="0" borderId="1" xfId="0" applyFont="1" applyBorder="1" applyAlignment="1">
      <alignment vertical="center" wrapText="1"/>
    </xf>
    <xf numFmtId="0" fontId="0" fillId="0" borderId="1" xfId="0" applyBorder="1" applyAlignment="1">
      <alignment vertical="center" wrapText="1"/>
    </xf>
    <xf numFmtId="0" fontId="5" fillId="0" borderId="1" xfId="0" applyFont="1" applyBorder="1" applyAlignment="1">
      <alignment vertical="center" wrapText="1"/>
    </xf>
    <xf numFmtId="0" fontId="0" fillId="0" borderId="5" xfId="0" applyBorder="1" applyAlignment="1">
      <alignment vertical="center" wrapText="1"/>
    </xf>
    <xf numFmtId="43" fontId="0" fillId="0" borderId="7" xfId="0" applyNumberFormat="1" applyBorder="1" applyAlignment="1">
      <alignment vertical="center" wrapText="1"/>
    </xf>
    <xf numFmtId="0" fontId="0" fillId="0" borderId="6" xfId="0" applyBorder="1" applyAlignment="1">
      <alignment vertical="center" wrapText="1"/>
    </xf>
    <xf numFmtId="43" fontId="0" fillId="0" borderId="8" xfId="0" applyNumberFormat="1" applyBorder="1" applyAlignment="1">
      <alignment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horizontal="center" vertical="center"/>
    </xf>
    <xf numFmtId="0" fontId="7" fillId="0" borderId="1" xfId="0" applyFont="1" applyBorder="1" applyAlignment="1">
      <alignment horizontal="center" vertical="top" wrapText="1"/>
    </xf>
    <xf numFmtId="0" fontId="8" fillId="0" borderId="1" xfId="0" applyFont="1" applyBorder="1" applyAlignment="1">
      <alignment wrapText="1"/>
    </xf>
    <xf numFmtId="0" fontId="2" fillId="0" borderId="1"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9" xfId="0" applyBorder="1" applyAlignment="1">
      <alignment horizontal="center" vertical="center"/>
    </xf>
    <xf numFmtId="0" fontId="0" fillId="0" borderId="2" xfId="0" applyBorder="1" applyAlignment="1">
      <alignment horizontal="center" vertical="center" wrapText="1"/>
    </xf>
    <xf numFmtId="0" fontId="0" fillId="0" borderId="1" xfId="0" applyBorder="1" applyAlignment="1">
      <alignment vertical="center"/>
    </xf>
    <xf numFmtId="164" fontId="2" fillId="0" borderId="3" xfId="0" applyNumberFormat="1" applyFont="1" applyBorder="1" applyAlignment="1">
      <alignment horizontal="center" vertical="center" wrapText="1"/>
    </xf>
    <xf numFmtId="164" fontId="0" fillId="0" borderId="0" xfId="0" applyNumberFormat="1" applyAlignment="1">
      <alignment vertical="top"/>
    </xf>
    <xf numFmtId="0" fontId="9" fillId="0" borderId="1" xfId="0" applyFont="1" applyBorder="1"/>
    <xf numFmtId="0" fontId="0" fillId="0" borderId="1" xfId="0" applyBorder="1" applyAlignment="1">
      <alignment vertical="top"/>
    </xf>
    <xf numFmtId="0" fontId="0" fillId="0" borderId="10" xfId="0" applyBorder="1" applyAlignment="1">
      <alignment vertical="center" wrapText="1"/>
    </xf>
    <xf numFmtId="0" fontId="0" fillId="0" borderId="3" xfId="0" applyBorder="1" applyAlignment="1">
      <alignment vertical="center" wrapText="1"/>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wrapText="1"/>
    </xf>
    <xf numFmtId="0" fontId="0" fillId="0" borderId="3" xfId="0" applyBorder="1" applyAlignment="1">
      <alignment vertical="center"/>
    </xf>
    <xf numFmtId="0" fontId="0" fillId="0" borderId="9" xfId="0" applyBorder="1" applyAlignment="1">
      <alignment vertical="center"/>
    </xf>
    <xf numFmtId="0" fontId="0" fillId="0" borderId="4" xfId="0" applyBorder="1" applyAlignment="1">
      <alignment vertical="center"/>
    </xf>
    <xf numFmtId="0" fontId="0" fillId="0" borderId="9" xfId="0" applyBorder="1" applyAlignment="1">
      <alignment vertical="top"/>
    </xf>
    <xf numFmtId="0" fontId="2" fillId="0" borderId="4" xfId="0" applyFont="1" applyBorder="1"/>
    <xf numFmtId="0" fontId="0" fillId="0" borderId="8" xfId="0" applyBorder="1" applyAlignment="1">
      <alignment vertical="top"/>
    </xf>
    <xf numFmtId="0" fontId="0" fillId="0" borderId="1" xfId="0" applyBorder="1" applyAlignment="1">
      <alignment horizontal="center" vertical="center" wrapText="1"/>
    </xf>
    <xf numFmtId="0" fontId="9" fillId="0" borderId="1" xfId="0" applyFont="1" applyBorder="1" applyAlignment="1">
      <alignment wrapText="1"/>
    </xf>
    <xf numFmtId="0" fontId="0" fillId="0" borderId="3" xfId="0" applyBorder="1" applyAlignment="1">
      <alignment horizontal="center" vertical="center" wrapText="1"/>
    </xf>
    <xf numFmtId="0" fontId="0" fillId="0" borderId="2" xfId="0" applyBorder="1" applyAlignment="1">
      <alignment vertical="top"/>
    </xf>
    <xf numFmtId="9" fontId="10" fillId="0" borderId="1" xfId="0" applyNumberFormat="1" applyFont="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3" fillId="0" borderId="3" xfId="1" applyBorder="1" applyAlignment="1" applyProtection="1">
      <alignment vertical="center" wrapText="1"/>
    </xf>
    <xf numFmtId="0" fontId="10" fillId="0" borderId="3" xfId="1" applyFont="1" applyBorder="1" applyAlignment="1" applyProtection="1">
      <alignment vertical="center" wrapText="1"/>
    </xf>
    <xf numFmtId="43" fontId="0" fillId="0" borderId="4" xfId="0" applyNumberFormat="1" applyBorder="1" applyAlignment="1">
      <alignment vertical="center" wrapText="1"/>
    </xf>
    <xf numFmtId="0" fontId="0" fillId="0" borderId="7" xfId="0" applyBorder="1" applyAlignment="1">
      <alignment vertical="center" wrapText="1"/>
    </xf>
    <xf numFmtId="0" fontId="3" fillId="0" borderId="7" xfId="1" applyBorder="1" applyAlignment="1" applyProtection="1">
      <alignment vertical="center" wrapText="1"/>
    </xf>
    <xf numFmtId="0" fontId="10" fillId="0" borderId="7" xfId="1" applyFont="1" applyBorder="1" applyAlignment="1" applyProtection="1">
      <alignment vertical="center" wrapText="1"/>
    </xf>
    <xf numFmtId="43" fontId="0" fillId="0" borderId="5" xfId="0" applyNumberFormat="1" applyBorder="1" applyAlignment="1">
      <alignment vertical="center" wrapText="1"/>
    </xf>
    <xf numFmtId="0" fontId="0" fillId="0" borderId="8" xfId="0" applyBorder="1" applyAlignment="1">
      <alignment vertical="center" wrapText="1"/>
    </xf>
    <xf numFmtId="0" fontId="3" fillId="0" borderId="8" xfId="1" applyBorder="1" applyAlignment="1" applyProtection="1">
      <alignment vertical="center" wrapText="1"/>
    </xf>
    <xf numFmtId="0" fontId="10" fillId="0" borderId="8" xfId="1" applyFont="1" applyBorder="1" applyAlignment="1" applyProtection="1">
      <alignment vertical="center" wrapText="1"/>
    </xf>
    <xf numFmtId="43" fontId="0" fillId="0" borderId="6" xfId="0" applyNumberFormat="1" applyBorder="1" applyAlignment="1">
      <alignment vertical="center" wrapText="1"/>
    </xf>
    <xf numFmtId="0" fontId="9" fillId="0" borderId="3" xfId="0" applyFont="1" applyBorder="1" applyAlignment="1">
      <alignment vertical="center"/>
    </xf>
    <xf numFmtId="0" fontId="9" fillId="0" borderId="3" xfId="0" applyFont="1" applyBorder="1" applyAlignment="1">
      <alignment vertical="center" wrapText="1"/>
    </xf>
    <xf numFmtId="0" fontId="3" fillId="0" borderId="3" xfId="1" applyFill="1" applyBorder="1" applyAlignment="1">
      <alignment vertical="center" wrapText="1"/>
    </xf>
    <xf numFmtId="0" fontId="10" fillId="0" borderId="3" xfId="1" applyFont="1" applyFill="1" applyBorder="1" applyAlignment="1">
      <alignment vertical="center" wrapText="1"/>
    </xf>
    <xf numFmtId="43" fontId="9" fillId="0" borderId="3" xfId="0" applyNumberFormat="1" applyFont="1" applyBorder="1" applyAlignment="1">
      <alignment vertical="center"/>
    </xf>
    <xf numFmtId="0" fontId="9" fillId="0" borderId="7" xfId="0" applyFont="1" applyBorder="1" applyAlignment="1">
      <alignment vertical="center"/>
    </xf>
    <xf numFmtId="0" fontId="9" fillId="0" borderId="7" xfId="0" applyFont="1" applyBorder="1" applyAlignment="1">
      <alignment vertical="center" wrapText="1"/>
    </xf>
    <xf numFmtId="0" fontId="3" fillId="0" borderId="7" xfId="1" applyFill="1" applyBorder="1" applyAlignment="1">
      <alignment vertical="center" wrapText="1"/>
    </xf>
    <xf numFmtId="0" fontId="10" fillId="0" borderId="7" xfId="1" applyFont="1" applyFill="1" applyBorder="1" applyAlignment="1">
      <alignment vertical="center" wrapText="1"/>
    </xf>
    <xf numFmtId="43" fontId="9" fillId="0" borderId="7" xfId="0" applyNumberFormat="1" applyFont="1" applyBorder="1" applyAlignment="1">
      <alignment vertical="center"/>
    </xf>
    <xf numFmtId="0" fontId="9" fillId="0" borderId="8" xfId="0" applyFont="1" applyBorder="1" applyAlignment="1">
      <alignment vertical="center"/>
    </xf>
    <xf numFmtId="0" fontId="9" fillId="0" borderId="8" xfId="0" applyFont="1" applyBorder="1" applyAlignment="1">
      <alignment vertical="center" wrapText="1"/>
    </xf>
    <xf numFmtId="0" fontId="3" fillId="0" borderId="8" xfId="1" applyFill="1" applyBorder="1" applyAlignment="1">
      <alignment vertical="center" wrapText="1"/>
    </xf>
    <xf numFmtId="0" fontId="10" fillId="0" borderId="8" xfId="1" applyFont="1" applyFill="1" applyBorder="1" applyAlignment="1">
      <alignment vertical="center" wrapText="1"/>
    </xf>
    <xf numFmtId="43" fontId="9" fillId="0" borderId="8" xfId="0" applyNumberFormat="1" applyFont="1" applyBorder="1" applyAlignment="1">
      <alignment vertical="center"/>
    </xf>
    <xf numFmtId="164" fontId="0" fillId="0" borderId="7" xfId="0" applyNumberForma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undp.org/es/uruguay/proyectos/moves-hacia-un-sistema-de-movilidad-urbana-sostenible-y-eficiente-en-uruguay" TargetMode="External"/><Relationship Id="rId1" Type="http://schemas.openxmlformats.org/officeDocument/2006/relationships/hyperlink" Target="https://open.undp.org/projects/0013700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pen.undp.org/projects/00137005"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pen.undp.org/projects/001370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E42D0-818B-46E8-BEA7-6F8BDF1BD29A}">
  <dimension ref="A1:W12"/>
  <sheetViews>
    <sheetView tabSelected="1" zoomScale="70" zoomScaleNormal="70" workbookViewId="0">
      <pane ySplit="1" topLeftCell="B2" activePane="bottomLeft" state="frozen"/>
      <selection pane="bottomLeft" activeCell="I7" sqref="I7"/>
    </sheetView>
  </sheetViews>
  <sheetFormatPr defaultColWidth="8.85546875" defaultRowHeight="15"/>
  <cols>
    <col min="1" max="1" width="15.7109375" style="2" customWidth="1"/>
    <col min="2" max="4" width="41.7109375" style="2" customWidth="1"/>
    <col min="5" max="5" width="14.7109375" style="49" bestFit="1" customWidth="1"/>
    <col min="6" max="6" width="28.5703125" style="2" customWidth="1"/>
    <col min="7" max="7" width="47.85546875" style="1" customWidth="1"/>
    <col min="8" max="8" width="8.5703125" style="3" bestFit="1" customWidth="1"/>
    <col min="9" max="9" width="8.7109375" style="1" bestFit="1" customWidth="1"/>
    <col min="10" max="10" width="21.42578125" style="2" customWidth="1"/>
    <col min="11" max="11" width="15" style="2" customWidth="1"/>
    <col min="12" max="12" width="10.7109375" style="2" customWidth="1"/>
    <col min="13" max="13" width="12.85546875" style="2" bestFit="1" customWidth="1"/>
    <col min="14" max="14" width="8.42578125" style="2" customWidth="1"/>
    <col min="15" max="15" width="14.42578125" style="2" bestFit="1" customWidth="1"/>
    <col min="16" max="16" width="17.5703125" style="2" bestFit="1" customWidth="1"/>
    <col min="17" max="17" width="11.7109375" style="2" customWidth="1"/>
    <col min="18" max="18" width="16.5703125" style="2" bestFit="1" customWidth="1"/>
    <col min="19" max="19" width="18.140625" style="2" bestFit="1" customWidth="1"/>
    <col min="20" max="20" width="11" style="2" customWidth="1"/>
    <col min="21" max="21" width="29" style="2" customWidth="1"/>
    <col min="22" max="22" width="20.140625" style="2" customWidth="1"/>
    <col min="23" max="23" width="14.7109375" style="2" bestFit="1" customWidth="1"/>
    <col min="24" max="16384" width="8.85546875" style="2"/>
  </cols>
  <sheetData>
    <row r="1" spans="1:23" ht="30.75">
      <c r="A1" s="35" t="s">
        <v>0</v>
      </c>
      <c r="B1" s="35" t="s">
        <v>1</v>
      </c>
      <c r="C1" s="35" t="s">
        <v>2</v>
      </c>
      <c r="D1" s="35" t="s">
        <v>3</v>
      </c>
      <c r="E1" s="48" t="s">
        <v>4</v>
      </c>
      <c r="F1" s="36" t="s">
        <v>5</v>
      </c>
      <c r="G1" s="36" t="s">
        <v>6</v>
      </c>
      <c r="H1" s="36" t="s">
        <v>7</v>
      </c>
      <c r="I1" s="36" t="s">
        <v>8</v>
      </c>
      <c r="J1" s="37" t="s">
        <v>9</v>
      </c>
      <c r="K1" s="37" t="s">
        <v>10</v>
      </c>
      <c r="L1" s="37" t="s">
        <v>11</v>
      </c>
      <c r="M1" s="41" t="s">
        <v>12</v>
      </c>
      <c r="N1" s="42" t="s">
        <v>13</v>
      </c>
      <c r="O1" s="41" t="s">
        <v>14</v>
      </c>
      <c r="P1" s="41" t="s">
        <v>15</v>
      </c>
      <c r="Q1" s="42" t="s">
        <v>16</v>
      </c>
      <c r="R1" s="42" t="s">
        <v>17</v>
      </c>
      <c r="S1" s="43" t="s">
        <v>18</v>
      </c>
      <c r="T1" s="44" t="s">
        <v>19</v>
      </c>
      <c r="U1" s="43" t="s">
        <v>20</v>
      </c>
      <c r="V1" s="61" t="s">
        <v>21</v>
      </c>
      <c r="W1" s="19" t="s">
        <v>22</v>
      </c>
    </row>
    <row r="2" spans="1:23" ht="74.25" customHeight="1">
      <c r="A2" s="53">
        <v>127688</v>
      </c>
      <c r="B2" s="53" t="s">
        <v>23</v>
      </c>
      <c r="C2" s="70" t="s">
        <v>24</v>
      </c>
      <c r="D2" s="71" t="s">
        <v>25</v>
      </c>
      <c r="E2" s="72">
        <v>804250</v>
      </c>
      <c r="F2" s="27" t="s">
        <v>26</v>
      </c>
      <c r="G2" s="28" t="s">
        <v>27</v>
      </c>
      <c r="H2" s="50">
        <v>0</v>
      </c>
      <c r="I2" s="50">
        <v>1000000</v>
      </c>
      <c r="J2" s="26" t="s">
        <v>28</v>
      </c>
      <c r="K2" s="29" t="s">
        <v>29</v>
      </c>
      <c r="L2" s="67">
        <v>0.61</v>
      </c>
      <c r="M2" s="45" t="s">
        <v>30</v>
      </c>
      <c r="N2" s="38"/>
      <c r="O2" s="46" t="s">
        <v>31</v>
      </c>
      <c r="P2" s="38" t="s">
        <v>32</v>
      </c>
      <c r="Q2" s="38"/>
      <c r="R2" s="63" t="s">
        <v>33</v>
      </c>
      <c r="S2" s="38"/>
      <c r="T2" s="47"/>
      <c r="U2" s="38"/>
      <c r="V2" s="58"/>
      <c r="W2" s="62" t="s">
        <v>34</v>
      </c>
    </row>
    <row r="3" spans="1:23" ht="45.75">
      <c r="A3" s="73"/>
      <c r="B3" s="73"/>
      <c r="C3" s="74"/>
      <c r="D3" s="75"/>
      <c r="E3" s="76"/>
      <c r="F3" s="27" t="s">
        <v>35</v>
      </c>
      <c r="G3" s="28" t="s">
        <v>36</v>
      </c>
      <c r="H3" s="50">
        <v>0</v>
      </c>
      <c r="I3" s="50">
        <v>5000</v>
      </c>
      <c r="J3" s="21"/>
      <c r="K3" s="29"/>
      <c r="L3" s="30"/>
      <c r="M3" s="45"/>
      <c r="N3" s="38"/>
      <c r="O3" s="46" t="s">
        <v>31</v>
      </c>
      <c r="P3" s="38" t="s">
        <v>37</v>
      </c>
      <c r="Q3" s="38"/>
      <c r="R3" s="63" t="s">
        <v>38</v>
      </c>
      <c r="S3" s="38"/>
      <c r="T3" s="47" t="s">
        <v>39</v>
      </c>
      <c r="U3" s="38"/>
      <c r="V3" s="58"/>
      <c r="W3" s="51" t="s">
        <v>34</v>
      </c>
    </row>
    <row r="4" spans="1:23" ht="60.75">
      <c r="A4" s="73"/>
      <c r="B4" s="73"/>
      <c r="C4" s="74"/>
      <c r="D4" s="75"/>
      <c r="E4" s="76"/>
      <c r="F4" s="27" t="s">
        <v>40</v>
      </c>
      <c r="G4" s="28" t="s">
        <v>41</v>
      </c>
      <c r="H4" s="50">
        <v>0</v>
      </c>
      <c r="I4" s="50">
        <v>100000</v>
      </c>
      <c r="J4" s="20" t="s">
        <v>41</v>
      </c>
      <c r="K4" s="29"/>
      <c r="L4" s="67">
        <v>0.35</v>
      </c>
      <c r="M4" s="45"/>
      <c r="N4" s="38"/>
      <c r="O4" s="46" t="s">
        <v>31</v>
      </c>
      <c r="P4" s="38" t="s">
        <v>32</v>
      </c>
      <c r="Q4" s="38"/>
      <c r="R4" s="63" t="s">
        <v>33</v>
      </c>
      <c r="S4" s="38"/>
      <c r="T4" s="47"/>
      <c r="U4" s="38"/>
      <c r="V4" s="58"/>
      <c r="W4" s="51" t="s">
        <v>34</v>
      </c>
    </row>
    <row r="5" spans="1:23" ht="106.5">
      <c r="A5" s="77"/>
      <c r="B5" s="77"/>
      <c r="C5" s="78"/>
      <c r="D5" s="79"/>
      <c r="E5" s="80"/>
      <c r="F5" s="52" t="s">
        <v>20</v>
      </c>
      <c r="G5" s="53" t="s">
        <v>42</v>
      </c>
      <c r="H5" s="50">
        <v>0</v>
      </c>
      <c r="I5" s="50">
        <v>5670350</v>
      </c>
      <c r="J5" s="53" t="s">
        <v>43</v>
      </c>
      <c r="K5" s="53"/>
      <c r="L5" s="67">
        <v>0.31</v>
      </c>
      <c r="M5" s="54"/>
      <c r="N5" s="55"/>
      <c r="O5" s="56" t="s">
        <v>31</v>
      </c>
      <c r="P5" s="55" t="s">
        <v>37</v>
      </c>
      <c r="Q5" s="55"/>
      <c r="R5" s="65" t="s">
        <v>44</v>
      </c>
      <c r="S5" s="55" t="s">
        <v>37</v>
      </c>
      <c r="T5" s="57"/>
      <c r="U5" s="55"/>
      <c r="V5" s="59"/>
      <c r="W5" s="51" t="s">
        <v>34</v>
      </c>
    </row>
    <row r="6" spans="1:23">
      <c r="A6" s="73"/>
      <c r="B6" s="73"/>
      <c r="C6" s="74"/>
      <c r="D6" s="75"/>
      <c r="E6" s="76"/>
      <c r="F6" s="96" t="s">
        <v>45</v>
      </c>
      <c r="G6" s="53" t="s">
        <v>46</v>
      </c>
      <c r="H6" s="50"/>
      <c r="I6" s="50">
        <v>24658</v>
      </c>
      <c r="J6" s="53"/>
      <c r="K6" s="53"/>
      <c r="L6" s="67"/>
      <c r="M6" s="54"/>
      <c r="N6" s="55"/>
      <c r="O6" s="56"/>
      <c r="P6" s="55"/>
      <c r="Q6" s="55"/>
      <c r="R6" s="65"/>
      <c r="S6" s="55"/>
      <c r="T6" s="57"/>
      <c r="U6" s="55"/>
      <c r="V6" s="59"/>
      <c r="W6" s="51"/>
    </row>
    <row r="7" spans="1:23" ht="60.75" customHeight="1">
      <c r="A7" s="81">
        <v>101784</v>
      </c>
      <c r="B7" s="82" t="s">
        <v>47</v>
      </c>
      <c r="C7" s="83" t="s">
        <v>48</v>
      </c>
      <c r="D7" s="84" t="s">
        <v>49</v>
      </c>
      <c r="E7" s="85">
        <v>1720933</v>
      </c>
      <c r="F7" s="29" t="s">
        <v>40</v>
      </c>
      <c r="G7" s="64" t="s">
        <v>50</v>
      </c>
      <c r="H7" s="50">
        <v>0</v>
      </c>
      <c r="I7" s="50">
        <v>13</v>
      </c>
      <c r="J7" s="64" t="s">
        <v>51</v>
      </c>
      <c r="K7" s="64" t="s">
        <v>52</v>
      </c>
      <c r="L7" s="50"/>
      <c r="M7" s="68" t="s">
        <v>53</v>
      </c>
      <c r="N7" s="50"/>
      <c r="O7" s="69" t="s">
        <v>54</v>
      </c>
      <c r="P7" s="38" t="s">
        <v>32</v>
      </c>
      <c r="Q7" s="51"/>
      <c r="R7" s="65" t="s">
        <v>33</v>
      </c>
      <c r="S7" s="51"/>
      <c r="T7" s="51"/>
      <c r="U7" s="51"/>
      <c r="V7" s="60"/>
      <c r="W7" s="51" t="s">
        <v>34</v>
      </c>
    </row>
    <row r="8" spans="1:23" ht="76.5">
      <c r="A8" s="86"/>
      <c r="B8" s="87"/>
      <c r="C8" s="88"/>
      <c r="D8" s="89"/>
      <c r="E8" s="90"/>
      <c r="F8" s="29" t="s">
        <v>55</v>
      </c>
      <c r="G8" s="64" t="s">
        <v>56</v>
      </c>
      <c r="H8" s="50">
        <v>5</v>
      </c>
      <c r="I8" s="50">
        <v>32</v>
      </c>
      <c r="J8" s="64" t="s">
        <v>57</v>
      </c>
      <c r="K8" s="64"/>
      <c r="L8" s="50"/>
      <c r="M8" s="68"/>
      <c r="N8" s="50"/>
      <c r="O8" s="69" t="s">
        <v>54</v>
      </c>
      <c r="P8" s="38" t="s">
        <v>32</v>
      </c>
      <c r="Q8" s="51"/>
      <c r="R8" s="65" t="s">
        <v>44</v>
      </c>
      <c r="S8" s="51"/>
      <c r="T8" s="51"/>
      <c r="U8" s="51"/>
      <c r="V8" s="60"/>
      <c r="W8" s="51" t="s">
        <v>34</v>
      </c>
    </row>
    <row r="9" spans="1:23" ht="60.75">
      <c r="A9" s="86"/>
      <c r="B9" s="87"/>
      <c r="C9" s="88"/>
      <c r="D9" s="89"/>
      <c r="E9" s="90"/>
      <c r="F9" s="29" t="s">
        <v>26</v>
      </c>
      <c r="G9" s="64" t="s">
        <v>58</v>
      </c>
      <c r="H9" s="50">
        <v>0</v>
      </c>
      <c r="I9" s="50">
        <v>130</v>
      </c>
      <c r="J9" s="64" t="s">
        <v>59</v>
      </c>
      <c r="K9" s="64"/>
      <c r="L9" s="50"/>
      <c r="M9" s="68"/>
      <c r="N9" s="50"/>
      <c r="O9" s="69" t="s">
        <v>54</v>
      </c>
      <c r="P9" s="38" t="s">
        <v>37</v>
      </c>
      <c r="Q9" s="51"/>
      <c r="R9" s="65" t="s">
        <v>33</v>
      </c>
      <c r="S9" s="51"/>
      <c r="T9" s="51"/>
      <c r="U9" s="51"/>
      <c r="V9" s="60"/>
      <c r="W9" s="51" t="s">
        <v>34</v>
      </c>
    </row>
    <row r="10" spans="1:23" ht="76.5">
      <c r="A10" s="86"/>
      <c r="B10" s="87"/>
      <c r="C10" s="88"/>
      <c r="D10" s="89"/>
      <c r="E10" s="90"/>
      <c r="F10" s="29" t="s">
        <v>20</v>
      </c>
      <c r="G10" s="64" t="s">
        <v>60</v>
      </c>
      <c r="H10" s="50">
        <v>0</v>
      </c>
      <c r="I10" s="50">
        <v>1</v>
      </c>
      <c r="J10" s="64" t="s">
        <v>61</v>
      </c>
      <c r="K10" s="64"/>
      <c r="L10" s="50"/>
      <c r="M10" s="68"/>
      <c r="N10" s="50"/>
      <c r="O10" s="69" t="s">
        <v>54</v>
      </c>
      <c r="P10" s="38" t="s">
        <v>32</v>
      </c>
      <c r="Q10" s="51"/>
      <c r="R10" s="65" t="s">
        <v>38</v>
      </c>
      <c r="S10" s="51"/>
      <c r="T10" s="51"/>
      <c r="U10" s="51"/>
      <c r="V10" s="60"/>
      <c r="W10" s="51" t="s">
        <v>34</v>
      </c>
    </row>
    <row r="11" spans="1:23" ht="76.5">
      <c r="A11" s="91"/>
      <c r="B11" s="92"/>
      <c r="C11" s="93"/>
      <c r="D11" s="94"/>
      <c r="E11" s="95"/>
      <c r="F11" s="29" t="s">
        <v>20</v>
      </c>
      <c r="G11" s="64" t="s">
        <v>62</v>
      </c>
      <c r="H11" s="50">
        <v>4</v>
      </c>
      <c r="I11" s="50">
        <v>8</v>
      </c>
      <c r="J11" s="64" t="s">
        <v>63</v>
      </c>
      <c r="K11" s="64"/>
      <c r="L11" s="50"/>
      <c r="M11" s="68"/>
      <c r="N11" s="50"/>
      <c r="O11" s="69" t="s">
        <v>54</v>
      </c>
      <c r="P11" s="38" t="s">
        <v>37</v>
      </c>
      <c r="Q11" s="60"/>
      <c r="R11" s="63" t="s">
        <v>38</v>
      </c>
      <c r="S11" s="66"/>
      <c r="T11" s="51"/>
      <c r="U11" s="51"/>
      <c r="V11" s="60"/>
      <c r="W11" s="51" t="s">
        <v>34</v>
      </c>
    </row>
    <row r="12" spans="1:23">
      <c r="A12" s="73"/>
      <c r="B12" s="73"/>
      <c r="C12" s="74"/>
      <c r="D12" s="75"/>
      <c r="E12" s="76"/>
      <c r="F12" s="96" t="s">
        <v>45</v>
      </c>
      <c r="G12" s="53" t="s">
        <v>46</v>
      </c>
      <c r="H12" s="50"/>
      <c r="I12" s="50">
        <v>5816</v>
      </c>
      <c r="J12" s="53"/>
      <c r="K12" s="53"/>
      <c r="L12" s="67"/>
      <c r="M12" s="54"/>
      <c r="N12" s="55"/>
      <c r="O12" s="56"/>
      <c r="P12" s="55"/>
      <c r="Q12" s="55"/>
      <c r="R12" s="65"/>
      <c r="S12" s="55"/>
      <c r="T12" s="57"/>
      <c r="U12" s="55"/>
      <c r="V12" s="59"/>
      <c r="W12" s="51"/>
    </row>
  </sheetData>
  <dataValidations count="9">
    <dataValidation type="list" allowBlank="1" showInputMessage="1" showErrorMessage="1" sqref="R2:R12" xr:uid="{5D93EBFF-16C8-4329-839F-03302C8F7520}">
      <formula1>"NDC Support, National Strategy, Legal Framework,Incentives and Support, Government Capacity-Building, Carbon Pricing and Monitoring, Financing Model, Business Model"</formula1>
    </dataValidation>
    <dataValidation type="list" allowBlank="1" showInputMessage="1" showErrorMessage="1" sqref="Q2:Q6 Q12" xr:uid="{F5137EC0-9FAD-4D4D-B8F7-37A7F05F7D83}">
      <formula1>"AMP, PUDC, Solar4Health, Action Opportunities, Italy UNDP Energy Partnership"</formula1>
    </dataValidation>
    <dataValidation type="list" allowBlank="1" showInputMessage="1" showErrorMessage="1" sqref="O2:O6 O12" xr:uid="{5FC097BC-6E9F-410C-9FEE-8643A4EC11BD}">
      <formula1>"Accelerating just energy transition, Close the gap on energy access, Scale up energy finance"</formula1>
    </dataValidation>
    <dataValidation type="list" allowBlank="1" showInputMessage="1" showErrorMessage="1" sqref="P2:P12" xr:uid="{396C138D-AC95-4329-AFA0-8701CDC6AF53}">
      <formula1>"Electricity Access, Energy Efficiency, Clean Cooking, Renewable Energy, Overall"</formula1>
    </dataValidation>
    <dataValidation type="list" allowBlank="1" showInputMessage="1" showErrorMessage="1" sqref="N2:N6 N12" xr:uid="{7822E810-027A-4BFE-BD4C-808273C036CE}">
      <formula1>"Finance, Gender, Efficiency, Just, Health"</formula1>
    </dataValidation>
    <dataValidation type="list" allowBlank="1" showInputMessage="1" showErrorMessage="1" sqref="U2:U6 U12" xr:uid="{9AA9BD5E-7CEB-442C-A565-7096A7D8E1F3}">
      <formula1>"National, Regional, City, Community"</formula1>
    </dataValidation>
    <dataValidation type="list" allowBlank="1" showInputMessage="1" showErrorMessage="1" sqref="M2:M6 M12" xr:uid="{EB839E9D-0FA9-4AB6-8415-8F65D2864653}">
      <formula1>"Non-VF, VF"</formula1>
    </dataValidation>
    <dataValidation type="list" allowBlank="1" showInputMessage="1" showErrorMessage="1" sqref="S2:S6 S12" xr:uid="{D2B7A7CE-C158-4C1A-B713-28074B7A112E}">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T2:T6 T12" xr:uid="{E357C178-F4F2-4BA6-902A-D89DEF7DAFEC}">
      <formula1>"Solar, Wind, Bioenergy, Hydro, Geothermal, Waste, Some Sources, Other, Unknown"</formula1>
    </dataValidation>
  </dataValidations>
  <hyperlinks>
    <hyperlink ref="C2" r:id="rId1" xr:uid="{2D6E577A-3B00-4EC6-BE6C-BF3479043251}"/>
    <hyperlink ref="C7" r:id="rId2" xr:uid="{C77DA398-7847-4A50-94B3-709EDED234A1}"/>
  </hyperlink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BBD69D51-BE5E-4C1B-BDB6-1A2D02810B48}">
          <x14:formula1>
            <xm:f>'Beneficiary Categories'!$A$2:$A$22</xm:f>
          </x14:formula1>
          <xm:sqref>F2:F12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104C2-D034-4312-89B2-B554344956C8}">
  <dimension ref="A1:T9"/>
  <sheetViews>
    <sheetView zoomScale="70" zoomScaleNormal="70" workbookViewId="0">
      <pane ySplit="1" topLeftCell="D2" activePane="bottomLeft" state="frozen"/>
      <selection pane="bottomLeft" activeCell="D2" sqref="D2"/>
    </sheetView>
  </sheetViews>
  <sheetFormatPr defaultColWidth="8.85546875" defaultRowHeight="15"/>
  <cols>
    <col min="1" max="1" width="15.7109375" style="2" customWidth="1"/>
    <col min="2" max="3" width="41.7109375" style="2" customWidth="1"/>
    <col min="4" max="4" width="23.85546875" style="7" customWidth="1"/>
    <col min="5" max="5" width="28.5703125" style="2" customWidth="1"/>
    <col min="6" max="6" width="47.85546875" style="1" customWidth="1"/>
    <col min="7" max="7" width="19.85546875" style="3" customWidth="1"/>
    <col min="8" max="8" width="15.85546875" style="1" customWidth="1"/>
    <col min="9" max="9" width="21.42578125" style="2" customWidth="1"/>
    <col min="10" max="10" width="23.85546875" style="2" customWidth="1"/>
    <col min="11" max="17" width="8.85546875" style="2"/>
    <col min="18" max="18" width="11" style="2" customWidth="1"/>
    <col min="19" max="19" width="29" style="2" customWidth="1"/>
    <col min="20" max="16384" width="8.85546875" style="2"/>
  </cols>
  <sheetData>
    <row r="1" spans="1:20">
      <c r="A1" s="22" t="s">
        <v>0</v>
      </c>
      <c r="B1" s="22" t="s">
        <v>1</v>
      </c>
      <c r="C1" s="22" t="s">
        <v>2</v>
      </c>
      <c r="D1" s="23" t="s">
        <v>4</v>
      </c>
      <c r="E1" s="4" t="s">
        <v>5</v>
      </c>
      <c r="F1" s="5" t="s">
        <v>6</v>
      </c>
      <c r="G1" s="4" t="s">
        <v>7</v>
      </c>
      <c r="H1" s="5" t="s">
        <v>8</v>
      </c>
      <c r="I1" s="18" t="s">
        <v>9</v>
      </c>
      <c r="J1" s="18" t="s">
        <v>10</v>
      </c>
      <c r="K1" s="19" t="s">
        <v>11</v>
      </c>
      <c r="L1" s="19" t="s">
        <v>64</v>
      </c>
      <c r="M1" s="19" t="s">
        <v>65</v>
      </c>
      <c r="N1" s="19"/>
      <c r="O1" s="19" t="s">
        <v>14</v>
      </c>
      <c r="P1" s="19" t="s">
        <v>15</v>
      </c>
      <c r="Q1" s="19" t="s">
        <v>16</v>
      </c>
      <c r="R1" s="19" t="s">
        <v>17</v>
      </c>
      <c r="S1" s="19" t="s">
        <v>18</v>
      </c>
      <c r="T1" s="17"/>
    </row>
    <row r="2" spans="1:20" ht="60.75">
      <c r="A2" s="24">
        <v>127688</v>
      </c>
      <c r="B2" s="24" t="s">
        <v>66</v>
      </c>
      <c r="C2" s="25" t="s">
        <v>24</v>
      </c>
      <c r="D2" s="26" t="s">
        <v>28</v>
      </c>
      <c r="E2" s="27" t="s">
        <v>67</v>
      </c>
      <c r="F2" s="28" t="s">
        <v>27</v>
      </c>
      <c r="G2" s="20"/>
      <c r="H2" s="20">
        <v>1000000</v>
      </c>
      <c r="I2" s="29"/>
      <c r="J2" s="29" t="s">
        <v>29</v>
      </c>
      <c r="K2" s="30"/>
      <c r="L2" s="29" t="s">
        <v>30</v>
      </c>
      <c r="M2" s="29"/>
      <c r="N2" s="29"/>
      <c r="O2" s="29" t="s">
        <v>68</v>
      </c>
      <c r="P2" s="29" t="s">
        <v>32</v>
      </c>
      <c r="Q2" s="29"/>
      <c r="R2" s="29"/>
      <c r="S2" s="29"/>
    </row>
    <row r="3" spans="1:20" ht="45.75">
      <c r="A3" s="31"/>
      <c r="B3" s="31"/>
      <c r="C3" s="31"/>
      <c r="D3" s="32"/>
      <c r="E3" s="27" t="s">
        <v>20</v>
      </c>
      <c r="F3" s="28" t="s">
        <v>36</v>
      </c>
      <c r="G3" s="20">
        <v>0</v>
      </c>
      <c r="H3" s="20">
        <v>5000</v>
      </c>
      <c r="I3" s="21"/>
      <c r="J3" s="29" t="s">
        <v>29</v>
      </c>
      <c r="K3" s="30"/>
      <c r="L3" s="29" t="s">
        <v>30</v>
      </c>
      <c r="M3" s="29"/>
      <c r="N3" s="29"/>
      <c r="O3" s="29" t="s">
        <v>68</v>
      </c>
      <c r="P3" s="29" t="s">
        <v>32</v>
      </c>
      <c r="Q3" s="29"/>
      <c r="R3" s="29" t="s">
        <v>33</v>
      </c>
      <c r="S3" s="29" t="s">
        <v>69</v>
      </c>
    </row>
    <row r="4" spans="1:20" ht="60.75">
      <c r="A4" s="31"/>
      <c r="B4" s="31"/>
      <c r="C4" s="31"/>
      <c r="D4" s="32"/>
      <c r="E4" s="27" t="s">
        <v>20</v>
      </c>
      <c r="F4" s="28" t="s">
        <v>41</v>
      </c>
      <c r="G4" s="20">
        <v>0</v>
      </c>
      <c r="H4" s="20">
        <v>100000</v>
      </c>
      <c r="I4" s="20" t="s">
        <v>41</v>
      </c>
      <c r="J4" s="29" t="s">
        <v>29</v>
      </c>
      <c r="K4" s="30"/>
      <c r="L4" s="29" t="s">
        <v>30</v>
      </c>
      <c r="M4" s="29"/>
      <c r="N4" s="29"/>
      <c r="O4" s="29" t="s">
        <v>68</v>
      </c>
      <c r="P4" s="29" t="s">
        <v>32</v>
      </c>
      <c r="Q4" s="29"/>
      <c r="R4" s="29" t="s">
        <v>33</v>
      </c>
      <c r="S4" s="29" t="s">
        <v>70</v>
      </c>
    </row>
    <row r="5" spans="1:20" ht="106.5">
      <c r="A5" s="33"/>
      <c r="B5" s="33"/>
      <c r="C5" s="33"/>
      <c r="D5" s="34"/>
      <c r="E5" s="27" t="s">
        <v>20</v>
      </c>
      <c r="F5" s="29" t="s">
        <v>42</v>
      </c>
      <c r="G5" s="20">
        <v>0</v>
      </c>
      <c r="H5" s="20"/>
      <c r="I5" s="29" t="s">
        <v>43</v>
      </c>
      <c r="J5" s="29" t="s">
        <v>29</v>
      </c>
      <c r="K5" s="30"/>
      <c r="L5" s="29" t="s">
        <v>30</v>
      </c>
      <c r="M5" s="29"/>
      <c r="N5" s="29"/>
      <c r="O5" s="29" t="s">
        <v>68</v>
      </c>
      <c r="P5" s="29" t="s">
        <v>32</v>
      </c>
      <c r="Q5" s="29"/>
      <c r="R5" s="29" t="s">
        <v>33</v>
      </c>
      <c r="S5" s="29" t="s">
        <v>71</v>
      </c>
    </row>
    <row r="8" spans="1:20">
      <c r="B8" s="14"/>
    </row>
    <row r="9" spans="1:20">
      <c r="B9" s="15"/>
    </row>
  </sheetData>
  <dataValidations count="5">
    <dataValidation type="list" allowBlank="1" showInputMessage="1" showErrorMessage="1" sqref="O2:O5" xr:uid="{B9866457-849E-469B-AA8A-36A115DD52DA}">
      <formula1>"Accelerating just energy transition, Close the gap on energy access, Scale up energy finance"</formula1>
    </dataValidation>
    <dataValidation type="list" allowBlank="1" showInputMessage="1" showErrorMessage="1" sqref="P2:P5" xr:uid="{45412793-E9D3-49BD-B3F0-58C366F88630}">
      <formula1>"Electricity Access, Energy Efficiency, Clean Cooking, Renewable Energy"</formula1>
    </dataValidation>
    <dataValidation type="list" allowBlank="1" showInputMessage="1" showErrorMessage="1" sqref="Q2:Q5" xr:uid="{AFE761C2-90EC-49B8-BBAB-50DFC00FA559}">
      <formula1>"AMP, PUDC, Solar4Health, Action Opportunities, Italy UNDP Energy Partnership"</formula1>
    </dataValidation>
    <dataValidation type="list" allowBlank="1" showInputMessage="1" showErrorMessage="1" sqref="R2:R5" xr:uid="{943A8A1A-03A3-49C8-BA7A-D9737B500D74}">
      <formula1>"NDC Support, National Strategy, Legal Framework,Incentives and Support, Government Capacity-Building, Carbon Pricing and Monitoring, Financing Model, Business Model"</formula1>
    </dataValidation>
    <dataValidation type="list" allowBlank="1" showInputMessage="1" showErrorMessage="1" sqref="S2:S5" xr:uid="{A67242AE-8839-43B3-891B-EAEE7A71DAFA}">
      <formula1>"Electricity Access, Energy Efficiency, Renewable EnergyEnergy Infrastructure,   Transport, Digital &amp; Data, Clean Cooking, Decarbonization, Hydrogen, Off-Grid, On-Grid"</formula1>
    </dataValidation>
  </dataValidations>
  <hyperlinks>
    <hyperlink ref="C2" r:id="rId1" xr:uid="{9B9B0502-9550-40B9-B572-A070BE125339}"/>
  </hyperlink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73FFED3B-9903-4B82-838B-16B0CDA2E3BD}">
          <x14:formula1>
            <xm:f>'Beneficiary Categories'!$A$2:$A$16</xm:f>
          </x14:formula1>
          <xm:sqref>E2:E5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zoomScale="70" zoomScaleNormal="70" workbookViewId="0">
      <pane ySplit="1" topLeftCell="C2" activePane="bottomLeft" state="frozen"/>
      <selection pane="bottomLeft" activeCell="C2" sqref="C2"/>
    </sheetView>
  </sheetViews>
  <sheetFormatPr defaultColWidth="8.85546875" defaultRowHeight="14.45"/>
  <cols>
    <col min="1" max="1" width="15.7109375" style="2" customWidth="1"/>
    <col min="2" max="3" width="41.7109375" style="2" customWidth="1"/>
    <col min="4" max="4" width="23.85546875" style="7" customWidth="1"/>
    <col min="5" max="5" width="28.5703125" style="2" customWidth="1"/>
    <col min="6" max="6" width="35" style="1" customWidth="1"/>
    <col min="7" max="7" width="19.85546875" style="3" customWidth="1"/>
    <col min="8" max="8" width="15.85546875" style="1" customWidth="1"/>
    <col min="9" max="9" width="21.42578125" style="2" customWidth="1"/>
    <col min="10" max="16384" width="8.85546875" style="2"/>
  </cols>
  <sheetData>
    <row r="1" spans="1:11" ht="15">
      <c r="A1" s="4" t="s">
        <v>0</v>
      </c>
      <c r="B1" s="4" t="s">
        <v>1</v>
      </c>
      <c r="C1" s="4" t="s">
        <v>2</v>
      </c>
      <c r="D1" s="6" t="s">
        <v>4</v>
      </c>
      <c r="E1" s="4" t="s">
        <v>5</v>
      </c>
      <c r="F1" s="5" t="s">
        <v>6</v>
      </c>
      <c r="G1" s="4" t="s">
        <v>7</v>
      </c>
      <c r="H1" s="5" t="s">
        <v>8</v>
      </c>
      <c r="I1" s="10" t="s">
        <v>9</v>
      </c>
      <c r="J1" s="10" t="s">
        <v>10</v>
      </c>
    </row>
    <row r="2" spans="1:11" ht="91.5">
      <c r="A2">
        <v>127688</v>
      </c>
      <c r="B2" s="9" t="s">
        <v>66</v>
      </c>
      <c r="C2" s="8" t="s">
        <v>24</v>
      </c>
      <c r="D2" s="11" t="s">
        <v>28</v>
      </c>
      <c r="E2" t="s">
        <v>39</v>
      </c>
      <c r="F2" t="s">
        <v>72</v>
      </c>
      <c r="G2" s="12">
        <v>33</v>
      </c>
      <c r="H2" s="12">
        <v>150</v>
      </c>
      <c r="I2" s="1" t="s">
        <v>27</v>
      </c>
      <c r="J2" s="2" t="s">
        <v>29</v>
      </c>
      <c r="K2" s="15" t="s">
        <v>73</v>
      </c>
    </row>
    <row r="3" spans="1:11" ht="60.75">
      <c r="E3" t="s">
        <v>20</v>
      </c>
      <c r="F3" s="1" t="s">
        <v>74</v>
      </c>
      <c r="G3" s="12">
        <v>0</v>
      </c>
      <c r="H3" s="13">
        <v>2</v>
      </c>
      <c r="I3" s="16" t="s">
        <v>36</v>
      </c>
      <c r="J3" s="2" t="s">
        <v>29</v>
      </c>
      <c r="K3" s="15" t="s">
        <v>73</v>
      </c>
    </row>
    <row r="4" spans="1:11" ht="60.75">
      <c r="E4" t="s">
        <v>20</v>
      </c>
      <c r="F4" s="1" t="s">
        <v>75</v>
      </c>
      <c r="G4" s="12">
        <v>0</v>
      </c>
      <c r="H4" s="13">
        <v>3</v>
      </c>
      <c r="I4" s="13" t="s">
        <v>41</v>
      </c>
      <c r="J4" s="2" t="s">
        <v>29</v>
      </c>
      <c r="K4" s="15" t="s">
        <v>73</v>
      </c>
    </row>
    <row r="5" spans="1:11" ht="106.5">
      <c r="E5" t="s">
        <v>76</v>
      </c>
      <c r="F5" s="1" t="s">
        <v>42</v>
      </c>
      <c r="G5" s="12">
        <v>0</v>
      </c>
      <c r="H5" s="13">
        <v>14000000</v>
      </c>
      <c r="I5" s="1" t="s">
        <v>43</v>
      </c>
      <c r="J5" s="2" t="s">
        <v>29</v>
      </c>
      <c r="K5" s="15" t="s">
        <v>73</v>
      </c>
    </row>
    <row r="8" spans="1:11" ht="45.75">
      <c r="B8" s="14" t="s">
        <v>77</v>
      </c>
    </row>
    <row r="9" spans="1:11" ht="15">
      <c r="B9" s="15"/>
    </row>
  </sheetData>
  <hyperlinks>
    <hyperlink ref="C2" r:id="rId1" xr:uid="{33B6A49B-E057-471E-8BA5-38EE39182A1E}"/>
  </hyperlinks>
  <pageMargins left="0.7" right="0.7" top="0.75" bottom="0.75" header="0.3" footer="0.3"/>
  <pageSetup orientation="portrait" horizontalDpi="0" verticalDpi="0"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B21" sqref="B21"/>
    </sheetView>
  </sheetViews>
  <sheetFormatPr defaultColWidth="8.85546875" defaultRowHeight="15" customHeight="1"/>
  <cols>
    <col min="1" max="1" width="30.42578125" customWidth="1"/>
    <col min="2" max="2" width="96" customWidth="1"/>
  </cols>
  <sheetData>
    <row r="1" spans="1:2">
      <c r="A1" s="39" t="s">
        <v>5</v>
      </c>
      <c r="B1" s="39" t="s">
        <v>6</v>
      </c>
    </row>
    <row r="2" spans="1:2" ht="30.75">
      <c r="A2" s="97" t="s">
        <v>35</v>
      </c>
      <c r="B2" s="40" t="s">
        <v>78</v>
      </c>
    </row>
    <row r="3" spans="1:2">
      <c r="A3" s="97" t="s">
        <v>79</v>
      </c>
      <c r="B3" s="40" t="s">
        <v>80</v>
      </c>
    </row>
    <row r="4" spans="1:2" ht="30.75">
      <c r="A4" s="97" t="s">
        <v>81</v>
      </c>
      <c r="B4" s="40" t="s">
        <v>82</v>
      </c>
    </row>
    <row r="5" spans="1:2">
      <c r="A5" s="97" t="s">
        <v>83</v>
      </c>
      <c r="B5" s="40" t="s">
        <v>84</v>
      </c>
    </row>
    <row r="6" spans="1:2" ht="45.75">
      <c r="A6" s="97" t="s">
        <v>85</v>
      </c>
      <c r="B6" s="40" t="s">
        <v>86</v>
      </c>
    </row>
    <row r="7" spans="1:2" ht="30.75">
      <c r="A7" s="97" t="s">
        <v>87</v>
      </c>
      <c r="B7" s="40" t="s">
        <v>88</v>
      </c>
    </row>
    <row r="8" spans="1:2" ht="30.75">
      <c r="A8" s="97" t="s">
        <v>89</v>
      </c>
      <c r="B8" s="40" t="s">
        <v>90</v>
      </c>
    </row>
    <row r="9" spans="1:2" ht="30.75">
      <c r="A9" s="97" t="s">
        <v>91</v>
      </c>
      <c r="B9" s="40" t="s">
        <v>92</v>
      </c>
    </row>
    <row r="10" spans="1:2" ht="30.75">
      <c r="A10" s="97" t="s">
        <v>26</v>
      </c>
      <c r="B10" s="98" t="s">
        <v>93</v>
      </c>
    </row>
    <row r="11" spans="1:2">
      <c r="A11" s="97" t="s">
        <v>40</v>
      </c>
      <c r="B11" s="98" t="s">
        <v>94</v>
      </c>
    </row>
    <row r="12" spans="1:2" ht="30.75">
      <c r="A12" s="97" t="s">
        <v>95</v>
      </c>
      <c r="B12" s="40" t="s">
        <v>96</v>
      </c>
    </row>
    <row r="13" spans="1:2">
      <c r="A13" s="97" t="s">
        <v>67</v>
      </c>
      <c r="B13" s="98" t="s">
        <v>97</v>
      </c>
    </row>
    <row r="14" spans="1:2">
      <c r="A14" s="97" t="s">
        <v>55</v>
      </c>
      <c r="B14" s="98" t="s">
        <v>98</v>
      </c>
    </row>
    <row r="15" spans="1:2">
      <c r="A15" s="97" t="s">
        <v>99</v>
      </c>
      <c r="B15" s="98" t="s">
        <v>100</v>
      </c>
    </row>
    <row r="16" spans="1:2">
      <c r="A16" s="97" t="s">
        <v>101</v>
      </c>
      <c r="B16" s="98" t="s">
        <v>102</v>
      </c>
    </row>
    <row r="17" spans="1:2">
      <c r="A17" s="97" t="s">
        <v>103</v>
      </c>
      <c r="B17" s="40" t="s">
        <v>104</v>
      </c>
    </row>
    <row r="18" spans="1:2">
      <c r="A18" s="97" t="s">
        <v>105</v>
      </c>
      <c r="B18" s="98" t="s">
        <v>106</v>
      </c>
    </row>
    <row r="19" spans="1:2" ht="45.75">
      <c r="A19" s="97" t="s">
        <v>107</v>
      </c>
      <c r="B19" s="98" t="s">
        <v>108</v>
      </c>
    </row>
    <row r="20" spans="1:2">
      <c r="A20" s="97" t="s">
        <v>109</v>
      </c>
      <c r="B20" s="98" t="s">
        <v>110</v>
      </c>
    </row>
    <row r="21" spans="1:2" ht="30.75">
      <c r="A21" s="97" t="s">
        <v>20</v>
      </c>
      <c r="B21" s="99" t="s">
        <v>111</v>
      </c>
    </row>
    <row r="22" spans="1:2">
      <c r="A22" s="97" t="s">
        <v>39</v>
      </c>
      <c r="B22" s="98" t="s">
        <v>112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AEDBCE-AE29-4AA3-A5BD-B932231712F2}"/>
</file>

<file path=customXml/itemProps2.xml><?xml version="1.0" encoding="utf-8"?>
<ds:datastoreItem xmlns:ds="http://schemas.openxmlformats.org/officeDocument/2006/customXml" ds:itemID="{92CF273B-330E-42C5-89D3-401E827D2BBE}"/>
</file>

<file path=customXml/itemProps3.xml><?xml version="1.0" encoding="utf-8"?>
<ds:datastoreItem xmlns:ds="http://schemas.openxmlformats.org/officeDocument/2006/customXml" ds:itemID="{4D06A8A7-AAD0-46D5-9E3E-4D298B186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Florencia Cedeira</cp:lastModifiedBy>
  <cp:revision/>
  <dcterms:created xsi:type="dcterms:W3CDTF">2023-05-05T09:33:41Z</dcterms:created>
  <dcterms:modified xsi:type="dcterms:W3CDTF">2025-06-23T13:18:02Z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