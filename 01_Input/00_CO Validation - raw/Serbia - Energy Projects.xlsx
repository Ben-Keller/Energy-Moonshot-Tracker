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19"/>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474" documentId="11_8048FE8377A146D934E2F53C766C1D44588AAA59" xr6:coauthVersionLast="47" xr6:coauthVersionMax="47" xr10:uidLastSave="{60F0AF02-21F9-4AD1-8CFC-A98F7E7037E2}"/>
  <bookViews>
    <workbookView minimized="1" xWindow="20" yWindow="740" windowWidth="19180" windowHeight="10060"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xlnm._FilterDatabase" localSheetId="0" hidden="1">'Projects (3)'!$A$1:$U$21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tc={65871F56-206B-45AB-826E-4DD840308F32}</author>
  </authors>
  <commentList>
    <comment ref="B11" authorId="0" shapeId="0" xr:uid="{65871F56-206B-45AB-826E-4DD840308F32}">
      <text>
        <t>[Threaded comment]
Your version of Excel allows you to read this threaded comment; however, any edits to it will get removed if the file is opened in a newer version of Excel. Learn more: https://go.microsoft.com/fwlink/?linkid=870924
Comment:
    These 3 projects are part of the same platform but different donors and distinct projects.</t>
      </text>
    </comment>
  </commentList>
</comments>
</file>

<file path=xl/sharedStrings.xml><?xml version="1.0" encoding="utf-8"?>
<sst xmlns="http://schemas.openxmlformats.org/spreadsheetml/2006/main" count="390" uniqueCount="142">
  <si>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</si>
  <si>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</si>
  <si>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</si>
  <si>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</si>
  <si>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</si>
  <si>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</si>
  <si>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</si>
  <si>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</si>
  <si>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</si>
  <si>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</si>
  <si>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</si>
  <si>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</si>
  <si>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</si>
  <si>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</si>
  <si>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</si>
  <si>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</si>
  <si>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</si>
  <si>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</si>
  <si>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</si>
  <si>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</si>
  <si>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</si>
  <si>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Energy Efficiency Renovation</t>
  </si>
  <si>
    <t>http://open.undp.org/projects/00122808</t>
  </si>
  <si>
    <t>Other Energy Services</t>
  </si>
  <si>
    <t>Direct beneficiaries</t>
  </si>
  <si>
    <t>Beneficiary: users
of the Central Government Buildings (6000)</t>
  </si>
  <si>
    <t>Gov. of Serbia</t>
  </si>
  <si>
    <t>Non-VF</t>
  </si>
  <si>
    <t>Accelerating just energy transition</t>
  </si>
  <si>
    <t>Note to CO: Please provide an estimate of beneficiaries for Central Government Buildings, and for public buildings.</t>
  </si>
  <si>
    <t>Energy Efficiency in Buildings</t>
  </si>
  <si>
    <t>https://co.pims.undp.org/project/view?id=6388</t>
  </si>
  <si>
    <t>Number of direct project beneficiaries disaggregated by gender (individual people)</t>
  </si>
  <si>
    <t>NA</t>
  </si>
  <si>
    <t xml:space="preserve">Among the beneficiaries were included the people using the buildings and benefitting from better thermal comfort as well as the people benefitting from project KM, training and new work opportunities. </t>
  </si>
  <si>
    <t>GEF</t>
  </si>
  <si>
    <t>VF</t>
  </si>
  <si>
    <t>GHG Emissions Reduction</t>
  </si>
  <si>
    <t xml:space="preserve">Direct and indirect lifetime GHG emissions avoided (metric tons of CO2e) </t>
  </si>
  <si>
    <t xml:space="preserve">146000
</t>
  </si>
  <si>
    <t>Beneficiary: users of public buildings (6500)</t>
  </si>
  <si>
    <t>Energy Efficiency Services</t>
  </si>
  <si>
    <t>Energy saved (MJ)</t>
  </si>
  <si>
    <t>Beneficiary: users of public buildings</t>
  </si>
  <si>
    <t>Energy (MW added)</t>
  </si>
  <si>
    <t>Increase in installed renewable energy capacity (MW)</t>
  </si>
  <si>
    <t>Solar</t>
  </si>
  <si>
    <t>Number of direct beneficiaries</t>
  </si>
  <si>
    <t>Capacity Building Training</t>
  </si>
  <si>
    <t>Number of people disaggregated by gender reached by project’s knowledge management and information dissemination activities</t>
  </si>
  <si>
    <t>The number consists of the people visiting the project website and participating the project workshops and training events</t>
  </si>
  <si>
    <t>Circular Economy in Serbia</t>
  </si>
  <si>
    <t>https://co.pims.undp.org/project/view?id=6285</t>
  </si>
  <si>
    <t>Achieved 8250 direct beneficaries until June 30, 2024 (60% female)</t>
  </si>
  <si>
    <t>Increase in installed renewable</t>
  </si>
  <si>
    <t>0 MW</t>
  </si>
  <si>
    <t>Achieved 12 MW until June 30, 2024</t>
  </si>
  <si>
    <t>EU for Green Agenda in Serbia: Get started, Take action, Scale-up</t>
  </si>
  <si>
    <t>https://www.undp.org/serbia/projects/eu-green-agenda-serbia</t>
  </si>
  <si>
    <t>GHG and CO2 equivalent emission reduction / 1y (t CO2 eq)</t>
  </si>
  <si>
    <t>N/A</t>
  </si>
  <si>
    <t>7,011 tonnes of GHG and CO2 equivalent emission reduction per year</t>
  </si>
  <si>
    <t>EU</t>
  </si>
  <si>
    <t>RES installed capacities (solar PV-electicity, biomass, biogas and other)</t>
  </si>
  <si>
    <t>1,139 kWth</t>
  </si>
  <si>
    <t>Energy savings through implementation of EE improvement measures (TJ)</t>
  </si>
  <si>
    <t>196 TJ of energy savings</t>
  </si>
  <si>
    <t>Kilowatt hours saved through energy efficiency (EE) measures (KWh/year)</t>
  </si>
  <si>
    <t>18,156,651 kWh/year saved through energy efficiency measures</t>
  </si>
  <si>
    <t>Green Agenda in Serbia</t>
  </si>
  <si>
    <t>1,278 tonnes of GHG and CO2 equivalent emission reduction per year</t>
  </si>
  <si>
    <t>SDC</t>
  </si>
  <si>
    <t>6,006 kWth</t>
  </si>
  <si>
    <t>45 TJ of energy savings</t>
  </si>
  <si>
    <t>3,516 tonnes of GHG and CO2 equivalent emission reduction per year</t>
  </si>
  <si>
    <t>SECO</t>
  </si>
  <si>
    <t>1,000 kWth</t>
  </si>
  <si>
    <t>5,54 TJ of energy savings</t>
  </si>
  <si>
    <t>1,538,400 kWh/year saved through energy efficiency measures</t>
  </si>
  <si>
    <t>Category</t>
  </si>
  <si>
    <t>Indirect Beneficiries</t>
  </si>
  <si>
    <t>Comments</t>
  </si>
  <si>
    <t>PIU capacitated and operational until the end of the project (Yes/No)</t>
  </si>
  <si>
    <t>Number of energy passports for selected CGBs elaborated</t>
  </si>
  <si>
    <t>Number of detailed Energy Audits (DEA) for selected CGBs conducted</t>
  </si>
  <si>
    <t>Capacity Training</t>
  </si>
  <si>
    <t>Number of workshops for the EECGB Programme beneficiaries, other stakeholders and media organized</t>
  </si>
  <si>
    <t>Number of media outlets (newspaper, local and national TV, radio and other electronic media) informing the public about the EECGB Programme</t>
  </si>
  <si>
    <t>PIMS+</t>
  </si>
  <si>
    <t xml:space="preserve">146 000
</t>
  </si>
  <si>
    <t xml:space="preserve"> 2 340 TJ</t>
  </si>
  <si>
    <t>Status of the rulebooks listed under output 1.1 in chapter IV of the Prodoc</t>
  </si>
  <si>
    <t>The number and total floor area of the buildings belonging to the B-2 category included into EMIS together with appointed and adequately trained energy managers</t>
  </si>
  <si>
    <t>Beneficiary: users of public buildings
At least 80 buildings with the total floor area of at least 1 million m2  and each building having an appointed and adequately trained energy manager</t>
  </si>
  <si>
    <t xml:space="preserve">Number of renovated buildings </t>
  </si>
  <si>
    <t xml:space="preserve">Amount of investments for implemented energy saving and/renewable energy measures </t>
  </si>
  <si>
    <t>Other</t>
  </si>
  <si>
    <t>yes</t>
  </si>
  <si>
    <t>Beneficiary: users
of the Central Government Buildings</t>
  </si>
  <si>
    <t xml:space="preserve">Males: 5 000
Females: 5 000
</t>
  </si>
  <si>
    <t xml:space="preserve">Direct: 146 000
Indirect: 300 000
</t>
  </si>
  <si>
    <t xml:space="preserve"> 1 MW</t>
  </si>
  <si>
    <t>All six rulebooks formally adopted</t>
  </si>
  <si>
    <t>At least 80 buildings with the total floor area of at least 1 million m2  and each building having an appointed and adequately trained energy manager</t>
  </si>
  <si>
    <t>USD 40 000 000</t>
  </si>
  <si>
    <t xml:space="preserve">Males: 1000
Females: 1000
</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</si>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</sst>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_([$$-409]* \(#,##0.00\);_([$$-409]* &quot;-&quot;??_);_(@_)"/>
    <numFmt numFmtId="165" formatCode="[$€-2]\ #,##0.00"/>
    <numFmt numFmtId="166" formatCode="[$$-409]#,##0.00"/>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FF0000"/>
      <name val="Calibri"/>
      <family val="2"/>
      <scheme val="minor"/>
    </font>
    <font>
      <b/>
      <sz val="11"/>
      <color rgb="FFFF0000"/>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5">
    <fill>
      <patternFill patternType="none"/>
    </fill>
    <fill>
      <patternFill patternType="gray125"/>
    </fill>
    <fill>
      <patternFill patternType="solid">
        <fgColor rgb="FFFFE497"/>
        <bgColor indexed="64"/>
      </patternFill>
    </fill>
    <fill>
      <patternFill patternType="solid">
        <fgColor rgb="FFFFE699"/>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rgb="FF000000"/>
      </top>
      <bottom style="thin">
        <color indexed="64"/>
      </bottom>
      <diagonal/>
    </border>
    <border>
      <left/>
      <right/>
      <top/>
      <bottom style="thin">
        <color rgb="FF000000"/>
      </bottom>
      <diagonal/>
    </border>
  </borders>
  <cellStyleXfs count="2">
    <xf numFmtId="0" fontId="0" fillId="0" borderId="0"/>
    <xf numFmtId="0" fontId="8" fillId="0" borderId="0" applyNumberFormat="0" applyFill="0" applyBorder="0" applyAlignment="0" applyProtection="0"/>
  </cellStyleXfs>
  <cellXfs count="92">
    <xf numFmtId="0" fontId="0" fillId="0" borderId="0" xfId="0"/>
    <xf numFmtId="0" fontId="2" fillId="0" borderId="1" xfId="0" applyFont="1" applyBorder="1" applyAlignment="1">
      <alignment horizontal="center" vertical="top"/>
    </xf>
    <xf numFmtId="0" fontId="3" fillId="0" borderId="0" xfId="1" applyFont="1" applyAlignment="1" applyProtection="1"/>
    <xf numFmtId="0" fontId="0" fillId="2" borderId="0" xfId="0" applyFill="1"/>
    <xf numFmtId="0" fontId="0" fillId="3" borderId="0" xfId="0" applyFill="1" applyAlignment="1">
      <alignment vertical="top" wrapText="1"/>
    </xf>
    <xf numFmtId="0" fontId="0" fillId="3" borderId="0" xfId="0" applyFill="1" applyAlignment="1">
      <alignment horizontal="center" vertical="top"/>
    </xf>
    <xf numFmtId="0" fontId="0" fillId="3" borderId="0" xfId="0" applyFill="1" applyAlignment="1">
      <alignment horizontal="center" vertical="top" wrapText="1"/>
    </xf>
    <xf numFmtId="164" fontId="0" fillId="0" borderId="0" xfId="0" applyNumberFormat="1"/>
    <xf numFmtId="0" fontId="0" fillId="2" borderId="0" xfId="0" applyFill="1" applyAlignment="1">
      <alignment wrapText="1"/>
    </xf>
    <xf numFmtId="0" fontId="0" fillId="2" borderId="0" xfId="0" applyFill="1" applyAlignment="1">
      <alignment horizontal="center" vertical="top"/>
    </xf>
    <xf numFmtId="0" fontId="0" fillId="2" borderId="0" xfId="0" applyFill="1" applyAlignment="1">
      <alignment vertical="top" wrapText="1"/>
    </xf>
    <xf numFmtId="0" fontId="0" fillId="2" borderId="0" xfId="0" applyFill="1" applyAlignment="1">
      <alignment horizontal="center" vertical="top" wrapText="1"/>
    </xf>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Font="1" applyBorder="1" applyAlignment="1" applyProtection="1"/>
    <xf numFmtId="164" fontId="0" fillId="0" borderId="2" xfId="0" applyNumberFormat="1" applyBorder="1"/>
    <xf numFmtId="0" fontId="0" fillId="2" borderId="2" xfId="0" applyFill="1" applyBorder="1"/>
    <xf numFmtId="0" fontId="0" fillId="3" borderId="2" xfId="0" applyFill="1" applyBorder="1" applyAlignment="1">
      <alignment vertical="top" wrapText="1"/>
    </xf>
    <xf numFmtId="0" fontId="0" fillId="3" borderId="2" xfId="0" applyFill="1" applyBorder="1" applyAlignment="1">
      <alignment horizontal="center" vertical="top"/>
    </xf>
    <xf numFmtId="0" fontId="0" fillId="3" borderId="2" xfId="0" applyFill="1" applyBorder="1" applyAlignment="1">
      <alignment horizontal="center" vertical="top" wrapText="1"/>
    </xf>
    <xf numFmtId="0" fontId="0" fillId="2" borderId="2" xfId="0" applyFill="1" applyBorder="1" applyAlignment="1">
      <alignment vertical="top" wrapText="1"/>
    </xf>
    <xf numFmtId="0" fontId="0" fillId="2" borderId="2" xfId="0" applyFill="1" applyBorder="1" applyAlignment="1">
      <alignment horizontal="center" vertical="top"/>
    </xf>
    <xf numFmtId="0" fontId="0" fillId="0" borderId="2" xfId="0" applyBorder="1" applyAlignment="1">
      <alignment vertical="center"/>
    </xf>
    <xf numFmtId="9" fontId="0" fillId="0" borderId="2" xfId="0" applyNumberFormat="1" applyBorder="1"/>
    <xf numFmtId="0" fontId="0" fillId="2" borderId="2" xfId="0" applyFill="1" applyBorder="1" applyAlignment="1">
      <alignment wrapText="1"/>
    </xf>
    <xf numFmtId="0" fontId="0" fillId="2" borderId="2" xfId="0" applyFill="1" applyBorder="1" applyAlignment="1">
      <alignment horizontal="center" vertical="top" wrapText="1"/>
    </xf>
    <xf numFmtId="0" fontId="4" fillId="0" borderId="0" xfId="0" applyFont="1"/>
    <xf numFmtId="0" fontId="2" fillId="0" borderId="0" xfId="0" applyFont="1"/>
    <xf numFmtId="0" fontId="5" fillId="4" borderId="0" xfId="0" applyFont="1" applyFill="1"/>
    <xf numFmtId="0" fontId="0" fillId="0" borderId="2" xfId="0"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3" fillId="0" borderId="2" xfId="1" applyFont="1" applyFill="1" applyBorder="1" applyAlignment="1" applyProtection="1">
      <alignment vertical="center" wrapText="1"/>
    </xf>
    <xf numFmtId="164" fontId="0" fillId="0" borderId="2" xfId="0" applyNumberFormat="1"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5" fillId="0" borderId="2" xfId="0" applyFont="1" applyBorder="1" applyAlignment="1">
      <alignment vertical="center" wrapText="1"/>
    </xf>
    <xf numFmtId="9" fontId="0" fillId="0" borderId="2" xfId="0" applyNumberFormat="1" applyBorder="1" applyAlignment="1">
      <alignment vertical="center" wrapText="1"/>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8" fillId="0" borderId="2" xfId="1" applyBorder="1" applyAlignment="1">
      <alignment vertical="center" wrapText="1"/>
    </xf>
    <xf numFmtId="0" fontId="0" fillId="0" borderId="7"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0" xfId="0" applyAlignment="1">
      <alignment horizontal="center" vertical="center"/>
    </xf>
    <xf numFmtId="0" fontId="8" fillId="0" borderId="0" xfId="1" applyBorder="1" applyAlignment="1">
      <alignment horizontal="left" vertical="center" wrapText="1"/>
    </xf>
    <xf numFmtId="0" fontId="0" fillId="0" borderId="0" xfId="0" applyAlignment="1">
      <alignment wrapText="1"/>
    </xf>
    <xf numFmtId="0" fontId="0" fillId="0" borderId="11" xfId="0" applyBorder="1" applyAlignment="1">
      <alignment vertical="center" wrapText="1"/>
    </xf>
    <xf numFmtId="0" fontId="0" fillId="0" borderId="10" xfId="0" applyBorder="1"/>
    <xf numFmtId="0" fontId="0" fillId="0" borderId="12" xfId="0" applyBorder="1" applyAlignment="1">
      <alignment vertical="center" wrapText="1"/>
    </xf>
    <xf numFmtId="0" fontId="0" fillId="0" borderId="12" xfId="0"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wrapText="1"/>
    </xf>
    <xf numFmtId="3" fontId="0" fillId="0" borderId="0" xfId="0" applyNumberFormat="1" applyAlignment="1">
      <alignment vertical="center" wrapText="1"/>
    </xf>
    <xf numFmtId="166" fontId="0" fillId="0" borderId="0" xfId="0" applyNumberFormat="1" applyAlignment="1">
      <alignment horizontal="center" vertical="center"/>
    </xf>
    <xf numFmtId="3" fontId="0" fillId="0" borderId="10" xfId="0" applyNumberFormat="1" applyBorder="1" applyAlignment="1">
      <alignment wrapText="1"/>
    </xf>
    <xf numFmtId="0" fontId="0" fillId="0" borderId="0" xfId="0" applyAlignment="1">
      <alignment horizontal="center" vertical="center" wrapText="1"/>
    </xf>
    <xf numFmtId="0" fontId="0" fillId="0" borderId="0" xfId="0" applyAlignment="1">
      <alignment vertical="center" wrapText="1"/>
    </xf>
    <xf numFmtId="3" fontId="0" fillId="0" borderId="0" xfId="0" applyNumberFormat="1" applyAlignment="1">
      <alignment wrapText="1"/>
    </xf>
    <xf numFmtId="0" fontId="0" fillId="0" borderId="2" xfId="0" applyBorder="1" applyAlignment="1">
      <alignment horizontal="right" vertical="center" wrapText="1"/>
    </xf>
    <xf numFmtId="0" fontId="0" fillId="0" borderId="9" xfId="0" applyBorder="1" applyAlignment="1">
      <alignment horizontal="center" vertical="center" wrapText="1"/>
    </xf>
    <xf numFmtId="0" fontId="0" fillId="0" borderId="15" xfId="0" applyBorder="1" applyAlignment="1">
      <alignment horizontal="center" vertical="center" wrapText="1"/>
    </xf>
    <xf numFmtId="0" fontId="8" fillId="0" borderId="9" xfId="1" applyBorder="1" applyAlignment="1">
      <alignment horizontal="center" vertical="center" wrapText="1"/>
    </xf>
    <xf numFmtId="0" fontId="8" fillId="0" borderId="15" xfId="1" applyBorder="1" applyAlignment="1">
      <alignment horizontal="center" vertical="center" wrapText="1"/>
    </xf>
    <xf numFmtId="166" fontId="0" fillId="0" borderId="9" xfId="0" applyNumberFormat="1" applyBorder="1" applyAlignment="1">
      <alignment horizontal="center" vertical="center" wrapText="1"/>
    </xf>
    <xf numFmtId="166" fontId="0" fillId="0" borderId="15" xfId="0" applyNumberFormat="1" applyBorder="1" applyAlignment="1">
      <alignment horizontal="center" vertical="center" wrapText="1"/>
    </xf>
    <xf numFmtId="0" fontId="0" fillId="0" borderId="0" xfId="0" applyAlignment="1">
      <alignment horizontal="center" vertical="center"/>
    </xf>
    <xf numFmtId="0" fontId="0" fillId="0" borderId="10" xfId="0" applyBorder="1" applyAlignment="1">
      <alignment horizontal="center" vertical="center"/>
    </xf>
    <xf numFmtId="0" fontId="8" fillId="0" borderId="9" xfId="1" applyBorder="1" applyAlignment="1">
      <alignment horizontal="left" vertical="center" wrapText="1"/>
    </xf>
    <xf numFmtId="0" fontId="8" fillId="0" borderId="0" xfId="1" applyBorder="1" applyAlignment="1">
      <alignment horizontal="left" vertical="center" wrapText="1"/>
    </xf>
    <xf numFmtId="0" fontId="8" fillId="0" borderId="10" xfId="1" applyBorder="1" applyAlignment="1">
      <alignment horizontal="left" vertical="center" wrapText="1"/>
    </xf>
    <xf numFmtId="166" fontId="0" fillId="0" borderId="0" xfId="0" applyNumberFormat="1" applyAlignment="1">
      <alignment horizontal="center" vertical="center"/>
    </xf>
    <xf numFmtId="166" fontId="0" fillId="0" borderId="10" xfId="0" applyNumberFormat="1" applyBorder="1" applyAlignment="1">
      <alignment horizontal="center" vertical="center"/>
    </xf>
    <xf numFmtId="0" fontId="8" fillId="0" borderId="0" xfId="1" applyBorder="1" applyAlignment="1">
      <alignment horizontal="center" vertical="center" wrapText="1"/>
    </xf>
    <xf numFmtId="0" fontId="0" fillId="0" borderId="9" xfId="0" applyBorder="1" applyAlignment="1">
      <alignment horizontal="center" vertical="center"/>
    </xf>
    <xf numFmtId="0" fontId="0" fillId="0" borderId="0" xfId="0" applyAlignment="1">
      <alignment horizontal="center" vertical="center" wrapText="1"/>
    </xf>
    <xf numFmtId="0" fontId="0" fillId="0" borderId="10" xfId="0" applyBorder="1" applyAlignment="1">
      <alignment horizontal="center" vertical="center" wrapText="1"/>
    </xf>
    <xf numFmtId="165" fontId="0" fillId="0" borderId="9" xfId="0" applyNumberFormat="1" applyBorder="1" applyAlignment="1">
      <alignment horizontal="center" vertical="center"/>
    </xf>
    <xf numFmtId="165" fontId="0" fillId="0" borderId="0" xfId="0" applyNumberFormat="1" applyAlignment="1">
      <alignment horizontal="center" vertical="center"/>
    </xf>
    <xf numFmtId="165" fontId="0" fillId="0" borderId="10" xfId="0" applyNumberFormat="1" applyBorder="1" applyAlignment="1">
      <alignment horizontal="center" vertical="center"/>
    </xf>
    <xf numFmtId="0" fontId="0" fillId="0" borderId="2" xfId="0"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lashade Jaiyeola" id="{FDF7C1C6-6AA4-4120-B30F-B8937033BABF}" userId="S::folashade.jaiyeola@undp.org::c208a32e-6303-48b2-9538-645490e996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1" dT="2024-11-25T20:38:55.82" personId="{FDF7C1C6-6AA4-4120-B30F-B8937033BABF}" id="{65871F56-206B-45AB-826E-4DD840308F32}">
    <text>These 3 projects are part of the same platform but different donors and distinct projects.</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co.pims.undp.org/project/view?id=6388" TargetMode="External"/><Relationship Id="rId7" Type="http://schemas.openxmlformats.org/officeDocument/2006/relationships/hyperlink" Target="https://co.pims.undp.org/project/view?id=6285" TargetMode="External"/><Relationship Id="rId2" Type="http://schemas.openxmlformats.org/officeDocument/2006/relationships/hyperlink" Target="https://co.pims.undp.org/project/view?id=6285" TargetMode="External"/><Relationship Id="rId1" Type="http://schemas.openxmlformats.org/officeDocument/2006/relationships/hyperlink" Target="http://open.undp.org/projects/00122808" TargetMode="External"/><Relationship Id="rId6" Type="http://schemas.openxmlformats.org/officeDocument/2006/relationships/hyperlink" Target="https://www.undp.org/serbia/projects/eu-green-agenda-serbia" TargetMode="External"/><Relationship Id="rId5" Type="http://schemas.openxmlformats.org/officeDocument/2006/relationships/hyperlink" Target="https://www.undp.org/serbia/projects/eu-green-agenda-serbia" TargetMode="External"/><Relationship Id="rId10" Type="http://schemas.microsoft.com/office/2017/10/relationships/threadedComment" Target="../threadedComments/threadedComment1.xml"/><Relationship Id="rId4" Type="http://schemas.openxmlformats.org/officeDocument/2006/relationships/hyperlink" Target="https://www.undp.org/serbia/projects/eu-green-agenda-serbia"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280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280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95EA-59F6-474E-B152-583725599006}">
  <dimension ref="A1:Z22"/>
  <sheetViews>
    <sheetView tabSelected="1" workbookViewId="0">
      <pane xSplit="1" ySplit="1" topLeftCell="F5" activePane="bottomRight" state="frozen"/>
      <selection pane="bottomRight" activeCell="H11" sqref="H11"/>
      <selection pane="bottomLeft"/>
      <selection pane="topRight"/>
    </sheetView>
  </sheetViews>
  <sheetFormatPr defaultRowHeight="14.45"/>
  <cols>
    <col min="2" max="2" width="43.42578125" customWidth="1"/>
    <col min="3" max="3" width="20.7109375" customWidth="1"/>
    <col min="4" max="4" width="14.7109375" bestFit="1" customWidth="1"/>
    <col min="5" max="5" width="20.7109375" customWidth="1"/>
    <col min="6" max="6" width="35.5703125" customWidth="1"/>
    <col min="7" max="7" width="12.7109375" customWidth="1"/>
    <col min="8" max="8" width="19.28515625" customWidth="1"/>
    <col min="9" max="9" width="32.7109375" customWidth="1"/>
    <col min="12" max="12" width="12.85546875" bestFit="1" customWidth="1"/>
    <col min="14" max="14" width="20.140625" customWidth="1"/>
    <col min="15" max="15" width="14.85546875" bestFit="1" customWidth="1"/>
    <col min="17" max="17" width="16.5703125" bestFit="1" customWidth="1"/>
    <col min="18" max="18" width="18.140625" bestFit="1" customWidth="1"/>
    <col min="20" max="20" width="30.28515625" bestFit="1" customWidth="1"/>
    <col min="21" max="21" width="16.7109375" bestFit="1" customWidth="1"/>
  </cols>
  <sheetData>
    <row r="1" spans="1:26" ht="43.5">
      <c r="A1" s="31" t="s">
        <v>0</v>
      </c>
      <c r="B1" s="31" t="s">
        <v>1</v>
      </c>
      <c r="C1" s="31" t="s">
        <v>2</v>
      </c>
      <c r="D1" s="31" t="s">
        <v>3</v>
      </c>
      <c r="E1" s="31" t="s">
        <v>4</v>
      </c>
      <c r="F1" s="31" t="s">
        <v>5</v>
      </c>
      <c r="G1" s="31" t="s">
        <v>6</v>
      </c>
      <c r="H1" s="31" t="s">
        <v>7</v>
      </c>
      <c r="I1" s="31" t="s">
        <v>8</v>
      </c>
      <c r="J1" s="32" t="s">
        <v>9</v>
      </c>
      <c r="K1" s="32" t="s">
        <v>10</v>
      </c>
      <c r="L1" s="42" t="s">
        <v>11</v>
      </c>
      <c r="M1" s="43" t="s">
        <v>12</v>
      </c>
      <c r="N1" s="42" t="s">
        <v>13</v>
      </c>
      <c r="O1" s="42" t="s">
        <v>14</v>
      </c>
      <c r="P1" s="43" t="s">
        <v>15</v>
      </c>
      <c r="Q1" s="43" t="s">
        <v>16</v>
      </c>
      <c r="R1" s="44" t="s">
        <v>17</v>
      </c>
      <c r="S1" s="45" t="s">
        <v>18</v>
      </c>
      <c r="T1" s="44" t="s">
        <v>19</v>
      </c>
      <c r="U1" s="45" t="s">
        <v>20</v>
      </c>
    </row>
    <row r="2" spans="1:26" ht="259.5">
      <c r="A2" s="33">
        <v>122808</v>
      </c>
      <c r="B2" s="33" t="s">
        <v>21</v>
      </c>
      <c r="C2" s="34" t="s">
        <v>22</v>
      </c>
      <c r="D2" s="35">
        <v>1055099</v>
      </c>
      <c r="E2" s="33" t="s">
        <v>23</v>
      </c>
      <c r="F2" s="33" t="s">
        <v>24</v>
      </c>
      <c r="G2" s="36">
        <v>0</v>
      </c>
      <c r="H2" s="36">
        <v>6000</v>
      </c>
      <c r="I2" s="33" t="s">
        <v>25</v>
      </c>
      <c r="J2" s="37" t="s">
        <v>26</v>
      </c>
      <c r="K2" s="33"/>
      <c r="L2" s="46" t="s">
        <v>27</v>
      </c>
      <c r="M2" s="30"/>
      <c r="N2" s="47" t="s">
        <v>28</v>
      </c>
      <c r="O2" s="30"/>
      <c r="P2" s="30"/>
      <c r="Q2" s="30"/>
      <c r="R2" s="30"/>
      <c r="S2" s="23"/>
      <c r="T2" s="30"/>
      <c r="U2" s="23"/>
      <c r="X2" s="37" t="s">
        <v>27</v>
      </c>
      <c r="Y2" s="33"/>
      <c r="Z2" s="38" t="s">
        <v>29</v>
      </c>
    </row>
    <row r="3" spans="1:26" ht="106.5">
      <c r="A3" s="33">
        <v>6388</v>
      </c>
      <c r="B3" s="33" t="s">
        <v>30</v>
      </c>
      <c r="C3" s="48" t="s">
        <v>31</v>
      </c>
      <c r="D3" s="35">
        <v>1505000</v>
      </c>
      <c r="E3" s="33" t="s">
        <v>23</v>
      </c>
      <c r="F3" s="33" t="s">
        <v>32</v>
      </c>
      <c r="G3" s="36" t="s">
        <v>33</v>
      </c>
      <c r="H3" s="33">
        <v>10000</v>
      </c>
      <c r="I3" s="33" t="s">
        <v>34</v>
      </c>
      <c r="J3" s="33" t="s">
        <v>35</v>
      </c>
      <c r="K3" s="39">
        <v>0.5</v>
      </c>
      <c r="L3" s="46" t="s">
        <v>36</v>
      </c>
      <c r="M3" s="30"/>
      <c r="N3" s="47" t="s">
        <v>28</v>
      </c>
      <c r="O3" s="30"/>
      <c r="P3" s="30"/>
      <c r="Q3" s="30"/>
      <c r="R3" s="30"/>
      <c r="S3" s="23"/>
      <c r="T3" s="30"/>
      <c r="U3" s="23"/>
      <c r="X3" s="33" t="s">
        <v>36</v>
      </c>
      <c r="Y3" s="33"/>
      <c r="Z3" s="33"/>
    </row>
    <row r="4" spans="1:26" ht="45.75">
      <c r="A4" s="33"/>
      <c r="B4" s="33"/>
      <c r="C4" s="33"/>
      <c r="D4" s="35"/>
      <c r="E4" s="33" t="s">
        <v>37</v>
      </c>
      <c r="F4" s="33" t="s">
        <v>38</v>
      </c>
      <c r="G4" s="36" t="s">
        <v>33</v>
      </c>
      <c r="H4" s="67" t="s">
        <v>39</v>
      </c>
      <c r="I4" s="33" t="s">
        <v>40</v>
      </c>
      <c r="J4" s="33" t="s">
        <v>35</v>
      </c>
      <c r="K4" s="33"/>
      <c r="L4" s="46" t="s">
        <v>36</v>
      </c>
      <c r="M4" s="30"/>
      <c r="N4" s="47" t="s">
        <v>28</v>
      </c>
      <c r="O4" s="30"/>
      <c r="P4" s="30"/>
      <c r="Q4" s="30"/>
      <c r="R4" s="30"/>
      <c r="S4" s="23"/>
      <c r="T4" s="30"/>
      <c r="U4" s="23"/>
      <c r="X4" s="33" t="s">
        <v>36</v>
      </c>
      <c r="Y4" s="33">
        <v>300000</v>
      </c>
      <c r="Z4" s="33"/>
    </row>
    <row r="5" spans="1:26" ht="29.1">
      <c r="A5" s="33"/>
      <c r="B5" s="33"/>
      <c r="C5" s="33"/>
      <c r="E5" s="35" t="s">
        <v>41</v>
      </c>
      <c r="F5" s="33" t="s">
        <v>42</v>
      </c>
      <c r="G5" s="36" t="s">
        <v>33</v>
      </c>
      <c r="H5" s="33">
        <v>2340000</v>
      </c>
      <c r="I5" s="33" t="s">
        <v>43</v>
      </c>
      <c r="J5" s="33" t="s">
        <v>35</v>
      </c>
      <c r="K5" s="33"/>
      <c r="L5" s="46" t="s">
        <v>36</v>
      </c>
      <c r="M5" s="30"/>
      <c r="N5" s="47" t="s">
        <v>28</v>
      </c>
      <c r="O5" s="30"/>
      <c r="P5" s="30"/>
      <c r="Q5" s="30"/>
      <c r="R5" s="30"/>
      <c r="S5" s="23"/>
      <c r="T5" s="30"/>
      <c r="U5" s="23"/>
      <c r="X5" s="33" t="s">
        <v>36</v>
      </c>
      <c r="Y5" s="33"/>
      <c r="Z5" s="33"/>
    </row>
    <row r="6" spans="1:26" ht="29.1">
      <c r="A6" s="33"/>
      <c r="B6" s="33"/>
      <c r="C6" s="33"/>
      <c r="D6" s="35"/>
      <c r="E6" s="33" t="s">
        <v>44</v>
      </c>
      <c r="F6" s="33" t="s">
        <v>45</v>
      </c>
      <c r="G6" s="36" t="s">
        <v>33</v>
      </c>
      <c r="H6" s="33">
        <v>1</v>
      </c>
      <c r="I6" s="33" t="s">
        <v>40</v>
      </c>
      <c r="J6" s="33" t="s">
        <v>35</v>
      </c>
      <c r="K6" s="33"/>
      <c r="L6" s="46" t="s">
        <v>36</v>
      </c>
      <c r="M6" s="30"/>
      <c r="N6" s="47" t="s">
        <v>28</v>
      </c>
      <c r="O6" s="30"/>
      <c r="P6" s="30"/>
      <c r="Q6" s="30"/>
      <c r="R6" s="30"/>
      <c r="S6" s="23" t="s">
        <v>46</v>
      </c>
      <c r="T6" s="30"/>
      <c r="U6" s="23"/>
      <c r="X6" s="33" t="s">
        <v>36</v>
      </c>
      <c r="Y6" s="33"/>
      <c r="Z6" s="33"/>
    </row>
    <row r="7" spans="1:26" ht="29.1">
      <c r="A7" s="33"/>
      <c r="B7" s="33"/>
      <c r="C7" s="33"/>
      <c r="D7" s="35"/>
      <c r="E7" s="33"/>
      <c r="F7" s="33" t="s">
        <v>47</v>
      </c>
      <c r="G7" s="36" t="s">
        <v>33</v>
      </c>
      <c r="H7" s="36">
        <v>6500</v>
      </c>
      <c r="I7" s="33" t="s">
        <v>40</v>
      </c>
      <c r="J7" s="33" t="s">
        <v>35</v>
      </c>
      <c r="K7" s="33"/>
      <c r="L7" s="46" t="s">
        <v>36</v>
      </c>
      <c r="M7" s="30"/>
      <c r="N7" s="47" t="s">
        <v>28</v>
      </c>
      <c r="O7" s="30"/>
      <c r="P7" s="30"/>
      <c r="Q7" s="30"/>
      <c r="R7" s="30"/>
      <c r="S7" s="23"/>
      <c r="T7" s="30"/>
      <c r="U7" s="23"/>
      <c r="X7" s="33" t="s">
        <v>36</v>
      </c>
      <c r="Y7" s="33"/>
      <c r="Z7" s="33"/>
    </row>
    <row r="8" spans="1:26" ht="57.95">
      <c r="A8" s="33"/>
      <c r="B8" s="33"/>
      <c r="C8" s="33"/>
      <c r="D8" s="35"/>
      <c r="E8" s="33" t="s">
        <v>48</v>
      </c>
      <c r="F8" s="33" t="s">
        <v>49</v>
      </c>
      <c r="G8" s="36" t="s">
        <v>33</v>
      </c>
      <c r="H8" s="33">
        <v>2000</v>
      </c>
      <c r="I8" s="33" t="s">
        <v>50</v>
      </c>
      <c r="J8" s="33" t="s">
        <v>35</v>
      </c>
      <c r="K8" s="39">
        <v>0.5</v>
      </c>
      <c r="L8" s="46" t="s">
        <v>36</v>
      </c>
      <c r="M8" s="30"/>
      <c r="N8" s="47" t="s">
        <v>28</v>
      </c>
      <c r="O8" s="30"/>
      <c r="P8" s="30"/>
      <c r="Q8" s="30"/>
      <c r="R8" s="30"/>
      <c r="S8" s="23"/>
      <c r="T8" s="30"/>
      <c r="U8" s="23"/>
      <c r="X8" s="33" t="s">
        <v>36</v>
      </c>
      <c r="Y8" s="33"/>
      <c r="Z8" s="33"/>
    </row>
    <row r="9" spans="1:26" ht="45.75">
      <c r="A9" s="68">
        <v>6285</v>
      </c>
      <c r="B9" s="68" t="s">
        <v>51</v>
      </c>
      <c r="C9" s="70" t="s">
        <v>52</v>
      </c>
      <c r="D9" s="72">
        <v>1777000</v>
      </c>
      <c r="E9" s="33" t="s">
        <v>48</v>
      </c>
      <c r="F9" s="49" t="s">
        <v>32</v>
      </c>
      <c r="G9" s="33">
        <v>0</v>
      </c>
      <c r="H9" s="33">
        <v>10000</v>
      </c>
      <c r="I9" s="33" t="s">
        <v>53</v>
      </c>
      <c r="J9" s="33" t="s">
        <v>35</v>
      </c>
      <c r="K9" s="39">
        <v>0.5</v>
      </c>
      <c r="L9" s="46" t="s">
        <v>36</v>
      </c>
      <c r="M9" s="30"/>
      <c r="N9" s="47" t="s">
        <v>28</v>
      </c>
      <c r="O9" s="30"/>
      <c r="P9" s="30"/>
      <c r="Q9" s="30"/>
      <c r="R9" s="30"/>
      <c r="S9" s="23"/>
      <c r="T9" s="30"/>
      <c r="U9" s="23"/>
      <c r="X9" s="33" t="s">
        <v>36</v>
      </c>
      <c r="Y9" s="33"/>
      <c r="Z9" s="33"/>
    </row>
    <row r="10" spans="1:26" ht="30.75">
      <c r="A10" s="69"/>
      <c r="B10" s="69"/>
      <c r="C10" s="71"/>
      <c r="D10" s="73"/>
      <c r="F10" s="49" t="s">
        <v>54</v>
      </c>
      <c r="G10" s="50" t="s">
        <v>55</v>
      </c>
      <c r="H10">
        <v>12</v>
      </c>
      <c r="I10" s="49" t="s">
        <v>56</v>
      </c>
      <c r="J10" s="49" t="s">
        <v>35</v>
      </c>
      <c r="L10" s="51" t="s">
        <v>36</v>
      </c>
      <c r="N10" s="47" t="s">
        <v>28</v>
      </c>
    </row>
    <row r="11" spans="1:26" ht="45.75">
      <c r="A11" s="82">
        <v>127312</v>
      </c>
      <c r="B11" s="68" t="s">
        <v>57</v>
      </c>
      <c r="C11" s="76" t="s">
        <v>58</v>
      </c>
      <c r="D11" s="85">
        <v>7200000</v>
      </c>
      <c r="E11" t="s">
        <v>23</v>
      </c>
      <c r="F11" s="33" t="s">
        <v>59</v>
      </c>
      <c r="G11" s="50" t="s">
        <v>60</v>
      </c>
      <c r="H11" s="50" t="s">
        <v>60</v>
      </c>
      <c r="I11" s="49" t="s">
        <v>61</v>
      </c>
      <c r="J11" s="50" t="s">
        <v>62</v>
      </c>
      <c r="L11" s="51" t="s">
        <v>27</v>
      </c>
      <c r="N11" s="47" t="s">
        <v>28</v>
      </c>
    </row>
    <row r="12" spans="1:26" ht="29.1">
      <c r="A12" s="74"/>
      <c r="B12" s="83"/>
      <c r="C12" s="77"/>
      <c r="D12" s="86"/>
      <c r="E12" t="s">
        <v>44</v>
      </c>
      <c r="F12" s="49" t="s">
        <v>63</v>
      </c>
      <c r="G12" s="50" t="s">
        <v>60</v>
      </c>
      <c r="H12" s="50" t="s">
        <v>60</v>
      </c>
      <c r="I12" s="49" t="s">
        <v>64</v>
      </c>
      <c r="J12" s="50" t="s">
        <v>62</v>
      </c>
      <c r="L12" s="51" t="s">
        <v>27</v>
      </c>
      <c r="N12" s="47" t="s">
        <v>28</v>
      </c>
    </row>
    <row r="13" spans="1:26" ht="29.1">
      <c r="A13" s="74"/>
      <c r="B13" s="83"/>
      <c r="C13" s="77"/>
      <c r="D13" s="86"/>
      <c r="E13" t="s">
        <v>41</v>
      </c>
      <c r="F13" s="49" t="s">
        <v>65</v>
      </c>
      <c r="G13" s="50" t="s">
        <v>60</v>
      </c>
      <c r="H13" s="50" t="s">
        <v>60</v>
      </c>
      <c r="I13" s="49" t="s">
        <v>66</v>
      </c>
      <c r="J13" s="50" t="s">
        <v>62</v>
      </c>
      <c r="L13" s="51" t="s">
        <v>27</v>
      </c>
      <c r="N13" s="47" t="s">
        <v>28</v>
      </c>
    </row>
    <row r="14" spans="1:26" s="56" customFormat="1" ht="29.1">
      <c r="A14" s="75"/>
      <c r="B14" s="84"/>
      <c r="C14" s="78"/>
      <c r="D14" s="87"/>
      <c r="E14" s="56" t="s">
        <v>41</v>
      </c>
      <c r="F14" s="57" t="s">
        <v>67</v>
      </c>
      <c r="G14" s="58" t="s">
        <v>60</v>
      </c>
      <c r="H14" s="58" t="s">
        <v>60</v>
      </c>
      <c r="I14" s="57" t="s">
        <v>68</v>
      </c>
      <c r="J14" s="58" t="s">
        <v>62</v>
      </c>
      <c r="L14" s="59" t="s">
        <v>27</v>
      </c>
      <c r="N14" s="60" t="s">
        <v>28</v>
      </c>
    </row>
    <row r="15" spans="1:26" ht="41.1" customHeight="1">
      <c r="A15" s="74">
        <v>129089</v>
      </c>
      <c r="B15" s="74" t="s">
        <v>69</v>
      </c>
      <c r="C15" s="81" t="s">
        <v>58</v>
      </c>
      <c r="D15" s="79">
        <v>4905556</v>
      </c>
      <c r="E15" t="s">
        <v>23</v>
      </c>
      <c r="F15" s="55" t="s">
        <v>59</v>
      </c>
      <c r="G15" s="50" t="s">
        <v>60</v>
      </c>
      <c r="H15" s="50" t="s">
        <v>60</v>
      </c>
      <c r="I15" s="61" t="s">
        <v>70</v>
      </c>
      <c r="J15" s="50" t="s">
        <v>71</v>
      </c>
      <c r="L15" s="51" t="s">
        <v>27</v>
      </c>
    </row>
    <row r="16" spans="1:26" ht="29.1">
      <c r="A16" s="74"/>
      <c r="B16" s="74"/>
      <c r="C16" s="81"/>
      <c r="D16" s="79"/>
      <c r="E16" t="s">
        <v>44</v>
      </c>
      <c r="F16" s="49" t="s">
        <v>63</v>
      </c>
      <c r="G16" s="50" t="s">
        <v>60</v>
      </c>
      <c r="H16" s="50" t="s">
        <v>60</v>
      </c>
      <c r="I16" s="49" t="s">
        <v>72</v>
      </c>
      <c r="J16" s="50" t="s">
        <v>71</v>
      </c>
      <c r="L16" s="51" t="s">
        <v>27</v>
      </c>
    </row>
    <row r="17" spans="1:12" s="56" customFormat="1" ht="29.1">
      <c r="A17" s="74"/>
      <c r="B17" s="74"/>
      <c r="C17" s="71"/>
      <c r="D17" s="80"/>
      <c r="E17" s="56" t="s">
        <v>41</v>
      </c>
      <c r="F17" s="57" t="s">
        <v>65</v>
      </c>
      <c r="G17" s="58" t="s">
        <v>60</v>
      </c>
      <c r="H17" s="58" t="s">
        <v>60</v>
      </c>
      <c r="I17" s="57" t="s">
        <v>73</v>
      </c>
      <c r="J17" s="58" t="s">
        <v>71</v>
      </c>
      <c r="L17" s="59" t="s">
        <v>27</v>
      </c>
    </row>
    <row r="18" spans="1:12" ht="43.5">
      <c r="A18" s="74">
        <v>132184</v>
      </c>
      <c r="B18" s="74" t="s">
        <v>69</v>
      </c>
      <c r="C18" s="76" t="s">
        <v>58</v>
      </c>
      <c r="D18" s="79">
        <v>2222222</v>
      </c>
      <c r="E18" t="s">
        <v>23</v>
      </c>
      <c r="F18" s="55" t="s">
        <v>59</v>
      </c>
      <c r="G18" s="50" t="s">
        <v>60</v>
      </c>
      <c r="H18" s="50" t="s">
        <v>60</v>
      </c>
      <c r="I18" s="54" t="s">
        <v>74</v>
      </c>
      <c r="J18" s="50" t="s">
        <v>75</v>
      </c>
      <c r="L18" s="51" t="s">
        <v>27</v>
      </c>
    </row>
    <row r="19" spans="1:12" ht="29.1">
      <c r="A19" s="74"/>
      <c r="B19" s="74"/>
      <c r="C19" s="77"/>
      <c r="D19" s="79"/>
      <c r="E19" t="s">
        <v>44</v>
      </c>
      <c r="F19" s="49" t="s">
        <v>63</v>
      </c>
      <c r="G19" s="50" t="s">
        <v>60</v>
      </c>
      <c r="H19" s="50" t="s">
        <v>60</v>
      </c>
      <c r="I19" s="49" t="s">
        <v>76</v>
      </c>
      <c r="J19" s="50" t="s">
        <v>75</v>
      </c>
      <c r="L19" s="51" t="s">
        <v>27</v>
      </c>
    </row>
    <row r="20" spans="1:12" ht="29.1">
      <c r="A20" s="74"/>
      <c r="B20" s="74"/>
      <c r="C20" s="77"/>
      <c r="D20" s="79"/>
      <c r="E20" t="s">
        <v>41</v>
      </c>
      <c r="F20" s="49" t="s">
        <v>65</v>
      </c>
      <c r="G20" s="50" t="s">
        <v>60</v>
      </c>
      <c r="H20" s="50" t="s">
        <v>60</v>
      </c>
      <c r="I20" t="s">
        <v>77</v>
      </c>
      <c r="J20" s="50" t="s">
        <v>75</v>
      </c>
      <c r="L20" s="51" t="s">
        <v>27</v>
      </c>
    </row>
    <row r="21" spans="1:12" s="56" customFormat="1" ht="29.1">
      <c r="A21" s="75"/>
      <c r="B21" s="75"/>
      <c r="C21" s="78"/>
      <c r="D21" s="80"/>
      <c r="E21" s="56" t="s">
        <v>41</v>
      </c>
      <c r="F21" s="57" t="s">
        <v>67</v>
      </c>
      <c r="G21" s="58" t="s">
        <v>60</v>
      </c>
      <c r="H21" s="58" t="s">
        <v>60</v>
      </c>
      <c r="I21" s="63" t="s">
        <v>78</v>
      </c>
      <c r="J21" s="58" t="s">
        <v>75</v>
      </c>
      <c r="L21" s="59" t="s">
        <v>27</v>
      </c>
    </row>
    <row r="22" spans="1:12">
      <c r="A22" s="52"/>
      <c r="B22" s="52"/>
      <c r="C22" s="53"/>
      <c r="D22" s="62"/>
      <c r="F22" s="65"/>
      <c r="G22" s="64"/>
      <c r="H22" s="64"/>
      <c r="I22" s="66"/>
      <c r="J22" s="64"/>
      <c r="L22" s="52"/>
    </row>
  </sheetData>
  <autoFilter ref="A1:U21" xr:uid="{B60595EA-59F6-474E-B152-583725599006}"/>
  <mergeCells count="16">
    <mergeCell ref="A9:A10"/>
    <mergeCell ref="B9:B10"/>
    <mergeCell ref="C9:C10"/>
    <mergeCell ref="D9:D10"/>
    <mergeCell ref="A18:A21"/>
    <mergeCell ref="B18:B21"/>
    <mergeCell ref="C18:C21"/>
    <mergeCell ref="D18:D21"/>
    <mergeCell ref="A15:A17"/>
    <mergeCell ref="B15:B17"/>
    <mergeCell ref="D15:D17"/>
    <mergeCell ref="C15:C17"/>
    <mergeCell ref="A11:A14"/>
    <mergeCell ref="B11:B14"/>
    <mergeCell ref="C11:C14"/>
    <mergeCell ref="D11:D14"/>
  </mergeCells>
  <dataValidations count="9">
    <dataValidation type="list" allowBlank="1" showInputMessage="1" showErrorMessage="1" sqref="Q2:Q9" xr:uid="{E6FFE709-7971-4C32-A2AC-463594632CCD}">
      <formula1>"NDC Support, National Strategy, Legal Framework,Incentives and Support, Government Capacity-Building, Carbon Pricing and Monitoring, Financing Model, Business Model"</formula1>
    </dataValidation>
    <dataValidation type="list" allowBlank="1" showInputMessage="1" showErrorMessage="1" sqref="N2:N14" xr:uid="{108784E4-1C63-460E-A7ED-E941E787ACD6}">
      <formula1>"Accelerating just energy transition, Close the gap on energy access, Scale up energy finance"</formula1>
    </dataValidation>
    <dataValidation type="list" allowBlank="1" showInputMessage="1" showErrorMessage="1" sqref="O2:O9" xr:uid="{52E1A357-B5A0-4ED8-B137-496AA3D4802B}">
      <formula1>"Electricity Access, Energy Efficiency, Clean Cooking, Renewable Energy, Overall"</formula1>
    </dataValidation>
    <dataValidation type="list" allowBlank="1" showInputMessage="1" showErrorMessage="1" sqref="M2:M9" xr:uid="{FC23A893-5ABC-42D6-9DA4-75C8124AC454}">
      <formula1>"Finance, Gender, Efficiency, Just, Health"</formula1>
    </dataValidation>
    <dataValidation type="list" allowBlank="1" showInputMessage="1" showErrorMessage="1" sqref="T2:T9" xr:uid="{0AF3D544-D0A9-40E3-81AE-BBF6F1E93AA4}">
      <formula1>"National, Regional, City, Community"</formula1>
    </dataValidation>
    <dataValidation type="list" allowBlank="1" showInputMessage="1" showErrorMessage="1" sqref="P2:P9" xr:uid="{949CFAC1-162B-43E0-8D23-E872D2B6BE3E}">
      <formula1>"AMP, PUDC, Solar4Health, Action Opportunities, Italy UNDP Energy Partnership"</formula1>
    </dataValidation>
    <dataValidation type="list" allowBlank="1" showInputMessage="1" showErrorMessage="1" sqref="L2:L9" xr:uid="{717A4C45-E603-40A8-BE75-ED050FBF2ED6}">
      <formula1>"Non-VF, VF"</formula1>
    </dataValidation>
    <dataValidation type="list" allowBlank="1" showInputMessage="1" showErrorMessage="1" sqref="R2:R9" xr:uid="{5510C59B-2986-42E6-9628-C9063D938CB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9" xr:uid="{04077B47-D4C5-4030-A29B-382FCF727EF0}">
      <formula1>"Solar, Wind, Bioenergy, Hydro, Geothermal, Waste, Some Sources, Other, Unknown"</formula1>
    </dataValidation>
  </dataValidations>
  <hyperlinks>
    <hyperlink ref="C2" r:id="rId1" xr:uid="{93EC6422-B7DE-4C5B-B8D7-4A6CF7F1AEB5}"/>
    <hyperlink ref="C9" r:id="rId2" xr:uid="{16E5BD58-AF80-40A7-8AD1-49A2F4930AC2}"/>
    <hyperlink ref="C3" r:id="rId3" xr:uid="{11DAA5E2-60AE-4129-A5E3-A8297EE515AF}"/>
    <hyperlink ref="C11" r:id="rId4" xr:uid="{C9E4B838-BFDC-4D5B-8397-142116D0D60D}"/>
    <hyperlink ref="C15" r:id="rId5" xr:uid="{84428103-228E-409F-BA86-38C868651DC6}"/>
    <hyperlink ref="C18" r:id="rId6" xr:uid="{773AD667-2F3D-45EF-84DB-56BC2B75D1F1}"/>
    <hyperlink ref="C9:C10" r:id="rId7" display="https://co.pims.undp.org/project/view?id=6285" xr:uid="{EA3778F0-A753-455F-AC7A-C77D7A09A75A}"/>
  </hyperlinks>
  <pageMargins left="0.7" right="0.7" top="0.75" bottom="0.75" header="0.3" footer="0.3"/>
  <legacyDrawing r:id="rId8"/>
  <extLst>
    <ext xmlns:x14="http://schemas.microsoft.com/office/spreadsheetml/2009/9/main" uri="{CCE6A557-97BC-4b89-ADB6-D9C93CAAB3DF}">
      <x14:dataValidations xmlns:xm="http://schemas.microsoft.com/office/excel/2006/main" count="2">
        <x14:dataValidation type="list" allowBlank="1" showInputMessage="1" showErrorMessage="1" xr:uid="{E5D1BAEC-5D5E-4E5A-9CF0-709F90CF9FCC}">
          <x14:formula1>
            <xm:f>'Beneficiary Categories'!$A$2:$A$16</xm:f>
          </x14:formula1>
          <xm:sqref>E11:E22</xm:sqref>
        </x14:dataValidation>
        <x14:dataValidation type="list" allowBlank="1" showInputMessage="1" showErrorMessage="1" xr:uid="{7B4CDD62-ABAA-4742-8902-7B6FCAF7865A}">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5308-F14E-4D09-97CE-0ADFEAA0A16D}">
  <dimension ref="A1:N18"/>
  <sheetViews>
    <sheetView topLeftCell="B1" workbookViewId="0">
      <selection activeCell="S7" sqref="S7"/>
    </sheetView>
  </sheetViews>
  <sheetFormatPr defaultRowHeight="14.45"/>
  <cols>
    <col min="2" max="2" width="43.42578125" customWidth="1"/>
    <col min="3" max="3" width="20.7109375" customWidth="1"/>
    <col min="4" max="4" width="14.7109375" bestFit="1" customWidth="1"/>
    <col min="5" max="5" width="20.7109375" customWidth="1"/>
    <col min="6" max="6" width="35.5703125" customWidth="1"/>
    <col min="7" max="7" width="12.7109375" customWidth="1"/>
    <col min="8" max="8" width="19.28515625" customWidth="1"/>
    <col min="9" max="9" width="32.7109375" customWidth="1"/>
  </cols>
  <sheetData>
    <row r="1" spans="1:14">
      <c r="A1" s="13" t="s">
        <v>0</v>
      </c>
      <c r="B1" s="13" t="s">
        <v>1</v>
      </c>
      <c r="C1" s="13" t="s">
        <v>2</v>
      </c>
      <c r="D1" s="13" t="s">
        <v>3</v>
      </c>
      <c r="E1" s="13" t="s">
        <v>4</v>
      </c>
      <c r="F1" s="13" t="s">
        <v>5</v>
      </c>
      <c r="G1" s="13" t="s">
        <v>6</v>
      </c>
      <c r="H1" s="13" t="s">
        <v>7</v>
      </c>
      <c r="I1" s="13" t="s">
        <v>8</v>
      </c>
      <c r="J1" s="12" t="s">
        <v>9</v>
      </c>
      <c r="K1" s="12" t="s">
        <v>10</v>
      </c>
      <c r="L1" s="12" t="s">
        <v>79</v>
      </c>
      <c r="M1" s="12" t="s">
        <v>80</v>
      </c>
      <c r="N1" s="28" t="s">
        <v>81</v>
      </c>
    </row>
    <row r="2" spans="1:14" ht="60.75" customHeight="1">
      <c r="A2" s="14">
        <v>122808</v>
      </c>
      <c r="B2" s="14" t="s">
        <v>21</v>
      </c>
      <c r="C2" s="15" t="s">
        <v>22</v>
      </c>
      <c r="D2" s="16">
        <v>1055099</v>
      </c>
      <c r="E2" s="17" t="s">
        <v>23</v>
      </c>
      <c r="F2" s="18" t="s">
        <v>82</v>
      </c>
      <c r="G2" s="19">
        <v>0</v>
      </c>
      <c r="H2" s="20"/>
      <c r="I2" s="18" t="s">
        <v>25</v>
      </c>
      <c r="J2" s="88" t="s">
        <v>26</v>
      </c>
      <c r="K2" s="14"/>
      <c r="L2" s="88" t="s">
        <v>27</v>
      </c>
      <c r="M2" s="14"/>
      <c r="N2" s="29" t="s">
        <v>29</v>
      </c>
    </row>
    <row r="3" spans="1:14" ht="43.5">
      <c r="A3" s="14"/>
      <c r="B3" s="14"/>
      <c r="C3" s="15"/>
      <c r="D3" s="14"/>
      <c r="E3" s="17" t="s">
        <v>23</v>
      </c>
      <c r="F3" s="18" t="s">
        <v>83</v>
      </c>
      <c r="G3" s="19">
        <v>3</v>
      </c>
      <c r="H3" s="20">
        <v>20</v>
      </c>
      <c r="I3" s="18" t="s">
        <v>25</v>
      </c>
      <c r="J3" s="88"/>
      <c r="K3" s="14"/>
      <c r="L3" s="88"/>
      <c r="M3" s="14"/>
    </row>
    <row r="4" spans="1:14" ht="43.5">
      <c r="A4" s="14"/>
      <c r="B4" s="14"/>
      <c r="C4" s="15"/>
      <c r="D4" s="14"/>
      <c r="E4" s="17" t="s">
        <v>23</v>
      </c>
      <c r="F4" s="18" t="s">
        <v>84</v>
      </c>
      <c r="G4" s="19">
        <v>0</v>
      </c>
      <c r="H4" s="20">
        <v>25</v>
      </c>
      <c r="I4" s="18" t="s">
        <v>25</v>
      </c>
      <c r="J4" s="88"/>
      <c r="K4" s="14"/>
      <c r="L4" s="88"/>
      <c r="M4" s="14"/>
    </row>
    <row r="5" spans="1:14" ht="91.5" customHeight="1">
      <c r="A5" s="14"/>
      <c r="B5" s="14"/>
      <c r="C5" s="15"/>
      <c r="D5" s="14"/>
      <c r="E5" s="17" t="s">
        <v>85</v>
      </c>
      <c r="F5" s="18" t="s">
        <v>86</v>
      </c>
      <c r="G5" s="19">
        <v>0</v>
      </c>
      <c r="H5" s="20">
        <v>1</v>
      </c>
      <c r="I5" s="18" t="s">
        <v>25</v>
      </c>
      <c r="J5" s="88"/>
      <c r="K5" s="14"/>
      <c r="L5" s="88"/>
      <c r="M5" s="14"/>
    </row>
    <row r="6" spans="1:14" ht="121.5" customHeight="1">
      <c r="A6" s="14"/>
      <c r="B6" s="14"/>
      <c r="C6" s="15"/>
      <c r="D6" s="14"/>
      <c r="E6" s="17" t="s">
        <v>85</v>
      </c>
      <c r="F6" s="18" t="s">
        <v>87</v>
      </c>
      <c r="G6" s="19">
        <v>0</v>
      </c>
      <c r="H6" s="20">
        <v>12</v>
      </c>
      <c r="I6" s="18" t="s">
        <v>25</v>
      </c>
      <c r="J6" s="88"/>
      <c r="K6" s="14"/>
      <c r="L6" s="88"/>
      <c r="M6" s="14"/>
    </row>
    <row r="7" spans="1:14" ht="87">
      <c r="A7" s="14">
        <v>6388</v>
      </c>
      <c r="B7" s="14" t="s">
        <v>30</v>
      </c>
      <c r="C7" s="14" t="s">
        <v>88</v>
      </c>
      <c r="D7" s="16">
        <v>1505000</v>
      </c>
      <c r="E7" s="17" t="s">
        <v>23</v>
      </c>
      <c r="F7" s="21" t="s">
        <v>32</v>
      </c>
      <c r="G7" s="22" t="s">
        <v>33</v>
      </c>
      <c r="H7" s="21">
        <v>10000</v>
      </c>
      <c r="I7" s="21" t="s">
        <v>34</v>
      </c>
      <c r="J7" s="23"/>
      <c r="K7" s="24">
        <v>0.5</v>
      </c>
      <c r="L7" s="23" t="s">
        <v>36</v>
      </c>
      <c r="M7" s="14"/>
    </row>
    <row r="8" spans="1:14" ht="43.5">
      <c r="A8" s="14"/>
      <c r="B8" s="14"/>
      <c r="C8" s="14"/>
      <c r="D8" s="16"/>
      <c r="E8" s="17" t="s">
        <v>37</v>
      </c>
      <c r="F8" s="21" t="s">
        <v>38</v>
      </c>
      <c r="G8" s="22" t="s">
        <v>33</v>
      </c>
      <c r="H8" s="21" t="s">
        <v>89</v>
      </c>
      <c r="I8" s="21" t="s">
        <v>40</v>
      </c>
      <c r="J8" s="14"/>
      <c r="K8" s="14"/>
      <c r="L8" s="23" t="s">
        <v>36</v>
      </c>
      <c r="M8" s="14">
        <v>300000</v>
      </c>
    </row>
    <row r="9" spans="1:14">
      <c r="A9" s="14"/>
      <c r="B9" s="14"/>
      <c r="C9" s="14"/>
      <c r="D9" s="16"/>
      <c r="E9" s="17" t="s">
        <v>23</v>
      </c>
      <c r="F9" s="25" t="s">
        <v>42</v>
      </c>
      <c r="G9" s="22" t="s">
        <v>33</v>
      </c>
      <c r="H9" s="21" t="s">
        <v>90</v>
      </c>
      <c r="I9" s="21" t="s">
        <v>43</v>
      </c>
      <c r="J9" s="14"/>
      <c r="K9" s="14"/>
      <c r="L9" s="23" t="s">
        <v>36</v>
      </c>
      <c r="M9" s="14"/>
    </row>
    <row r="10" spans="1:14" ht="29.1">
      <c r="A10" s="14"/>
      <c r="B10" s="14"/>
      <c r="C10" s="14"/>
      <c r="D10" s="16"/>
      <c r="E10" s="17" t="s">
        <v>44</v>
      </c>
      <c r="F10" s="25" t="s">
        <v>45</v>
      </c>
      <c r="G10" s="22" t="s">
        <v>33</v>
      </c>
      <c r="H10" s="21">
        <v>1</v>
      </c>
      <c r="I10" s="21" t="s">
        <v>40</v>
      </c>
      <c r="J10" s="14"/>
      <c r="K10" s="14"/>
      <c r="L10" s="23" t="s">
        <v>36</v>
      </c>
      <c r="M10" s="14"/>
    </row>
    <row r="11" spans="1:14" ht="29.1">
      <c r="A11" s="14"/>
      <c r="B11" s="14"/>
      <c r="C11" s="14"/>
      <c r="D11" s="16"/>
      <c r="E11" s="17" t="s">
        <v>19</v>
      </c>
      <c r="F11" s="25" t="s">
        <v>91</v>
      </c>
      <c r="G11" s="22" t="s">
        <v>33</v>
      </c>
      <c r="H11" s="21"/>
      <c r="I11" s="21" t="s">
        <v>40</v>
      </c>
      <c r="J11" s="14"/>
      <c r="K11" s="14"/>
      <c r="L11" s="23" t="s">
        <v>36</v>
      </c>
      <c r="M11" s="14"/>
    </row>
    <row r="12" spans="1:14" ht="87">
      <c r="A12" s="14"/>
      <c r="B12" s="14"/>
      <c r="C12" s="14"/>
      <c r="D12" s="16"/>
      <c r="E12" s="17" t="s">
        <v>23</v>
      </c>
      <c r="F12" s="25" t="s">
        <v>92</v>
      </c>
      <c r="G12" s="22" t="s">
        <v>33</v>
      </c>
      <c r="H12" s="21"/>
      <c r="I12" s="21" t="s">
        <v>93</v>
      </c>
      <c r="J12" s="14"/>
      <c r="K12" s="14"/>
      <c r="L12" s="23" t="s">
        <v>36</v>
      </c>
      <c r="M12" s="14"/>
    </row>
    <row r="13" spans="1:14" ht="29.1">
      <c r="A13" s="14"/>
      <c r="B13" s="14"/>
      <c r="C13" s="14"/>
      <c r="D13" s="16"/>
      <c r="E13" s="17" t="s">
        <v>23</v>
      </c>
      <c r="F13" s="25" t="s">
        <v>94</v>
      </c>
      <c r="G13" s="22" t="s">
        <v>33</v>
      </c>
      <c r="H13" s="26"/>
      <c r="I13" s="21" t="s">
        <v>40</v>
      </c>
      <c r="J13" s="14"/>
      <c r="K13" s="14"/>
      <c r="L13" s="23" t="s">
        <v>36</v>
      </c>
      <c r="M13" s="14"/>
    </row>
    <row r="14" spans="1:14" ht="43.5">
      <c r="A14" s="14"/>
      <c r="B14" s="14"/>
      <c r="C14" s="14"/>
      <c r="D14" s="16"/>
      <c r="E14" s="17" t="s">
        <v>23</v>
      </c>
      <c r="F14" s="25" t="s">
        <v>95</v>
      </c>
      <c r="G14" s="22" t="s">
        <v>33</v>
      </c>
      <c r="H14" s="21"/>
      <c r="I14" s="21" t="s">
        <v>40</v>
      </c>
      <c r="J14" s="14"/>
      <c r="K14" s="14"/>
      <c r="L14" s="23" t="s">
        <v>36</v>
      </c>
      <c r="M14" s="14"/>
    </row>
    <row r="15" spans="1:14" ht="57.95">
      <c r="A15" s="14"/>
      <c r="B15" s="14"/>
      <c r="C15" s="14"/>
      <c r="D15" s="16"/>
      <c r="E15" s="17" t="s">
        <v>85</v>
      </c>
      <c r="F15" s="25" t="s">
        <v>49</v>
      </c>
      <c r="G15" s="22" t="s">
        <v>33</v>
      </c>
      <c r="H15" s="21">
        <v>2000</v>
      </c>
      <c r="I15" s="21" t="s">
        <v>50</v>
      </c>
      <c r="J15" s="14"/>
      <c r="K15" s="24">
        <v>0.5</v>
      </c>
      <c r="L15" s="23" t="s">
        <v>36</v>
      </c>
      <c r="M15" s="14"/>
    </row>
    <row r="16" spans="1:14">
      <c r="A16" s="14">
        <v>6285</v>
      </c>
      <c r="B16" s="14" t="s">
        <v>51</v>
      </c>
      <c r="C16" s="14" t="s">
        <v>88</v>
      </c>
      <c r="D16" s="14">
        <v>1777000</v>
      </c>
      <c r="E16" s="17"/>
      <c r="F16" s="17"/>
      <c r="G16" s="17"/>
      <c r="H16" s="17">
        <v>10000</v>
      </c>
      <c r="I16" s="17"/>
      <c r="J16" s="14"/>
      <c r="K16" s="14"/>
      <c r="L16" s="23" t="s">
        <v>36</v>
      </c>
      <c r="M16" s="14"/>
    </row>
    <row r="18" spans="1:1">
      <c r="A18" s="27"/>
    </row>
  </sheetData>
  <mergeCells count="2">
    <mergeCell ref="J2:J6"/>
    <mergeCell ref="L2:L6"/>
  </mergeCells>
  <dataValidations count="1">
    <dataValidation allowBlank="1" showInputMessage="1" showErrorMessage="1" sqref="E8" xr:uid="{DC7102A9-4D7D-473C-9BC5-86EF2618A147}"/>
  </dataValidations>
  <hyperlinks>
    <hyperlink ref="C2" r:id="rId1" xr:uid="{F33E28A8-530C-45A3-B12C-792BCC59A0D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E719516-1E8B-4B74-821C-2B4CB366CAB7}">
          <x14:formula1>
            <xm:f>'Beneficiary Categories'!$A$2:$A$16</xm:f>
          </x14:formula1>
          <xm:sqref>E2:E7 E9:E22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workbookViewId="0">
      <selection activeCell="J2" sqref="J2"/>
    </sheetView>
  </sheetViews>
  <sheetFormatPr defaultRowHeight="14.45"/>
  <cols>
    <col min="2" max="2" width="43.42578125" customWidth="1"/>
    <col min="3" max="3" width="20.7109375" customWidth="1"/>
    <col min="4" max="4" width="14.7109375" bestFit="1" customWidth="1"/>
    <col min="5" max="5" width="20.7109375" customWidth="1"/>
    <col min="6" max="6" width="35.5703125" customWidth="1"/>
    <col min="7" max="7" width="12.7109375" customWidth="1"/>
    <col min="8" max="8" width="19.28515625" customWidth="1"/>
    <col min="9" max="9" width="32.7109375" customWidth="1"/>
  </cols>
  <sheetData>
    <row r="1" spans="1:10">
      <c r="A1" s="1" t="s">
        <v>0</v>
      </c>
      <c r="B1" s="1" t="s">
        <v>1</v>
      </c>
      <c r="C1" s="1" t="s">
        <v>2</v>
      </c>
      <c r="D1" s="1" t="s">
        <v>3</v>
      </c>
      <c r="E1" s="1" t="s">
        <v>4</v>
      </c>
      <c r="F1" s="1" t="s">
        <v>5</v>
      </c>
      <c r="G1" s="1" t="s">
        <v>6</v>
      </c>
      <c r="H1" s="1" t="s">
        <v>7</v>
      </c>
      <c r="I1" s="1" t="s">
        <v>8</v>
      </c>
      <c r="J1" t="s">
        <v>9</v>
      </c>
    </row>
    <row r="2" spans="1:10" ht="29.1">
      <c r="A2">
        <v>122808</v>
      </c>
      <c r="B2" t="s">
        <v>21</v>
      </c>
      <c r="C2" s="2" t="s">
        <v>22</v>
      </c>
      <c r="D2" s="7">
        <v>1055099</v>
      </c>
      <c r="E2" s="3" t="s">
        <v>96</v>
      </c>
      <c r="F2" s="4" t="s">
        <v>82</v>
      </c>
      <c r="G2" s="5">
        <v>0</v>
      </c>
      <c r="H2" s="6" t="s">
        <v>97</v>
      </c>
      <c r="I2" s="4" t="s">
        <v>98</v>
      </c>
    </row>
    <row r="3" spans="1:10" ht="29.1">
      <c r="C3" s="2"/>
      <c r="E3" s="3" t="s">
        <v>96</v>
      </c>
      <c r="F3" s="4" t="s">
        <v>83</v>
      </c>
      <c r="G3" s="5">
        <v>3</v>
      </c>
      <c r="H3" s="6">
        <v>20</v>
      </c>
      <c r="I3" s="4" t="s">
        <v>98</v>
      </c>
    </row>
    <row r="4" spans="1:10" ht="29.1">
      <c r="C4" s="2"/>
      <c r="E4" s="3" t="s">
        <v>96</v>
      </c>
      <c r="F4" s="4" t="s">
        <v>84</v>
      </c>
      <c r="G4" s="5">
        <v>0</v>
      </c>
      <c r="H4" s="6">
        <v>25</v>
      </c>
      <c r="I4" s="4" t="s">
        <v>98</v>
      </c>
    </row>
    <row r="5" spans="1:10" ht="43.5">
      <c r="C5" s="2"/>
      <c r="E5" s="3" t="s">
        <v>96</v>
      </c>
      <c r="F5" s="4" t="s">
        <v>86</v>
      </c>
      <c r="G5" s="5">
        <v>0</v>
      </c>
      <c r="H5" s="6">
        <v>1</v>
      </c>
      <c r="I5" s="4" t="s">
        <v>98</v>
      </c>
    </row>
    <row r="6" spans="1:10" ht="57.95">
      <c r="C6" s="2"/>
      <c r="E6" s="3" t="s">
        <v>96</v>
      </c>
      <c r="F6" s="4" t="s">
        <v>87</v>
      </c>
      <c r="G6" s="5">
        <v>0</v>
      </c>
      <c r="H6" s="6">
        <v>12</v>
      </c>
      <c r="I6" s="4" t="s">
        <v>98</v>
      </c>
    </row>
    <row r="7" spans="1:10" ht="87">
      <c r="A7">
        <v>6388</v>
      </c>
      <c r="B7" t="s">
        <v>30</v>
      </c>
      <c r="C7" t="s">
        <v>88</v>
      </c>
      <c r="D7" s="7">
        <v>1505000</v>
      </c>
      <c r="E7" s="3" t="s">
        <v>96</v>
      </c>
      <c r="F7" s="10" t="s">
        <v>32</v>
      </c>
      <c r="G7" s="9" t="s">
        <v>33</v>
      </c>
      <c r="H7" s="10" t="s">
        <v>99</v>
      </c>
      <c r="I7" s="10" t="s">
        <v>34</v>
      </c>
    </row>
    <row r="8" spans="1:10" ht="43.5">
      <c r="D8" s="7"/>
      <c r="E8" s="3" t="s">
        <v>96</v>
      </c>
      <c r="F8" s="10" t="s">
        <v>38</v>
      </c>
      <c r="G8" s="9" t="s">
        <v>33</v>
      </c>
      <c r="H8" s="10" t="s">
        <v>100</v>
      </c>
      <c r="I8" s="10" t="s">
        <v>43</v>
      </c>
    </row>
    <row r="9" spans="1:10">
      <c r="D9" s="7"/>
      <c r="E9" s="3" t="s">
        <v>96</v>
      </c>
      <c r="F9" s="8" t="s">
        <v>42</v>
      </c>
      <c r="G9" s="9" t="s">
        <v>33</v>
      </c>
      <c r="H9" s="10" t="s">
        <v>90</v>
      </c>
      <c r="I9" s="10" t="s">
        <v>43</v>
      </c>
    </row>
    <row r="10" spans="1:10" ht="29.1">
      <c r="D10" s="7"/>
      <c r="E10" s="3" t="s">
        <v>96</v>
      </c>
      <c r="F10" s="8" t="s">
        <v>45</v>
      </c>
      <c r="G10" s="9" t="s">
        <v>33</v>
      </c>
      <c r="H10" s="10" t="s">
        <v>101</v>
      </c>
      <c r="I10" s="10" t="s">
        <v>43</v>
      </c>
    </row>
    <row r="11" spans="1:10" ht="29.1">
      <c r="D11" s="7"/>
      <c r="E11" s="3" t="s">
        <v>96</v>
      </c>
      <c r="F11" s="8" t="s">
        <v>91</v>
      </c>
      <c r="G11" s="9" t="s">
        <v>33</v>
      </c>
      <c r="H11" s="10" t="s">
        <v>102</v>
      </c>
      <c r="I11" s="10" t="s">
        <v>43</v>
      </c>
    </row>
    <row r="12" spans="1:10" ht="116.1">
      <c r="D12" s="7"/>
      <c r="E12" s="3" t="s">
        <v>96</v>
      </c>
      <c r="F12" s="8" t="s">
        <v>92</v>
      </c>
      <c r="G12" s="9" t="s">
        <v>33</v>
      </c>
      <c r="H12" s="10" t="s">
        <v>103</v>
      </c>
      <c r="I12" s="10" t="s">
        <v>43</v>
      </c>
    </row>
    <row r="13" spans="1:10">
      <c r="D13" s="7"/>
      <c r="E13" s="3" t="s">
        <v>96</v>
      </c>
      <c r="F13" s="8" t="s">
        <v>94</v>
      </c>
      <c r="G13" s="9" t="s">
        <v>33</v>
      </c>
      <c r="H13" s="11">
        <v>28</v>
      </c>
      <c r="I13" s="10" t="s">
        <v>43</v>
      </c>
    </row>
    <row r="14" spans="1:10" ht="43.5">
      <c r="D14" s="7"/>
      <c r="E14" s="3" t="s">
        <v>96</v>
      </c>
      <c r="F14" s="8" t="s">
        <v>95</v>
      </c>
      <c r="G14" s="9" t="s">
        <v>33</v>
      </c>
      <c r="H14" s="10" t="s">
        <v>104</v>
      </c>
      <c r="I14" s="10" t="s">
        <v>43</v>
      </c>
    </row>
    <row r="15" spans="1:10" ht="57.95">
      <c r="D15" s="7"/>
      <c r="E15" s="3" t="s">
        <v>96</v>
      </c>
      <c r="F15" s="8" t="s">
        <v>49</v>
      </c>
      <c r="G15" s="9" t="s">
        <v>33</v>
      </c>
      <c r="H15" s="10" t="s">
        <v>105</v>
      </c>
      <c r="I15" s="10" t="s">
        <v>50</v>
      </c>
    </row>
    <row r="16" spans="1:10">
      <c r="A16">
        <v>6285</v>
      </c>
      <c r="B16" t="s">
        <v>51</v>
      </c>
      <c r="C16" t="s">
        <v>88</v>
      </c>
      <c r="D16">
        <v>1777000</v>
      </c>
      <c r="E16" s="3"/>
      <c r="F16" s="3"/>
      <c r="G16" s="3"/>
      <c r="H16" s="3">
        <v>10000</v>
      </c>
      <c r="I16" s="3"/>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3" workbookViewId="0"/>
  </sheetViews>
  <sheetFormatPr defaultRowHeight="14.45"/>
  <cols>
    <col min="1" max="2" width="52.7109375" customWidth="1"/>
  </cols>
  <sheetData>
    <row r="1" spans="1:2">
      <c r="A1" s="40" t="s">
        <v>4</v>
      </c>
      <c r="B1" s="40" t="s">
        <v>5</v>
      </c>
    </row>
    <row r="2" spans="1:2" ht="43.5">
      <c r="A2" s="89" t="s">
        <v>106</v>
      </c>
      <c r="B2" s="41" t="s">
        <v>107</v>
      </c>
    </row>
    <row r="3" spans="1:2">
      <c r="A3" s="89" t="s">
        <v>44</v>
      </c>
      <c r="B3" s="41" t="s">
        <v>108</v>
      </c>
    </row>
    <row r="4" spans="1:2" ht="29.1">
      <c r="A4" s="89" t="s">
        <v>109</v>
      </c>
      <c r="B4" s="41" t="s">
        <v>110</v>
      </c>
    </row>
    <row r="5" spans="1:2" ht="29.1">
      <c r="A5" s="89" t="s">
        <v>111</v>
      </c>
      <c r="B5" s="41" t="s">
        <v>112</v>
      </c>
    </row>
    <row r="6" spans="1:2" ht="87">
      <c r="A6" s="89" t="s">
        <v>113</v>
      </c>
      <c r="B6" s="41" t="s">
        <v>114</v>
      </c>
    </row>
    <row r="7" spans="1:2" ht="43.5">
      <c r="A7" s="89" t="s">
        <v>115</v>
      </c>
      <c r="B7" s="41" t="s">
        <v>116</v>
      </c>
    </row>
    <row r="8" spans="1:2" ht="43.5">
      <c r="A8" s="89" t="s">
        <v>117</v>
      </c>
      <c r="B8" s="41" t="s">
        <v>118</v>
      </c>
    </row>
    <row r="9" spans="1:2" ht="43.5">
      <c r="A9" s="89" t="s">
        <v>119</v>
      </c>
      <c r="B9" s="41" t="s">
        <v>120</v>
      </c>
    </row>
    <row r="10" spans="1:2" ht="29.1">
      <c r="A10" s="89" t="s">
        <v>121</v>
      </c>
      <c r="B10" s="90" t="s">
        <v>122</v>
      </c>
    </row>
    <row r="11" spans="1:2" ht="29.1">
      <c r="A11" s="89" t="s">
        <v>41</v>
      </c>
      <c r="B11" s="90" t="s">
        <v>123</v>
      </c>
    </row>
    <row r="12" spans="1:2" ht="43.5">
      <c r="A12" s="89" t="s">
        <v>124</v>
      </c>
      <c r="B12" s="41" t="s">
        <v>125</v>
      </c>
    </row>
    <row r="13" spans="1:2" ht="29.1">
      <c r="A13" s="89" t="s">
        <v>23</v>
      </c>
      <c r="B13" s="90" t="s">
        <v>126</v>
      </c>
    </row>
    <row r="14" spans="1:2">
      <c r="A14" s="89" t="s">
        <v>127</v>
      </c>
      <c r="B14" s="90" t="s">
        <v>128</v>
      </c>
    </row>
    <row r="15" spans="1:2" ht="29.1">
      <c r="A15" s="89" t="s">
        <v>129</v>
      </c>
      <c r="B15" s="90" t="s">
        <v>130</v>
      </c>
    </row>
    <row r="16" spans="1:2" ht="29.1">
      <c r="A16" s="89" t="s">
        <v>131</v>
      </c>
      <c r="B16" s="90" t="s">
        <v>132</v>
      </c>
    </row>
    <row r="17" spans="1:2" ht="29.1">
      <c r="A17" s="89" t="s">
        <v>48</v>
      </c>
      <c r="B17" s="41" t="s">
        <v>133</v>
      </c>
    </row>
    <row r="18" spans="1:2" ht="29.1">
      <c r="A18" s="89" t="s">
        <v>134</v>
      </c>
      <c r="B18" s="90" t="s">
        <v>135</v>
      </c>
    </row>
    <row r="19" spans="1:2" ht="72.599999999999994">
      <c r="A19" s="89" t="s">
        <v>136</v>
      </c>
      <c r="B19" s="90" t="s">
        <v>137</v>
      </c>
    </row>
    <row r="20" spans="1:2" ht="29.1">
      <c r="A20" s="89" t="s">
        <v>138</v>
      </c>
      <c r="B20" s="90" t="s">
        <v>139</v>
      </c>
    </row>
    <row r="21" spans="1:2" ht="43.5">
      <c r="A21" s="89" t="s">
        <v>19</v>
      </c>
      <c r="B21" s="91" t="s">
        <v>140</v>
      </c>
    </row>
    <row r="22" spans="1:2" ht="29.1">
      <c r="A22" s="89" t="s">
        <v>96</v>
      </c>
      <c r="B22" s="90" t="s">
        <v>141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06756A-F120-411C-9681-B6A6BBE09C5B}"/>
</file>

<file path=customXml/itemProps2.xml><?xml version="1.0" encoding="utf-8"?>
<ds:datastoreItem xmlns:ds="http://schemas.openxmlformats.org/officeDocument/2006/customXml" ds:itemID="{FF437C67-40ED-4AFC-AAD6-8C1F78EC780A}"/>
</file>

<file path=customXml/itemProps3.xml><?xml version="1.0" encoding="utf-8"?>
<ds:datastoreItem xmlns:ds="http://schemas.openxmlformats.org/officeDocument/2006/customXml" ds:itemID="{726FAFA1-4912-493A-A6C8-CCDAC2F47F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2025-02-27T22:42:40Z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