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19"/>
  <workbookPr defaultThemeVersion="124226"/>
  <mc:AlternateContent xmlns:mc="http://schemas.openxmlformats.org/markup-compatibility/2006">
    <mc:Choice Requires="x15">
      <x15ac:absPath xmlns:x15ac="http://schemas.microsoft.com/office/spreadsheetml/2010/11/ac" url="C:\Users\juliana.ferreira\Downloads\"/>
    </mc:Choice>
  </mc:AlternateContent>
  <xr:revisionPtr revIDLastSave="170" documentId="13_ncr:1_{BDA85394-75DD-41A1-B8FF-18D92543FE39}" xr6:coauthVersionLast="47" xr6:coauthVersionMax="47" xr10:uidLastSave="{E550ED68-AB07-423A-A53B-884D2119FB05}"/>
  <bookViews>
    <workbookView xWindow="20370" yWindow="-4725" windowWidth="29040" windowHeight="1572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<sst xmlns="http://schemas.openxmlformats.org/spreadsheetml/2006/main" count="167" uniqueCount="98">
  <si>
    <t>Project ID</t>
  </si>
  <si>
    <t>Title</t>
  </si>
  <si>
    <t>Link</t>
  </si>
  <si>
    <t>Budget</t>
  </si>
  <si>
    <t>Beneficiary Category</t>
  </si>
  <si>
    <t>Indicator</t>
  </si>
  <si>
    <t>Baseline</t>
  </si>
  <si>
    <t>Target</t>
  </si>
  <si>
    <t>Notes</t>
  </si>
  <si>
    <t xml:space="preserve">Donors </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</si>
  <si>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</si>
  <si>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</si>
  <si>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</si>
  <si>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</si>
  <si>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</si>
  <si>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</si>
  <si>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</si>
  <si>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</si>
  <si>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</si>
  <si>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</si>
  <si>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</si>
  <si>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</si>
  <si>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BRA/22/007 Desenvolvimento Sul do Piaui</t>
  </si>
  <si>
    <t>https://open.undp.org/projects/00143571</t>
  </si>
  <si>
    <t>Clean Cooking</t>
  </si>
  <si>
    <t>The number of beneficiaries</t>
  </si>
  <si>
    <r>
      <rPr>
        <sz val="11"/>
        <color rgb="FF000000"/>
        <rFont val="Calibri"/>
        <scheme val="minor"/>
      </rPr>
      <t xml:space="preserve">The project will implement sustainable social technologies based on the use of soil, water and biodiversity conservation technologies in degraded areas, in a participatory manner, for families affected by environmental damage, including: construction of zero-base dams (BBZ), implementation of Integration systems Crop-Livestock-Forest (ILPF) and Agroforestry Systems (SAFs), construction of ecological stoves, cisterns for capturing and storing water for human consumption, production and installation of sanitary units (Tevap septic tank, biodigestor tank, round bathroom), oven ecological, sertanejo biodigester, gray water reuse system, among others;
</t>
    </r>
    <r>
      <rPr>
        <sz val="11"/>
        <color rgb="FFFF0000"/>
        <rFont val="Calibri"/>
        <scheme val="minor"/>
      </rPr>
      <t>Clean cooking activity has been cancelled as of 2024</t>
    </r>
  </si>
  <si>
    <t>Enel</t>
  </si>
  <si>
    <t>Non-VF</t>
  </si>
  <si>
    <t>Accelerating just energy transition</t>
  </si>
  <si>
    <t>Yes</t>
  </si>
  <si>
    <t>Water Services</t>
  </si>
  <si>
    <t>Number of project beneficiary families with access to water at home</t>
  </si>
  <si>
    <t>155 HH</t>
  </si>
  <si>
    <r>
      <rPr>
        <sz val="11"/>
        <color rgb="FF000000"/>
        <rFont val="Calibri"/>
        <scheme val="minor"/>
      </rPr>
      <t xml:space="preserve">Complete execution of the construction of water distribution installations, to be built in the municipality of São Gonçalo do Gurguéia – PI, in the Macaco, Araras, Cipoal, Barra do Brejo, Buritizinho, Burito do Meio and Burito Grande communities. The project will install infrastructure to promote access to water for all families in the communities in the area direct influenced by the solar plant and adjacent communities. The sizing and engineering project will be previously developed and made available by ENEL (donor), after alignments with the government of the municipality of São Gonçalo do Gurguéia and the government of the State of Piaui.
</t>
    </r>
    <r>
      <rPr>
        <sz val="11"/>
        <color rgb="FFFF0000"/>
        <rFont val="Calibri"/>
        <scheme val="minor"/>
      </rPr>
      <t>Clean cooking activity has been cancelled as of 2024</t>
    </r>
  </si>
  <si>
    <t>Capacity Building Training</t>
  </si>
  <si>
    <t>Number of students and teachers from São Gonçalo and surrounding municipalities trained in environmental protection practices in degraded areas/use of environmental assets and sustainable energy;</t>
  </si>
  <si>
    <r>
      <rPr>
        <sz val="11"/>
        <color rgb="FF000000"/>
        <rFont val="Calibri"/>
        <scheme val="minor"/>
      </rPr>
      <t xml:space="preserve">This activity/indicator is part of a broader project scope. An environmental training program for public schools will be conducted with two priority focuses: i) conservation of natural resources and control of the environment, especially the local biome, encouraging new habits and sustainable practices; and ii) renewable energies, environment and sustainability.
</t>
    </r>
    <r>
      <rPr>
        <sz val="11"/>
        <color rgb="FFFF0000"/>
        <rFont val="Calibri"/>
        <scheme val="minor"/>
      </rPr>
      <t>Students with capacity activities on:
   i.    Water resources: 780
   ii.      Fire and recovery of degraded areas: 871
  iii.      Solid waste: to be carried out until 12/2024</t>
    </r>
  </si>
  <si>
    <t>N/A</t>
  </si>
  <si>
    <t>Greening Moonshot Facility</t>
  </si>
  <si>
    <t>https://undpgreeningmoonshot.exposure.co/greening-the-blue-in-brazil</t>
  </si>
  <si>
    <t>Energy (MW added)</t>
  </si>
  <si>
    <t>Installed capacity in MW of solar power panels at UN House Brazil</t>
  </si>
  <si>
    <r>
      <rPr>
        <sz val="11"/>
        <color rgb="FF000000"/>
        <rFont val="Calibri"/>
        <scheme val="minor"/>
      </rPr>
      <t xml:space="preserve">MWh produced by solar power panels at UN House Brazil
2021	50.47
2022	217.73
2023	182.68
2024**	155.28
Target: 426865 MWh
</t>
    </r>
    <r>
      <rPr>
        <sz val="11"/>
        <color rgb="FFFF0000"/>
        <rFont val="Calibri"/>
        <scheme val="minor"/>
      </rPr>
      <t>Total Capacity = 660panels × 0.4kW = 264kW = 0.264MW
Assuming an average of 400 W (0.4 kW) per panel</t>
    </r>
  </si>
  <si>
    <t>Category</t>
  </si>
  <si>
    <t>Comments</t>
  </si>
  <si>
    <t>Clean cooking</t>
  </si>
  <si>
    <t>The project will implement sustainable social technologies based on the use of soil, water and biodiversity conservation technologies in degraded areas, in a participatory manner, for families affected by environmental damage, including: construction of zero-base dams (BBZ), implementation of Integration systems Crop-Livestock-Forest (ILPF) and Agroforestry Systems (SAFs), construction of ecological stoves, cisterns for capturing and storing water for human consumption, production and installation of sanitary units (Tevap septic tank, biodigestor tank, round bathroom), oven ecological, sertanejo biodigester, gray water reuse system, among others;</t>
  </si>
  <si>
    <t>Complete execution of the construction of water distribution installations, to be built in the municipality of São Gonçalo do Gurguéia – PI, in the Macaco, Araras, Cipoal, Barra do Brejo, Buritizinho, Burito do Meio and Burito Grande communities. The project will install infrastructure to promote access to water for all families in the communities in the area direct influenced by the solar plant and adjacent communities. The sizing and engineering project will be previously developed and made available by ENEL (donor), after alignments with the government of the municipality of São Gonçalo do Gurguéia and the government of the State of Piaui</t>
  </si>
  <si>
    <t>Energy Efficiency</t>
  </si>
  <si>
    <t>Capacity Training</t>
  </si>
  <si>
    <t>This activity/indicator is part of a broader project scope. An environmental training program for public schools will be conducted with two priority focuses: i) conservation of natural resources and control of the environment, especially the local biome, encouraging new habits and sustainable practices; and ii) renewable energies, environment and sustainability.</t>
  </si>
  <si>
    <t>Renewable Energy</t>
  </si>
  <si>
    <t> </t>
  </si>
  <si>
    <t>Number of sustainable social technologies implemented among the participating families</t>
  </si>
  <si>
    <t>70% of beneficiary families assisted in 5 participating communities</t>
  </si>
  <si>
    <t xml:space="preserve">Please can you provide donors info ? </t>
  </si>
  <si>
    <t xml:space="preserve">5 participating communities need their population defined to identify the number of beneficiaries </t>
  </si>
  <si>
    <t>The number of beneficiaries by the project is close to 415 people from 83 families, as informed below.</t>
  </si>
  <si>
    <t>The municipality of São Gonçalo do Gurgueia (communities of Barra do Brejo, Macacos, Buritizinho, Buriti do Meio, Kelemento/Buriti Grande, Araras e Cipoal)  has a population of 3071 people. The project is benefiting 83 families, around 415 people.
https://cidades.ibge.gov.br/brasil/pi/sao-goncalo-do-gurgueia/panorama
https://www.undp.org/pt/brazil/news/pnud-trabalha-para-fortalecer-comunidades-do-piaui-na-busca-por-mais-seguranca-hidrica</t>
  </si>
  <si>
    <t>100% of beneficiary families assisted (close to 155 families)</t>
  </si>
  <si>
    <t>Electricity Access</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</si>
  <si>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</si>
  <si>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</si>
  <si>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</si>
  <si>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</si>
  <si>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</si>
  <si>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</si>
  <si>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</si>
  <si>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</si>
  <si>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</si>
  <si>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</si>
  <si>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</si>
  <si>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</si>
  <si>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</si>
  <si>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</si>
  <si>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</si>
  <si>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</si>
  <si>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Infrastructire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</si>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</sst>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11">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b/>
      <sz val="11"/>
      <color rgb="FFFF0000"/>
      <name val="Calibri"/>
      <family val="2"/>
    </font>
    <font>
      <b/>
      <sz val="11"/>
      <color rgb="FFFF0000"/>
      <name val="Calibri"/>
      <family val="2"/>
      <scheme val="minor"/>
    </font>
    <font>
      <sz val="11"/>
      <color theme="1"/>
      <name val="Calibri"/>
      <family val="2"/>
      <charset val="1"/>
    </font>
    <font>
      <sz val="11"/>
      <color rgb="FF000000"/>
      <name val="Calibri"/>
      <charset val="1"/>
    </font>
    <font>
      <b/>
      <sz val="11"/>
      <color theme="1"/>
      <name val="Calibri"/>
      <scheme val="minor"/>
    </font>
    <font>
      <sz val="11"/>
      <color rgb="FF000000"/>
      <name val="Calibri"/>
      <scheme val="minor"/>
    </font>
    <font>
      <sz val="11"/>
      <color rgb="FFFF0000"/>
      <name val="Calibri"/>
      <scheme val="minor"/>
    </font>
  </fonts>
  <fills count="3">
    <fill>
      <patternFill patternType="none"/>
    </fill>
    <fill>
      <patternFill patternType="gray125"/>
    </fill>
    <fill>
      <patternFill patternType="solid">
        <fgColor rgb="FFFFE497"/>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2">
    <xf numFmtId="0" fontId="0" fillId="0" borderId="0"/>
    <xf numFmtId="0" fontId="3" fillId="0" borderId="0" applyNumberFormat="0" applyFill="0" applyBorder="0" applyAlignment="0" applyProtection="0"/>
  </cellStyleXfs>
  <cellXfs count="61">
    <xf numFmtId="0" fontId="0" fillId="0" borderId="0" xfId="0"/>
    <xf numFmtId="0" fontId="2" fillId="0" borderId="1" xfId="0" applyFont="1" applyBorder="1" applyAlignment="1">
      <alignment horizontal="center" vertical="center" wrapText="1"/>
    </xf>
    <xf numFmtId="0" fontId="0" fillId="0" borderId="0" xfId="0" applyAlignment="1">
      <alignment vertical="center" wrapText="1"/>
    </xf>
    <xf numFmtId="0" fontId="0" fillId="2" borderId="0" xfId="0" applyFill="1" applyAlignment="1">
      <alignment vertical="center" wrapText="1"/>
    </xf>
    <xf numFmtId="0" fontId="2" fillId="0" borderId="3" xfId="0" applyFont="1" applyBorder="1"/>
    <xf numFmtId="0" fontId="4" fillId="0" borderId="0" xfId="0" applyFont="1" applyAlignment="1">
      <alignment vertical="center"/>
    </xf>
    <xf numFmtId="0" fontId="5" fillId="0" borderId="0" xfId="0" applyFont="1" applyAlignment="1">
      <alignment vertical="center" wrapText="1"/>
    </xf>
    <xf numFmtId="0" fontId="2" fillId="0" borderId="0" xfId="0" applyFont="1" applyAlignment="1">
      <alignment vertical="center" wrapText="1"/>
    </xf>
    <xf numFmtId="0" fontId="6" fillId="0" borderId="0" xfId="0" applyFont="1"/>
    <xf numFmtId="0" fontId="3" fillId="0" borderId="0" xfId="1"/>
    <xf numFmtId="0" fontId="6" fillId="0" borderId="0" xfId="0" applyFont="1" applyAlignment="1">
      <alignment vertical="center" wrapText="1"/>
    </xf>
    <xf numFmtId="0" fontId="7" fillId="0" borderId="0" xfId="0" applyFont="1"/>
    <xf numFmtId="0" fontId="2" fillId="0" borderId="0" xfId="0" applyFont="1"/>
    <xf numFmtId="0" fontId="2" fillId="0" borderId="4" xfId="0" applyFont="1" applyBorder="1"/>
    <xf numFmtId="0" fontId="0" fillId="0" borderId="4" xfId="0" applyBorder="1" applyAlignment="1">
      <alignment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0" fillId="0" borderId="2" xfId="0" applyBorder="1" applyAlignment="1">
      <alignment vertical="center" wrapText="1"/>
    </xf>
    <xf numFmtId="0" fontId="0" fillId="0" borderId="7" xfId="0" applyBorder="1" applyAlignment="1">
      <alignment vertical="center" wrapText="1"/>
    </xf>
    <xf numFmtId="0" fontId="3" fillId="0" borderId="7" xfId="1" applyFill="1" applyBorder="1" applyAlignment="1">
      <alignment vertical="center" wrapText="1"/>
    </xf>
    <xf numFmtId="164" fontId="0" fillId="0" borderId="7" xfId="0" applyNumberFormat="1" applyBorder="1" applyAlignment="1">
      <alignment vertical="center" wrapText="1"/>
    </xf>
    <xf numFmtId="0" fontId="7" fillId="0" borderId="4" xfId="0" applyFont="1" applyBorder="1" applyAlignment="1">
      <alignment wrapText="1"/>
    </xf>
    <xf numFmtId="0" fontId="5" fillId="0" borderId="4" xfId="0" applyFont="1" applyBorder="1" applyAlignment="1">
      <alignment vertical="center" wrapText="1"/>
    </xf>
    <xf numFmtId="0" fontId="4" fillId="0" borderId="4" xfId="0" applyFont="1" applyBorder="1" applyAlignment="1">
      <alignment vertical="center"/>
    </xf>
    <xf numFmtId="0" fontId="0" fillId="0" borderId="8" xfId="0" applyBorder="1" applyAlignment="1">
      <alignment vertical="center" wrapText="1"/>
    </xf>
    <xf numFmtId="0" fontId="0" fillId="0" borderId="9" xfId="0" applyBorder="1" applyAlignment="1">
      <alignment vertical="center" wrapText="1"/>
    </xf>
    <xf numFmtId="0" fontId="3" fillId="0" borderId="9" xfId="1" applyFill="1" applyBorder="1" applyAlignment="1">
      <alignment vertical="center" wrapText="1"/>
    </xf>
    <xf numFmtId="164" fontId="0" fillId="0" borderId="10" xfId="0" applyNumberFormat="1" applyBorder="1" applyAlignment="1">
      <alignment vertical="center" wrapText="1"/>
    </xf>
    <xf numFmtId="0" fontId="0" fillId="0" borderId="6" xfId="0" applyBorder="1" applyAlignment="1">
      <alignment vertical="center" wrapText="1"/>
    </xf>
    <xf numFmtId="0" fontId="2" fillId="0" borderId="4" xfId="0" applyFont="1" applyBorder="1" applyAlignment="1">
      <alignment horizontal="center"/>
    </xf>
    <xf numFmtId="0" fontId="0" fillId="0" borderId="4" xfId="0" applyBorder="1" applyAlignment="1">
      <alignment horizontal="center" vertical="center"/>
    </xf>
    <xf numFmtId="0" fontId="8" fillId="0" borderId="4" xfId="0" applyFont="1" applyBorder="1" applyAlignment="1">
      <alignment horizontal="center" vertical="top" wrapText="1"/>
    </xf>
    <xf numFmtId="0" fontId="9" fillId="0" borderId="4" xfId="0" applyFont="1" applyBorder="1" applyAlignment="1">
      <alignment wrapText="1"/>
    </xf>
    <xf numFmtId="0" fontId="2" fillId="0" borderId="7" xfId="0" applyFont="1" applyBorder="1" applyAlignment="1">
      <alignment horizontal="center"/>
    </xf>
    <xf numFmtId="0" fontId="2" fillId="0" borderId="8" xfId="0" applyFont="1" applyBorder="1" applyAlignment="1">
      <alignment horizontal="center"/>
    </xf>
    <xf numFmtId="0" fontId="2" fillId="0" borderId="7" xfId="0" applyFont="1" applyBorder="1"/>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4" xfId="0" applyBorder="1" applyAlignment="1">
      <alignment vertical="center"/>
    </xf>
    <xf numFmtId="0" fontId="0" fillId="0" borderId="12" xfId="0" applyBorder="1" applyAlignment="1">
      <alignment vertical="center" wrapText="1"/>
    </xf>
    <xf numFmtId="0" fontId="3" fillId="0" borderId="0" xfId="1" applyFill="1" applyBorder="1" applyAlignment="1">
      <alignment vertical="center" wrapText="1"/>
    </xf>
    <xf numFmtId="164" fontId="0" fillId="0" borderId="13" xfId="0" applyNumberFormat="1" applyBorder="1" applyAlignment="1">
      <alignment vertical="center" wrapText="1"/>
    </xf>
    <xf numFmtId="0" fontId="0" fillId="0" borderId="10" xfId="0" applyBorder="1" applyAlignment="1">
      <alignment vertical="center" wrapText="1"/>
    </xf>
    <xf numFmtId="0" fontId="5" fillId="0" borderId="7" xfId="0" applyFont="1" applyBorder="1" applyAlignment="1">
      <alignment vertical="center" wrapText="1"/>
    </xf>
    <xf numFmtId="0" fontId="0" fillId="0" borderId="8"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wrapText="1"/>
    </xf>
    <xf numFmtId="0" fontId="0" fillId="0" borderId="7" xfId="0" applyBorder="1" applyAlignment="1">
      <alignment vertical="center"/>
    </xf>
    <xf numFmtId="0" fontId="3" fillId="0" borderId="4" xfId="1" applyBorder="1" applyAlignment="1">
      <alignment vertical="center" wrapText="1"/>
    </xf>
    <xf numFmtId="164" fontId="0" fillId="0" borderId="11" xfId="0" applyNumberFormat="1" applyBorder="1" applyAlignment="1">
      <alignment vertical="center" wrapText="1"/>
    </xf>
    <xf numFmtId="0" fontId="0" fillId="0" borderId="2" xfId="0" applyBorder="1" applyAlignment="1">
      <alignment horizontal="left" vertical="center" wrapText="1"/>
    </xf>
    <xf numFmtId="0" fontId="0" fillId="0" borderId="0" xfId="0" applyAlignment="1">
      <alignment horizontal="left" vertical="center" wrapText="1"/>
    </xf>
    <xf numFmtId="0" fontId="3" fillId="0" borderId="2" xfId="1" applyBorder="1" applyAlignment="1">
      <alignment horizontal="left" vertical="center" wrapText="1"/>
    </xf>
    <xf numFmtId="0" fontId="3" fillId="0" borderId="0" xfId="1" applyAlignment="1">
      <alignment horizontal="left" vertical="center" wrapText="1"/>
    </xf>
    <xf numFmtId="164" fontId="0" fillId="0" borderId="2" xfId="0" applyNumberFormat="1" applyBorder="1" applyAlignment="1">
      <alignment horizontal="left" vertical="center" wrapText="1"/>
    </xf>
    <xf numFmtId="164" fontId="0" fillId="0" borderId="0" xfId="0" applyNumberFormat="1" applyAlignment="1">
      <alignment horizontal="left" vertical="center" wrapText="1"/>
    </xf>
    <xf numFmtId="0" fontId="0" fillId="0" borderId="4" xfId="0" applyNumberFormat="1" applyBorder="1" applyAlignment="1">
      <alignment vertical="center" wrapText="1"/>
    </xf>
    <xf numFmtId="0" fontId="1" fillId="0" borderId="4" xfId="0" applyFont="1" applyBorder="1" applyAlignment="1">
      <alignment vertical="center" wrapText="1"/>
    </xf>
    <xf numFmtId="0" fontId="1" fillId="0" borderId="7" xfId="0" applyFont="1" applyBorder="1" applyAlignment="1">
      <alignment vertical="center" wrapText="1"/>
    </xf>
    <xf numFmtId="0" fontId="1" fillId="0" borderId="4" xfId="0" applyFont="1" applyBorder="1" applyAlignment="1">
      <alignment horizontal="left" vertical="center" wrapText="1"/>
    </xf>
    <xf numFmtId="0" fontId="1" fillId="0" borderId="4" xfId="0"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undpgreeningmoonshot.exposure.co/greening-the-blue-in-brazil" TargetMode="External"/><Relationship Id="rId1" Type="http://schemas.openxmlformats.org/officeDocument/2006/relationships/hyperlink" Target="https://open.undp.org/projects/0014357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pen.undp.org/projects/0014357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pen.undp.org/projects/001435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C4AB-E2E1-487F-8291-103B0EF6180A}">
  <dimension ref="A1:V5"/>
  <sheetViews>
    <sheetView tabSelected="1" workbookViewId="0">
      <pane xSplit="1" ySplit="1" topLeftCell="E4" activePane="bottomRight" state="frozen"/>
      <selection pane="bottomRight" activeCell="H9" sqref="H9"/>
      <selection pane="bottomLeft"/>
      <selection pane="topRight"/>
    </sheetView>
  </sheetViews>
  <sheetFormatPr defaultColWidth="8.85546875" defaultRowHeight="15"/>
  <cols>
    <col min="1" max="1" width="15" style="2" customWidth="1"/>
    <col min="2" max="2" width="43.28515625" style="2" customWidth="1"/>
    <col min="3" max="3" width="24.7109375" style="2" customWidth="1"/>
    <col min="4" max="4" width="15.5703125" style="2" customWidth="1"/>
    <col min="5" max="6" width="20.7109375" style="2" customWidth="1"/>
    <col min="7" max="8" width="12.7109375" style="2" customWidth="1"/>
    <col min="9" max="9" width="30.7109375" style="2" customWidth="1"/>
    <col min="10" max="10" width="11.7109375" style="2" customWidth="1"/>
    <col min="11" max="11" width="19" style="2" customWidth="1"/>
    <col min="12" max="12" width="19.140625" style="2" customWidth="1"/>
    <col min="13" max="13" width="40.28515625" style="2" customWidth="1"/>
    <col min="14" max="14" width="14.42578125" style="2" bestFit="1" customWidth="1"/>
    <col min="15" max="15" width="14.85546875" style="2" bestFit="1" customWidth="1"/>
    <col min="16" max="16" width="15" style="2" customWidth="1"/>
    <col min="17" max="17" width="16.5703125" style="2" bestFit="1" customWidth="1"/>
    <col min="18" max="18" width="18.140625" style="2" bestFit="1" customWidth="1"/>
    <col min="19" max="19" width="11.28515625" style="2" bestFit="1" customWidth="1"/>
    <col min="20" max="20" width="30.28515625" style="2" bestFit="1" customWidth="1"/>
    <col min="21" max="21" width="16.7109375" style="2" bestFit="1" customWidth="1"/>
    <col min="22" max="16384" width="8.85546875" style="2"/>
  </cols>
  <sheetData>
    <row r="1" spans="1:22" ht="45.75">
      <c r="A1" s="15" t="s">
        <v>0</v>
      </c>
      <c r="B1" s="16" t="s">
        <v>1</v>
      </c>
      <c r="C1" s="16" t="s">
        <v>2</v>
      </c>
      <c r="D1" s="16" t="s">
        <v>3</v>
      </c>
      <c r="E1" s="16" t="s">
        <v>4</v>
      </c>
      <c r="F1" s="16" t="s">
        <v>5</v>
      </c>
      <c r="G1" s="16" t="s">
        <v>6</v>
      </c>
      <c r="H1" s="16" t="s">
        <v>7</v>
      </c>
      <c r="I1" s="16" t="s">
        <v>8</v>
      </c>
      <c r="J1" s="13" t="s">
        <v>9</v>
      </c>
      <c r="K1" s="13" t="s">
        <v>10</v>
      </c>
      <c r="L1" s="29" t="s">
        <v>11</v>
      </c>
      <c r="M1" s="33" t="s">
        <v>12</v>
      </c>
      <c r="N1" s="29" t="s">
        <v>13</v>
      </c>
      <c r="O1" s="29" t="s">
        <v>14</v>
      </c>
      <c r="P1" s="33" t="s">
        <v>15</v>
      </c>
      <c r="Q1" s="33" t="s">
        <v>16</v>
      </c>
      <c r="R1" s="34" t="s">
        <v>17</v>
      </c>
      <c r="S1" s="35" t="s">
        <v>18</v>
      </c>
      <c r="T1" s="34" t="s">
        <v>19</v>
      </c>
      <c r="U1" s="35" t="s">
        <v>20</v>
      </c>
      <c r="V1" s="2" t="s">
        <v>21</v>
      </c>
    </row>
    <row r="2" spans="1:22" ht="366">
      <c r="A2" s="17">
        <v>143571</v>
      </c>
      <c r="B2" s="18" t="s">
        <v>22</v>
      </c>
      <c r="C2" s="19" t="s">
        <v>23</v>
      </c>
      <c r="D2" s="20">
        <v>1733569</v>
      </c>
      <c r="E2" s="14" t="s">
        <v>24</v>
      </c>
      <c r="F2" s="21" t="s">
        <v>25</v>
      </c>
      <c r="G2" s="14">
        <v>0</v>
      </c>
      <c r="H2" s="14">
        <v>415</v>
      </c>
      <c r="I2" s="57" t="s">
        <v>26</v>
      </c>
      <c r="J2" s="22" t="s">
        <v>27</v>
      </c>
      <c r="K2" s="23"/>
      <c r="L2" s="36" t="s">
        <v>28</v>
      </c>
      <c r="M2" s="30"/>
      <c r="N2" s="37" t="s">
        <v>29</v>
      </c>
      <c r="O2" s="30"/>
      <c r="P2" s="30"/>
      <c r="Q2" s="30"/>
      <c r="R2" s="30"/>
      <c r="S2" s="38"/>
      <c r="T2" s="30"/>
      <c r="U2" s="38"/>
      <c r="V2" s="2" t="s">
        <v>30</v>
      </c>
    </row>
    <row r="3" spans="1:22" ht="336">
      <c r="A3" s="24"/>
      <c r="B3" s="25"/>
      <c r="C3" s="26"/>
      <c r="D3" s="27"/>
      <c r="E3" s="28" t="s">
        <v>31</v>
      </c>
      <c r="F3" s="14" t="s">
        <v>32</v>
      </c>
      <c r="G3" s="14">
        <v>0</v>
      </c>
      <c r="H3" s="14" t="s">
        <v>33</v>
      </c>
      <c r="I3" s="57" t="s">
        <v>34</v>
      </c>
      <c r="J3" s="22" t="s">
        <v>27</v>
      </c>
      <c r="K3" s="14"/>
      <c r="L3" s="36" t="s">
        <v>28</v>
      </c>
      <c r="M3" s="30"/>
      <c r="N3" s="37" t="s">
        <v>29</v>
      </c>
      <c r="O3" s="30"/>
      <c r="P3" s="30"/>
      <c r="Q3" s="30"/>
      <c r="R3" s="30"/>
      <c r="S3" s="38"/>
      <c r="T3" s="30"/>
      <c r="U3" s="38"/>
    </row>
    <row r="4" spans="1:22" ht="290.25">
      <c r="A4" s="39"/>
      <c r="C4" s="40"/>
      <c r="D4" s="41"/>
      <c r="E4" s="42" t="s">
        <v>35</v>
      </c>
      <c r="F4" s="18" t="s">
        <v>36</v>
      </c>
      <c r="G4" s="18">
        <v>0</v>
      </c>
      <c r="H4" s="18">
        <v>200</v>
      </c>
      <c r="I4" s="58" t="s">
        <v>37</v>
      </c>
      <c r="J4" s="43" t="s">
        <v>27</v>
      </c>
      <c r="K4" s="18"/>
      <c r="L4" s="44" t="s">
        <v>28</v>
      </c>
      <c r="M4" s="45"/>
      <c r="N4" s="46" t="s">
        <v>29</v>
      </c>
      <c r="O4" s="45"/>
      <c r="P4" s="45"/>
      <c r="Q4" s="45"/>
      <c r="R4" s="45"/>
      <c r="S4" s="47"/>
      <c r="T4" s="45"/>
      <c r="U4" s="47"/>
    </row>
    <row r="5" spans="1:22" ht="198">
      <c r="A5" s="14" t="s">
        <v>38</v>
      </c>
      <c r="B5" s="14" t="s">
        <v>39</v>
      </c>
      <c r="C5" s="48" t="s">
        <v>40</v>
      </c>
      <c r="D5" s="49">
        <v>74860</v>
      </c>
      <c r="E5" s="14" t="s">
        <v>41</v>
      </c>
      <c r="F5" s="28" t="s">
        <v>42</v>
      </c>
      <c r="G5" s="14">
        <v>0</v>
      </c>
      <c r="H5" s="56">
        <v>0.26400000000000001</v>
      </c>
      <c r="I5" s="57" t="s">
        <v>43</v>
      </c>
      <c r="J5" s="14" t="s">
        <v>39</v>
      </c>
      <c r="K5" s="14"/>
      <c r="L5" s="14"/>
      <c r="M5" s="14"/>
      <c r="N5" s="14"/>
      <c r="O5" s="14"/>
      <c r="P5" s="14"/>
      <c r="Q5" s="14"/>
      <c r="R5" s="14"/>
      <c r="S5" s="14"/>
      <c r="T5" s="14"/>
      <c r="U5" s="14"/>
    </row>
  </sheetData>
  <dataValidations count="9">
    <dataValidation type="list" allowBlank="1" showInputMessage="1" showErrorMessage="1" sqref="Q2:Q4" xr:uid="{B714A553-FD57-4A21-9677-80B5DB5ADF0C}">
      <formula1>"NDC Support, National Strategy, Legal Framework,Incentives and Support, Government Capacity-Building, Carbon Pricing and Monitoring, Financing Model, Business Model"</formula1>
    </dataValidation>
    <dataValidation type="list" allowBlank="1" showInputMessage="1" showErrorMessage="1" sqref="P2:P4" xr:uid="{7FA50029-4AE9-4664-9856-08ACE0A7036E}">
      <formula1>"AMP, PUDC, Solar4Health, Action Opportunities, Italy UNDP Energy Partnership"</formula1>
    </dataValidation>
    <dataValidation type="list" allowBlank="1" showInputMessage="1" showErrorMessage="1" sqref="N2:N4" xr:uid="{88DABEEF-ED89-49D4-9CD0-D4DE44BF13B4}">
      <formula1>"Accelerating just energy transition, Close the gap on energy access, Scale up energy finance"</formula1>
    </dataValidation>
    <dataValidation type="list" allowBlank="1" showInputMessage="1" showErrorMessage="1" sqref="O2:O4" xr:uid="{0E49BAE4-CC1A-48A0-9E09-F816856DDD99}">
      <formula1>"Electricity Access, Energy Efficiency, Clean Cooking, Renewable Energy, Overall"</formula1>
    </dataValidation>
    <dataValidation type="list" allowBlank="1" showInputMessage="1" showErrorMessage="1" sqref="L2:L4" xr:uid="{EA3DFB69-8DC6-4240-A687-DC2AB7A1DF8D}">
      <formula1>"Non-VF, VF"</formula1>
    </dataValidation>
    <dataValidation type="list" allowBlank="1" showInputMessage="1" showErrorMessage="1" sqref="M2:M4" xr:uid="{D1CD271C-1F40-4704-9AC7-BA1FDA5B7E32}">
      <formula1>"Finance, Gender, Efficiency, Just, Health"</formula1>
    </dataValidation>
    <dataValidation type="list" allowBlank="1" showInputMessage="1" showErrorMessage="1" sqref="T2:T4" xr:uid="{423B902F-4BD5-48CB-AC0B-1FD2CC8EA63F}">
      <formula1>"National, Regional, City, Community"</formula1>
    </dataValidation>
    <dataValidation type="list" allowBlank="1" showInputMessage="1" showErrorMessage="1" sqref="S2:S4" xr:uid="{107C5E22-847B-40F6-B660-425299969614}">
      <formula1>"Solar, Wind, Bioenergy, Hydro, Geothermal, Waste, Other, Unknown"</formula1>
    </dataValidation>
    <dataValidation type="list" allowBlank="1" showInputMessage="1" showErrorMessage="1" sqref="R2:R4" xr:uid="{BF8C6724-9BC4-4496-B940-B4322FB0F860}">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1AC9ADE4-8F26-48DD-9CE9-DC33F346096C}"/>
    <hyperlink ref="C5" r:id="rId2" xr:uid="{596FE1A4-E07A-42CA-A265-D0B6560BA80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37C6A2C-E3C5-4BF5-A3EE-26A77F1F5DF4}">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5C33-9849-4222-9E1B-5253AC4A12BA}">
  <dimension ref="A1:U5"/>
  <sheetViews>
    <sheetView topLeftCell="B2" workbookViewId="0">
      <selection activeCell="F2" sqref="F2"/>
    </sheetView>
  </sheetViews>
  <sheetFormatPr defaultColWidth="8.85546875" defaultRowHeight="15"/>
  <cols>
    <col min="1" max="1" width="15" style="2" customWidth="1"/>
    <col min="2" max="2" width="43.28515625" style="2" customWidth="1"/>
    <col min="3" max="3" width="24.7109375" style="2" customWidth="1"/>
    <col min="4" max="4" width="15.5703125" style="2" customWidth="1"/>
    <col min="5" max="6" width="20.7109375" style="2" customWidth="1"/>
    <col min="7" max="8" width="12.7109375" style="2" customWidth="1"/>
    <col min="9" max="9" width="30.7109375" style="2" customWidth="1"/>
    <col min="10" max="10" width="11.7109375" style="2" customWidth="1"/>
    <col min="11" max="11" width="13.42578125" style="2" customWidth="1"/>
    <col min="12" max="12" width="19.140625" style="2" customWidth="1"/>
    <col min="13" max="13" width="40.28515625" style="2" customWidth="1"/>
    <col min="14" max="16384" width="8.85546875" style="2"/>
  </cols>
  <sheetData>
    <row r="1" spans="1:21">
      <c r="A1" s="1" t="s">
        <v>0</v>
      </c>
      <c r="B1" s="1" t="s">
        <v>1</v>
      </c>
      <c r="C1" s="1" t="s">
        <v>2</v>
      </c>
      <c r="D1" s="1" t="s">
        <v>3</v>
      </c>
      <c r="E1" s="1" t="s">
        <v>4</v>
      </c>
      <c r="F1" s="1" t="s">
        <v>5</v>
      </c>
      <c r="G1" s="1" t="s">
        <v>6</v>
      </c>
      <c r="H1" s="1" t="s">
        <v>7</v>
      </c>
      <c r="I1" s="1" t="s">
        <v>8</v>
      </c>
      <c r="J1" s="4" t="s">
        <v>9</v>
      </c>
      <c r="K1" s="12" t="s">
        <v>10</v>
      </c>
      <c r="L1" s="12" t="s">
        <v>44</v>
      </c>
      <c r="M1" s="12" t="s">
        <v>45</v>
      </c>
      <c r="N1" s="12"/>
      <c r="O1" s="12" t="s">
        <v>13</v>
      </c>
      <c r="P1" s="12" t="s">
        <v>14</v>
      </c>
      <c r="Q1" s="12" t="s">
        <v>15</v>
      </c>
      <c r="R1" s="12" t="s">
        <v>16</v>
      </c>
      <c r="S1" s="12" t="s">
        <v>17</v>
      </c>
      <c r="T1" s="12"/>
      <c r="U1" s="12"/>
    </row>
    <row r="2" spans="1:21" ht="336">
      <c r="A2" s="50">
        <v>143571</v>
      </c>
      <c r="B2" s="50" t="s">
        <v>22</v>
      </c>
      <c r="C2" s="52" t="s">
        <v>23</v>
      </c>
      <c r="D2" s="54">
        <v>1733569</v>
      </c>
      <c r="E2" s="3" t="s">
        <v>46</v>
      </c>
      <c r="F2" s="11" t="s">
        <v>25</v>
      </c>
      <c r="G2" s="3">
        <v>0</v>
      </c>
      <c r="H2" s="3">
        <v>415</v>
      </c>
      <c r="I2" s="3" t="s">
        <v>47</v>
      </c>
      <c r="J2" s="6" t="s">
        <v>27</v>
      </c>
      <c r="K2" s="5"/>
      <c r="L2" s="2" t="s">
        <v>28</v>
      </c>
      <c r="M2" s="10"/>
      <c r="O2" s="2" t="s">
        <v>29</v>
      </c>
      <c r="P2" s="2" t="s">
        <v>24</v>
      </c>
    </row>
    <row r="3" spans="1:21" ht="305.25">
      <c r="A3" s="51"/>
      <c r="B3" s="51"/>
      <c r="C3" s="53"/>
      <c r="D3" s="55"/>
      <c r="E3" s="3" t="s">
        <v>31</v>
      </c>
      <c r="F3" s="3" t="s">
        <v>32</v>
      </c>
      <c r="G3" s="3">
        <v>0</v>
      </c>
      <c r="H3" s="3" t="s">
        <v>33</v>
      </c>
      <c r="I3" s="3" t="s">
        <v>48</v>
      </c>
      <c r="J3" s="6" t="s">
        <v>27</v>
      </c>
      <c r="L3" s="2" t="s">
        <v>28</v>
      </c>
      <c r="M3" s="9"/>
      <c r="O3" s="2" t="s">
        <v>29</v>
      </c>
      <c r="P3" s="2" t="s">
        <v>49</v>
      </c>
    </row>
    <row r="4" spans="1:21" ht="183">
      <c r="A4" s="51"/>
      <c r="B4" s="51"/>
      <c r="C4" s="53"/>
      <c r="D4" s="55"/>
      <c r="E4" s="3" t="s">
        <v>50</v>
      </c>
      <c r="F4" s="3" t="s">
        <v>36</v>
      </c>
      <c r="G4" s="3">
        <v>0</v>
      </c>
      <c r="H4" s="3">
        <v>200</v>
      </c>
      <c r="I4" s="3" t="s">
        <v>51</v>
      </c>
      <c r="J4" s="6" t="s">
        <v>27</v>
      </c>
      <c r="L4" s="2" t="s">
        <v>28</v>
      </c>
      <c r="M4" s="9"/>
      <c r="O4" s="2" t="s">
        <v>29</v>
      </c>
      <c r="P4" s="2" t="s">
        <v>52</v>
      </c>
    </row>
    <row r="5" spans="1:21">
      <c r="E5" s="3"/>
      <c r="F5" s="3"/>
      <c r="G5" s="3"/>
      <c r="H5" s="3"/>
      <c r="I5" s="3"/>
      <c r="M5" s="8" t="s">
        <v>53</v>
      </c>
    </row>
  </sheetData>
  <mergeCells count="4">
    <mergeCell ref="A2:A4"/>
    <mergeCell ref="B2:B4"/>
    <mergeCell ref="C2:C4"/>
    <mergeCell ref="D2:D4"/>
  </mergeCells>
  <dataValidations count="5">
    <dataValidation type="list" allowBlank="1" showInputMessage="1" showErrorMessage="1" sqref="O2:O4" xr:uid="{4ED191D6-C630-448F-B0B4-E24B95A3E892}">
      <formula1>"Accelerating just energy transition, Close the gap on energy access, Scale up energy finance"</formula1>
    </dataValidation>
    <dataValidation type="list" allowBlank="1" showInputMessage="1" showErrorMessage="1" sqref="P2:P4" xr:uid="{6D99395C-24FB-42AD-B347-54F25573CC08}">
      <formula1>"Electricity Access, Energy Efficiency, Clean Cooking, Renewable Energy"</formula1>
    </dataValidation>
    <dataValidation type="list" allowBlank="1" showInputMessage="1" showErrorMessage="1" sqref="Q2:Q4" xr:uid="{C9B1B33C-7585-4D38-A2BB-1C42519C05AD}">
      <formula1>"AMP, PUDC, Solar4Health, Action Opportunities, Italy UNDP Energy Partnership"</formula1>
    </dataValidation>
    <dataValidation type="list" allowBlank="1" showInputMessage="1" showErrorMessage="1" sqref="R2:R4" xr:uid="{0BFF3D48-FC75-4EB9-BCA6-082C790EF23E}">
      <formula1>"NDC Support, National Strategy, Legal Framework,Incentives and Support, Government Capacity-Building, Carbon Pricing and Monitoring, Financing Model, Business Model"</formula1>
    </dataValidation>
    <dataValidation type="list" allowBlank="1" showInputMessage="1" showErrorMessage="1" sqref="S2:S4" xr:uid="{BFDAB63A-C247-48E0-9792-35BBD765A990}">
      <formula1>"Electricity Access, Energy Efficiency, Renewable EnergyEnergy Infrastructure,   Transport, Digital &amp; Data, Clean Cooking, Decarbonization, Hydrogen, Off-Grid, On-Grid"</formula1>
    </dataValidation>
  </dataValidations>
  <hyperlinks>
    <hyperlink ref="C2" r:id="rId1" xr:uid="{FF8A2B2B-4527-4BA7-8A44-954136EBACE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6FF5917-1CB4-4E9B-BF8D-A9E4EDB45E7C}">
          <x14:formula1>
            <xm:f>'Beneficiary Categories'!$A$2:$A$16</xm:f>
          </x14:formula1>
          <xm:sqref>E2:E5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
  <sheetViews>
    <sheetView topLeftCell="I2" workbookViewId="0">
      <selection activeCell="I2" sqref="I2"/>
    </sheetView>
  </sheetViews>
  <sheetFormatPr defaultColWidth="8.85546875" defaultRowHeight="15"/>
  <cols>
    <col min="1" max="1" width="15" style="2" customWidth="1"/>
    <col min="2" max="2" width="43.28515625" style="2" customWidth="1"/>
    <col min="3" max="3" width="24.7109375" style="2" customWidth="1"/>
    <col min="4" max="4" width="15.5703125" style="2" customWidth="1"/>
    <col min="5" max="6" width="20.7109375" style="2" customWidth="1"/>
    <col min="7" max="8" width="12.7109375" style="2" customWidth="1"/>
    <col min="9" max="9" width="61.7109375" style="2" customWidth="1"/>
    <col min="10" max="10" width="22.85546875" style="2" customWidth="1"/>
    <col min="11" max="11" width="54.85546875" style="2" bestFit="1" customWidth="1"/>
    <col min="12" max="12" width="19.140625" style="2" customWidth="1"/>
    <col min="13" max="13" width="40.28515625" style="2" customWidth="1"/>
    <col min="14" max="16384" width="8.85546875" style="2"/>
  </cols>
  <sheetData>
    <row r="1" spans="1:13">
      <c r="A1" s="1" t="s">
        <v>0</v>
      </c>
      <c r="B1" s="1" t="s">
        <v>1</v>
      </c>
      <c r="C1" s="1" t="s">
        <v>2</v>
      </c>
      <c r="D1" s="1" t="s">
        <v>3</v>
      </c>
      <c r="E1" s="1" t="s">
        <v>4</v>
      </c>
      <c r="F1" s="1" t="s">
        <v>5</v>
      </c>
      <c r="G1" s="1" t="s">
        <v>6</v>
      </c>
      <c r="H1" s="1" t="s">
        <v>7</v>
      </c>
      <c r="I1" s="1" t="s">
        <v>8</v>
      </c>
      <c r="J1" s="4" t="s">
        <v>9</v>
      </c>
      <c r="K1" s="7" t="s">
        <v>45</v>
      </c>
    </row>
    <row r="2" spans="1:13" ht="198">
      <c r="A2" s="50">
        <v>143571</v>
      </c>
      <c r="B2" s="50" t="s">
        <v>22</v>
      </c>
      <c r="C2" s="52" t="s">
        <v>23</v>
      </c>
      <c r="D2" s="54">
        <v>1733569</v>
      </c>
      <c r="E2" s="3" t="s">
        <v>46</v>
      </c>
      <c r="F2" s="3" t="s">
        <v>54</v>
      </c>
      <c r="G2" s="3">
        <v>0</v>
      </c>
      <c r="H2" s="3" t="s">
        <v>55</v>
      </c>
      <c r="I2" s="3" t="s">
        <v>47</v>
      </c>
      <c r="J2" s="6" t="s">
        <v>56</v>
      </c>
      <c r="K2" s="5" t="s">
        <v>57</v>
      </c>
      <c r="L2" s="2" t="s">
        <v>58</v>
      </c>
      <c r="M2" s="10" t="s">
        <v>59</v>
      </c>
    </row>
    <row r="3" spans="1:13" ht="152.25">
      <c r="A3" s="51"/>
      <c r="B3" s="51"/>
      <c r="C3" s="53"/>
      <c r="D3" s="55"/>
      <c r="E3" s="3" t="s">
        <v>31</v>
      </c>
      <c r="F3" s="3" t="s">
        <v>32</v>
      </c>
      <c r="G3" s="3">
        <v>0</v>
      </c>
      <c r="H3" s="3" t="s">
        <v>60</v>
      </c>
      <c r="I3" s="3" t="s">
        <v>48</v>
      </c>
      <c r="M3" s="9"/>
    </row>
    <row r="4" spans="1:13" ht="167.25">
      <c r="A4" s="51"/>
      <c r="B4" s="51"/>
      <c r="C4" s="53"/>
      <c r="D4" s="55"/>
      <c r="E4" s="3" t="s">
        <v>50</v>
      </c>
      <c r="F4" s="3" t="s">
        <v>36</v>
      </c>
      <c r="G4" s="3">
        <v>0</v>
      </c>
      <c r="H4" s="3">
        <v>200</v>
      </c>
      <c r="I4" s="3" t="s">
        <v>51</v>
      </c>
      <c r="M4" s="9"/>
    </row>
    <row r="5" spans="1:13">
      <c r="E5" s="3"/>
      <c r="F5" s="3"/>
      <c r="G5" s="3"/>
      <c r="H5" s="3"/>
      <c r="I5" s="3"/>
      <c r="M5" s="8" t="s">
        <v>53</v>
      </c>
    </row>
  </sheetData>
  <mergeCells count="4">
    <mergeCell ref="A2:A4"/>
    <mergeCell ref="B2:B4"/>
    <mergeCell ref="C2:C4"/>
    <mergeCell ref="D2:D4"/>
  </mergeCells>
  <hyperlinks>
    <hyperlink ref="C2" r:id="rId1" xr:uid="{96A2E1B3-8F40-403E-A26F-5F435F85143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10" workbookViewId="0">
      <selection activeCell="E7" sqref="E7"/>
    </sheetView>
  </sheetViews>
  <sheetFormatPr defaultColWidth="8.85546875" defaultRowHeight="15"/>
  <cols>
    <col min="1" max="2" width="52.7109375" customWidth="1"/>
  </cols>
  <sheetData>
    <row r="1" spans="1:2">
      <c r="A1" s="31" t="s">
        <v>4</v>
      </c>
      <c r="B1" s="31" t="s">
        <v>5</v>
      </c>
    </row>
    <row r="2" spans="1:2" ht="45.75">
      <c r="A2" s="59" t="s">
        <v>61</v>
      </c>
      <c r="B2" s="32" t="s">
        <v>62</v>
      </c>
    </row>
    <row r="3" spans="1:2">
      <c r="A3" s="59" t="s">
        <v>41</v>
      </c>
      <c r="B3" s="32" t="s">
        <v>63</v>
      </c>
    </row>
    <row r="4" spans="1:2" ht="30.75">
      <c r="A4" s="59" t="s">
        <v>24</v>
      </c>
      <c r="B4" s="32" t="s">
        <v>64</v>
      </c>
    </row>
    <row r="5" spans="1:2" ht="30.75">
      <c r="A5" s="59" t="s">
        <v>65</v>
      </c>
      <c r="B5" s="32" t="s">
        <v>66</v>
      </c>
    </row>
    <row r="6" spans="1:2" ht="91.5">
      <c r="A6" s="59" t="s">
        <v>67</v>
      </c>
      <c r="B6" s="32" t="s">
        <v>68</v>
      </c>
    </row>
    <row r="7" spans="1:2" ht="45.75">
      <c r="A7" s="59" t="s">
        <v>69</v>
      </c>
      <c r="B7" s="32" t="s">
        <v>70</v>
      </c>
    </row>
    <row r="8" spans="1:2" ht="45.75">
      <c r="A8" s="59" t="s">
        <v>31</v>
      </c>
      <c r="B8" s="32" t="s">
        <v>71</v>
      </c>
    </row>
    <row r="9" spans="1:2" ht="45.75">
      <c r="A9" s="59" t="s">
        <v>72</v>
      </c>
      <c r="B9" s="32" t="s">
        <v>73</v>
      </c>
    </row>
    <row r="10" spans="1:2" ht="30.75">
      <c r="A10" s="59" t="s">
        <v>74</v>
      </c>
      <c r="B10" s="60" t="s">
        <v>75</v>
      </c>
    </row>
    <row r="11" spans="1:2" ht="30.75">
      <c r="A11" s="59" t="s">
        <v>76</v>
      </c>
      <c r="B11" s="60" t="s">
        <v>77</v>
      </c>
    </row>
    <row r="12" spans="1:2" ht="45.75">
      <c r="A12" s="59" t="s">
        <v>78</v>
      </c>
      <c r="B12" s="32" t="s">
        <v>79</v>
      </c>
    </row>
    <row r="13" spans="1:2" ht="30.75">
      <c r="A13" s="59" t="s">
        <v>80</v>
      </c>
      <c r="B13" s="60" t="s">
        <v>81</v>
      </c>
    </row>
    <row r="14" spans="1:2">
      <c r="A14" s="59" t="s">
        <v>82</v>
      </c>
      <c r="B14" s="60" t="s">
        <v>83</v>
      </c>
    </row>
    <row r="15" spans="1:2" ht="30.75">
      <c r="A15" s="59" t="s">
        <v>84</v>
      </c>
      <c r="B15" s="60" t="s">
        <v>85</v>
      </c>
    </row>
    <row r="16" spans="1:2" ht="30.75">
      <c r="A16" s="59" t="s">
        <v>86</v>
      </c>
      <c r="B16" s="60" t="s">
        <v>87</v>
      </c>
    </row>
    <row r="17" spans="1:2" ht="30.75">
      <c r="A17" s="59" t="s">
        <v>35</v>
      </c>
      <c r="B17" s="32" t="s">
        <v>88</v>
      </c>
    </row>
    <row r="18" spans="1:2" ht="30.75">
      <c r="A18" s="59" t="s">
        <v>89</v>
      </c>
      <c r="B18" s="60" t="s">
        <v>90</v>
      </c>
    </row>
    <row r="19" spans="1:2" ht="76.5">
      <c r="A19" s="59" t="s">
        <v>91</v>
      </c>
      <c r="B19" s="60" t="s">
        <v>92</v>
      </c>
    </row>
    <row r="20" spans="1:2" ht="30.75">
      <c r="A20" s="59" t="s">
        <v>93</v>
      </c>
      <c r="B20" s="60" t="s">
        <v>94</v>
      </c>
    </row>
    <row r="21" spans="1:2" ht="45.75">
      <c r="A21" s="59" t="s">
        <v>19</v>
      </c>
      <c r="B21" s="57" t="s">
        <v>95</v>
      </c>
    </row>
    <row r="22" spans="1:2" ht="30.75">
      <c r="A22" s="59" t="s">
        <v>96</v>
      </c>
      <c r="B22" s="60" t="s">
        <v>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AEDBCE-AE29-4AA3-A5BD-B932231712F2}"/>
</file>

<file path=customXml/itemProps2.xml><?xml version="1.0" encoding="utf-8"?>
<ds:datastoreItem xmlns:ds="http://schemas.openxmlformats.org/officeDocument/2006/customXml" ds:itemID="{4D06A8A7-AAD0-46D5-9E3E-4D298B186157}"/>
</file>

<file path=customXml/itemProps3.xml><?xml version="1.0" encoding="utf-8"?>
<ds:datastoreItem xmlns:ds="http://schemas.openxmlformats.org/officeDocument/2006/customXml" ds:itemID="{1DD6CCB4-CDB0-465F-8D08-0D90346537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Grangeiro Ferreira</dc:creator>
  <cp:keywords/>
  <dc:description/>
  <cp:lastModifiedBy>Benjamin Keller</cp:lastModifiedBy>
  <cp:revision/>
  <dcterms:created xsi:type="dcterms:W3CDTF">2023-05-05T09:33:41Z</dcterms:created>
  <dcterms:modified xsi:type="dcterms:W3CDTF">2025-02-27T22:39:26Z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