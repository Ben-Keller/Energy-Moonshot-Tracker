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xr:revisionPtr revIDLastSave="45" documentId="11_12E6D1E16474581BDC77A7C76F4C43107863942A" xr6:coauthVersionLast="47" xr6:coauthVersionMax="47" xr10:uidLastSave="{6BDF290B-2074-424D-834E-4C089C0955D1}"/>
  <bookViews>
    <workbookView xWindow="240" yWindow="15" windowWidth="16095" windowHeight="9660" xr2:uid="{00000000-000D-0000-FFFF-FFFF00000000}"/>
  </bookViews>
  <sheets>
    <sheet name="Projects (3)" sheetId="1" r:id="rId1"/>
    <sheet name="Beneficiary Categori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alcChain>
</file>

<file path=xl/sharedStrings.xml><?xml version="1.0" encoding="utf-8"?>
<sst xmlns="http://schemas.openxmlformats.org/spreadsheetml/2006/main" count="81" uniqueCount="72">
  <si>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</si>
  <si>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</si>
  <si>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</si>
  <si>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</si>
  <si>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</si>
  <si>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</si>
  <si>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</si>
  <si>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</si>
  <si>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</si>
  <si>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</si>
  <si>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</si>
  <si>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</si>
  <si>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</si>
  <si>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</si>
  <si>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</si>
  <si>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</si>
  <si>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</si>
  <si>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</si>
  <si>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</si>
  <si>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Market Intervention</t>
  </si>
  <si>
    <t>Policy or Regulatory Framework</t>
  </si>
  <si>
    <t>Policy Population</t>
  </si>
  <si>
    <t>The Climate Aggregation Platform for Developing Countries</t>
  </si>
  <si>
    <t>https://co.pims.undp.org/project/view?id=5749</t>
  </si>
  <si>
    <t>Electricity Access</t>
  </si>
  <si>
    <t>number of individuals or businesses
benefiting from low-carbon energy as a result of
financially closed CAP showcase transactions.
Disaggregated by gender.</t>
  </si>
  <si>
    <t>To promote the scale-up of financial
aggregation for small-scale, low-carbon
energy assets in developing countries</t>
  </si>
  <si>
    <t>GEF</t>
  </si>
  <si>
    <t>VF</t>
  </si>
  <si>
    <t>Accelerating just energy transition</t>
  </si>
  <si>
    <t>Some Sources</t>
  </si>
  <si>
    <t>Total financial aggregation of small-scale, low-carbon energy ($)</t>
  </si>
  <si>
    <t>Incentives and Support</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</si>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</sst>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1"/>
      <name val="Calibri"/>
      <scheme val="minor"/>
    </font>
    <font>
      <b/>
      <sz val="11"/>
      <color theme="1"/>
      <name val="Calibri"/>
      <family val="2"/>
      <scheme val="minor"/>
    </font>
    <font>
      <b/>
      <sz val="11"/>
      <color theme="1"/>
      <name val="Calibri"/>
      <scheme val="minor"/>
    </font>
    <font>
      <sz val="11"/>
      <color rgb="FF000000"/>
      <name val="Calibri"/>
      <scheme val="minor"/>
    </font>
    <font>
      <u/>
      <sz val="11"/>
      <color theme="10"/>
      <name val="Calibri"/>
      <family val="2"/>
      <scheme val="minor"/>
    </font>
  </fonts>
  <fills count="3">
    <fill>
      <patternFill patternType="none"/>
    </fill>
    <fill>
      <patternFill patternType="gray125"/>
    </fill>
    <fill>
      <patternFill patternType="solid">
        <fgColor rgb="FFFFE497"/>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s>
  <cellStyleXfs count="2">
    <xf numFmtId="0" fontId="0" fillId="0" borderId="0"/>
    <xf numFmtId="0" fontId="5" fillId="0" borderId="0" applyNumberFormat="0" applyFill="0" applyBorder="0" applyAlignment="0" applyProtection="0"/>
  </cellStyleXfs>
  <cellXfs count="20">
    <xf numFmtId="0" fontId="0" fillId="0" borderId="0" xfId="0"/>
    <xf numFmtId="0" fontId="3" fillId="0" borderId="1" xfId="0" applyFont="1" applyBorder="1" applyAlignment="1">
      <alignment horizontal="center" vertical="top" wrapText="1"/>
    </xf>
    <xf numFmtId="0" fontId="4" fillId="0" borderId="1" xfId="0" applyFont="1" applyBorder="1" applyAlignment="1">
      <alignment wrapText="1"/>
    </xf>
    <xf numFmtId="0" fontId="2" fillId="0" borderId="1" xfId="0" applyFont="1" applyBorder="1" applyAlignment="1">
      <alignment horizontal="center"/>
    </xf>
    <xf numFmtId="0" fontId="2" fillId="0" borderId="2" xfId="0" applyFont="1" applyBorder="1" applyAlignment="1">
      <alignment horizontal="center"/>
    </xf>
    <xf numFmtId="0" fontId="0" fillId="0" borderId="1" xfId="0" applyBorder="1" applyAlignment="1">
      <alignment horizontal="center" vertical="center"/>
    </xf>
    <xf numFmtId="0" fontId="0" fillId="0" borderId="1" xfId="0" applyBorder="1" applyAlignment="1">
      <alignment vertical="center"/>
    </xf>
    <xf numFmtId="0" fontId="2" fillId="0" borderId="1" xfId="0" applyFont="1" applyBorder="1" applyAlignment="1">
      <alignment horizontal="center" vertical="top"/>
    </xf>
    <xf numFmtId="0" fontId="2" fillId="0" borderId="1" xfId="0" applyFont="1" applyBorder="1"/>
    <xf numFmtId="0" fontId="2" fillId="0" borderId="1" xfId="0" applyFont="1" applyBorder="1" applyAlignment="1">
      <alignment horizontal="center" vertical="center"/>
    </xf>
    <xf numFmtId="0" fontId="0" fillId="0" borderId="1" xfId="0" applyBorder="1"/>
    <xf numFmtId="0" fontId="0" fillId="2" borderId="1" xfId="0" applyFill="1" applyBorder="1"/>
    <xf numFmtId="0" fontId="0" fillId="2" borderId="1" xfId="0" applyFill="1" applyBorder="1" applyAlignment="1">
      <alignment wrapText="1"/>
    </xf>
    <xf numFmtId="0" fontId="0" fillId="0" borderId="1" xfId="0" applyBorder="1" applyAlignment="1">
      <alignment vertical="top"/>
    </xf>
    <xf numFmtId="0" fontId="0" fillId="0" borderId="1" xfId="0" applyBorder="1" applyAlignment="1">
      <alignment horizontal="center" vertical="center" wrapText="1"/>
    </xf>
    <xf numFmtId="0" fontId="0" fillId="0" borderId="1" xfId="0" applyBorder="1" applyAlignment="1">
      <alignment wrapText="1"/>
    </xf>
    <xf numFmtId="0" fontId="5" fillId="0" borderId="1" xfId="1" applyBorder="1"/>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pims.undp.org/project/view?id=574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
  <sheetViews>
    <sheetView tabSelected="1" workbookViewId="0">
      <selection activeCell="J4" sqref="J4"/>
    </sheetView>
  </sheetViews>
  <sheetFormatPr defaultRowHeight="15"/>
  <cols>
    <col min="2" max="2" width="54.28515625" bestFit="1" customWidth="1"/>
    <col min="3" max="3" width="20.7109375" customWidth="1"/>
    <col min="5" max="6" width="20.7109375" customWidth="1"/>
    <col min="7" max="8" width="12.7109375" customWidth="1"/>
    <col min="9" max="9" width="32.7109375" customWidth="1"/>
    <col min="11" max="11" width="18" bestFit="1" customWidth="1"/>
    <col min="12" max="12" width="12.85546875" bestFit="1" customWidth="1"/>
    <col min="14" max="14" width="14.42578125" bestFit="1" customWidth="1"/>
    <col min="15" max="15" width="14.85546875" bestFit="1" customWidth="1"/>
    <col min="19" max="19" width="13.42578125" bestFit="1" customWidth="1"/>
    <col min="20" max="20" width="21.5703125" bestFit="1" customWidth="1"/>
    <col min="21" max="21" width="30.28515625" bestFit="1" customWidth="1"/>
    <col min="22" max="22" width="16.7109375" bestFit="1" customWidth="1"/>
  </cols>
  <sheetData>
    <row r="1" spans="1:22">
      <c r="A1" s="7" t="s">
        <v>0</v>
      </c>
      <c r="B1" s="7" t="s">
        <v>1</v>
      </c>
      <c r="C1" s="7" t="s">
        <v>2</v>
      </c>
      <c r="D1" s="7" t="s">
        <v>3</v>
      </c>
      <c r="E1" s="7" t="s">
        <v>4</v>
      </c>
      <c r="F1" s="7" t="s">
        <v>5</v>
      </c>
      <c r="G1" s="7" t="s">
        <v>6</v>
      </c>
      <c r="H1" s="7" t="s">
        <v>7</v>
      </c>
      <c r="I1" s="7" t="s">
        <v>8</v>
      </c>
      <c r="J1" s="8" t="s">
        <v>9</v>
      </c>
      <c r="K1" s="9" t="s">
        <v>10</v>
      </c>
      <c r="L1" s="3" t="s">
        <v>11</v>
      </c>
      <c r="M1" s="3" t="s">
        <v>12</v>
      </c>
      <c r="N1" s="3" t="s">
        <v>13</v>
      </c>
      <c r="O1" s="3" t="s">
        <v>14</v>
      </c>
      <c r="P1" s="3" t="s">
        <v>15</v>
      </c>
      <c r="Q1" s="3" t="s">
        <v>16</v>
      </c>
      <c r="R1" s="3" t="s">
        <v>17</v>
      </c>
      <c r="S1" s="8" t="s">
        <v>18</v>
      </c>
      <c r="T1" s="4" t="s">
        <v>19</v>
      </c>
      <c r="U1" s="3" t="s">
        <v>20</v>
      </c>
      <c r="V1" s="8" t="s">
        <v>21</v>
      </c>
    </row>
    <row r="2" spans="1:22" ht="152.25">
      <c r="A2" s="10">
        <v>5749</v>
      </c>
      <c r="B2" s="10" t="s">
        <v>22</v>
      </c>
      <c r="C2" s="16" t="s">
        <v>23</v>
      </c>
      <c r="D2" s="10">
        <v>1950000</v>
      </c>
      <c r="E2" s="11" t="s">
        <v>24</v>
      </c>
      <c r="F2" s="12" t="s">
        <v>25</v>
      </c>
      <c r="G2" s="11"/>
      <c r="H2" s="11">
        <v>31250</v>
      </c>
      <c r="I2" s="12" t="s">
        <v>26</v>
      </c>
      <c r="J2" s="13" t="s">
        <v>27</v>
      </c>
      <c r="K2" s="13">
        <f>15625/31250</f>
        <v>0.5</v>
      </c>
      <c r="L2" s="5" t="s">
        <v>28</v>
      </c>
      <c r="M2" s="5"/>
      <c r="N2" s="14" t="s">
        <v>29</v>
      </c>
      <c r="O2" s="5"/>
      <c r="P2" s="5"/>
      <c r="Q2" s="5"/>
      <c r="R2" s="5"/>
      <c r="S2" s="6" t="s">
        <v>30</v>
      </c>
      <c r="T2" s="5"/>
      <c r="U2" s="5"/>
      <c r="V2" s="6"/>
    </row>
    <row r="3" spans="1:22" ht="60.75">
      <c r="A3" s="10"/>
      <c r="B3" s="10"/>
      <c r="C3" s="10"/>
      <c r="D3" s="10"/>
      <c r="E3" s="11" t="s">
        <v>19</v>
      </c>
      <c r="F3" s="15" t="s">
        <v>31</v>
      </c>
      <c r="G3" s="10"/>
      <c r="H3" s="10">
        <v>30000000</v>
      </c>
      <c r="I3" s="10"/>
      <c r="J3" s="10" t="s">
        <v>27</v>
      </c>
      <c r="K3" s="10"/>
      <c r="L3" s="5" t="s">
        <v>28</v>
      </c>
      <c r="M3" s="5"/>
      <c r="N3" s="14" t="s">
        <v>29</v>
      </c>
      <c r="O3" s="10"/>
      <c r="P3" s="10"/>
      <c r="Q3" s="10"/>
      <c r="R3" s="10"/>
      <c r="S3" s="10"/>
      <c r="T3" s="5" t="s">
        <v>32</v>
      </c>
      <c r="U3" s="10"/>
      <c r="V3" s="10"/>
    </row>
  </sheetData>
  <dataValidations count="10">
    <dataValidation type="list" allowBlank="1" showInputMessage="1" showErrorMessage="1" sqref="Q2" xr:uid="{B1325014-D9D7-4309-8F51-FC7E90E290D2}">
      <formula1>"NDC Support, National Strategy, Legal Framework,Incentives and Support, Government Capacity-Building, Carbon Pricing and Monitoring, Financing Model, Business Model"</formula1>
    </dataValidation>
    <dataValidation type="list" allowBlank="1" showInputMessage="1" showErrorMessage="1" sqref="N2:N3" xr:uid="{774B8DED-DA51-4EF3-891C-A177F436D3B1}">
      <formula1>"Accelerating just energy transition, Close the gap on energy access, Scale up energy finance"</formula1>
    </dataValidation>
    <dataValidation type="list" allowBlank="1" showInputMessage="1" showErrorMessage="1" sqref="O2" xr:uid="{2826F9A7-A61F-40FC-AFB2-1CC4DDF4BF7C}">
      <formula1>"Electricity Access, Energy Efficiency, Clean Cooking, Renewable Energy, Overall"</formula1>
    </dataValidation>
    <dataValidation type="list" allowBlank="1" showInputMessage="1" showErrorMessage="1" sqref="L2:L3" xr:uid="{77139D49-A9EC-44BA-8A03-EE908B84F5E0}">
      <formula1>"Non-VF, VF"</formula1>
    </dataValidation>
    <dataValidation type="list" allowBlank="1" showInputMessage="1" showErrorMessage="1" sqref="M2:M3" xr:uid="{B91CEB37-4C3C-48F2-B6AC-C5205B3C211E}">
      <formula1>"Finance, Gender, Efficiency, Just, Health"</formula1>
    </dataValidation>
    <dataValidation type="list" allowBlank="1" showInputMessage="1" showErrorMessage="1" sqref="U2" xr:uid="{41D22353-756E-43C3-BEBF-F4C029B61071}">
      <formula1>"National, Regional, City, Community"</formula1>
    </dataValidation>
    <dataValidation type="list" allowBlank="1" showInputMessage="1" showErrorMessage="1" sqref="P2" xr:uid="{F56B1D41-C8D8-4D12-9076-0620C8E7E4AA}">
      <formula1>"AMP, PUDC, Solar4Health, Action Opportunities, Italy UNDP Energy Partnership"</formula1>
    </dataValidation>
    <dataValidation type="list" allowBlank="1" showInputMessage="1" showErrorMessage="1" sqref="R2" xr:uid="{BEA720D7-5DB2-4BC3-8805-831A66F29ADA}">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 xr:uid="{7DE91B3B-5F43-437E-8B19-FA185173A974}">
      <formula1>"Solar, Wind, Bioenergy, Hydro, Geothermal, Waste, Some Sources, Other, Unknown"</formula1>
    </dataValidation>
    <dataValidation type="list" allowBlank="1" showInputMessage="1" showErrorMessage="1" sqref="T2:T3" xr:uid="{872D4677-8530-4D6E-B048-2094EC53249B}">
      <formula1>"Incentives and Support, Derisking Financial Model, Business Model"</formula1>
    </dataValidation>
  </dataValidations>
  <hyperlinks>
    <hyperlink ref="C2" r:id="rId1" xr:uid="{C8B357C6-3ABF-46C2-A424-6AF9898D3CA6}"/>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'Beneficiary Categories'!$A$2:$A$16</xm:f>
          </x14:formula1>
          <xm:sqref>E4</xm:sqref>
        </x14:dataValidation>
        <x14:dataValidation type="list" allowBlank="1" showInputMessage="1" showErrorMessage="1" xr:uid="{359984C8-C843-4064-9F13-05CFCC6C949D}">
          <x14:formula1>
            <xm:f>'Beneficiary Categories'!$A$2:$A$22</xm:f>
          </x14:formula1>
          <xm:sqref>E2:E3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ols>
    <col min="1" max="2" width="52.7109375" customWidth="1"/>
  </cols>
  <sheetData>
    <row r="1" spans="1:2">
      <c r="A1" s="1" t="s">
        <v>4</v>
      </c>
      <c r="B1" s="1" t="s">
        <v>5</v>
      </c>
    </row>
    <row r="2" spans="1:2" ht="45.75">
      <c r="A2" s="17" t="s">
        <v>24</v>
      </c>
      <c r="B2" s="2" t="s">
        <v>33</v>
      </c>
    </row>
    <row r="3" spans="1:2">
      <c r="A3" s="17" t="s">
        <v>34</v>
      </c>
      <c r="B3" s="2" t="s">
        <v>35</v>
      </c>
    </row>
    <row r="4" spans="1:2" ht="30.75">
      <c r="A4" s="17" t="s">
        <v>36</v>
      </c>
      <c r="B4" s="2" t="s">
        <v>37</v>
      </c>
    </row>
    <row r="5" spans="1:2" ht="30.75">
      <c r="A5" s="17" t="s">
        <v>38</v>
      </c>
      <c r="B5" s="2" t="s">
        <v>39</v>
      </c>
    </row>
    <row r="6" spans="1:2" ht="91.5">
      <c r="A6" s="17" t="s">
        <v>40</v>
      </c>
      <c r="B6" s="2" t="s">
        <v>41</v>
      </c>
    </row>
    <row r="7" spans="1:2" ht="45.75">
      <c r="A7" s="17" t="s">
        <v>42</v>
      </c>
      <c r="B7" s="2" t="s">
        <v>43</v>
      </c>
    </row>
    <row r="8" spans="1:2" ht="45.75">
      <c r="A8" s="17" t="s">
        <v>44</v>
      </c>
      <c r="B8" s="2" t="s">
        <v>45</v>
      </c>
    </row>
    <row r="9" spans="1:2" ht="45.75">
      <c r="A9" s="17" t="s">
        <v>46</v>
      </c>
      <c r="B9" s="2" t="s">
        <v>47</v>
      </c>
    </row>
    <row r="10" spans="1:2" ht="30.75">
      <c r="A10" s="17" t="s">
        <v>48</v>
      </c>
      <c r="B10" s="18" t="s">
        <v>49</v>
      </c>
    </row>
    <row r="11" spans="1:2" ht="30.75">
      <c r="A11" s="17" t="s">
        <v>50</v>
      </c>
      <c r="B11" s="18" t="s">
        <v>51</v>
      </c>
    </row>
    <row r="12" spans="1:2" ht="45.75">
      <c r="A12" s="17" t="s">
        <v>52</v>
      </c>
      <c r="B12" s="2" t="s">
        <v>53</v>
      </c>
    </row>
    <row r="13" spans="1:2" ht="30.75">
      <c r="A13" s="17" t="s">
        <v>54</v>
      </c>
      <c r="B13" s="18" t="s">
        <v>55</v>
      </c>
    </row>
    <row r="14" spans="1:2">
      <c r="A14" s="17" t="s">
        <v>56</v>
      </c>
      <c r="B14" s="18" t="s">
        <v>57</v>
      </c>
    </row>
    <row r="15" spans="1:2" ht="30.75">
      <c r="A15" s="17" t="s">
        <v>58</v>
      </c>
      <c r="B15" s="18" t="s">
        <v>59</v>
      </c>
    </row>
    <row r="16" spans="1:2" ht="30.75">
      <c r="A16" s="17" t="s">
        <v>60</v>
      </c>
      <c r="B16" s="18" t="s">
        <v>61</v>
      </c>
    </row>
    <row r="17" spans="1:2" ht="30.75">
      <c r="A17" s="17" t="s">
        <v>62</v>
      </c>
      <c r="B17" s="2" t="s">
        <v>63</v>
      </c>
    </row>
    <row r="18" spans="1:2" ht="30.75">
      <c r="A18" s="17" t="s">
        <v>64</v>
      </c>
      <c r="B18" s="18" t="s">
        <v>65</v>
      </c>
    </row>
    <row r="19" spans="1:2" ht="76.5">
      <c r="A19" s="17" t="s">
        <v>19</v>
      </c>
      <c r="B19" s="18" t="s">
        <v>66</v>
      </c>
    </row>
    <row r="20" spans="1:2" ht="30.75">
      <c r="A20" s="17" t="s">
        <v>67</v>
      </c>
      <c r="B20" s="18" t="s">
        <v>68</v>
      </c>
    </row>
    <row r="21" spans="1:2" ht="45.75">
      <c r="A21" s="17" t="s">
        <v>20</v>
      </c>
      <c r="B21" s="19" t="s">
        <v>69</v>
      </c>
    </row>
    <row r="22" spans="1:2" ht="30.75">
      <c r="A22" s="17" t="s">
        <v>70</v>
      </c>
      <c r="B22" s="18" t="s">
        <v>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3F5928-4627-49B0-8184-9509987FA167}"/>
</file>

<file path=customXml/itemProps2.xml><?xml version="1.0" encoding="utf-8"?>
<ds:datastoreItem xmlns:ds="http://schemas.openxmlformats.org/officeDocument/2006/customXml" ds:itemID="{886332F0-EB54-4436-B61E-FCAADB5B0B6B}"/>
</file>

<file path=customXml/itemProps3.xml><?xml version="1.0" encoding="utf-8"?>
<ds:datastoreItem xmlns:ds="http://schemas.openxmlformats.org/officeDocument/2006/customXml" ds:itemID="{FFFA5A61-2C41-4D96-859C-3774407F0B1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2024-11-24T21:44:03Z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