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229" documentId="11_4156F143B9153D69B31FE43BE94D4A6C783B1082" xr6:coauthVersionLast="47" xr6:coauthVersionMax="47" xr10:uidLastSave="{D793EC45-151E-4DE0-8A75-083DB9C886B7}"/>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alcChain>
</file>

<file path=xl/sharedStrings.xml><?xml version="1.0" encoding="utf-8"?>
<sst xmlns="http://schemas.openxmlformats.org/spreadsheetml/2006/main" count="190" uniqueCount="107">
  <si>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</si>
  <si>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</si>
  <si>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</si>
  <si>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</si>
  <si>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</si>
  <si>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</si>
  <si>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</si>
  <si>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</si>
  <si>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</si>
  <si>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</si>
  <si>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</si>
  <si>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</si>
  <si>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</si>
  <si>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</si>
  <si>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</si>
  <si>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</si>
  <si>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</si>
  <si>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</si>
  <si>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</si>
  <si>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</si>
  <si>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</si>
  <si>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National child project under the GEF Africa Minigrids Program</t>
  </si>
  <si>
    <t>https://co.pims.undp.org/project/view?id=6657</t>
  </si>
  <si>
    <t>Electricity Access</t>
  </si>
  <si>
    <t>Number of beneficiaries
The number of direct beneficiaries is estimated at 21,800 people, of which at least 50% are women, as a result of 4,400 new and/or improved minigrid connections</t>
  </si>
  <si>
    <t xml:space="preserve">Total number of direct beneficiaries from the minigrid pilots disaggregated by gender and by customer segment: 21741 total
21,350 people (residential)
76 people (social)
315 people (commercial/PUE)
</t>
  </si>
  <si>
    <t>GEF</t>
  </si>
  <si>
    <t>VF</t>
  </si>
  <si>
    <t>Close the gap on energy access</t>
  </si>
  <si>
    <t>Solar</t>
  </si>
  <si>
    <t>Energy (MW added)</t>
  </si>
  <si>
    <t>Increase in installed solar PV capacity and battery storage</t>
  </si>
  <si>
    <t>this # would be a duplicate of above</t>
  </si>
  <si>
    <t>Promotion of environmentally sustainable and climate-resilient grid/isolated grid-based hydroelectric electricity through an integrated approach in Sao Tome and Principe.</t>
  </si>
  <si>
    <t>https://co.pims.undp.org/project/view?id=4602</t>
  </si>
  <si>
    <t xml:space="preserve">1. Framework in place to enable the private sector to invest in grid/isolated-grid-based mini/small hydropower generation.
</t>
  </si>
  <si>
    <t>Framework elaborated in process of approval</t>
  </si>
  <si>
    <t xml:space="preserve">This project is in its final phase.  It built the first solar plant in the country, as a pilot initiative, that produces 0.5 Kwp, which amounts to 10% of the country's  installed capacity.   
This project also built the first institutional rooftop in the country
to SEH:  no direct beneficiaries of these studies. However, number of indirect beneficiaries is 220.000 </t>
  </si>
  <si>
    <t>Renewable Energy</t>
  </si>
  <si>
    <t>Financing Model</t>
  </si>
  <si>
    <t>Regional</t>
  </si>
  <si>
    <t>2. Hydro-electricity generation 
Reduction of tons of CO2 over the 5-year FSP project life cycle.
Subsequent generation MWh/year and reduction of CO2 over the remaining lifetime of the plants.</t>
  </si>
  <si>
    <t>2% of the energy matrix is renewable (hydro)</t>
  </si>
  <si>
    <t xml:space="preserve">The project did not include the installation of hydroelectricity production equipent. The project dedicated the resources to developing studies on 4 river basins with potential to become hydropower plants. </t>
  </si>
  <si>
    <t>missing-STP-1</t>
  </si>
  <si>
    <t>Green Infrastructure for Health and Education in Sao Tome and Principe</t>
  </si>
  <si>
    <t>NA</t>
  </si>
  <si>
    <t>Health Services</t>
  </si>
  <si>
    <t># of Health facilities with reliable solar energy to bridge power cuts for 2-3 hours per day</t>
  </si>
  <si>
    <t xml:space="preserve">7 health district centers covering all districts will benefit from this project. </t>
  </si>
  <si>
    <t>Non-VF</t>
  </si>
  <si>
    <t>Education Services</t>
  </si>
  <si>
    <t>Besides, 5578 school children will also benefit from school lighting and school cantine improvementes thanks to the solar energy</t>
  </si>
  <si>
    <t>Category</t>
  </si>
  <si>
    <t>Comments</t>
  </si>
  <si>
    <t>PIMS+</t>
  </si>
  <si>
    <t xml:space="preserve">0 ,5 MW (solar PV)
0 MWh (battery storage)
</t>
  </si>
  <si>
    <t>1.2 MW</t>
  </si>
  <si>
    <t>This project is in its final phase.  It built the first solar plant in the country, as a pilot initiative, that produces 0.5 Kwp, which amounts to 10% of the country's  installed capacity.   
This project also built the first institutional rooftop in the country</t>
  </si>
  <si>
    <t>to the CO: Please estimate number of beneficiaries, or MW of renewable energy</t>
  </si>
  <si>
    <t xml:space="preserve">to SEH:  no direct beneficiaries of these studies. However, number of indirect beneficiaries is 220.000 </t>
  </si>
  <si>
    <t>n.a.</t>
  </si>
  <si>
    <t>The number of direct beneficiaries is estimated at 21,800 people, of which at least 50% are women, as a result of 4,400 new and/or improved minigrid connections</t>
  </si>
  <si>
    <t xml:space="preserve">Total number of direct beneficiaries from the minigrid pilots disaggregated by gender and by customer segment: 21,350 people (residential)
76 people (social)
315 people (commercial/PUE)
</t>
  </si>
  <si>
    <t xml:space="preserve">Solar PV: 1.2 MW
Battery storage: 1.047 MWh 
</t>
  </si>
  <si>
    <t>No framework</t>
  </si>
  <si>
    <t xml:space="preserve">Framework complete and approved </t>
  </si>
  <si>
    <t xml:space="preserve">This project is in its final phase.  It built the first solar plant in the country, as a pilot initiative, that produces 0.5 Kwp, which amounts to 10% of the country's  installed capacity.   </t>
  </si>
  <si>
    <t>12% of the matrix is renewable (2% hydro and 10% solar)</t>
  </si>
  <si>
    <t>7 health district centers covering all districts will benefit from this project. Besides, 5578 school children will also benefit from school lighting and school cantine improvementes thanks to the solar energy</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</si>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</sst>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sz val="11"/>
      <color theme="1"/>
      <name val="Calibri"/>
      <family val="2"/>
      <charset val="1"/>
    </font>
    <font>
      <sz val="11"/>
      <color rgb="FF000000"/>
      <name val="Calibri"/>
    </font>
    <font>
      <sz val="10"/>
      <color rgb="FFFF0000"/>
      <name val="Helvetica Neue"/>
      <charset val="1"/>
    </font>
    <font>
      <b/>
      <sz val="10"/>
      <color rgb="FFFF0000"/>
      <name val="Helvetica Neue"/>
      <charset val="1"/>
    </font>
    <font>
      <b/>
      <sz val="11"/>
      <color theme="1"/>
      <name val="Calibri"/>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xf numFmtId="0" fontId="9" fillId="0" borderId="0" applyNumberFormat="0" applyFill="0" applyBorder="0" applyAlignment="0" applyProtection="0"/>
  </cellStyleXfs>
  <cellXfs count="51">
    <xf numFmtId="0" fontId="0" fillId="0" borderId="0" xfId="0"/>
    <xf numFmtId="0" fontId="0" fillId="2" borderId="1" xfId="0" applyFill="1" applyBorder="1" applyAlignment="1">
      <alignment wrapText="1"/>
    </xf>
    <xf numFmtId="0" fontId="2" fillId="0" borderId="1" xfId="0" applyFont="1" applyBorder="1" applyAlignment="1">
      <alignment horizontal="center" vertical="top"/>
    </xf>
    <xf numFmtId="0" fontId="0" fillId="0" borderId="1" xfId="0" applyBorder="1"/>
    <xf numFmtId="0" fontId="0" fillId="2" borderId="1" xfId="0" applyFill="1" applyBorder="1"/>
    <xf numFmtId="0" fontId="3" fillId="0" borderId="1" xfId="0" applyFont="1" applyBorder="1"/>
    <xf numFmtId="0" fontId="0" fillId="0" borderId="1" xfId="0" applyBorder="1" applyAlignment="1">
      <alignment wrapText="1"/>
    </xf>
    <xf numFmtId="0" fontId="4" fillId="2" borderId="1" xfId="0" applyFont="1" applyFill="1" applyBorder="1" applyAlignment="1">
      <alignment wrapText="1"/>
    </xf>
    <xf numFmtId="0" fontId="0" fillId="3" borderId="0" xfId="0" applyFill="1"/>
    <xf numFmtId="0" fontId="2" fillId="0" borderId="0" xfId="0" applyFont="1"/>
    <xf numFmtId="0" fontId="2" fillId="0" borderId="1" xfId="0" applyFont="1" applyBorder="1"/>
    <xf numFmtId="9" fontId="0" fillId="0" borderId="0" xfId="0" applyNumberFormat="1"/>
    <xf numFmtId="0" fontId="5" fillId="0" borderId="0" xfId="0" applyFont="1" applyAlignment="1">
      <alignment vertical="center"/>
    </xf>
    <xf numFmtId="0" fontId="0" fillId="2" borderId="2" xfId="0" applyFill="1" applyBorder="1" applyAlignment="1">
      <alignment wrapText="1"/>
    </xf>
    <xf numFmtId="0" fontId="0" fillId="2" borderId="3" xfId="0" applyFill="1" applyBorder="1" applyAlignment="1">
      <alignment wrapText="1"/>
    </xf>
    <xf numFmtId="0" fontId="0" fillId="2" borderId="4" xfId="0" applyFill="1" applyBorder="1"/>
    <xf numFmtId="0" fontId="0" fillId="2" borderId="5" xfId="0" applyFill="1" applyBorder="1"/>
    <xf numFmtId="0" fontId="6" fillId="3" borderId="0" xfId="0" applyFont="1" applyFill="1" applyAlignment="1">
      <alignment vertical="center"/>
    </xf>
    <xf numFmtId="0" fontId="0" fillId="2" borderId="4" xfId="0" applyFill="1" applyBorder="1" applyAlignment="1">
      <alignment wrapText="1"/>
    </xf>
    <xf numFmtId="0" fontId="2" fillId="0" borderId="1" xfId="0" applyFont="1" applyBorder="1" applyAlignment="1">
      <alignment vertical="center" wrapText="1"/>
    </xf>
    <xf numFmtId="9" fontId="0" fillId="0" borderId="1" xfId="0" applyNumberFormat="1" applyBorder="1"/>
    <xf numFmtId="0" fontId="0" fillId="3" borderId="1" xfId="0" applyFill="1" applyBorder="1"/>
    <xf numFmtId="0" fontId="0" fillId="2" borderId="3" xfId="0" applyFill="1" applyBorder="1"/>
    <xf numFmtId="0" fontId="2" fillId="0" borderId="4" xfId="0" applyFont="1" applyBorder="1" applyAlignment="1">
      <alignment horizontal="center" vertical="top"/>
    </xf>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5" xfId="0" applyBorder="1" applyAlignment="1">
      <alignment wrapText="1"/>
    </xf>
    <xf numFmtId="0" fontId="0" fillId="0" borderId="3" xfId="0" applyBorder="1"/>
    <xf numFmtId="0" fontId="3" fillId="0" borderId="6" xfId="0" applyFont="1" applyBorder="1"/>
    <xf numFmtId="0" fontId="4" fillId="0" borderId="1" xfId="0" applyFont="1" applyBorder="1" applyAlignment="1">
      <alignment wrapText="1"/>
    </xf>
    <xf numFmtId="0" fontId="3" fillId="0" borderId="8" xfId="0" applyFont="1" applyBorder="1"/>
    <xf numFmtId="0" fontId="0" fillId="0" borderId="6" xfId="0" applyBorder="1" applyAlignment="1">
      <alignment wrapText="1"/>
    </xf>
    <xf numFmtId="0" fontId="0" fillId="3" borderId="1" xfId="0" applyFill="1" applyBorder="1" applyAlignment="1">
      <alignment wrapText="1"/>
    </xf>
    <xf numFmtId="0" fontId="2" fillId="0" borderId="1" xfId="0" applyFont="1" applyBorder="1" applyAlignment="1">
      <alignment horizontal="center"/>
    </xf>
    <xf numFmtId="0" fontId="0" fillId="0" borderId="1" xfId="0" applyBorder="1" applyAlignment="1">
      <alignment horizontal="center" vertical="center"/>
    </xf>
    <xf numFmtId="0" fontId="7" fillId="0" borderId="1" xfId="0" applyFont="1" applyBorder="1" applyAlignment="1">
      <alignment horizontal="center" vertical="top" wrapText="1"/>
    </xf>
    <xf numFmtId="0" fontId="8" fillId="0" borderId="1" xfId="0" applyFont="1" applyBorder="1" applyAlignment="1">
      <alignment wrapText="1"/>
    </xf>
    <xf numFmtId="0" fontId="2" fillId="0" borderId="4" xfId="0" applyFont="1" applyBorder="1" applyAlignment="1">
      <alignment horizontal="center"/>
    </xf>
    <xf numFmtId="0" fontId="2" fillId="0" borderId="6" xfId="0" applyFont="1" applyBorder="1" applyAlignment="1">
      <alignment horizontal="center"/>
    </xf>
    <xf numFmtId="0" fontId="2" fillId="0" borderId="4" xfId="0" applyFont="1" applyBorder="1"/>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vertical="center"/>
    </xf>
    <xf numFmtId="0" fontId="9" fillId="0" borderId="6" xfId="1" applyBorder="1"/>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pims.undp.org/project/view?id=6657" TargetMode="External"/><Relationship Id="rId1" Type="http://schemas.openxmlformats.org/officeDocument/2006/relationships/hyperlink" Target="https://co.pims.undp.org/project/view?id=4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FE51-27CA-405B-900C-81ABBCFE8323}">
  <dimension ref="A1:U7"/>
  <sheetViews>
    <sheetView tabSelected="1" workbookViewId="0">
      <pane xSplit="1" ySplit="1" topLeftCell="I2" activePane="bottomRight" state="frozen"/>
      <selection pane="bottomRight" activeCell="L2" sqref="L2"/>
      <selection pane="bottomLeft"/>
      <selection pane="topRight"/>
    </sheetView>
  </sheetViews>
  <sheetFormatPr defaultRowHeight="15"/>
  <cols>
    <col min="2" max="2" width="56.42578125" customWidth="1"/>
    <col min="3" max="3" width="20.7109375" customWidth="1"/>
    <col min="4" max="4" width="17.42578125" customWidth="1"/>
    <col min="5" max="5" width="29.42578125" customWidth="1"/>
    <col min="6" max="6" width="53.140625" customWidth="1"/>
    <col min="7" max="7" width="19" customWidth="1"/>
    <col min="8" max="8" width="12.7109375" customWidth="1"/>
    <col min="9" max="9" width="60" customWidth="1"/>
    <col min="11" max="11" width="13.140625" customWidth="1"/>
    <col min="12" max="12" width="17.5703125" customWidth="1"/>
    <col min="13" max="13" width="9.28515625" customWidth="1"/>
    <col min="14" max="14" width="14.42578125" bestFit="1" customWidth="1"/>
    <col min="15" max="15" width="17.570312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ht="45.75">
      <c r="A1" s="2" t="s">
        <v>0</v>
      </c>
      <c r="B1" s="2" t="s">
        <v>1</v>
      </c>
      <c r="C1" s="2" t="s">
        <v>2</v>
      </c>
      <c r="D1" s="2" t="s">
        <v>3</v>
      </c>
      <c r="E1" s="2" t="s">
        <v>4</v>
      </c>
      <c r="F1" s="2" t="s">
        <v>5</v>
      </c>
      <c r="G1" s="2" t="s">
        <v>6</v>
      </c>
      <c r="H1" s="2" t="s">
        <v>7</v>
      </c>
      <c r="I1" s="2" t="s">
        <v>8</v>
      </c>
      <c r="J1" s="10" t="s">
        <v>9</v>
      </c>
      <c r="K1" s="19" t="s">
        <v>10</v>
      </c>
      <c r="L1" s="37" t="s">
        <v>11</v>
      </c>
      <c r="M1" s="41" t="s">
        <v>12</v>
      </c>
      <c r="N1" s="37" t="s">
        <v>13</v>
      </c>
      <c r="O1" s="37" t="s">
        <v>14</v>
      </c>
      <c r="P1" s="41" t="s">
        <v>15</v>
      </c>
      <c r="Q1" s="41" t="s">
        <v>16</v>
      </c>
      <c r="R1" s="42" t="s">
        <v>17</v>
      </c>
      <c r="S1" s="43" t="s">
        <v>18</v>
      </c>
      <c r="T1" s="42" t="s">
        <v>19</v>
      </c>
      <c r="U1" s="43" t="s">
        <v>20</v>
      </c>
    </row>
    <row r="2" spans="1:21" ht="119.25" customHeight="1">
      <c r="A2" s="26">
        <v>6657</v>
      </c>
      <c r="B2" s="26" t="s">
        <v>21</v>
      </c>
      <c r="C2" s="47" t="s">
        <v>22</v>
      </c>
      <c r="D2" s="25">
        <v>2018349</v>
      </c>
      <c r="E2" s="3" t="s">
        <v>23</v>
      </c>
      <c r="F2" s="6" t="s">
        <v>24</v>
      </c>
      <c r="G2" s="3"/>
      <c r="H2" s="3">
        <v>21800</v>
      </c>
      <c r="I2" s="6" t="s">
        <v>25</v>
      </c>
      <c r="J2" s="3" t="s">
        <v>26</v>
      </c>
      <c r="K2" s="20">
        <v>0.5</v>
      </c>
      <c r="L2" s="44" t="s">
        <v>27</v>
      </c>
      <c r="M2" s="38"/>
      <c r="N2" s="45" t="s">
        <v>28</v>
      </c>
      <c r="O2" s="38"/>
      <c r="P2" s="38"/>
      <c r="Q2" s="38"/>
      <c r="R2" s="38"/>
      <c r="S2" s="46" t="s">
        <v>29</v>
      </c>
      <c r="T2" s="38"/>
      <c r="U2" s="46"/>
    </row>
    <row r="3" spans="1:21" ht="119.25" customHeight="1">
      <c r="A3" s="28"/>
      <c r="B3" s="28"/>
      <c r="C3" s="28"/>
      <c r="D3" s="29"/>
      <c r="E3" s="3" t="s">
        <v>30</v>
      </c>
      <c r="F3" s="6" t="s">
        <v>31</v>
      </c>
      <c r="G3" s="6">
        <v>0.5</v>
      </c>
      <c r="H3" s="6">
        <v>1.2</v>
      </c>
      <c r="I3" s="3" t="s">
        <v>32</v>
      </c>
      <c r="J3" s="3"/>
      <c r="K3" s="3"/>
      <c r="L3" s="44" t="s">
        <v>27</v>
      </c>
      <c r="M3" s="38"/>
      <c r="N3" s="45" t="s">
        <v>28</v>
      </c>
      <c r="O3" s="38"/>
      <c r="P3" s="38"/>
      <c r="Q3" s="38"/>
      <c r="R3" s="38"/>
      <c r="S3" s="46" t="s">
        <v>29</v>
      </c>
      <c r="T3" s="38"/>
      <c r="U3" s="46"/>
    </row>
    <row r="4" spans="1:21" ht="90" customHeight="1">
      <c r="A4" s="26">
        <v>4602</v>
      </c>
      <c r="B4" s="32" t="s">
        <v>33</v>
      </c>
      <c r="C4" s="47" t="s">
        <v>34</v>
      </c>
      <c r="D4" s="25">
        <v>5274544</v>
      </c>
      <c r="E4" s="31" t="s">
        <v>19</v>
      </c>
      <c r="F4" s="33" t="s">
        <v>35</v>
      </c>
      <c r="G4" s="6" t="s">
        <v>36</v>
      </c>
      <c r="H4" s="3"/>
      <c r="I4" s="6" t="s">
        <v>37</v>
      </c>
      <c r="J4" s="3" t="s">
        <v>26</v>
      </c>
      <c r="K4" s="3"/>
      <c r="L4" s="44" t="s">
        <v>27</v>
      </c>
      <c r="M4" s="38"/>
      <c r="N4" s="45" t="s">
        <v>28</v>
      </c>
      <c r="O4" s="38" t="s">
        <v>38</v>
      </c>
      <c r="P4" s="38"/>
      <c r="Q4" s="38" t="s">
        <v>39</v>
      </c>
      <c r="R4" s="38" t="s">
        <v>38</v>
      </c>
      <c r="S4" s="46"/>
      <c r="T4" s="38" t="s">
        <v>40</v>
      </c>
      <c r="U4" s="46">
        <v>220000</v>
      </c>
    </row>
    <row r="5" spans="1:21" ht="72" customHeight="1">
      <c r="A5" s="28"/>
      <c r="B5" s="34"/>
      <c r="C5" s="28"/>
      <c r="D5" s="29"/>
      <c r="E5" s="31"/>
      <c r="F5" s="36" t="s">
        <v>41</v>
      </c>
      <c r="G5" s="36" t="s">
        <v>42</v>
      </c>
      <c r="H5" s="21"/>
      <c r="I5" s="36" t="s">
        <v>43</v>
      </c>
      <c r="J5" s="21" t="s">
        <v>26</v>
      </c>
      <c r="K5" s="21"/>
      <c r="L5" s="44" t="s">
        <v>27</v>
      </c>
      <c r="M5" s="38"/>
      <c r="N5" s="45" t="s">
        <v>28</v>
      </c>
      <c r="O5" s="38"/>
      <c r="P5" s="38"/>
      <c r="Q5" s="38"/>
      <c r="R5" s="38"/>
      <c r="S5" s="46"/>
      <c r="T5" s="38"/>
      <c r="U5" s="46"/>
    </row>
    <row r="6" spans="1:21" ht="59.25" customHeight="1">
      <c r="A6" s="35" t="s">
        <v>44</v>
      </c>
      <c r="B6" s="35" t="s">
        <v>45</v>
      </c>
      <c r="C6" s="26" t="s">
        <v>46</v>
      </c>
      <c r="D6" s="25">
        <v>1072026</v>
      </c>
      <c r="E6" s="31" t="s">
        <v>47</v>
      </c>
      <c r="F6" s="6" t="s">
        <v>48</v>
      </c>
      <c r="G6" s="3">
        <v>0</v>
      </c>
      <c r="H6" s="3">
        <v>220000</v>
      </c>
      <c r="I6" s="6" t="s">
        <v>49</v>
      </c>
      <c r="J6" s="3"/>
      <c r="K6" s="3"/>
      <c r="L6" s="44" t="s">
        <v>50</v>
      </c>
      <c r="M6" s="38"/>
      <c r="N6" s="45" t="s">
        <v>28</v>
      </c>
      <c r="O6" s="38"/>
      <c r="P6" s="38"/>
      <c r="Q6" s="38"/>
      <c r="R6" s="38"/>
      <c r="S6" s="46"/>
      <c r="T6" s="38"/>
      <c r="U6" s="46"/>
    </row>
    <row r="7" spans="1:21" ht="45.75">
      <c r="A7" s="27"/>
      <c r="B7" s="27"/>
      <c r="C7" s="27"/>
      <c r="D7" s="24"/>
      <c r="E7" s="31" t="s">
        <v>51</v>
      </c>
      <c r="F7" s="3"/>
      <c r="G7" s="3"/>
      <c r="H7" s="3">
        <v>5578</v>
      </c>
      <c r="I7" s="6" t="s">
        <v>52</v>
      </c>
      <c r="J7" s="3"/>
      <c r="K7" s="3"/>
      <c r="L7" s="44" t="s">
        <v>50</v>
      </c>
      <c r="M7" s="38"/>
      <c r="N7" s="45" t="s">
        <v>28</v>
      </c>
      <c r="O7" s="38"/>
      <c r="P7" s="38"/>
      <c r="Q7" s="38"/>
      <c r="R7" s="38"/>
      <c r="S7" s="46"/>
      <c r="T7" s="38"/>
      <c r="U7" s="46"/>
    </row>
  </sheetData>
  <dataValidations count="9">
    <dataValidation type="list" allowBlank="1" showInputMessage="1" showErrorMessage="1" sqref="Q2:Q7" xr:uid="{8D326BA9-5253-43C5-B51F-1606895E5A0E}">
      <formula1>"NDC Support, National Strategy, Legal Framework,Incentives and Support, Government Capacity-Building, Carbon Pricing and Monitoring, Financing Model, Business Model"</formula1>
    </dataValidation>
    <dataValidation type="list" allowBlank="1" showInputMessage="1" showErrorMessage="1" sqref="N2:N7" xr:uid="{368F3046-85B6-411E-A264-5CD834836F32}">
      <formula1>"Accelerating just energy transition, Close the gap on energy access, Scale up energy finance"</formula1>
    </dataValidation>
    <dataValidation type="list" allowBlank="1" showInputMessage="1" showErrorMessage="1" sqref="O2:O7" xr:uid="{14E013F2-38DB-4581-A915-4294AF26FBD8}">
      <formula1>"Electricity Access, Energy Efficiency, Clean Cooking, Renewable Energy, Overall"</formula1>
    </dataValidation>
    <dataValidation type="list" allowBlank="1" showInputMessage="1" showErrorMessage="1" sqref="M2:M7" xr:uid="{946F8288-C27B-4E23-B682-11D4CA95540C}">
      <formula1>"Finance, Gender, Efficiency, Just, Health"</formula1>
    </dataValidation>
    <dataValidation type="list" allowBlank="1" showInputMessage="1" showErrorMessage="1" sqref="T2:T7" xr:uid="{F8963C5E-1D29-4FCC-933A-710860ADBC6B}">
      <formula1>"National, Regional, City, Community"</formula1>
    </dataValidation>
    <dataValidation type="list" allowBlank="1" showInputMessage="1" showErrorMessage="1" sqref="P2:P7" xr:uid="{81A1EAB3-CBC1-4A30-A12C-D120AD7E1962}">
      <formula1>"AMP, PUDC, Solar4Health, Action Opportunities, Italy UNDP Energy Partnership"</formula1>
    </dataValidation>
    <dataValidation type="list" allowBlank="1" showInputMessage="1" showErrorMessage="1" sqref="L2:L7" xr:uid="{70E60DE3-EFAE-4B22-931D-86D059AB8625}">
      <formula1>"Non-VF, VF"</formula1>
    </dataValidation>
    <dataValidation type="list" allowBlank="1" showInputMessage="1" showErrorMessage="1" sqref="R2:R7" xr:uid="{D2682008-E11B-4CE6-A9FB-97310EA505C1}">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7" xr:uid="{764EEE43-2C61-46D9-82D3-605D2D537D4C}">
      <formula1>"Solar, Wind, Bioenergy, Hydro, Geothermal, Waste, Some Sources, Other, Unknown"</formula1>
    </dataValidation>
  </dataValidations>
  <hyperlinks>
    <hyperlink ref="C4" r:id="rId1" xr:uid="{88795AD7-7990-4915-B725-C97EB32BA82B}"/>
    <hyperlink ref="C2" r:id="rId2" xr:uid="{6F0C5D12-33CA-42CD-BFEF-38AD208AC15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FA4EB6B-DA2A-4BAF-A2E6-5FBA538EA81E}">
          <x14:formula1>
            <xm:f>'Beneficiary Categories'!$A$2:$A$22</xm:f>
          </x14:formula1>
          <xm:sqref>E2:E7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A1C2-C9DB-41AF-8924-3EB32E2045C1}">
  <dimension ref="A1:U14"/>
  <sheetViews>
    <sheetView workbookViewId="0">
      <selection activeCell="A2" sqref="A2:D3"/>
    </sheetView>
  </sheetViews>
  <sheetFormatPr defaultRowHeight="15"/>
  <cols>
    <col min="2" max="2" width="56.42578125" customWidth="1"/>
    <col min="3" max="3" width="20.7109375" customWidth="1"/>
    <col min="4" max="4" width="17.42578125" customWidth="1"/>
    <col min="5" max="5" width="29.42578125" customWidth="1"/>
    <col min="6" max="6" width="53.140625" customWidth="1"/>
    <col min="7" max="7" width="19" customWidth="1"/>
    <col min="8" max="8" width="12.7109375" customWidth="1"/>
    <col min="9" max="9" width="60" customWidth="1"/>
  </cols>
  <sheetData>
    <row r="1" spans="1:21">
      <c r="A1" s="23" t="s">
        <v>0</v>
      </c>
      <c r="B1" s="23" t="s">
        <v>1</v>
      </c>
      <c r="C1" s="23" t="s">
        <v>2</v>
      </c>
      <c r="D1" s="23" t="s">
        <v>3</v>
      </c>
      <c r="E1" s="2" t="s">
        <v>4</v>
      </c>
      <c r="F1" s="2" t="s">
        <v>5</v>
      </c>
      <c r="G1" s="2" t="s">
        <v>6</v>
      </c>
      <c r="H1" s="2" t="s">
        <v>7</v>
      </c>
      <c r="I1" s="2" t="s">
        <v>8</v>
      </c>
      <c r="J1" s="9" t="s">
        <v>9</v>
      </c>
      <c r="K1" s="10" t="s">
        <v>10</v>
      </c>
      <c r="L1" s="10" t="s">
        <v>53</v>
      </c>
      <c r="M1" s="10" t="s">
        <v>54</v>
      </c>
    </row>
    <row r="2" spans="1:21" ht="119.25" customHeight="1">
      <c r="A2" s="26">
        <v>6657</v>
      </c>
      <c r="B2" s="26" t="s">
        <v>21</v>
      </c>
      <c r="C2" s="26" t="s">
        <v>55</v>
      </c>
      <c r="D2" s="25">
        <v>2018349</v>
      </c>
      <c r="E2" s="22" t="s">
        <v>23</v>
      </c>
      <c r="F2" s="1" t="s">
        <v>24</v>
      </c>
      <c r="G2" s="4">
        <v>22000</v>
      </c>
      <c r="H2" s="4">
        <v>21800</v>
      </c>
      <c r="I2" s="1" t="s">
        <v>25</v>
      </c>
      <c r="K2" s="11">
        <v>0.5</v>
      </c>
      <c r="L2" t="s">
        <v>27</v>
      </c>
    </row>
    <row r="3" spans="1:21" ht="119.25" customHeight="1">
      <c r="A3" s="28"/>
      <c r="B3" s="28"/>
      <c r="C3" s="28"/>
      <c r="D3" s="29"/>
      <c r="E3" s="22"/>
      <c r="F3" s="1" t="s">
        <v>31</v>
      </c>
      <c r="G3" s="1" t="s">
        <v>56</v>
      </c>
      <c r="H3" s="1" t="s">
        <v>57</v>
      </c>
      <c r="I3" t="s">
        <v>32</v>
      </c>
      <c r="L3" t="s">
        <v>27</v>
      </c>
    </row>
    <row r="4" spans="1:21" ht="90" customHeight="1">
      <c r="A4" s="3">
        <v>4602</v>
      </c>
      <c r="B4" s="5" t="s">
        <v>33</v>
      </c>
      <c r="C4" s="3" t="s">
        <v>55</v>
      </c>
      <c r="D4" s="3">
        <v>5274544</v>
      </c>
      <c r="E4" s="22" t="s">
        <v>19</v>
      </c>
      <c r="F4" s="7" t="s">
        <v>35</v>
      </c>
      <c r="G4" s="18" t="s">
        <v>36</v>
      </c>
      <c r="H4" s="15"/>
      <c r="I4" s="1" t="s">
        <v>58</v>
      </c>
      <c r="L4" t="s">
        <v>27</v>
      </c>
    </row>
    <row r="5" spans="1:21" ht="72" customHeight="1">
      <c r="A5" s="3"/>
      <c r="B5" s="5"/>
      <c r="C5" s="3"/>
      <c r="D5" s="3"/>
      <c r="E5" s="22"/>
      <c r="F5" s="13" t="s">
        <v>41</v>
      </c>
      <c r="G5" s="1" t="s">
        <v>42</v>
      </c>
      <c r="H5" s="4"/>
      <c r="I5" s="14" t="s">
        <v>43</v>
      </c>
      <c r="M5" s="17" t="s">
        <v>59</v>
      </c>
      <c r="U5" t="s">
        <v>60</v>
      </c>
    </row>
    <row r="6" spans="1:21" ht="59.25" customHeight="1">
      <c r="A6" s="24"/>
      <c r="B6" s="30" t="s">
        <v>45</v>
      </c>
      <c r="C6" s="24" t="s">
        <v>61</v>
      </c>
      <c r="D6" s="24">
        <v>1072026</v>
      </c>
      <c r="E6" s="4" t="s">
        <v>47</v>
      </c>
      <c r="F6" s="1" t="s">
        <v>48</v>
      </c>
      <c r="G6" s="16">
        <v>0</v>
      </c>
      <c r="H6" s="16">
        <v>220000</v>
      </c>
      <c r="I6" s="1" t="s">
        <v>49</v>
      </c>
      <c r="J6" s="8"/>
      <c r="M6" s="12"/>
    </row>
    <row r="7" spans="1:21" ht="30.75">
      <c r="A7" s="3"/>
      <c r="B7" s="3"/>
      <c r="C7" s="3"/>
      <c r="D7" s="3"/>
      <c r="E7" s="3" t="s">
        <v>51</v>
      </c>
      <c r="F7" s="3"/>
      <c r="G7" s="3"/>
      <c r="H7" s="3">
        <v>5578</v>
      </c>
      <c r="I7" s="6" t="s">
        <v>52</v>
      </c>
    </row>
    <row r="8" spans="1:21">
      <c r="A8" s="3"/>
      <c r="B8" s="3"/>
      <c r="C8" s="3"/>
      <c r="D8" s="3"/>
      <c r="E8" s="3"/>
      <c r="F8" s="3"/>
      <c r="G8" s="3"/>
      <c r="H8" s="3"/>
      <c r="I8" s="3"/>
    </row>
    <row r="9" spans="1:21">
      <c r="A9" s="3"/>
      <c r="B9" s="3"/>
      <c r="C9" s="3"/>
      <c r="D9" s="3"/>
      <c r="E9" s="3"/>
      <c r="F9" s="3"/>
      <c r="G9" s="3"/>
      <c r="H9" s="3"/>
      <c r="I9" s="3"/>
    </row>
    <row r="10" spans="1:21">
      <c r="A10" s="3"/>
      <c r="B10" s="3"/>
      <c r="C10" s="3"/>
      <c r="D10" s="3"/>
      <c r="E10" s="3"/>
      <c r="F10" s="3"/>
      <c r="G10" s="3"/>
      <c r="H10" s="3"/>
      <c r="I10" s="3"/>
    </row>
    <row r="11" spans="1:21">
      <c r="A11" s="3"/>
      <c r="B11" s="3"/>
      <c r="C11" s="3"/>
      <c r="D11" s="3"/>
      <c r="E11" s="3"/>
      <c r="F11" s="3"/>
      <c r="G11" s="3"/>
      <c r="H11" s="3"/>
      <c r="I11" s="3"/>
    </row>
    <row r="12" spans="1:21">
      <c r="A12" s="3"/>
      <c r="B12" s="3"/>
      <c r="C12" s="3"/>
      <c r="D12" s="3"/>
      <c r="E12" s="3"/>
      <c r="F12" s="3"/>
      <c r="G12" s="3"/>
      <c r="H12" s="3"/>
      <c r="I12" s="3"/>
    </row>
    <row r="13" spans="1:21">
      <c r="A13" s="3"/>
      <c r="B13" s="3"/>
      <c r="C13" s="3"/>
      <c r="D13" s="3"/>
      <c r="E13" s="3"/>
      <c r="F13" s="3"/>
      <c r="G13" s="3"/>
      <c r="H13" s="3"/>
      <c r="I13" s="3"/>
    </row>
    <row r="14" spans="1:21">
      <c r="A14" s="3"/>
      <c r="B14" s="3"/>
      <c r="C14" s="3"/>
      <c r="D14" s="3"/>
      <c r="E14" s="3"/>
      <c r="F14" s="3"/>
      <c r="G14" s="3"/>
      <c r="H14" s="3"/>
      <c r="I14" s="3"/>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A6CEA6B-C138-4C42-B511-48F6992C7B93}">
          <x14:formula1>
            <xm:f>'Beneficiary Categories'!$A$2:$A$16</xm:f>
          </x14:formula1>
          <xm:sqref>E2:E9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workbookViewId="0">
      <selection activeCell="A5" sqref="A5"/>
    </sheetView>
  </sheetViews>
  <sheetFormatPr defaultRowHeight="15"/>
  <cols>
    <col min="2" max="2" width="56.42578125" customWidth="1"/>
    <col min="3" max="3" width="20.7109375" customWidth="1"/>
    <col min="5" max="5" width="29.42578125" customWidth="1"/>
    <col min="6" max="6" width="53.140625" customWidth="1"/>
    <col min="7" max="7" width="19" customWidth="1"/>
    <col min="8" max="8" width="12.7109375" customWidth="1"/>
    <col min="9" max="9" width="60" customWidth="1"/>
  </cols>
  <sheetData>
    <row r="1" spans="1:10">
      <c r="A1" s="2" t="s">
        <v>0</v>
      </c>
      <c r="B1" s="2" t="s">
        <v>1</v>
      </c>
      <c r="C1" s="2" t="s">
        <v>2</v>
      </c>
      <c r="D1" s="2" t="s">
        <v>3</v>
      </c>
      <c r="E1" s="2" t="s">
        <v>4</v>
      </c>
      <c r="F1" s="2" t="s">
        <v>5</v>
      </c>
      <c r="G1" s="2" t="s">
        <v>6</v>
      </c>
      <c r="H1" s="2" t="s">
        <v>7</v>
      </c>
      <c r="I1" s="2" t="s">
        <v>8</v>
      </c>
      <c r="J1" s="9" t="s">
        <v>9</v>
      </c>
    </row>
    <row r="2" spans="1:10" ht="119.25" customHeight="1">
      <c r="A2" s="3">
        <v>6657</v>
      </c>
      <c r="B2" s="3" t="s">
        <v>21</v>
      </c>
      <c r="C2" s="3" t="s">
        <v>55</v>
      </c>
      <c r="D2" s="3">
        <v>1968349</v>
      </c>
      <c r="E2" s="4" t="s">
        <v>23</v>
      </c>
      <c r="F2" s="1" t="s">
        <v>62</v>
      </c>
      <c r="G2" s="4">
        <v>22000</v>
      </c>
      <c r="H2" s="4">
        <f>21741+22000</f>
        <v>43741</v>
      </c>
      <c r="I2" s="1" t="s">
        <v>63</v>
      </c>
    </row>
    <row r="3" spans="1:10" ht="119.25" customHeight="1">
      <c r="A3" s="3">
        <v>6657</v>
      </c>
      <c r="B3" s="3" t="s">
        <v>21</v>
      </c>
      <c r="C3" s="3" t="s">
        <v>55</v>
      </c>
      <c r="D3" s="3"/>
      <c r="E3" s="4" t="s">
        <v>30</v>
      </c>
      <c r="F3" s="1" t="s">
        <v>31</v>
      </c>
      <c r="G3" s="1" t="s">
        <v>56</v>
      </c>
      <c r="H3" s="1" t="s">
        <v>64</v>
      </c>
      <c r="I3" s="1"/>
    </row>
    <row r="4" spans="1:10" ht="90" customHeight="1">
      <c r="A4" s="3">
        <v>4602</v>
      </c>
      <c r="B4" s="5" t="s">
        <v>33</v>
      </c>
      <c r="C4" s="3" t="s">
        <v>55</v>
      </c>
      <c r="D4" s="3">
        <v>5274544</v>
      </c>
      <c r="E4" s="4" t="s">
        <v>19</v>
      </c>
      <c r="F4" s="7" t="s">
        <v>35</v>
      </c>
      <c r="G4" s="4" t="s">
        <v>65</v>
      </c>
      <c r="H4" s="4" t="s">
        <v>66</v>
      </c>
      <c r="I4" s="1" t="s">
        <v>67</v>
      </c>
    </row>
    <row r="5" spans="1:10" ht="72" customHeight="1">
      <c r="A5" s="3"/>
      <c r="B5" s="5"/>
      <c r="C5" s="3"/>
      <c r="D5" s="3"/>
      <c r="E5" s="4"/>
      <c r="F5" s="1" t="s">
        <v>41</v>
      </c>
      <c r="G5" s="4" t="s">
        <v>42</v>
      </c>
      <c r="H5" s="4" t="s">
        <v>68</v>
      </c>
      <c r="I5" s="1"/>
    </row>
    <row r="6" spans="1:10" ht="59.25" customHeight="1">
      <c r="A6" s="3"/>
      <c r="B6" s="6" t="s">
        <v>45</v>
      </c>
      <c r="C6" s="3" t="s">
        <v>61</v>
      </c>
      <c r="D6" s="3">
        <v>1072026</v>
      </c>
      <c r="E6" s="4" t="s">
        <v>23</v>
      </c>
      <c r="F6" s="1" t="s">
        <v>48</v>
      </c>
      <c r="G6" s="4">
        <v>0</v>
      </c>
      <c r="H6" s="4">
        <v>220000</v>
      </c>
      <c r="I6" s="1" t="s">
        <v>69</v>
      </c>
      <c r="J6" s="8"/>
    </row>
    <row r="7" spans="1:10">
      <c r="A7" s="3"/>
      <c r="B7" s="3"/>
      <c r="C7" s="3"/>
      <c r="D7" s="3"/>
      <c r="E7" s="3"/>
      <c r="F7" s="3"/>
      <c r="G7" s="3"/>
      <c r="H7" s="3"/>
      <c r="I7" s="3"/>
    </row>
    <row r="8" spans="1:10">
      <c r="A8" s="3"/>
      <c r="B8" s="3"/>
      <c r="C8" s="3"/>
      <c r="D8" s="3"/>
      <c r="E8" s="3"/>
      <c r="F8" s="3"/>
      <c r="G8" s="3"/>
      <c r="H8" s="3"/>
      <c r="I8" s="3"/>
    </row>
    <row r="9" spans="1:10">
      <c r="A9" s="3"/>
      <c r="B9" s="3"/>
      <c r="C9" s="3"/>
      <c r="D9" s="3"/>
      <c r="E9" s="3"/>
      <c r="F9" s="3"/>
      <c r="G9" s="3"/>
      <c r="H9" s="3"/>
      <c r="I9" s="3"/>
    </row>
    <row r="10" spans="1:10">
      <c r="A10" s="3"/>
      <c r="B10" s="3"/>
      <c r="C10" s="3"/>
      <c r="D10" s="3"/>
      <c r="E10" s="3"/>
      <c r="F10" s="3"/>
      <c r="G10" s="3"/>
      <c r="H10" s="3"/>
      <c r="I10" s="3"/>
    </row>
    <row r="11" spans="1:10">
      <c r="A11" s="3"/>
      <c r="B11" s="3"/>
      <c r="C11" s="3"/>
      <c r="D11" s="3"/>
      <c r="E11" s="3"/>
      <c r="F11" s="3"/>
      <c r="G11" s="3"/>
      <c r="H11" s="3"/>
      <c r="I11" s="3"/>
    </row>
    <row r="12" spans="1:10">
      <c r="A12" s="3"/>
      <c r="B12" s="3"/>
      <c r="C12" s="3"/>
      <c r="D12" s="3"/>
      <c r="E12" s="3"/>
      <c r="F12" s="3"/>
      <c r="G12" s="3"/>
      <c r="H12" s="3"/>
      <c r="I12" s="3"/>
    </row>
    <row r="13" spans="1:10">
      <c r="A13" s="3"/>
      <c r="B13" s="3"/>
      <c r="C13" s="3"/>
      <c r="D13" s="3"/>
      <c r="E13" s="3"/>
      <c r="F13" s="3"/>
      <c r="G13" s="3"/>
      <c r="H13" s="3"/>
      <c r="I13" s="3"/>
    </row>
    <row r="14" spans="1:10">
      <c r="A14" s="3"/>
      <c r="B14" s="3"/>
      <c r="C14" s="3"/>
      <c r="D14" s="3"/>
      <c r="E14" s="3"/>
      <c r="F14" s="3"/>
      <c r="G14" s="3"/>
      <c r="H14" s="3"/>
      <c r="I14" s="3"/>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39" t="s">
        <v>4</v>
      </c>
      <c r="B1" s="39" t="s">
        <v>5</v>
      </c>
    </row>
    <row r="2" spans="1:2" ht="45.75">
      <c r="A2" s="48" t="s">
        <v>23</v>
      </c>
      <c r="B2" s="40" t="s">
        <v>70</v>
      </c>
    </row>
    <row r="3" spans="1:2">
      <c r="A3" s="48" t="s">
        <v>30</v>
      </c>
      <c r="B3" s="40" t="s">
        <v>71</v>
      </c>
    </row>
    <row r="4" spans="1:2" ht="30.75">
      <c r="A4" s="48" t="s">
        <v>72</v>
      </c>
      <c r="B4" s="40" t="s">
        <v>73</v>
      </c>
    </row>
    <row r="5" spans="1:2" ht="30.75">
      <c r="A5" s="48" t="s">
        <v>74</v>
      </c>
      <c r="B5" s="40" t="s">
        <v>75</v>
      </c>
    </row>
    <row r="6" spans="1:2" ht="91.5">
      <c r="A6" s="48" t="s">
        <v>76</v>
      </c>
      <c r="B6" s="40" t="s">
        <v>77</v>
      </c>
    </row>
    <row r="7" spans="1:2" ht="45.75">
      <c r="A7" s="48" t="s">
        <v>47</v>
      </c>
      <c r="B7" s="40" t="s">
        <v>78</v>
      </c>
    </row>
    <row r="8" spans="1:2" ht="45.75">
      <c r="A8" s="48" t="s">
        <v>79</v>
      </c>
      <c r="B8" s="40" t="s">
        <v>80</v>
      </c>
    </row>
    <row r="9" spans="1:2" ht="45.75">
      <c r="A9" s="48" t="s">
        <v>51</v>
      </c>
      <c r="B9" s="40" t="s">
        <v>81</v>
      </c>
    </row>
    <row r="10" spans="1:2" ht="30.75">
      <c r="A10" s="48" t="s">
        <v>82</v>
      </c>
      <c r="B10" s="49" t="s">
        <v>83</v>
      </c>
    </row>
    <row r="11" spans="1:2" ht="30.75">
      <c r="A11" s="48" t="s">
        <v>84</v>
      </c>
      <c r="B11" s="49" t="s">
        <v>85</v>
      </c>
    </row>
    <row r="12" spans="1:2" ht="45.75">
      <c r="A12" s="48" t="s">
        <v>86</v>
      </c>
      <c r="B12" s="40" t="s">
        <v>87</v>
      </c>
    </row>
    <row r="13" spans="1:2" ht="30.75">
      <c r="A13" s="48" t="s">
        <v>88</v>
      </c>
      <c r="B13" s="49" t="s">
        <v>89</v>
      </c>
    </row>
    <row r="14" spans="1:2">
      <c r="A14" s="48" t="s">
        <v>90</v>
      </c>
      <c r="B14" s="49" t="s">
        <v>91</v>
      </c>
    </row>
    <row r="15" spans="1:2" ht="30.75">
      <c r="A15" s="48" t="s">
        <v>92</v>
      </c>
      <c r="B15" s="49" t="s">
        <v>93</v>
      </c>
    </row>
    <row r="16" spans="1:2" ht="30.75">
      <c r="A16" s="48" t="s">
        <v>94</v>
      </c>
      <c r="B16" s="49" t="s">
        <v>95</v>
      </c>
    </row>
    <row r="17" spans="1:2" ht="30.75">
      <c r="A17" s="48" t="s">
        <v>96</v>
      </c>
      <c r="B17" s="40" t="s">
        <v>97</v>
      </c>
    </row>
    <row r="18" spans="1:2" ht="30.75">
      <c r="A18" s="48" t="s">
        <v>98</v>
      </c>
      <c r="B18" s="49" t="s">
        <v>99</v>
      </c>
    </row>
    <row r="19" spans="1:2" ht="76.5">
      <c r="A19" s="48" t="s">
        <v>100</v>
      </c>
      <c r="B19" s="49" t="s">
        <v>101</v>
      </c>
    </row>
    <row r="20" spans="1:2" ht="30.75">
      <c r="A20" s="48" t="s">
        <v>102</v>
      </c>
      <c r="B20" s="49" t="s">
        <v>103</v>
      </c>
    </row>
    <row r="21" spans="1:2" ht="45.75">
      <c r="A21" s="48" t="s">
        <v>19</v>
      </c>
      <c r="B21" s="50" t="s">
        <v>104</v>
      </c>
    </row>
    <row r="22" spans="1:2" ht="30.75">
      <c r="A22" s="48" t="s">
        <v>105</v>
      </c>
      <c r="B22" s="49"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Maria Teresa Mendizabal</DisplayName>
        <AccountId>1134</AccountId>
        <AccountType/>
      </UserInfo>
      <UserInfo>
        <DisplayName>Aderito Santana</DisplayName>
        <AccountId>2160</AccountId>
        <AccountType/>
      </UserInfo>
      <UserInfo>
        <DisplayName>Joseph Oji</DisplayName>
        <AccountId>2161</AccountId>
        <AccountType/>
      </UserInfo>
      <UserInfo>
        <DisplayName>Benjamin Keller</DisplayName>
        <AccountId>1227</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FAB1B24A-7ADC-4BB3-862B-715B8CB62477}"/>
</file>

<file path=customXml/itemProps2.xml><?xml version="1.0" encoding="utf-8"?>
<ds:datastoreItem xmlns:ds="http://schemas.openxmlformats.org/officeDocument/2006/customXml" ds:itemID="{91C8BE1E-3C25-4FF7-B9CE-DEAFCAFA0837}"/>
</file>

<file path=customXml/itemProps3.xml><?xml version="1.0" encoding="utf-8"?>
<ds:datastoreItem xmlns:ds="http://schemas.openxmlformats.org/officeDocument/2006/customXml" ds:itemID="{5A7BB059-87E1-4B28-82A4-202DED84F9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2024-11-20T15:56:48Z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