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defaultThemeVersion="124226"/>
  <xr:revisionPtr revIDLastSave="189" documentId="11_56B6A1550165334E597C20B43D4F7534783B1096" xr6:coauthVersionLast="47" xr6:coauthVersionMax="47" xr10:uidLastSave="{8972B6A1-3055-4394-9751-83D617866AA6}"/>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<sst xmlns="http://schemas.openxmlformats.org/spreadsheetml/2006/main" count="195" uniqueCount="110">
  <si>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</si>
  <si>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</si>
  <si>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</si>
  <si>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</si>
  <si>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</si>
  <si>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</si>
  <si>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</si>
  <si>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</si>
  <si>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</si>
  <si>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</si>
  <si>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</si>
  <si>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</si>
  <si>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</si>
  <si>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</si>
  <si>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</si>
  <si>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</si>
  <si>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</si>
  <si>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</si>
  <si>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</si>
  <si>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</si>
  <si>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</si>
  <si>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Sustainable Cities Impact Program - Morocco</t>
  </si>
  <si>
    <t>https://co.pims.undp.org/project/view?id=6411</t>
  </si>
  <si>
    <t>Energy Infrastructure Services</t>
  </si>
  <si>
    <t xml:space="preserve">Direct project beneficiaries </t>
  </si>
  <si>
    <t xml:space="preserve">The global objective of the project is to foster integration and innovative urban planning and financing for Marrakech’s sustainable development . </t>
  </si>
  <si>
    <t>GEF</t>
  </si>
  <si>
    <t>VF</t>
  </si>
  <si>
    <t>Close the gap on energy access</t>
  </si>
  <si>
    <t>PV pumping systems for irrigation</t>
  </si>
  <si>
    <t>https://co.pims.undp.org/project/view?id=5284</t>
  </si>
  <si>
    <t>Water Services</t>
  </si>
  <si>
    <t>Number of people (Man and woman) benefiting from improved access to sustainable energy platforms</t>
  </si>
  <si>
    <t>3750 HH</t>
  </si>
  <si>
    <t>3,750 solar pumping systems benefiting to 3,750 rural households composed on average of 5 persons each</t>
  </si>
  <si>
    <t>Capacity Building in Energy Efficiency for local authorities (KOICA)</t>
  </si>
  <si>
    <t xml:space="preserve"> "Korea  $450,000
Government $124,500 " </t>
  </si>
  <si>
    <t>Energy Efficiency Services</t>
  </si>
  <si>
    <t>The project has successfully provided Trainings of Trainers (ToT) in public lighting for 44 participants (16 female and 28 male), industry for 21 participants (6 female and 15 male), and sustainable mobility for 23 participants (10 female and 13 male). Additionally, a Training of Trainers (ToT) on international standards of energy efficiency, successful policies, and good practices of Korea was organized in Seoul, South Korea for 12 participants ( 7 female and 5 male).</t>
  </si>
  <si>
    <t>GOV, Korea</t>
  </si>
  <si>
    <t>Non-VF</t>
  </si>
  <si>
    <t>Efficiency</t>
  </si>
  <si>
    <t>Accelerating just energy transition</t>
  </si>
  <si>
    <t>Energy Efficiency</t>
  </si>
  <si>
    <t>Action Opportunities</t>
  </si>
  <si>
    <t>Government Capacity-Building</t>
  </si>
  <si>
    <t>Infrastructure</t>
  </si>
  <si>
    <t>Other</t>
  </si>
  <si>
    <t>National</t>
  </si>
  <si>
    <t>Municipal and National Institutions</t>
  </si>
  <si>
    <t>Operational Support to the 4C Morocco (Climate Change Competence Center)</t>
  </si>
  <si>
    <t> </t>
  </si>
  <si>
    <t xml:space="preserve">BMUB (Gov Germany)  </t>
  </si>
  <si>
    <t>Overall</t>
  </si>
  <si>
    <t>Research &amp; Innovation</t>
  </si>
  <si>
    <t>National and Regional Institutions</t>
  </si>
  <si>
    <t>Second Phase of the Climate Promise – From Pledge to Impact</t>
  </si>
  <si>
    <t xml:space="preserve"> 
o Donor (BMWK): 324,000 USD
o Donor (Belgium): 64,800 USD </t>
  </si>
  <si>
    <t>Climate Governance and Youth Engagement Services</t>
  </si>
  <si>
    <t>In total, this project engaged 170 youth participants. Women’s participation represented around 45% across both the Hackathon and the COP negotiation training, amounting to approximately 77 young women. In addition, two of the three winning small-grant teams were composed entirely of women students, bringing the total number of direct female beneficiaries to around 82.</t>
  </si>
  <si>
    <t>BMWK, Belgium</t>
  </si>
  <si>
    <t>Climate Transparency and Reporting Systems</t>
  </si>
  <si>
    <t>https://co.pims.undp.org/project/asl?id=6169&amp;aslId=9204</t>
  </si>
  <si>
    <t>The National Adaptation Plan (NAP) project aims to strengthen Morocco’s institutional and technical capacities to plan, coordinate, and implement effective climate change adaptation actions.
It seeks to integrate climate resilience into national and sectoral development planning, particularly in key sectors such as water, agriculture, health, and infrastructure, while ensuring that adaptation priorities are evidence-based, inclusive, and aligned with Morocco’s national climate strategies.
Through this project, Morocco is developing a long-term, participatory framework for adaptation planning that supports vulnerable populations, improves data and knowledge systems on climate risks, and promotes gender-responsive and locally driven adaptation solutions.</t>
  </si>
  <si>
    <t>GCF</t>
  </si>
  <si>
    <t>Digital &amp; Data</t>
  </si>
  <si>
    <t>National and Subnational Institutions</t>
  </si>
  <si>
    <t>Category</t>
  </si>
  <si>
    <t>Comments</t>
  </si>
  <si>
    <t>PIMS+</t>
  </si>
  <si>
    <t>The global objective of the project is to foster integration and innovative urban planning and financing for Marrakech’s sustainable development</t>
  </si>
  <si>
    <t>this corresponds to the number of beneficiaries of the project activities (electric buses, electric motorcycles, public lighting, energy efficiency measures in hotel establishments</t>
  </si>
  <si>
    <t>Note- check if project 6411 outputs can be disaggregated</t>
  </si>
  <si>
    <t>Other Energy Services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</si>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</sst>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1"/>
      <color theme="1"/>
      <name val="Calibri"/>
      <family val="2"/>
      <scheme val="minor"/>
    </font>
    <font>
      <sz val="11"/>
      <color theme="1"/>
      <name val="Calibri"/>
      <scheme val="minor"/>
    </font>
    <font>
      <b/>
      <sz val="11"/>
      <color theme="1"/>
      <name val="Calibri"/>
      <family val="2"/>
      <scheme val="minor"/>
    </font>
    <font>
      <i/>
      <sz val="9"/>
      <color theme="1"/>
      <name val="Calibri"/>
      <family val="2"/>
      <charset val="1"/>
    </font>
    <font>
      <b/>
      <sz val="11"/>
      <color rgb="FFFF0000"/>
      <name val="Calibri"/>
      <family val="2"/>
      <scheme val="minor"/>
    </font>
    <font>
      <sz val="11"/>
      <color rgb="FFFF0000"/>
      <name val="Calibri"/>
      <family val="2"/>
      <scheme val="minor"/>
    </font>
    <font>
      <b/>
      <sz val="11"/>
      <color theme="1"/>
      <name val="Calibri"/>
      <scheme val="minor"/>
    </font>
    <font>
      <sz val="11"/>
      <color rgb="FF000000"/>
      <name val="Calibri"/>
      <scheme val="minor"/>
    </font>
    <font>
      <u/>
      <sz val="11"/>
      <color theme="10"/>
      <name val="Calibri"/>
      <family val="2"/>
      <scheme val="minor"/>
    </font>
    <font>
      <u/>
      <sz val="11"/>
      <color theme="1"/>
      <name val="Calibri"/>
      <family val="2"/>
      <scheme val="minor"/>
    </font>
    <font>
      <sz val="11"/>
      <color rgb="FF000000"/>
      <name val="Aptos Narrow"/>
      <family val="2"/>
    </font>
    <font>
      <sz val="11"/>
      <color rgb="FF000000"/>
      <name val="Calibri"/>
      <family val="2"/>
    </font>
    <font>
      <u/>
      <sz val="11"/>
      <color rgb="FF0000FF"/>
      <name val="Calibri"/>
      <family val="2"/>
    </font>
    <font>
      <i/>
      <sz val="9"/>
      <color rgb="FF000000"/>
      <name val="Calibri"/>
      <family val="2"/>
      <charset val="1"/>
    </font>
  </fonts>
  <fills count="5">
    <fill>
      <patternFill patternType="none"/>
    </fill>
    <fill>
      <patternFill patternType="gray125"/>
    </fill>
    <fill>
      <patternFill patternType="solid">
        <fgColor rgb="FFFFE497"/>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43">
    <xf numFmtId="0" fontId="0" fillId="0" borderId="0" xfId="0"/>
    <xf numFmtId="0" fontId="2" fillId="0" borderId="1" xfId="0" applyFont="1" applyBorder="1" applyAlignment="1">
      <alignment horizontal="center" vertical="top"/>
    </xf>
    <xf numFmtId="0" fontId="0" fillId="2" borderId="0" xfId="0" applyFill="1"/>
    <xf numFmtId="43" fontId="2" fillId="0" borderId="1" xfId="0" applyNumberFormat="1" applyFont="1" applyBorder="1" applyAlignment="1">
      <alignment horizontal="center" vertical="top"/>
    </xf>
    <xf numFmtId="43" fontId="0" fillId="2" borderId="0" xfId="0" applyNumberFormat="1" applyFill="1"/>
    <xf numFmtId="43" fontId="3" fillId="0" borderId="0" xfId="0" applyNumberFormat="1" applyFont="1"/>
    <xf numFmtId="43" fontId="0" fillId="0" borderId="0" xfId="0" applyNumberFormat="1"/>
    <xf numFmtId="0" fontId="2" fillId="0" borderId="0" xfId="0" applyFont="1"/>
    <xf numFmtId="0" fontId="2" fillId="0" borderId="2" xfId="0" applyFont="1" applyBorder="1"/>
    <xf numFmtId="0" fontId="0" fillId="3" borderId="0" xfId="0" applyFill="1"/>
    <xf numFmtId="43" fontId="0" fillId="3" borderId="0" xfId="0" applyNumberFormat="1" applyFill="1"/>
    <xf numFmtId="0" fontId="4" fillId="3" borderId="0" xfId="0" applyFont="1" applyFill="1"/>
    <xf numFmtId="0" fontId="5" fillId="0" borderId="0" xfId="0" applyFont="1"/>
    <xf numFmtId="0" fontId="6" fillId="0" borderId="2" xfId="0" applyFont="1" applyBorder="1" applyAlignment="1">
      <alignment horizontal="center" vertical="top" wrapText="1"/>
    </xf>
    <xf numFmtId="0" fontId="7" fillId="0" borderId="2" xfId="0" applyFont="1" applyBorder="1" applyAlignment="1">
      <alignment wrapText="1"/>
    </xf>
    <xf numFmtId="0" fontId="0" fillId="0" borderId="2" xfId="0" applyBorder="1" applyAlignment="1">
      <alignment horizontal="left" vertical="top"/>
    </xf>
    <xf numFmtId="0" fontId="0" fillId="0" borderId="0" xfId="0" applyAlignment="1">
      <alignment vertical="top"/>
    </xf>
    <xf numFmtId="0" fontId="2" fillId="0" borderId="2" xfId="0" applyFont="1" applyBorder="1" applyAlignment="1">
      <alignment horizontal="left" vertical="top"/>
    </xf>
    <xf numFmtId="0" fontId="0" fillId="0" borderId="0" xfId="0" applyAlignment="1">
      <alignment horizontal="left" vertical="top"/>
    </xf>
    <xf numFmtId="43" fontId="0" fillId="0" borderId="0" xfId="0" applyNumberFormat="1" applyAlignment="1">
      <alignment horizontal="left" vertical="top"/>
    </xf>
    <xf numFmtId="0" fontId="11" fillId="0" borderId="3" xfId="0" applyFont="1" applyFill="1" applyBorder="1" applyAlignment="1">
      <alignment vertical="top"/>
    </xf>
    <xf numFmtId="0" fontId="0" fillId="0" borderId="2" xfId="0" applyBorder="1" applyAlignment="1">
      <alignment horizontal="left" vertical="top" wrapText="1"/>
    </xf>
    <xf numFmtId="0" fontId="9" fillId="0" borderId="2" xfId="1" applyFont="1" applyBorder="1" applyAlignment="1">
      <alignment horizontal="left" vertical="top" wrapText="1"/>
    </xf>
    <xf numFmtId="43" fontId="0" fillId="0" borderId="2" xfId="0" applyNumberFormat="1" applyBorder="1" applyAlignment="1">
      <alignment horizontal="left" vertical="top" wrapText="1"/>
    </xf>
    <xf numFmtId="9" fontId="0" fillId="0" borderId="2" xfId="0" applyNumberFormat="1" applyBorder="1" applyAlignment="1">
      <alignment horizontal="left" vertical="top" wrapText="1"/>
    </xf>
    <xf numFmtId="0" fontId="0" fillId="3" borderId="0" xfId="0" applyFill="1" applyAlignment="1">
      <alignment horizontal="left" vertical="top"/>
    </xf>
    <xf numFmtId="0" fontId="0" fillId="0" borderId="0" xfId="0" applyAlignment="1">
      <alignment horizontal="left" vertical="top" wrapText="1"/>
    </xf>
    <xf numFmtId="0" fontId="2" fillId="0" borderId="2" xfId="0" applyFont="1" applyBorder="1" applyAlignment="1">
      <alignment vertical="top"/>
    </xf>
    <xf numFmtId="43" fontId="2" fillId="0" borderId="2" xfId="0" applyNumberFormat="1" applyFont="1" applyBorder="1" applyAlignment="1">
      <alignment horizontal="left" vertical="top"/>
    </xf>
    <xf numFmtId="0" fontId="2" fillId="0" borderId="2" xfId="0" applyFont="1" applyBorder="1" applyAlignment="1">
      <alignment horizontal="left" vertical="top" wrapText="1"/>
    </xf>
    <xf numFmtId="43" fontId="0" fillId="0" borderId="2" xfId="0" applyNumberFormat="1" applyBorder="1" applyAlignment="1">
      <alignment vertical="top" wrapText="1"/>
    </xf>
    <xf numFmtId="0" fontId="10" fillId="4" borderId="2" xfId="0" applyFont="1" applyFill="1" applyBorder="1" applyAlignment="1">
      <alignment vertical="top" wrapText="1"/>
    </xf>
    <xf numFmtId="0" fontId="11" fillId="4" borderId="2" xfId="0" applyFont="1" applyFill="1" applyBorder="1" applyAlignment="1">
      <alignment vertical="top" wrapText="1"/>
    </xf>
    <xf numFmtId="9" fontId="11" fillId="4" borderId="2" xfId="0" applyNumberFormat="1" applyFont="1" applyFill="1" applyBorder="1" applyAlignment="1">
      <alignment vertical="top" wrapText="1"/>
    </xf>
    <xf numFmtId="0" fontId="11" fillId="4" borderId="2" xfId="0" applyFont="1" applyFill="1" applyBorder="1" applyAlignment="1">
      <alignment vertical="top"/>
    </xf>
    <xf numFmtId="4" fontId="10" fillId="4" borderId="2" xfId="0" applyNumberFormat="1" applyFont="1" applyFill="1" applyBorder="1" applyAlignment="1">
      <alignment vertical="top" wrapText="1"/>
    </xf>
    <xf numFmtId="0" fontId="12" fillId="4" borderId="2" xfId="0" applyFont="1" applyFill="1" applyBorder="1" applyAlignment="1">
      <alignment vertical="top"/>
    </xf>
    <xf numFmtId="0" fontId="8" fillId="4" borderId="2" xfId="1" applyFill="1" applyBorder="1" applyAlignment="1">
      <alignment vertical="top" wrapText="1"/>
    </xf>
    <xf numFmtId="0" fontId="13" fillId="4" borderId="2" xfId="0" applyFont="1" applyFill="1" applyBorder="1" applyAlignment="1">
      <alignment vertical="top"/>
    </xf>
    <xf numFmtId="9" fontId="11" fillId="4" borderId="2" xfId="0" applyNumberFormat="1" applyFont="1" applyFill="1" applyBorder="1" applyAlignment="1">
      <alignment vertical="top"/>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pims.undp.org/project/asl?id=6169&amp;aslId=9204" TargetMode="External"/><Relationship Id="rId2" Type="http://schemas.openxmlformats.org/officeDocument/2006/relationships/hyperlink" Target="https://co.pims.undp.org/project/view?id=5284" TargetMode="External"/><Relationship Id="rId1" Type="http://schemas.openxmlformats.org/officeDocument/2006/relationships/hyperlink" Target="https://co.pims.undp.org/project/view?id=64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122A-0CF1-4675-9D6C-19EC8EB6C581}">
  <dimension ref="A1:V7"/>
  <sheetViews>
    <sheetView tabSelected="1" workbookViewId="0">
      <pane xSplit="1" ySplit="1" topLeftCell="B2" activePane="bottomRight" state="frozen"/>
      <selection pane="bottomRight" activeCell="U7" sqref="A7:U7"/>
      <selection pane="bottomLeft"/>
      <selection pane="topRight"/>
    </sheetView>
  </sheetViews>
  <sheetFormatPr defaultRowHeight="15"/>
  <cols>
    <col min="1" max="1" width="9.140625" style="18"/>
    <col min="2" max="2" width="31.140625" style="18" customWidth="1"/>
    <col min="3" max="3" width="20.7109375" style="18" customWidth="1"/>
    <col min="4" max="4" width="17.85546875" style="16" customWidth="1"/>
    <col min="5" max="5" width="20.7109375" style="18" customWidth="1"/>
    <col min="6" max="6" width="23.85546875" style="18" customWidth="1"/>
    <col min="7" max="7" width="12.7109375" style="18" customWidth="1"/>
    <col min="8" max="8" width="17.140625" style="19" customWidth="1"/>
    <col min="9" max="9" width="36.5703125" style="18" customWidth="1"/>
    <col min="10" max="10" width="28.5703125" style="18" customWidth="1"/>
    <col min="11" max="11" width="14.140625" style="18" customWidth="1"/>
    <col min="12" max="12" width="12.85546875" style="18" bestFit="1" customWidth="1"/>
    <col min="13" max="13" width="26.28515625" style="18" customWidth="1"/>
    <col min="14" max="14" width="14.42578125" style="18" bestFit="1" customWidth="1"/>
    <col min="15" max="15" width="14.85546875" style="18" bestFit="1" customWidth="1"/>
    <col min="16" max="16" width="22.85546875" style="18" customWidth="1"/>
    <col min="17" max="17" width="16.5703125" style="18" bestFit="1" customWidth="1"/>
    <col min="18" max="18" width="18.140625" style="18" bestFit="1" customWidth="1"/>
    <col min="19" max="19" width="11.28515625" style="18" bestFit="1" customWidth="1"/>
    <col min="20" max="20" width="30.28515625" style="18" bestFit="1" customWidth="1"/>
    <col min="21" max="21" width="16.7109375" style="18" bestFit="1" customWidth="1"/>
    <col min="22" max="16384" width="9.140625" style="18"/>
  </cols>
  <sheetData>
    <row r="1" spans="1:22" ht="30.75">
      <c r="A1" s="17" t="s">
        <v>0</v>
      </c>
      <c r="B1" s="17" t="s">
        <v>1</v>
      </c>
      <c r="C1" s="17" t="s">
        <v>2</v>
      </c>
      <c r="D1" s="27" t="s">
        <v>3</v>
      </c>
      <c r="E1" s="17" t="s">
        <v>4</v>
      </c>
      <c r="F1" s="17" t="s">
        <v>5</v>
      </c>
      <c r="G1" s="17" t="s">
        <v>6</v>
      </c>
      <c r="H1" s="28" t="s">
        <v>7</v>
      </c>
      <c r="I1" s="17" t="s">
        <v>8</v>
      </c>
      <c r="J1" s="17" t="s">
        <v>9</v>
      </c>
      <c r="K1" s="29" t="s">
        <v>10</v>
      </c>
      <c r="L1" s="17" t="s">
        <v>11</v>
      </c>
      <c r="M1" s="17" t="s">
        <v>12</v>
      </c>
      <c r="N1" s="17" t="s">
        <v>13</v>
      </c>
      <c r="O1" s="17" t="s">
        <v>14</v>
      </c>
      <c r="P1" s="17" t="s">
        <v>15</v>
      </c>
      <c r="Q1" s="17" t="s">
        <v>16</v>
      </c>
      <c r="R1" s="17" t="s">
        <v>17</v>
      </c>
      <c r="S1" s="17" t="s">
        <v>18</v>
      </c>
      <c r="T1" s="17" t="s">
        <v>19</v>
      </c>
      <c r="U1" s="17" t="s">
        <v>20</v>
      </c>
    </row>
    <row r="2" spans="1:22" s="25" customFormat="1" ht="135" customHeight="1">
      <c r="A2" s="21">
        <v>6411</v>
      </c>
      <c r="B2" s="21" t="s">
        <v>21</v>
      </c>
      <c r="C2" s="22" t="s">
        <v>22</v>
      </c>
      <c r="D2" s="23">
        <v>9416167</v>
      </c>
      <c r="E2" s="21" t="s">
        <v>23</v>
      </c>
      <c r="F2" s="21" t="s">
        <v>24</v>
      </c>
      <c r="G2" s="21">
        <v>0</v>
      </c>
      <c r="H2" s="23">
        <v>928850</v>
      </c>
      <c r="I2" s="21" t="s">
        <v>25</v>
      </c>
      <c r="J2" s="21" t="s">
        <v>26</v>
      </c>
      <c r="K2" s="24">
        <v>0.5</v>
      </c>
      <c r="L2" s="15" t="s">
        <v>27</v>
      </c>
      <c r="M2" s="15"/>
      <c r="N2" s="21" t="s">
        <v>28</v>
      </c>
      <c r="O2" s="15"/>
      <c r="P2" s="15"/>
      <c r="Q2" s="15"/>
      <c r="R2" s="15"/>
      <c r="S2" s="15"/>
      <c r="T2" s="15"/>
      <c r="U2" s="15"/>
    </row>
    <row r="3" spans="1:22" ht="76.5">
      <c r="A3" s="21">
        <v>5284</v>
      </c>
      <c r="B3" s="21" t="s">
        <v>29</v>
      </c>
      <c r="C3" s="22" t="s">
        <v>30</v>
      </c>
      <c r="D3" s="30">
        <v>2639726</v>
      </c>
      <c r="E3" s="21" t="s">
        <v>31</v>
      </c>
      <c r="F3" s="21" t="s">
        <v>32</v>
      </c>
      <c r="G3" s="21">
        <v>0</v>
      </c>
      <c r="H3" s="23" t="s">
        <v>33</v>
      </c>
      <c r="I3" s="21" t="s">
        <v>34</v>
      </c>
      <c r="J3" s="21" t="s">
        <v>26</v>
      </c>
      <c r="K3" s="21"/>
      <c r="L3" s="15" t="s">
        <v>27</v>
      </c>
      <c r="M3" s="15"/>
      <c r="N3" s="21" t="s">
        <v>28</v>
      </c>
      <c r="O3" s="15"/>
      <c r="P3" s="15"/>
      <c r="Q3" s="15"/>
      <c r="R3" s="15"/>
      <c r="S3" s="15"/>
      <c r="T3" s="15"/>
      <c r="U3" s="15"/>
    </row>
    <row r="4" spans="1:22" s="26" customFormat="1" ht="183">
      <c r="A4" s="31">
        <v>133712</v>
      </c>
      <c r="B4" s="31" t="s">
        <v>35</v>
      </c>
      <c r="C4" s="32"/>
      <c r="D4" s="31" t="s">
        <v>36</v>
      </c>
      <c r="E4" s="32" t="s">
        <v>37</v>
      </c>
      <c r="F4" s="32" t="s">
        <v>24</v>
      </c>
      <c r="G4" s="32">
        <v>0</v>
      </c>
      <c r="H4" s="32">
        <v>500</v>
      </c>
      <c r="I4" s="32" t="s">
        <v>38</v>
      </c>
      <c r="J4" s="32" t="s">
        <v>39</v>
      </c>
      <c r="K4" s="33">
        <v>0.4</v>
      </c>
      <c r="L4" s="32" t="s">
        <v>40</v>
      </c>
      <c r="M4" s="32" t="s">
        <v>41</v>
      </c>
      <c r="N4" s="32" t="s">
        <v>42</v>
      </c>
      <c r="O4" s="32" t="s">
        <v>43</v>
      </c>
      <c r="P4" s="32" t="s">
        <v>44</v>
      </c>
      <c r="Q4" s="32" t="s">
        <v>45</v>
      </c>
      <c r="R4" s="32" t="s">
        <v>46</v>
      </c>
      <c r="S4" s="32" t="s">
        <v>47</v>
      </c>
      <c r="T4" s="32" t="s">
        <v>48</v>
      </c>
      <c r="U4" s="32" t="s">
        <v>49</v>
      </c>
    </row>
    <row r="5" spans="1:22" ht="45.75">
      <c r="A5" s="31">
        <v>109738</v>
      </c>
      <c r="B5" s="31" t="s">
        <v>50</v>
      </c>
      <c r="C5" s="34" t="s">
        <v>51</v>
      </c>
      <c r="D5" s="35">
        <v>5412322</v>
      </c>
      <c r="E5" s="34" t="s">
        <v>51</v>
      </c>
      <c r="F5" s="32" t="s">
        <v>24</v>
      </c>
      <c r="G5" s="34">
        <v>0</v>
      </c>
      <c r="H5" s="34">
        <v>400</v>
      </c>
      <c r="I5" s="32"/>
      <c r="J5" s="34" t="s">
        <v>52</v>
      </c>
      <c r="K5" s="33">
        <v>1.4</v>
      </c>
      <c r="L5" s="34" t="s">
        <v>40</v>
      </c>
      <c r="M5" s="34" t="s">
        <v>41</v>
      </c>
      <c r="N5" s="32" t="s">
        <v>42</v>
      </c>
      <c r="O5" s="34" t="s">
        <v>53</v>
      </c>
      <c r="P5" s="34" t="s">
        <v>44</v>
      </c>
      <c r="Q5" s="34" t="s">
        <v>45</v>
      </c>
      <c r="R5" s="34" t="s">
        <v>54</v>
      </c>
      <c r="S5" s="34" t="s">
        <v>47</v>
      </c>
      <c r="T5" s="34" t="s">
        <v>48</v>
      </c>
      <c r="U5" s="32" t="s">
        <v>55</v>
      </c>
    </row>
    <row r="6" spans="1:22" ht="144.75">
      <c r="A6" s="31">
        <v>1002052</v>
      </c>
      <c r="B6" s="31" t="s">
        <v>56</v>
      </c>
      <c r="C6" s="36" t="s">
        <v>51</v>
      </c>
      <c r="D6" s="31" t="s">
        <v>57</v>
      </c>
      <c r="E6" s="34" t="s">
        <v>58</v>
      </c>
      <c r="F6" s="32" t="s">
        <v>24</v>
      </c>
      <c r="G6" s="34">
        <v>0</v>
      </c>
      <c r="H6" s="34">
        <v>600</v>
      </c>
      <c r="I6" s="31" t="s">
        <v>59</v>
      </c>
      <c r="J6" s="32" t="s">
        <v>60</v>
      </c>
      <c r="K6" s="32" t="s">
        <v>51</v>
      </c>
      <c r="L6" s="34" t="s">
        <v>40</v>
      </c>
      <c r="M6" s="34" t="s">
        <v>41</v>
      </c>
      <c r="N6" s="32" t="s">
        <v>42</v>
      </c>
      <c r="O6" s="34" t="s">
        <v>53</v>
      </c>
      <c r="P6" s="34" t="s">
        <v>44</v>
      </c>
      <c r="Q6" s="34" t="s">
        <v>45</v>
      </c>
      <c r="R6" s="34" t="s">
        <v>54</v>
      </c>
      <c r="S6" s="34" t="s">
        <v>47</v>
      </c>
      <c r="T6" s="34" t="s">
        <v>48</v>
      </c>
      <c r="U6" s="34"/>
      <c r="V6" s="20" t="s">
        <v>51</v>
      </c>
    </row>
    <row r="7" spans="1:22" ht="351">
      <c r="A7" s="31">
        <v>126537</v>
      </c>
      <c r="B7" s="31" t="s">
        <v>61</v>
      </c>
      <c r="C7" s="37" t="s">
        <v>62</v>
      </c>
      <c r="D7" s="35">
        <v>2329236</v>
      </c>
      <c r="E7" s="32" t="s">
        <v>31</v>
      </c>
      <c r="F7" s="32" t="s">
        <v>24</v>
      </c>
      <c r="G7" s="34">
        <v>0</v>
      </c>
      <c r="H7" s="38">
        <v>200</v>
      </c>
      <c r="I7" s="32" t="s">
        <v>63</v>
      </c>
      <c r="J7" s="34" t="s">
        <v>64</v>
      </c>
      <c r="K7" s="39">
        <v>0.45</v>
      </c>
      <c r="L7" s="34" t="s">
        <v>27</v>
      </c>
      <c r="M7" s="34" t="s">
        <v>41</v>
      </c>
      <c r="N7" s="32" t="s">
        <v>28</v>
      </c>
      <c r="O7" s="34" t="s">
        <v>53</v>
      </c>
      <c r="P7" s="34" t="s">
        <v>44</v>
      </c>
      <c r="Q7" s="34" t="s">
        <v>45</v>
      </c>
      <c r="R7" s="34" t="s">
        <v>65</v>
      </c>
      <c r="S7" s="34" t="s">
        <v>47</v>
      </c>
      <c r="T7" s="34" t="s">
        <v>48</v>
      </c>
      <c r="U7" s="32" t="s">
        <v>66</v>
      </c>
    </row>
  </sheetData>
  <dataValidations count="9">
    <dataValidation type="list" allowBlank="1" showInputMessage="1" showErrorMessage="1" sqref="Q2:Q3" xr:uid="{1607DC8C-DC29-450F-8879-EF845EA4ABEC}">
      <formula1>"NDC Support, National Strategy, Legal Framework,Incentives and Support, Government Capacity-Building, Carbon Pricing and Monitoring, Financing Model, Business Model"</formula1>
    </dataValidation>
    <dataValidation type="list" allowBlank="1" showInputMessage="1" showErrorMessage="1" sqref="P2:P3" xr:uid="{359A6886-5859-40F8-A7CE-DE62C2516208}">
      <formula1>"AMP, PUDC, Solar4Health, Action Opportunities, Italy UNDP Energy Partnership"</formula1>
    </dataValidation>
    <dataValidation type="list" allowBlank="1" showInputMessage="1" showErrorMessage="1" sqref="N2:N3" xr:uid="{1D328A71-375E-4E18-AFF9-808B662B6979}">
      <formula1>"Accelerating just energy transition, Close the gap on energy access, Scale up energy finance"</formula1>
    </dataValidation>
    <dataValidation type="list" allowBlank="1" showInputMessage="1" showErrorMessage="1" sqref="O2:O3" xr:uid="{71050276-070D-4B55-B12D-5853561F17A5}">
      <formula1>"Electricity Access, Energy Efficiency, Clean Cooking, Renewable Energy, Overall"</formula1>
    </dataValidation>
    <dataValidation type="list" allowBlank="1" showInputMessage="1" showErrorMessage="1" sqref="L2:L3" xr:uid="{B4167FAE-7060-4675-8A8F-3BF1881AF5A0}">
      <formula1>"Non-VF, VF"</formula1>
    </dataValidation>
    <dataValidation type="list" allowBlank="1" showInputMessage="1" showErrorMessage="1" sqref="M2:M3" xr:uid="{106A763C-5810-4451-AEEA-E477EC0B5881}">
      <formula1>"Finance, Gender, Efficiency, Just, Health"</formula1>
    </dataValidation>
    <dataValidation type="list" allowBlank="1" showInputMessage="1" showErrorMessage="1" sqref="T2:T3" xr:uid="{38C20209-BDF9-4B13-8E44-BB31BD48EE75}">
      <formula1>"National, Regional, City, Community"</formula1>
    </dataValidation>
    <dataValidation type="list" allowBlank="1" showInputMessage="1" showErrorMessage="1" sqref="R2:R3" xr:uid="{CA84AD0A-7169-4026-B82A-ADBDF8F0D317}">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7052E20B-2F3E-40EF-9F78-3EEB456BFA0B}">
      <formula1>"Solar, Wind, Bioenergy, Hydro, Geothermal, Waste, Some Sources, Other, Unknown"</formula1>
    </dataValidation>
  </dataValidations>
  <hyperlinks>
    <hyperlink ref="C2" r:id="rId1" xr:uid="{244DB67D-E1A7-4948-820A-7587C1B25A01}"/>
    <hyperlink ref="C3" r:id="rId2" xr:uid="{38BD10E3-3E1A-4443-8DCB-6F18C8774244}"/>
    <hyperlink ref="C7" r:id="rId3" xr:uid="{325ECA6E-4F8B-49DC-8E41-68AEFE37FDE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B15ADE1-89C7-464C-A57D-0E21567E5EF7}">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826F-4E53-48A6-BB98-031E3FB48325}">
  <dimension ref="A1:M7"/>
  <sheetViews>
    <sheetView workbookViewId="0">
      <selection activeCell="A3" sqref="A3"/>
    </sheetView>
  </sheetViews>
  <sheetFormatPr defaultRowHeight="15"/>
  <cols>
    <col min="2" max="3" width="20.7109375" customWidth="1"/>
    <col min="5" max="5" width="20.7109375" customWidth="1"/>
    <col min="6" max="6" width="23.85546875" customWidth="1"/>
    <col min="7" max="7" width="12.7109375" customWidth="1"/>
    <col min="8" max="8" width="12.7109375" style="6" customWidth="1"/>
    <col min="9" max="9" width="32.7109375" customWidth="1"/>
    <col min="10" max="10" width="10.28515625" customWidth="1"/>
    <col min="13" max="13" width="46.140625" customWidth="1"/>
  </cols>
  <sheetData>
    <row r="1" spans="1:13">
      <c r="A1" s="1" t="s">
        <v>0</v>
      </c>
      <c r="B1" s="1" t="s">
        <v>1</v>
      </c>
      <c r="C1" s="1" t="s">
        <v>2</v>
      </c>
      <c r="D1" s="1" t="s">
        <v>3</v>
      </c>
      <c r="E1" s="1" t="s">
        <v>4</v>
      </c>
      <c r="F1" s="1" t="s">
        <v>5</v>
      </c>
      <c r="G1" s="1" t="s">
        <v>6</v>
      </c>
      <c r="H1" s="3" t="s">
        <v>7</v>
      </c>
      <c r="I1" s="1" t="s">
        <v>8</v>
      </c>
      <c r="J1" s="7" t="s">
        <v>9</v>
      </c>
      <c r="K1" s="8" t="s">
        <v>10</v>
      </c>
      <c r="L1" s="8" t="s">
        <v>67</v>
      </c>
      <c r="M1" s="8" t="s">
        <v>68</v>
      </c>
    </row>
    <row r="2" spans="1:13" s="9" customFormat="1">
      <c r="A2" s="9">
        <v>6411</v>
      </c>
      <c r="B2" s="9" t="s">
        <v>21</v>
      </c>
      <c r="C2" s="9" t="s">
        <v>69</v>
      </c>
      <c r="D2" s="9">
        <v>9416167</v>
      </c>
      <c r="E2" t="s">
        <v>23</v>
      </c>
      <c r="F2" s="9" t="s">
        <v>24</v>
      </c>
      <c r="G2" s="9">
        <v>0</v>
      </c>
      <c r="H2" s="10">
        <v>928850</v>
      </c>
      <c r="I2" s="9" t="s">
        <v>70</v>
      </c>
      <c r="L2" s="9" t="s">
        <v>27</v>
      </c>
      <c r="M2" s="11" t="s">
        <v>71</v>
      </c>
    </row>
    <row r="3" spans="1:13">
      <c r="A3">
        <v>5284</v>
      </c>
      <c r="B3" t="s">
        <v>29</v>
      </c>
      <c r="C3" t="s">
        <v>69</v>
      </c>
      <c r="D3">
        <v>2639726</v>
      </c>
      <c r="E3" s="2" t="s">
        <v>31</v>
      </c>
      <c r="F3" s="2" t="s">
        <v>32</v>
      </c>
      <c r="G3" s="2">
        <v>0</v>
      </c>
      <c r="H3" s="4" t="s">
        <v>33</v>
      </c>
      <c r="I3" s="2" t="s">
        <v>34</v>
      </c>
      <c r="L3" t="s">
        <v>27</v>
      </c>
    </row>
    <row r="5" spans="1:13">
      <c r="B5" s="12" t="s">
        <v>72</v>
      </c>
    </row>
    <row r="7" spans="1:13">
      <c r="H7"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56DCA40-D3DB-446C-83B5-DCFAD6BA069D}">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opLeftCell="D1" workbookViewId="0">
      <selection activeCell="K1" sqref="K1"/>
    </sheetView>
  </sheetViews>
  <sheetFormatPr defaultRowHeight="15"/>
  <cols>
    <col min="2" max="3" width="20.7109375" customWidth="1"/>
    <col min="5" max="5" width="20.7109375" customWidth="1"/>
    <col min="6" max="6" width="23.85546875" customWidth="1"/>
    <col min="7" max="7" width="12.7109375" customWidth="1"/>
    <col min="8" max="8" width="12.7109375" style="6" customWidth="1"/>
    <col min="9" max="9" width="32.7109375" customWidth="1"/>
  </cols>
  <sheetData>
    <row r="1" spans="1:10">
      <c r="A1" s="1" t="s">
        <v>0</v>
      </c>
      <c r="B1" s="1" t="s">
        <v>1</v>
      </c>
      <c r="C1" s="1" t="s">
        <v>2</v>
      </c>
      <c r="D1" s="1" t="s">
        <v>3</v>
      </c>
      <c r="E1" s="1" t="s">
        <v>4</v>
      </c>
      <c r="F1" s="1" t="s">
        <v>5</v>
      </c>
      <c r="G1" s="1" t="s">
        <v>6</v>
      </c>
      <c r="H1" s="3" t="s">
        <v>7</v>
      </c>
      <c r="I1" s="1" t="s">
        <v>8</v>
      </c>
      <c r="J1" s="7" t="s">
        <v>9</v>
      </c>
    </row>
    <row r="2" spans="1:10">
      <c r="A2">
        <v>6411</v>
      </c>
      <c r="B2" t="s">
        <v>21</v>
      </c>
      <c r="C2" t="s">
        <v>69</v>
      </c>
      <c r="D2">
        <v>9416167</v>
      </c>
      <c r="E2" s="2" t="s">
        <v>47</v>
      </c>
      <c r="F2" s="2" t="s">
        <v>24</v>
      </c>
      <c r="G2" s="2">
        <v>0</v>
      </c>
      <c r="H2" s="4">
        <v>928850</v>
      </c>
      <c r="I2" s="2" t="s">
        <v>70</v>
      </c>
    </row>
    <row r="3" spans="1:10">
      <c r="A3">
        <v>5284</v>
      </c>
      <c r="B3" t="s">
        <v>29</v>
      </c>
      <c r="C3" t="s">
        <v>69</v>
      </c>
      <c r="D3">
        <v>2639726</v>
      </c>
      <c r="E3" s="2" t="s">
        <v>73</v>
      </c>
      <c r="F3" s="2" t="s">
        <v>32</v>
      </c>
      <c r="G3" s="2">
        <v>0</v>
      </c>
      <c r="H3" s="4">
        <v>18780</v>
      </c>
      <c r="I3" s="2" t="s">
        <v>34</v>
      </c>
    </row>
    <row r="7" spans="1:10">
      <c r="H7"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3" t="s">
        <v>4</v>
      </c>
      <c r="B1" s="13" t="s">
        <v>5</v>
      </c>
    </row>
    <row r="2" spans="1:2" ht="45.75">
      <c r="A2" s="40" t="s">
        <v>74</v>
      </c>
      <c r="B2" s="14" t="s">
        <v>75</v>
      </c>
    </row>
    <row r="3" spans="1:2">
      <c r="A3" s="40" t="s">
        <v>76</v>
      </c>
      <c r="B3" s="14" t="s">
        <v>77</v>
      </c>
    </row>
    <row r="4" spans="1:2" ht="30.75">
      <c r="A4" s="40" t="s">
        <v>78</v>
      </c>
      <c r="B4" s="14" t="s">
        <v>79</v>
      </c>
    </row>
    <row r="5" spans="1:2" ht="30.75">
      <c r="A5" s="40" t="s">
        <v>80</v>
      </c>
      <c r="B5" s="14" t="s">
        <v>81</v>
      </c>
    </row>
    <row r="6" spans="1:2" ht="91.5">
      <c r="A6" s="40" t="s">
        <v>82</v>
      </c>
      <c r="B6" s="14" t="s">
        <v>83</v>
      </c>
    </row>
    <row r="7" spans="1:2" ht="45.75">
      <c r="A7" s="40" t="s">
        <v>84</v>
      </c>
      <c r="B7" s="14" t="s">
        <v>85</v>
      </c>
    </row>
    <row r="8" spans="1:2" ht="45.75">
      <c r="A8" s="40" t="s">
        <v>31</v>
      </c>
      <c r="B8" s="14" t="s">
        <v>86</v>
      </c>
    </row>
    <row r="9" spans="1:2" ht="45.75">
      <c r="A9" s="40" t="s">
        <v>87</v>
      </c>
      <c r="B9" s="14" t="s">
        <v>88</v>
      </c>
    </row>
    <row r="10" spans="1:2" ht="30.75">
      <c r="A10" s="40" t="s">
        <v>89</v>
      </c>
      <c r="B10" s="41" t="s">
        <v>90</v>
      </c>
    </row>
    <row r="11" spans="1:2" ht="30.75">
      <c r="A11" s="40" t="s">
        <v>37</v>
      </c>
      <c r="B11" s="41" t="s">
        <v>91</v>
      </c>
    </row>
    <row r="12" spans="1:2" ht="45.75">
      <c r="A12" s="40" t="s">
        <v>23</v>
      </c>
      <c r="B12" s="14" t="s">
        <v>92</v>
      </c>
    </row>
    <row r="13" spans="1:2" ht="30.75">
      <c r="A13" s="40" t="s">
        <v>73</v>
      </c>
      <c r="B13" s="41" t="s">
        <v>93</v>
      </c>
    </row>
    <row r="14" spans="1:2">
      <c r="A14" s="40" t="s">
        <v>94</v>
      </c>
      <c r="B14" s="41" t="s">
        <v>95</v>
      </c>
    </row>
    <row r="15" spans="1:2" ht="30.75">
      <c r="A15" s="40" t="s">
        <v>96</v>
      </c>
      <c r="B15" s="41" t="s">
        <v>97</v>
      </c>
    </row>
    <row r="16" spans="1:2" ht="30.75">
      <c r="A16" s="40" t="s">
        <v>98</v>
      </c>
      <c r="B16" s="41" t="s">
        <v>99</v>
      </c>
    </row>
    <row r="17" spans="1:2" ht="30.75">
      <c r="A17" s="40" t="s">
        <v>100</v>
      </c>
      <c r="B17" s="14" t="s">
        <v>101</v>
      </c>
    </row>
    <row r="18" spans="1:2" ht="30.75">
      <c r="A18" s="40" t="s">
        <v>102</v>
      </c>
      <c r="B18" s="41" t="s">
        <v>103</v>
      </c>
    </row>
    <row r="19" spans="1:2" ht="76.5">
      <c r="A19" s="40" t="s">
        <v>104</v>
      </c>
      <c r="B19" s="41" t="s">
        <v>105</v>
      </c>
    </row>
    <row r="20" spans="1:2" ht="30.75">
      <c r="A20" s="40" t="s">
        <v>106</v>
      </c>
      <c r="B20" s="41" t="s">
        <v>107</v>
      </c>
    </row>
    <row r="21" spans="1:2" ht="45.75">
      <c r="A21" s="40" t="s">
        <v>19</v>
      </c>
      <c r="B21" s="42" t="s">
        <v>108</v>
      </c>
    </row>
    <row r="22" spans="1:2" ht="30.75">
      <c r="A22" s="40" t="s">
        <v>47</v>
      </c>
      <c r="B22" s="41" t="s">
        <v>109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36a23eac4381d42a37a5d5eba9326a07">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90a59592a5b6abfcdd7270a70f2ab263"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B651DB38-466F-4307-A635-EB57FA2A2532}"/>
</file>

<file path=customXml/itemProps2.xml><?xml version="1.0" encoding="utf-8"?>
<ds:datastoreItem xmlns:ds="http://schemas.openxmlformats.org/officeDocument/2006/customXml" ds:itemID="{56FCD4C6-A8AD-4821-92C6-30487BBEFE9B}"/>
</file>

<file path=customXml/itemProps3.xml><?xml version="1.0" encoding="utf-8"?>
<ds:datastoreItem xmlns:ds="http://schemas.openxmlformats.org/officeDocument/2006/customXml" ds:itemID="{AC43D0C9-D0DC-4818-94B7-EEF3A98EB1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Manar Shehadeh</cp:lastModifiedBy>
  <cp:revision/>
  <dcterms:created xsi:type="dcterms:W3CDTF">2023-05-05T09:33:41Z</dcterms:created>
  <dcterms:modified xsi:type="dcterms:W3CDTF">2025-10-23T13:07:06Z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