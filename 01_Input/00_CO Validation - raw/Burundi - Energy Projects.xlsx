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241" documentId="11_BF08EB1A9688AD8D5880710D78392518E0E8549D" xr6:coauthVersionLast="47" xr6:coauthVersionMax="47" xr10:uidLastSave="{EB2F4AEA-837D-4767-9B85-566F6C8AFFD6}"/>
  <bookViews>
    <workbookView xWindow="-98" yWindow="-98" windowWidth="21795" windowHeight="12975"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tc={32EC5E1A-6084-4F05-BF51-61AFE998B99B}</author>
    <author>tc={6DE93AEE-9CFE-45EE-AAC8-02F23CE77433}</author>
    <author>tc={2023F790-2CDE-489B-AD2F-25ADA27E1B5B}</author>
  </authors>
  <commentList>
    <comment ref="D9" authorId="0" shapeId="0" xr:uid="{32EC5E1A-6084-4F05-BF51-61AFE998B9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@Daisy Gladys Iteritekale budget est 2 717 948 USD pour les deux phases ( Phase I : 927 983 USD et Phase II: 1 7989 766</t>
      </text>
    </comment>
    <comment ref="G9" authorId="1" shapeId="0" xr:uid="{6DE93AEE-9CFE-45EE-AAC8-02F23CE77433}">
      <text>
        <t>[Threaded comment]
Your version of Excel allows you to read this threaded comment; however, any edits to it will get removed if the file is opened in a newer version of Excel. Learn more: https://go.microsoft.com/fwlink/?linkid=870924
Comment:
    Merci de préciser le type d'information à mettre dans baseline. Faudrait il ajouter les données techniques collectées aux sites: nombre d'heures de coupure, ...?
Reply:
    Bonjour Adonis! Pour l’établissement du baseline, il convient d’indiquer le nombre de personnes bénéficiant actuellement de services de santé électrifiés dans les structures ciblées. Si ces établissements ne disposent pas encore d’un accès fiable à l’électricité, le baseline sera tout simplement de zéro. Le "target" correspond alors à la population estimée qui aura un nouvel accès une fois que les 14 structures de santé seront équipées de systèmes solaires hybrides
Reply:
    Les données techniques, telles que le nombre d’heures de coupure, peuvent constituer un contexte utile pour la conception et le suivi du projet, mais elles ne sont pas requises dans la définition du baseline dans le cadre de l’Energy Moonshot Tracker</t>
      </text>
    </comment>
    <comment ref="H9" authorId="2" shapeId="0" xr:uid="{2023F790-2CDE-489B-AD2F-25ADA27E1B5B}">
      <text>
        <t xml:space="preserve">[Threaded comment]
Your version of Excel allows you to read this threaded comment; however, any edits to it will get removed if the file is opened in a newer version of Excel. Learn more: https://go.microsoft.com/fwlink/?linkid=870924
Comment:
    Ce chiffre doit être mis à jour : au lieu d’indiquer 14 (le nombre de systèmes solaires installés), il devrait refléter le nombre de personnes qui bénéficieront directement des nouvelles installations 
@Adonis Ndayizeye 
</t>
      </text>
    </comment>
  </commentList>
</comments>
</file>

<file path=xl/sharedStrings.xml><?xml version="1.0" encoding="utf-8"?>
<sst xmlns="http://schemas.openxmlformats.org/spreadsheetml/2006/main" count="172" uniqueCount="94">
  <si>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</si>
  <si>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</si>
  <si>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</si>
  <si>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</si>
  <si>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</si>
  <si>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</si>
  <si>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</si>
  <si>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</si>
  <si>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</si>
  <si>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</si>
  <si>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</si>
  <si>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</si>
  <si>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</si>
  <si>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</si>
  <si>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</si>
  <si>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</si>
  <si>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</si>
  <si>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</si>
  <si>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</si>
  <si>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</si>
  <si>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</si>
  <si>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Services Energétiques Ruraux</t>
  </si>
  <si>
    <t>http://open.undp.org/projects/00124212</t>
  </si>
  <si>
    <t>Electricity Access</t>
  </si>
  <si>
    <t>Number of household which has an energy access</t>
  </si>
  <si>
    <t>2864 HH</t>
  </si>
  <si>
    <t>Non-VF</t>
  </si>
  <si>
    <t>Close the gap on energy access</t>
  </si>
  <si>
    <t>Unknown</t>
  </si>
  <si>
    <t>Clean Cooking</t>
  </si>
  <si>
    <t>Number of stoves produced</t>
  </si>
  <si>
    <t>Small Enterprises</t>
  </si>
  <si>
    <t>Number of small enteprises supported</t>
  </si>
  <si>
    <t>Campaign Participant</t>
  </si>
  <si>
    <t>number of participant of awarness raising</t>
  </si>
  <si>
    <t>UNIPOD/ SMARTCENTER / WOMIPOD</t>
  </si>
  <si>
    <t>Other Energy Services</t>
  </si>
  <si>
    <t>Access to other service (electric vehicles, industries efficiency etc.)</t>
  </si>
  <si>
    <t>Installation des panneaux solaires dans 3 centres d'innovation à savoir (UNIPOD, SMARTCENTER et WOMIPOD)</t>
  </si>
  <si>
    <t>PNUD</t>
  </si>
  <si>
    <t>FONAREV (Portefeuille Entrepreneuriat)</t>
  </si>
  <si>
    <t>UN AGENCIES</t>
  </si>
  <si>
    <t>Appui à l'accès à la justice, Etat de droit et à la cohésion sociale au Burundi (11 Bureaux d'Etat Civil )</t>
  </si>
  <si>
    <t>https://open.undp.org/projects/01001073</t>
  </si>
  <si>
    <t>Other energy services</t>
  </si>
  <si>
    <t>Installation des panneaux solaires dans 32 institutions du gouvernement</t>
  </si>
  <si>
    <t>00128744</t>
  </si>
  <si>
    <t>COVID 19 RESPONSE MECHANISM ( C19RM)</t>
  </si>
  <si>
    <t>https://open.undp.org/covid-response</t>
  </si>
  <si>
    <t>Health Services</t>
  </si>
  <si>
    <t xml:space="preserve">Number of people who gain access to health care facilities (direct access to electricity and heating systems for clinics, hospitals, health centers etc.) </t>
  </si>
  <si>
    <t>14 ( Phase I: 5 et Phase II: 9)</t>
  </si>
  <si>
    <t>Installation de systèmes solaires hybrides pour 14 établissements de santé au Burundi</t>
  </si>
  <si>
    <t>GFATM C19RM UNDP</t>
  </si>
  <si>
    <t>IOT</t>
  </si>
  <si>
    <t>MOONSHOT FACILITY FUNDING (SMART SOLAR HYBRID PV SYSTEM)</t>
  </si>
  <si>
    <t>HQ</t>
  </si>
  <si>
    <t>Category</t>
  </si>
  <si>
    <t>Accelerating just energy transition</t>
  </si>
  <si>
    <t>Services Energétiques Ruraux | UNDP Transparency Portal</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</si>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</sst>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u/>
      <sz val="11"/>
      <color theme="10"/>
      <name val="Calibri"/>
      <family val="2"/>
    </font>
    <font>
      <sz val="11"/>
      <color rgb="FF444444"/>
      <name val="Calibri"/>
      <family val="2"/>
      <charset val="1"/>
    </font>
    <font>
      <b/>
      <sz val="12"/>
      <color theme="1"/>
      <name val="Calibri"/>
      <scheme val="minor"/>
    </font>
    <font>
      <sz val="12"/>
      <color theme="1"/>
      <name val="Calibri"/>
      <scheme val="minor"/>
    </font>
    <font>
      <sz val="12"/>
      <color rgb="FF000000"/>
      <name val="Calibri"/>
      <scheme val="minor"/>
    </font>
  </fonts>
  <fills count="6">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0">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3" fillId="0" borderId="0" xfId="0" applyFont="1"/>
    <xf numFmtId="0" fontId="3" fillId="0" borderId="0" xfId="0" applyFont="1" applyAlignment="1">
      <alignment wrapText="1"/>
    </xf>
    <xf numFmtId="0" fontId="0" fillId="0" borderId="0" xfId="0" applyAlignment="1">
      <alignment wrapText="1"/>
    </xf>
    <xf numFmtId="0" fontId="2" fillId="0" borderId="0" xfId="1" applyAlignment="1" applyProtection="1">
      <alignment wrapText="1"/>
    </xf>
    <xf numFmtId="3" fontId="0" fillId="0" borderId="0" xfId="0" applyNumberFormat="1"/>
    <xf numFmtId="0" fontId="1" fillId="0" borderId="2" xfId="0" applyFont="1" applyBorder="1"/>
    <xf numFmtId="0" fontId="0" fillId="3" borderId="0" xfId="0" applyFill="1"/>
    <xf numFmtId="0" fontId="1" fillId="0" borderId="3" xfId="0" applyFont="1" applyBorder="1" applyAlignment="1">
      <alignment horizontal="center" vertical="top"/>
    </xf>
    <xf numFmtId="0" fontId="1" fillId="0" borderId="3" xfId="0" applyFont="1" applyBorder="1"/>
    <xf numFmtId="0" fontId="0" fillId="0" borderId="3" xfId="0" applyBorder="1"/>
    <xf numFmtId="0" fontId="0" fillId="0" borderId="3" xfId="0" applyBorder="1" applyAlignment="1">
      <alignment wrapText="1"/>
    </xf>
    <xf numFmtId="0" fontId="2" fillId="0" borderId="3" xfId="1" applyBorder="1" applyAlignment="1" applyProtection="1"/>
    <xf numFmtId="0" fontId="0" fillId="2" borderId="3" xfId="0" applyFill="1" applyBorder="1"/>
    <xf numFmtId="0" fontId="0" fillId="3" borderId="3" xfId="0" applyFill="1" applyBorder="1"/>
    <xf numFmtId="0" fontId="3" fillId="3" borderId="3" xfId="0" applyFont="1" applyFill="1" applyBorder="1" applyAlignment="1">
      <alignment wrapText="1"/>
    </xf>
    <xf numFmtId="0" fontId="2" fillId="3" borderId="3" xfId="1" applyFill="1" applyBorder="1" applyAlignment="1" applyProtection="1">
      <alignment wrapText="1"/>
    </xf>
    <xf numFmtId="0" fontId="0" fillId="3" borderId="3" xfId="0" applyFill="1" applyBorder="1" applyAlignment="1">
      <alignment wrapText="1"/>
    </xf>
    <xf numFmtId="0" fontId="3" fillId="3" borderId="3" xfId="0" applyFont="1" applyFill="1" applyBorder="1"/>
    <xf numFmtId="0" fontId="3" fillId="0" borderId="3" xfId="0" applyFont="1" applyBorder="1"/>
    <xf numFmtId="0" fontId="2" fillId="0" borderId="3" xfId="1" applyFill="1" applyBorder="1" applyAlignment="1" applyProtection="1"/>
    <xf numFmtId="0" fontId="2" fillId="0" borderId="3" xfId="1" applyFill="1" applyBorder="1" applyAlignment="1" applyProtection="1">
      <alignment wrapText="1"/>
    </xf>
    <xf numFmtId="0" fontId="3" fillId="0" borderId="3" xfId="0" applyFont="1" applyBorder="1" applyAlignment="1">
      <alignment wrapText="1"/>
    </xf>
    <xf numFmtId="0" fontId="1" fillId="0" borderId="3" xfId="0" applyFont="1" applyBorder="1" applyAlignment="1">
      <alignment horizontal="center"/>
    </xf>
    <xf numFmtId="0" fontId="0" fillId="0" borderId="3" xfId="0" applyBorder="1" applyAlignment="1">
      <alignment horizontal="center" vertical="center"/>
    </xf>
    <xf numFmtId="0" fontId="1" fillId="0" borderId="4" xfId="0" applyFont="1" applyBorder="1" applyAlignment="1">
      <alignment horizontal="center"/>
    </xf>
    <xf numFmtId="0" fontId="1" fillId="0" borderId="5" xfId="0" applyFont="1" applyBorder="1" applyAlignment="1">
      <alignment horizontal="center"/>
    </xf>
    <xf numFmtId="0" fontId="1" fillId="0" borderId="4"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0" fillId="0" borderId="4" xfId="0" applyBorder="1"/>
    <xf numFmtId="0" fontId="4" fillId="0" borderId="3" xfId="0" applyFont="1" applyBorder="1" applyAlignment="1">
      <alignment horizontal="center" vertical="top" wrapText="1"/>
    </xf>
    <xf numFmtId="0" fontId="5" fillId="0" borderId="3" xfId="0" applyFont="1" applyBorder="1" applyAlignment="1">
      <alignment horizontal="left" vertical="center" wrapText="1"/>
    </xf>
    <xf numFmtId="0" fontId="6" fillId="0" borderId="3" xfId="0" applyFont="1" applyBorder="1" applyAlignment="1">
      <alignment wrapText="1"/>
    </xf>
    <xf numFmtId="0" fontId="5" fillId="0" borderId="3" xfId="0" applyFont="1" applyBorder="1" applyAlignment="1">
      <alignment wrapText="1"/>
    </xf>
    <xf numFmtId="0" fontId="5" fillId="0" borderId="3" xfId="0" applyFont="1" applyBorder="1" applyAlignment="1">
      <alignment vertical="center" wrapText="1"/>
    </xf>
    <xf numFmtId="0" fontId="0" fillId="4" borderId="3" xfId="0" applyFill="1" applyBorder="1"/>
    <xf numFmtId="0" fontId="0" fillId="0" borderId="3" xfId="0" applyBorder="1" applyAlignment="1">
      <alignment horizontal="center" vertical="center" wrapText="1"/>
    </xf>
    <xf numFmtId="0" fontId="0" fillId="0" borderId="6" xfId="0" applyBorder="1"/>
    <xf numFmtId="0" fontId="3" fillId="0" borderId="4" xfId="0" applyFont="1" applyBorder="1"/>
    <xf numFmtId="0" fontId="0" fillId="0" borderId="4" xfId="0" applyBorder="1" applyAlignment="1">
      <alignment wrapText="1"/>
    </xf>
    <xf numFmtId="0" fontId="0" fillId="0" borderId="5"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wrapText="1"/>
    </xf>
    <xf numFmtId="0" fontId="0" fillId="0" borderId="4" xfId="0" applyBorder="1" applyAlignment="1">
      <alignment vertical="center"/>
    </xf>
    <xf numFmtId="0" fontId="0" fillId="5" borderId="6" xfId="0" applyFill="1" applyBorder="1" applyAlignment="1">
      <alignment vertical="top"/>
    </xf>
    <xf numFmtId="0" fontId="0" fillId="5" borderId="3" xfId="0" applyFill="1" applyBorder="1" applyAlignment="1">
      <alignment vertical="top" wrapText="1"/>
    </xf>
    <xf numFmtId="0" fontId="2" fillId="5" borderId="3" xfId="1" applyFill="1" applyBorder="1" applyAlignment="1" applyProtection="1">
      <alignment vertical="top"/>
    </xf>
    <xf numFmtId="4" fontId="0" fillId="5" borderId="3" xfId="0" applyNumberFormat="1" applyFill="1" applyBorder="1" applyAlignment="1">
      <alignment vertical="top"/>
    </xf>
    <xf numFmtId="0" fontId="0" fillId="5" borderId="3" xfId="0" applyFill="1" applyBorder="1" applyAlignment="1">
      <alignment vertical="top"/>
    </xf>
    <xf numFmtId="0" fontId="0" fillId="5" borderId="3" xfId="0" applyFill="1" applyBorder="1" applyAlignment="1">
      <alignment horizontal="center" vertical="top" wrapText="1"/>
    </xf>
    <xf numFmtId="0" fontId="0" fillId="5" borderId="0" xfId="0" applyFill="1" applyAlignment="1">
      <alignment vertical="top"/>
    </xf>
    <xf numFmtId="0" fontId="0" fillId="4" borderId="3" xfId="0" applyFill="1" applyBorder="1" applyAlignment="1">
      <alignment vertical="top"/>
    </xf>
    <xf numFmtId="0" fontId="0" fillId="4" borderId="3" xfId="0" applyFill="1" applyBorder="1" applyAlignment="1">
      <alignment vertical="top" wrapText="1"/>
    </xf>
    <xf numFmtId="0" fontId="0" fillId="0" borderId="6" xfId="0" applyBorder="1" applyAlignment="1">
      <alignment vertical="center"/>
    </xf>
    <xf numFmtId="0" fontId="0" fillId="4" borderId="3" xfId="0" applyFill="1" applyBorder="1" applyAlignment="1">
      <alignment vertical="center"/>
    </xf>
    <xf numFmtId="0" fontId="0" fillId="0" borderId="0" xfId="0" applyAlignment="1">
      <alignment vertical="center"/>
    </xf>
    <xf numFmtId="0" fontId="0" fillId="5" borderId="6" xfId="0" quotePrefix="1" applyFill="1" applyBorder="1" applyAlignment="1">
      <alignment vertical="top"/>
    </xf>
    <xf numFmtId="0" fontId="0" fillId="5" borderId="6" xfId="0" quotePrefix="1" applyFill="1" applyBorder="1" applyAlignment="1">
      <alignment vertical="center"/>
    </xf>
    <xf numFmtId="0" fontId="0" fillId="5" borderId="3" xfId="0" applyFill="1" applyBorder="1" applyAlignment="1">
      <alignment vertical="center"/>
    </xf>
    <xf numFmtId="0" fontId="2" fillId="5" borderId="3" xfId="1" applyFill="1" applyBorder="1" applyAlignment="1" applyProtection="1">
      <alignment vertical="center"/>
    </xf>
    <xf numFmtId="0" fontId="0" fillId="5" borderId="3" xfId="0" applyFill="1" applyBorder="1" applyAlignment="1">
      <alignment vertical="center" wrapText="1"/>
    </xf>
    <xf numFmtId="0" fontId="0" fillId="4" borderId="3" xfId="0" applyFill="1" applyBorder="1" applyAlignment="1">
      <alignment vertical="center" wrapText="1"/>
    </xf>
    <xf numFmtId="0" fontId="0" fillId="5" borderId="3" xfId="0" applyFill="1" applyBorder="1" applyAlignment="1">
      <alignment horizontal="center" vertical="center" wrapText="1"/>
    </xf>
    <xf numFmtId="0" fontId="0" fillId="5" borderId="0" xfId="0" applyFill="1" applyAlignment="1">
      <alignment vertical="center"/>
    </xf>
    <xf numFmtId="3" fontId="0" fillId="5" borderId="3" xfId="0" applyNumberFormat="1" applyFill="1" applyBorder="1" applyAlignment="1">
      <alignment vertical="top"/>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13D159EB-3AE8-4CED-BD15-520B646FD785}">
    <Anchor>
      <Comment id="{32EC5E1A-6084-4F05-BF51-61AFE998B99B}"/>
    </Anchor>
    <History>
      <Event time="2025-10-02T14:07:34.51" id="{CD88487D-7EBD-43FC-B26F-2E9A7EAF4B38}">
        <Attribution userId="S::adonis.ndayizeye@undp.org::8061bff4-3d94-4a97-91bb-1833da8ff2c7" userName="Adonis Ndayizeye" userProvider="AD"/>
        <Anchor>
          <Comment id="{32EC5E1A-6084-4F05-BF51-61AFE998B99B}"/>
        </Anchor>
        <Create/>
      </Event>
      <Event time="2025-10-02T14:07:34.51" id="{53749F2F-1AC6-409B-8910-0DD57CF9E8C0}">
        <Attribution userId="S::adonis.ndayizeye@undp.org::8061bff4-3d94-4a97-91bb-1833da8ff2c7" userName="Adonis Ndayizeye" userProvider="AD"/>
        <Anchor>
          <Comment id="{32EC5E1A-6084-4F05-BF51-61AFE998B99B}"/>
        </Anchor>
        <Assign userId="S::gladys.iteriteka@undp.org::260541e3-aefa-4a16-aee3-f71b1c40578f" userName="Daisy Gladys Iteriteka" userProvider="AD"/>
      </Event>
      <Event time="2025-10-02T14:07:34.51" id="{41FA2DC1-8A37-4E0D-ABCA-9B9598F670C3}">
        <Attribution userId="S::adonis.ndayizeye@undp.org::8061bff4-3d94-4a97-91bb-1833da8ff2c7" userName="Adonis Ndayizeye" userProvider="AD"/>
        <Anchor>
          <Comment id="{32EC5E1A-6084-4F05-BF51-61AFE998B99B}"/>
        </Anchor>
        <SetTitle title="@Daisy Gladys Iteritekale budget est 2 717 948 USD pour les deux phases ( Phase I : 927 983 USD et Phase II: 1 7989 766"/>
      </Event>
      <Event time="2025-10-30T13:42:17.94" id="{DBA8D8B5-BBEA-4D3E-B9B1-CF9DC3B74E20}">
        <Attribution userId="S::gladys.iteriteka@undp.org::260541e3-aefa-4a16-aee3-f71b1c40578f" userName="Daisy Gladys Iteritek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Adonis Ndayizeye" id="{3AD562E5-5C08-47F4-B763-B8429CA91289}" userId="adonis.ndayizeye@undp.org" providerId="PeoplePicker"/>
  <person displayName="Daisy Gladys Iteriteka" id="{BF9D739B-0287-4019-B36C-8E55B32F3028}" userId="gladys.iteriteka@undp.org" providerId="PeoplePicker"/>
  <person displayName="Adonis Ndayizeye" id="{3A645A5C-66D0-4354-849C-07BEE3FBD678}" userId="S::adonis.ndayizeye@undp.org::8061bff4-3d94-4a97-91bb-1833da8ff2c7" providerId="AD"/>
  <person displayName="Danae franco Lopera" id="{031145BE-5989-4233-A3DD-652F96372418}" userId="S::danae.franco.lopera@undp.org::3c54cf1a-4cf4-4ba3-92f8-3f2da986839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9" dT="2025-10-02T14:07:33.91" personId="{3A645A5C-66D0-4354-849C-07BEE3FBD678}" id="{32EC5E1A-6084-4F05-BF51-61AFE998B99B}" done="1">
    <text>@Daisy Gladys Iteritekale budget est 2 717 948 USD pour les deux phases ( Phase I : 927 983 USD et Phase II: 1 7989 766</text>
    <mentions>
      <mention mentionpersonId="{BF9D739B-0287-4019-B36C-8E55B32F3028}" mentionId="{7D9A1EF3-1DC1-479E-AD31-3B2DCE0E624D}" startIndex="0" length="23"/>
    </mentions>
  </threadedComment>
  <threadedComment ref="G9" dT="2025-10-02T14:29:39.27" personId="{3A645A5C-66D0-4354-849C-07BEE3FBD678}" id="{6DE93AEE-9CFE-45EE-AAC8-02F23CE77433}">
    <text>Merci de préciser le type d'information à mettre dans baseline. Faudrait il ajouter les données techniques collectées aux sites: nombre d'heures de coupure, ...?</text>
  </threadedComment>
  <threadedComment ref="G9" dT="2025-10-02T18:28:37.33" personId="{031145BE-5989-4233-A3DD-652F96372418}" id="{13A12C89-CA7F-4D21-88E8-78320B11B360}" parentId="{6DE93AEE-9CFE-45EE-AAC8-02F23CE77433}">
    <text>Bonjour Adonis! Pour l’établissement du baseline, il convient d’indiquer le nombre de personnes bénéficiant actuellement de services de santé électrifiés dans les structures ciblées. Si ces établissements ne disposent pas encore d’un accès fiable à l’électricité, le baseline sera tout simplement de zéro. Le "target" correspond alors à la population estimée qui aura un nouvel accès une fois que les 14 structures de santé seront équipées de systèmes solaires hybrides</text>
  </threadedComment>
  <threadedComment ref="G9" dT="2025-10-02T18:28:57.59" personId="{031145BE-5989-4233-A3DD-652F96372418}" id="{DEDD97EE-6ECD-415D-A98B-72174E1993B0}" parentId="{6DE93AEE-9CFE-45EE-AAC8-02F23CE77433}">
    <text>Les données techniques, telles que le nombre d’heures de coupure, peuvent constituer un contexte utile pour la conception et le suivi du projet, mais elles ne sont pas requises dans la définition du baseline dans le cadre de l’Energy Moonshot Tracker</text>
  </threadedComment>
  <threadedComment ref="H9" dT="2025-10-02T18:32:54.01" personId="{031145BE-5989-4233-A3DD-652F96372418}" id="{2023F790-2CDE-489B-AD2F-25ADA27E1B5B}">
    <text xml:space="preserve">Ce chiffre doit être mis à jour : au lieu d’indiquer 14 (le nombre de systèmes solaires installés), il devrait refléter le nombre de personnes qui bénéficieront directement des nouvelles installations 
@Adonis Ndayizeye 
</text>
    <mentions>
      <mention mentionpersonId="{3AD562E5-5C08-47F4-B763-B8429CA91289}" mentionId="{C99AFC46-99CE-405A-9F01-F04199B52703}" startIndex="202" length="17"/>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open.undp.org/covid-response" TargetMode="External"/><Relationship Id="rId7" Type="http://schemas.microsoft.com/office/2019/04/relationships/documenttask" Target="../documenttasks/documenttask1.xml"/><Relationship Id="rId2" Type="http://schemas.openxmlformats.org/officeDocument/2006/relationships/hyperlink" Target="https://open.undp.org/projects/01001073" TargetMode="External"/><Relationship Id="rId1" Type="http://schemas.openxmlformats.org/officeDocument/2006/relationships/hyperlink" Target="http://open.undp.org/projects/00124212"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4212"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open.undp.org/projects/00124212" TargetMode="External"/><Relationship Id="rId1" Type="http://schemas.openxmlformats.org/officeDocument/2006/relationships/hyperlink" Target="http://open.undp.org/projects/0012421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2A5A-1A2A-4B5A-BD27-0233461D1D3D}">
  <dimension ref="A1:Z10"/>
  <sheetViews>
    <sheetView tabSelected="1" topLeftCell="A6" workbookViewId="0">
      <selection activeCell="B13" sqref="B13"/>
    </sheetView>
  </sheetViews>
  <sheetFormatPr defaultRowHeight="14.25"/>
  <cols>
    <col min="2" max="2" width="60" customWidth="1"/>
    <col min="3" max="3" width="27.28515625" customWidth="1"/>
    <col min="4" max="4" width="10.5703125" bestFit="1" customWidth="1"/>
    <col min="5" max="5" width="20.7109375" customWidth="1"/>
    <col min="6" max="6" width="53.85546875" customWidth="1"/>
    <col min="7" max="8" width="12.7109375" customWidth="1"/>
    <col min="9" max="9" width="32.7109375" customWidth="1"/>
    <col min="10" max="10" width="13" bestFit="1" customWidth="1"/>
    <col min="11" max="11" width="17.42578125" bestFit="1" customWidth="1"/>
    <col min="12" max="12" width="12.5703125" bestFit="1" customWidth="1"/>
    <col min="14" max="14" width="25.85546875" customWidth="1"/>
    <col min="15" max="15" width="19.5703125" customWidth="1"/>
    <col min="16" max="16" width="12.5703125" customWidth="1"/>
    <col min="17" max="17" width="16.5703125" bestFit="1" customWidth="1"/>
    <col min="18" max="18" width="18.140625" bestFit="1" customWidth="1"/>
    <col min="19" max="19" width="11.28515625" bestFit="1" customWidth="1"/>
    <col min="20" max="20" width="30.28515625" bestFit="1" customWidth="1"/>
    <col min="21" max="21" width="19.140625" customWidth="1"/>
  </cols>
  <sheetData>
    <row r="1" spans="1:26">
      <c r="A1" s="11" t="s">
        <v>0</v>
      </c>
      <c r="B1" s="11" t="s">
        <v>1</v>
      </c>
      <c r="C1" s="11" t="s">
        <v>2</v>
      </c>
      <c r="D1" s="11" t="s">
        <v>3</v>
      </c>
      <c r="E1" s="11" t="s">
        <v>4</v>
      </c>
      <c r="F1" s="11" t="s">
        <v>5</v>
      </c>
      <c r="G1" s="11" t="s">
        <v>6</v>
      </c>
      <c r="H1" s="11" t="s">
        <v>7</v>
      </c>
      <c r="I1" s="11" t="s">
        <v>8</v>
      </c>
      <c r="J1" s="12" t="s">
        <v>9</v>
      </c>
      <c r="K1" s="12" t="s">
        <v>10</v>
      </c>
      <c r="L1" s="26" t="s">
        <v>11</v>
      </c>
      <c r="M1" s="28" t="s">
        <v>12</v>
      </c>
      <c r="N1" s="26" t="s">
        <v>13</v>
      </c>
      <c r="O1" s="26" t="s">
        <v>14</v>
      </c>
      <c r="P1" s="28" t="s">
        <v>15</v>
      </c>
      <c r="Q1" s="28" t="s">
        <v>16</v>
      </c>
      <c r="R1" s="29" t="s">
        <v>17</v>
      </c>
      <c r="S1" s="30" t="s">
        <v>18</v>
      </c>
      <c r="T1" s="29" t="s">
        <v>19</v>
      </c>
      <c r="U1" s="30" t="s">
        <v>20</v>
      </c>
    </row>
    <row r="2" spans="1:26">
      <c r="A2" s="13">
        <v>124212</v>
      </c>
      <c r="B2" s="14" t="s">
        <v>21</v>
      </c>
      <c r="C2" s="23" t="s">
        <v>22</v>
      </c>
      <c r="D2" s="13">
        <v>7260535</v>
      </c>
      <c r="E2" s="13" t="s">
        <v>23</v>
      </c>
      <c r="F2" s="13" t="s">
        <v>24</v>
      </c>
      <c r="G2" s="13">
        <v>0</v>
      </c>
      <c r="H2" s="13" t="s">
        <v>25</v>
      </c>
      <c r="I2" s="13"/>
      <c r="J2" s="13"/>
      <c r="K2" s="13"/>
      <c r="L2" s="31" t="s">
        <v>26</v>
      </c>
      <c r="M2" s="27"/>
      <c r="N2" s="32" t="s">
        <v>27</v>
      </c>
      <c r="O2" s="27"/>
      <c r="P2" s="27"/>
      <c r="Q2" s="27"/>
      <c r="R2" s="27"/>
      <c r="S2" s="33" t="s">
        <v>28</v>
      </c>
      <c r="T2" s="27"/>
      <c r="U2" s="33"/>
      <c r="X2" s="13"/>
      <c r="Y2" s="13"/>
      <c r="Z2" s="13"/>
    </row>
    <row r="3" spans="1:26">
      <c r="A3" s="13"/>
      <c r="B3" s="25"/>
      <c r="C3" s="24"/>
      <c r="D3" s="13"/>
      <c r="E3" s="13" t="s">
        <v>29</v>
      </c>
      <c r="F3" s="14" t="s">
        <v>30</v>
      </c>
      <c r="G3" s="13">
        <v>0</v>
      </c>
      <c r="H3" s="13">
        <v>20000</v>
      </c>
      <c r="I3" s="13"/>
      <c r="J3" s="13"/>
      <c r="K3" s="13"/>
      <c r="L3" s="31" t="s">
        <v>26</v>
      </c>
      <c r="M3" s="27"/>
      <c r="N3" s="32" t="s">
        <v>27</v>
      </c>
      <c r="O3" s="27"/>
      <c r="P3" s="27"/>
      <c r="Q3" s="27"/>
      <c r="R3" s="27"/>
      <c r="S3" s="33"/>
      <c r="T3" s="27"/>
      <c r="U3" s="33"/>
      <c r="X3" s="13"/>
      <c r="Y3" s="13"/>
      <c r="Z3" s="13"/>
    </row>
    <row r="4" spans="1:26">
      <c r="A4" s="13"/>
      <c r="B4" s="22"/>
      <c r="C4" s="13"/>
      <c r="D4" s="13"/>
      <c r="E4" s="13" t="s">
        <v>31</v>
      </c>
      <c r="F4" s="14" t="s">
        <v>32</v>
      </c>
      <c r="G4" s="13">
        <v>0</v>
      </c>
      <c r="H4" s="13">
        <v>13</v>
      </c>
      <c r="I4" s="13"/>
      <c r="J4" s="13"/>
      <c r="K4" s="13"/>
      <c r="L4" s="31" t="s">
        <v>26</v>
      </c>
      <c r="M4" s="27"/>
      <c r="N4" s="32" t="s">
        <v>27</v>
      </c>
      <c r="O4" s="27"/>
      <c r="P4" s="27"/>
      <c r="Q4" s="27"/>
      <c r="R4" s="27"/>
      <c r="S4" s="33"/>
      <c r="T4" s="27"/>
      <c r="U4" s="33"/>
    </row>
    <row r="5" spans="1:26">
      <c r="A5" s="34"/>
      <c r="B5" s="43"/>
      <c r="C5" s="34"/>
      <c r="D5" s="34"/>
      <c r="E5" s="34" t="s">
        <v>33</v>
      </c>
      <c r="F5" s="44" t="s">
        <v>34</v>
      </c>
      <c r="G5" s="34">
        <v>0</v>
      </c>
      <c r="H5" s="34">
        <v>5000</v>
      </c>
      <c r="I5" s="34"/>
      <c r="J5" s="34"/>
      <c r="K5" s="34"/>
      <c r="L5" s="45" t="s">
        <v>26</v>
      </c>
      <c r="M5" s="46"/>
      <c r="N5" s="47" t="s">
        <v>27</v>
      </c>
      <c r="O5" s="46"/>
      <c r="P5" s="46"/>
      <c r="Q5" s="46"/>
      <c r="R5" s="46"/>
      <c r="S5" s="48"/>
      <c r="T5" s="46"/>
      <c r="U5" s="48"/>
    </row>
    <row r="6" spans="1:26" ht="60.75">
      <c r="A6" s="62">
        <v>1001068</v>
      </c>
      <c r="B6" s="63" t="s">
        <v>35</v>
      </c>
      <c r="C6" s="64"/>
      <c r="D6" s="63">
        <v>633000</v>
      </c>
      <c r="E6" s="65" t="s">
        <v>36</v>
      </c>
      <c r="F6" s="65" t="s">
        <v>37</v>
      </c>
      <c r="G6" s="59">
        <v>0</v>
      </c>
      <c r="H6" s="66">
        <v>3</v>
      </c>
      <c r="I6" s="65" t="s">
        <v>38</v>
      </c>
      <c r="J6" s="65" t="s">
        <v>39</v>
      </c>
      <c r="K6" s="63"/>
      <c r="L6" s="63"/>
      <c r="M6" s="63"/>
      <c r="N6" s="67" t="s">
        <v>27</v>
      </c>
      <c r="O6" s="63"/>
      <c r="P6" s="63"/>
      <c r="Q6" s="63"/>
      <c r="R6" s="63"/>
      <c r="S6" s="63"/>
      <c r="T6" s="63"/>
      <c r="U6" s="63"/>
      <c r="V6" s="68"/>
      <c r="W6" s="68"/>
      <c r="X6" s="68"/>
      <c r="Y6" s="68"/>
      <c r="Z6" s="68"/>
    </row>
    <row r="7" spans="1:26">
      <c r="A7" s="42">
        <v>1001068</v>
      </c>
      <c r="B7" s="13" t="s">
        <v>40</v>
      </c>
      <c r="C7" s="13"/>
      <c r="D7" s="40"/>
      <c r="E7" s="13"/>
      <c r="F7" s="13"/>
      <c r="G7" s="13"/>
      <c r="H7" s="13"/>
      <c r="I7" s="13"/>
      <c r="J7" s="13" t="s">
        <v>41</v>
      </c>
      <c r="K7" s="13"/>
      <c r="L7" s="13"/>
      <c r="M7" s="13"/>
      <c r="N7" s="41" t="s">
        <v>27</v>
      </c>
      <c r="O7" s="13"/>
      <c r="P7" s="13"/>
      <c r="Q7" s="13"/>
      <c r="R7" s="13"/>
      <c r="S7" s="13"/>
      <c r="T7" s="13"/>
      <c r="U7" s="13"/>
    </row>
    <row r="8" spans="1:26" s="55" customFormat="1" ht="55.5" customHeight="1">
      <c r="A8" s="49">
        <v>1001073</v>
      </c>
      <c r="B8" s="50" t="s">
        <v>42</v>
      </c>
      <c r="C8" s="51" t="s">
        <v>43</v>
      </c>
      <c r="D8" s="52">
        <v>285715.34999999998</v>
      </c>
      <c r="E8" s="53" t="s">
        <v>44</v>
      </c>
      <c r="F8" s="50" t="s">
        <v>37</v>
      </c>
      <c r="G8" s="53">
        <v>0</v>
      </c>
      <c r="H8" s="53">
        <v>32</v>
      </c>
      <c r="I8" s="50" t="s">
        <v>45</v>
      </c>
      <c r="J8" s="53" t="s">
        <v>39</v>
      </c>
      <c r="K8" s="53"/>
      <c r="L8" s="53"/>
      <c r="M8" s="53"/>
      <c r="N8" s="54" t="s">
        <v>27</v>
      </c>
      <c r="O8" s="53"/>
      <c r="P8" s="53"/>
      <c r="Q8" s="53"/>
      <c r="R8" s="53"/>
      <c r="S8" s="53"/>
      <c r="T8" s="53"/>
      <c r="U8" s="53"/>
    </row>
    <row r="9" spans="1:26" s="55" customFormat="1" ht="45.75">
      <c r="A9" s="61" t="s">
        <v>46</v>
      </c>
      <c r="B9" s="53" t="s">
        <v>47</v>
      </c>
      <c r="C9" s="51" t="s">
        <v>48</v>
      </c>
      <c r="D9" s="69">
        <v>2717948</v>
      </c>
      <c r="E9" s="50" t="s">
        <v>49</v>
      </c>
      <c r="F9" s="50" t="s">
        <v>50</v>
      </c>
      <c r="G9" s="56">
        <v>0</v>
      </c>
      <c r="H9" s="57" t="s">
        <v>51</v>
      </c>
      <c r="I9" s="50" t="s">
        <v>52</v>
      </c>
      <c r="J9" s="50" t="s">
        <v>53</v>
      </c>
      <c r="K9" s="53"/>
      <c r="L9" s="53"/>
      <c r="M9" s="53"/>
      <c r="N9" s="54" t="s">
        <v>27</v>
      </c>
      <c r="O9" s="53"/>
      <c r="P9" s="53"/>
      <c r="Q9" s="53"/>
      <c r="R9" s="53"/>
      <c r="S9" s="53" t="s">
        <v>54</v>
      </c>
      <c r="T9" s="53"/>
      <c r="U9" s="53"/>
    </row>
    <row r="10" spans="1:26" s="60" customFormat="1" ht="45" customHeight="1">
      <c r="A10" s="58"/>
      <c r="B10" s="33" t="s">
        <v>55</v>
      </c>
      <c r="C10" s="33"/>
      <c r="D10" s="59"/>
      <c r="E10" s="33"/>
      <c r="F10" s="33"/>
      <c r="G10" s="33"/>
      <c r="H10" s="33"/>
      <c r="I10" s="33"/>
      <c r="J10" s="33" t="s">
        <v>56</v>
      </c>
      <c r="K10" s="33"/>
      <c r="L10" s="33"/>
      <c r="M10" s="33"/>
      <c r="N10" s="41" t="s">
        <v>27</v>
      </c>
      <c r="O10" s="33"/>
      <c r="P10" s="33"/>
      <c r="Q10" s="33"/>
      <c r="R10" s="33"/>
      <c r="S10" s="33"/>
      <c r="T10" s="33"/>
      <c r="U10" s="33"/>
    </row>
  </sheetData>
  <dataValidations count="10">
    <dataValidation type="list" allowBlank="1" showInputMessage="1" showErrorMessage="1" sqref="Q2:Q5" xr:uid="{C40D7CBA-62E5-4227-81B5-66DA4305B727}">
      <formula1>"NDC Support, National Strategy, Legal Framework,Incentives and Support, Government Capacity-Building, Carbon Pricing and Monitoring, Financing Model, Business Model"</formula1>
    </dataValidation>
    <dataValidation type="list" allowBlank="1" showInputMessage="1" showErrorMessage="1" sqref="P2:P5" xr:uid="{93A94023-981A-4A94-BE8B-8BE292B4B660}">
      <formula1>"AMP, PUDC, Solar4Health, Action Opportunities, Italy UNDP Energy Partnership"</formula1>
    </dataValidation>
    <dataValidation type="list" allowBlank="1" showInputMessage="1" showErrorMessage="1" sqref="Z2:Z3" xr:uid="{9F30CEBD-60CE-4230-9DD6-D4E992616B86}">
      <formula1>"Electricity Access, Energy Efficiency, Clean Cooking, Renewable Energy"</formula1>
    </dataValidation>
    <dataValidation type="list" allowBlank="1" showInputMessage="1" showErrorMessage="1" sqref="Y2:Y3 N2:N10" xr:uid="{26BE4815-FF98-471F-819E-8EEEE9C2E4E9}">
      <formula1>"Accelerating just energy transition, Close the gap on energy access, Scale up energy finance"</formula1>
    </dataValidation>
    <dataValidation type="list" allowBlank="1" showInputMessage="1" showErrorMessage="1" sqref="O2:O5" xr:uid="{5143D291-C759-4C5E-9B35-56C64D2487D9}">
      <formula1>"Electricity Access, Energy Efficiency, Clean Cooking, Renewable Energy, Overall"</formula1>
    </dataValidation>
    <dataValidation type="list" allowBlank="1" showInputMessage="1" showErrorMessage="1" sqref="L2:L5" xr:uid="{EFA3EDEA-FC17-4ED6-BB42-7308685F2AC8}">
      <formula1>"Non-VF, VF"</formula1>
    </dataValidation>
    <dataValidation type="list" allowBlank="1" showInputMessage="1" showErrorMessage="1" sqref="M2:M5" xr:uid="{71EAFE19-FD3B-4917-AFA8-8B4205A86E0B}">
      <formula1>"Finance, Gender, Efficiency, Just, Health"</formula1>
    </dataValidation>
    <dataValidation type="list" allowBlank="1" showInputMessage="1" showErrorMessage="1" sqref="T2:T5" xr:uid="{D407D44C-33C4-4415-9AF6-B814FF79E38D}">
      <formula1>"National, Regional, City, Community"</formula1>
    </dataValidation>
    <dataValidation type="list" allowBlank="1" showInputMessage="1" showErrorMessage="1" sqref="S2:S5" xr:uid="{E4C63B31-9EAC-4504-823D-2444A21A2FBD}">
      <formula1>"Solar, Wind, Bioenergy, Hydro, Geothermal, Waste, Other, Unknown"</formula1>
    </dataValidation>
    <dataValidation type="list" allowBlank="1" showInputMessage="1" showErrorMessage="1" sqref="R2:R5" xr:uid="{39FEADB5-C6B9-461B-85A3-1A07F5CD755C}">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093625CA-BA28-400B-B67C-85AD21F899A1}"/>
    <hyperlink ref="C8" r:id="rId2" xr:uid="{F58E6799-611B-458A-AAFF-19BE805AFE76}"/>
    <hyperlink ref="C9" r:id="rId3" xr:uid="{100EB9C5-F3DA-464B-863B-40EFB13F8D4D}"/>
  </hyperlinks>
  <pageMargins left="0.7" right="0.7" top="0.75" bottom="0.75" header="0.3" footer="0.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807C7CC8-B53A-4130-AFC6-538B0006DC88}">
          <x14:formula1>
            <xm:f>'Beneficiary Categories'!$A$2:$A$22</xm:f>
          </x14:formula1>
          <xm:sqref>E2:E77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8D4A-38A4-4CA4-97E7-662F506C7BFE}">
  <dimension ref="A1:R5"/>
  <sheetViews>
    <sheetView topLeftCell="F1" workbookViewId="0">
      <selection activeCell="M1" sqref="M1"/>
    </sheetView>
  </sheetViews>
  <sheetFormatPr defaultRowHeight="14.25"/>
  <cols>
    <col min="2" max="2" width="60" customWidth="1"/>
    <col min="3" max="3" width="27.28515625" customWidth="1"/>
    <col min="5" max="5" width="20.7109375" customWidth="1"/>
    <col min="6" max="6" width="53.85546875" customWidth="1"/>
    <col min="7" max="8" width="12.7109375" customWidth="1"/>
    <col min="9" max="9" width="32.7109375" customWidth="1"/>
  </cols>
  <sheetData>
    <row r="1" spans="1:18">
      <c r="A1" s="11" t="s">
        <v>0</v>
      </c>
      <c r="B1" s="11" t="s">
        <v>1</v>
      </c>
      <c r="C1" s="11" t="s">
        <v>2</v>
      </c>
      <c r="D1" s="11" t="s">
        <v>3</v>
      </c>
      <c r="E1" s="11" t="s">
        <v>4</v>
      </c>
      <c r="F1" s="11" t="s">
        <v>5</v>
      </c>
      <c r="G1" s="11" t="s">
        <v>6</v>
      </c>
      <c r="H1" s="11" t="s">
        <v>7</v>
      </c>
      <c r="I1" s="11" t="s">
        <v>8</v>
      </c>
      <c r="J1" s="12" t="s">
        <v>9</v>
      </c>
      <c r="K1" s="12" t="s">
        <v>10</v>
      </c>
      <c r="L1" s="12" t="s">
        <v>57</v>
      </c>
      <c r="M1" s="12" t="s">
        <v>12</v>
      </c>
      <c r="N1" s="12" t="s">
        <v>13</v>
      </c>
      <c r="O1" s="12" t="s">
        <v>14</v>
      </c>
      <c r="P1" s="12" t="s">
        <v>15</v>
      </c>
      <c r="Q1" s="12" t="s">
        <v>16</v>
      </c>
      <c r="R1" s="12" t="s">
        <v>17</v>
      </c>
    </row>
    <row r="2" spans="1:18">
      <c r="A2" s="13">
        <v>124212</v>
      </c>
      <c r="B2" s="14" t="s">
        <v>21</v>
      </c>
      <c r="C2" s="15" t="s">
        <v>22</v>
      </c>
      <c r="D2" s="13">
        <v>7260535</v>
      </c>
      <c r="E2" s="16" t="s">
        <v>23</v>
      </c>
      <c r="F2" s="16" t="s">
        <v>24</v>
      </c>
      <c r="G2" s="16">
        <v>0</v>
      </c>
      <c r="H2" s="16" t="s">
        <v>25</v>
      </c>
      <c r="I2" s="16"/>
      <c r="J2" s="13"/>
      <c r="K2" s="13"/>
      <c r="L2" s="13"/>
      <c r="M2" s="13"/>
      <c r="N2" s="13" t="s">
        <v>58</v>
      </c>
      <c r="O2" s="13" t="s">
        <v>23</v>
      </c>
      <c r="P2" s="13"/>
      <c r="Q2" s="13"/>
      <c r="R2" s="13"/>
    </row>
    <row r="3" spans="1:18" s="10" customFormat="1">
      <c r="A3" s="17"/>
      <c r="B3" s="18"/>
      <c r="C3" s="19"/>
      <c r="D3" s="17"/>
      <c r="E3" s="17" t="s">
        <v>29</v>
      </c>
      <c r="F3" s="20" t="s">
        <v>30</v>
      </c>
      <c r="G3" s="17">
        <v>0</v>
      </c>
      <c r="H3" s="17">
        <v>20000</v>
      </c>
      <c r="I3" s="17"/>
      <c r="J3" s="17"/>
      <c r="K3" s="17"/>
      <c r="L3" s="17"/>
      <c r="M3" s="17"/>
      <c r="N3" s="13" t="s">
        <v>58</v>
      </c>
      <c r="O3" s="13" t="s">
        <v>29</v>
      </c>
      <c r="P3" s="13"/>
      <c r="Q3" s="13"/>
      <c r="R3" s="13"/>
    </row>
    <row r="4" spans="1:18" s="10" customFormat="1">
      <c r="A4" s="17"/>
      <c r="B4" s="21"/>
      <c r="C4" s="17"/>
      <c r="D4" s="17"/>
      <c r="E4" s="17" t="s">
        <v>31</v>
      </c>
      <c r="F4" s="20" t="s">
        <v>32</v>
      </c>
      <c r="G4" s="17">
        <v>0</v>
      </c>
      <c r="H4" s="17">
        <v>13</v>
      </c>
      <c r="I4" s="17"/>
      <c r="J4" s="17"/>
      <c r="K4" s="17"/>
      <c r="L4" s="17"/>
      <c r="M4" s="17"/>
      <c r="N4" s="13"/>
      <c r="O4" s="13"/>
      <c r="P4" s="13"/>
      <c r="Q4" s="13"/>
      <c r="R4" s="13"/>
    </row>
    <row r="5" spans="1:18">
      <c r="A5" s="13"/>
      <c r="B5" s="22"/>
      <c r="C5" s="13"/>
      <c r="D5" s="13"/>
      <c r="E5" s="13" t="s">
        <v>33</v>
      </c>
      <c r="F5" s="14" t="s">
        <v>34</v>
      </c>
      <c r="G5" s="13">
        <v>0</v>
      </c>
      <c r="H5" s="13">
        <v>5000</v>
      </c>
      <c r="I5" s="13"/>
      <c r="J5" s="13"/>
      <c r="K5" s="13"/>
      <c r="L5" s="13"/>
      <c r="M5" s="13"/>
      <c r="N5" s="13"/>
      <c r="O5" s="13"/>
      <c r="P5" s="13"/>
      <c r="Q5" s="13"/>
      <c r="R5" s="13"/>
    </row>
  </sheetData>
  <dataValidations count="5">
    <dataValidation type="list" allowBlank="1" showInputMessage="1" showErrorMessage="1" sqref="N2:N6" xr:uid="{0F8E62F8-2483-45A3-8D1A-E63AD06CD615}">
      <formula1>"Accelerating just energy transition, Close the gap on energy access, Scale up energy finance"</formula1>
    </dataValidation>
    <dataValidation type="list" allowBlank="1" showInputMessage="1" showErrorMessage="1" sqref="O2:O6" xr:uid="{B18E8CC0-4068-4146-955D-2FE633A226A9}">
      <formula1>"Electricity Access, Energy Efficiency, Clean Cooking, Renewable Energy"</formula1>
    </dataValidation>
    <dataValidation type="list" allowBlank="1" showInputMessage="1" showErrorMessage="1" sqref="P2:P6" xr:uid="{BB171A46-C898-4A8C-85FE-DD608C9BD4A5}">
      <formula1>"AMP, PUDC, Solar4Health, Action Opportunities, Italy UNDP Energy Partnership"</formula1>
    </dataValidation>
    <dataValidation type="list" allowBlank="1" showInputMessage="1" showErrorMessage="1" sqref="Q2:Q6" xr:uid="{9EB7FEAD-FF00-4021-9A0A-F2C25B4A5D23}">
      <formula1>"NDC Support, National Strategy, Legal Framework,Incentives and Support, Government Capacity-Building, Carbon Pricing and Monitoring, Financing Model, Business Model"</formula1>
    </dataValidation>
    <dataValidation type="list" allowBlank="1" showInputMessage="1" showErrorMessage="1" sqref="R2:R6" xr:uid="{D717431F-3630-489F-9CB5-B16113680180}">
      <formula1>"Electricity Access, Energy Efficiency, Renewable EnergyEnergy Infrastructure,   Transport, Digital &amp; Data, Clean Cooking, Decarbonization, Hydrogen, Off-Grid, On-Grid"</formula1>
    </dataValidation>
  </dataValidations>
  <hyperlinks>
    <hyperlink ref="C2" r:id="rId1" xr:uid="{C026437F-4734-41CB-A2A0-6F6D6305DCB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B010F2E-B1AE-44E9-9C53-11FEF4016CFB}">
          <x14:formula1>
            <xm:f>'Beneficiary Categories'!$A$2:$A$16</xm:f>
          </x14:formula1>
          <xm:sqref>E2:E6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selection activeCell="B6" sqref="A5:B6"/>
    </sheetView>
  </sheetViews>
  <sheetFormatPr defaultRowHeight="14.25"/>
  <cols>
    <col min="2" max="2" width="60" customWidth="1"/>
    <col min="3" max="3" width="27.2851562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9" t="s">
        <v>9</v>
      </c>
    </row>
    <row r="2" spans="1:10">
      <c r="A2">
        <v>124212</v>
      </c>
      <c r="B2" s="6" t="s">
        <v>21</v>
      </c>
      <c r="C2" s="2" t="s">
        <v>22</v>
      </c>
      <c r="D2">
        <v>7260535</v>
      </c>
      <c r="E2" s="3" t="s">
        <v>23</v>
      </c>
      <c r="F2" s="3" t="s">
        <v>24</v>
      </c>
      <c r="G2" s="3">
        <v>0</v>
      </c>
      <c r="H2" s="3">
        <v>2864</v>
      </c>
      <c r="I2" s="3"/>
    </row>
    <row r="3" spans="1:10" ht="28.5">
      <c r="A3">
        <v>124212</v>
      </c>
      <c r="B3" s="5" t="s">
        <v>21</v>
      </c>
      <c r="C3" s="7" t="s">
        <v>59</v>
      </c>
      <c r="D3">
        <v>7260535</v>
      </c>
      <c r="E3" t="s">
        <v>29</v>
      </c>
      <c r="F3" s="6" t="s">
        <v>30</v>
      </c>
      <c r="G3">
        <v>0</v>
      </c>
      <c r="H3" s="8">
        <v>20000</v>
      </c>
    </row>
    <row r="4" spans="1:10" ht="28.5">
      <c r="A4">
        <v>124212</v>
      </c>
      <c r="B4" s="4" t="s">
        <v>21</v>
      </c>
      <c r="D4">
        <v>7260535</v>
      </c>
      <c r="E4" t="s">
        <v>31</v>
      </c>
      <c r="F4" s="6" t="s">
        <v>32</v>
      </c>
      <c r="G4">
        <v>0</v>
      </c>
      <c r="H4">
        <v>13</v>
      </c>
    </row>
    <row r="5" spans="1:10" ht="28.5">
      <c r="A5">
        <v>124212</v>
      </c>
      <c r="B5" s="4" t="s">
        <v>21</v>
      </c>
      <c r="D5">
        <v>7260535</v>
      </c>
      <c r="E5" t="s">
        <v>33</v>
      </c>
      <c r="F5" s="6" t="s">
        <v>34</v>
      </c>
      <c r="G5">
        <v>0</v>
      </c>
      <c r="H5">
        <v>5000</v>
      </c>
    </row>
    <row r="6" spans="1:10">
      <c r="A6">
        <v>124212</v>
      </c>
      <c r="B6" s="4" t="s">
        <v>21</v>
      </c>
    </row>
  </sheetData>
  <hyperlinks>
    <hyperlink ref="C2" r:id="rId1" xr:uid="{00000000-0004-0000-0000-000000000000}"/>
    <hyperlink ref="C3" r:id="rId2" xr:uid="{0FDA5493-01C9-4DC9-8FDF-093B87CBA79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 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13" sqref="B13"/>
    </sheetView>
  </sheetViews>
  <sheetFormatPr defaultRowHeight="14.25"/>
  <cols>
    <col min="1" max="1" width="52.7109375" customWidth="1"/>
    <col min="2" max="2" width="96.7109375" customWidth="1"/>
  </cols>
  <sheetData>
    <row r="1" spans="1:2" ht="15.75">
      <c r="A1" s="35" t="s">
        <v>4</v>
      </c>
      <c r="B1" s="35" t="s">
        <v>5</v>
      </c>
    </row>
    <row r="2" spans="1:2" ht="31.5">
      <c r="A2" s="36" t="s">
        <v>23</v>
      </c>
      <c r="B2" s="37" t="s">
        <v>60</v>
      </c>
    </row>
    <row r="3" spans="1:2" ht="15.75">
      <c r="A3" s="36" t="s">
        <v>61</v>
      </c>
      <c r="B3" s="37" t="s">
        <v>62</v>
      </c>
    </row>
    <row r="4" spans="1:2" ht="31.5">
      <c r="A4" s="36" t="s">
        <v>29</v>
      </c>
      <c r="B4" s="37" t="s">
        <v>63</v>
      </c>
    </row>
    <row r="5" spans="1:2" ht="15.75">
      <c r="A5" s="36" t="s">
        <v>64</v>
      </c>
      <c r="B5" s="37" t="s">
        <v>65</v>
      </c>
    </row>
    <row r="6" spans="1:2" ht="47.25">
      <c r="A6" s="36" t="s">
        <v>66</v>
      </c>
      <c r="B6" s="37" t="s">
        <v>67</v>
      </c>
    </row>
    <row r="7" spans="1:2" ht="31.5">
      <c r="A7" s="36" t="s">
        <v>49</v>
      </c>
      <c r="B7" s="37" t="s">
        <v>68</v>
      </c>
    </row>
    <row r="8" spans="1:2" ht="31.5">
      <c r="A8" s="36" t="s">
        <v>69</v>
      </c>
      <c r="B8" s="37" t="s">
        <v>70</v>
      </c>
    </row>
    <row r="9" spans="1:2" ht="31.5">
      <c r="A9" s="36" t="s">
        <v>71</v>
      </c>
      <c r="B9" s="37" t="s">
        <v>72</v>
      </c>
    </row>
    <row r="10" spans="1:2" ht="31.5">
      <c r="A10" s="36" t="s">
        <v>73</v>
      </c>
      <c r="B10" s="38" t="s">
        <v>74</v>
      </c>
    </row>
    <row r="11" spans="1:2" ht="15.75">
      <c r="A11" s="36" t="s">
        <v>75</v>
      </c>
      <c r="B11" s="38" t="s">
        <v>76</v>
      </c>
    </row>
    <row r="12" spans="1:2" ht="31.5">
      <c r="A12" s="36" t="s">
        <v>77</v>
      </c>
      <c r="B12" s="37" t="s">
        <v>78</v>
      </c>
    </row>
    <row r="13" spans="1:2" ht="16.5">
      <c r="A13" s="36" t="s">
        <v>36</v>
      </c>
      <c r="B13" s="38" t="s">
        <v>37</v>
      </c>
    </row>
    <row r="14" spans="1:2" ht="15.75">
      <c r="A14" s="36" t="s">
        <v>79</v>
      </c>
      <c r="B14" s="38" t="s">
        <v>80</v>
      </c>
    </row>
    <row r="15" spans="1:2" ht="15.75">
      <c r="A15" s="36" t="s">
        <v>81</v>
      </c>
      <c r="B15" s="38" t="s">
        <v>82</v>
      </c>
    </row>
    <row r="16" spans="1:2" ht="15.75">
      <c r="A16" s="36" t="s">
        <v>31</v>
      </c>
      <c r="B16" s="38" t="s">
        <v>83</v>
      </c>
    </row>
    <row r="17" spans="1:2" ht="15.75">
      <c r="A17" s="36" t="s">
        <v>84</v>
      </c>
      <c r="B17" s="37" t="s">
        <v>85</v>
      </c>
    </row>
    <row r="18" spans="1:2" ht="15.75">
      <c r="A18" s="36" t="s">
        <v>86</v>
      </c>
      <c r="B18" s="38" t="s">
        <v>87</v>
      </c>
    </row>
    <row r="19" spans="1:2" ht="47.25">
      <c r="A19" s="36" t="s">
        <v>88</v>
      </c>
      <c r="B19" s="38" t="s">
        <v>89</v>
      </c>
    </row>
    <row r="20" spans="1:2" ht="15.75">
      <c r="A20" s="36" t="s">
        <v>33</v>
      </c>
      <c r="B20" s="38" t="s">
        <v>90</v>
      </c>
    </row>
    <row r="21" spans="1:2" ht="31.5">
      <c r="A21" s="36" t="s">
        <v>19</v>
      </c>
      <c r="B21" s="39" t="s">
        <v>91</v>
      </c>
    </row>
    <row r="22" spans="1:2" ht="15.75">
      <c r="A22" s="36" t="s">
        <v>92</v>
      </c>
      <c r="B22" s="38"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Katiana Macius</DisplayName>
        <AccountId>1745</AccountId>
        <AccountType/>
      </UserInfo>
      <UserInfo>
        <DisplayName>Idris Bexi</DisplayName>
        <AccountId>1094</AccountId>
        <AccountType/>
      </UserInfo>
      <UserInfo>
        <DisplayName>Jonas Mfouatie</DisplayName>
        <AccountId>2561</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UserInfo>
        <DisplayName>Daisy Gladys Iteriteka</DisplayName>
        <AccountId>2581</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7BC89C-A50F-4092-A2D9-D05B2D58B700}"/>
</file>

<file path=customXml/itemProps2.xml><?xml version="1.0" encoding="utf-8"?>
<ds:datastoreItem xmlns:ds="http://schemas.openxmlformats.org/officeDocument/2006/customXml" ds:itemID="{C6ED487C-1C70-45A6-8C0C-8934EE26B218}"/>
</file>

<file path=customXml/itemProps3.xml><?xml version="1.0" encoding="utf-8"?>
<ds:datastoreItem xmlns:ds="http://schemas.openxmlformats.org/officeDocument/2006/customXml" ds:itemID="{69C17265-16CB-4971-B835-78CCC99C85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Adonis Ndayizeye</cp:lastModifiedBy>
  <cp:revision/>
  <dcterms:created xsi:type="dcterms:W3CDTF">2023-05-05T09:33:41Z</dcterms:created>
  <dcterms:modified xsi:type="dcterms:W3CDTF">2025-10-30T14:06:09Z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