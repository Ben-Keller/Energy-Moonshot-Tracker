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672" documentId="11_13400C8A471826D5940B628CA6FCA9A8E4E8ED3F" xr6:coauthVersionLast="47" xr6:coauthVersionMax="47" xr10:uidLastSave="{E3779A34-22F1-4A21-ACA4-B272889ADF8E}"/>
  <bookViews>
    <workbookView xWindow="-120" yWindow="-120" windowWidth="20730" windowHeight="11040" xr2:uid="{00000000-000D-0000-FFFF-FFFF00000000}"/>
  </bookViews>
  <sheets>
    <sheet name="Projects (3)" sheetId="4" r:id="rId1"/>
    <sheet name="Projects (2)" sheetId="3" state="hidden" r:id="rId2"/>
    <sheet name="Projects" sheetId="1" state="hidden" r:id="rId3"/>
    <sheet name="Beneficiary Categories" sheetId="2" r:id="rId4"/>
  </sheets>
  <definedNames>
    <definedName name="_xlnm._FilterDatabase" localSheetId="0" hidden="1">'Projects (3)'!$A$1:$W$1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 l="1"/>
  <c r="N11" i="1"/>
  <c r="M12" i="1"/>
  <c r="M11" i="1"/>
  <c r="H10" i="1"/>
  <c r="H27" i="1"/>
  <c r="H18" i="1"/>
</calcChain>
</file>

<file path=xl/sharedStrings.xml><?xml version="1.0" encoding="utf-8"?>
<sst xmlns="http://schemas.openxmlformats.org/spreadsheetml/2006/main" count="451" uniqueCount="158">
  <si>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</si>
  <si>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</si>
  <si>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</si>
  <si>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</si>
  <si>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</si>
  <si>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</si>
  <si>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</si>
  <si>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</si>
  <si>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</si>
  <si>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</si>
  <si>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</si>
  <si>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</si>
  <si>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</si>
  <si>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</si>
  <si>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</si>
  <si>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</si>
  <si>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</si>
  <si>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</si>
  <si>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</si>
  <si>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</si>
  <si>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</si>
  <si>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</si>
  <si>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Climate Action for Human Security (Regional project component)</t>
  </si>
  <si>
    <t>http://open.undp.org/projects/00122659</t>
  </si>
  <si>
    <t>Water Services</t>
  </si>
  <si>
    <t>Number of people with access to water</t>
  </si>
  <si>
    <t xml:space="preserve">                  -  </t>
  </si>
  <si>
    <t>(CO component)</t>
  </si>
  <si>
    <t>CO funding</t>
  </si>
  <si>
    <t>Non-VF</t>
  </si>
  <si>
    <t> </t>
  </si>
  <si>
    <t>Close the gap on energy access</t>
  </si>
  <si>
    <t>yes</t>
  </si>
  <si>
    <t xml:space="preserve">Climate Action for Human Security </t>
  </si>
  <si>
    <t>Electricity Access
Campaign Participant</t>
  </si>
  <si>
    <t>Number of people benefitted from water treatment plants
Number of people benefitting from solar energy training workshops and a marsh-wide awareness campaign on climate change and water conservation</t>
  </si>
  <si>
    <t>(Regional project component)
Provide solar energy for water treatment plants</t>
  </si>
  <si>
    <t>SIDA</t>
  </si>
  <si>
    <t>Solar</t>
  </si>
  <si>
    <t>Promoting Carbon Reduction Through Energy Efficiency (EE) Techniques in Iraq</t>
  </si>
  <si>
    <t>https://co.pims.undp.org/project/view?id=6487</t>
  </si>
  <si>
    <t>Other Energy Services
Policy or Regulatory Framework
GHG Emissions Reduction
Energy Efficiency Services</t>
  </si>
  <si>
    <t>"Number of direct project beneficiaries disaggregated by gender (individual people)"
Appropriate regulatory and institutional framework is designed to catalyze existing policies and programs for promoting EE in buildings, including the operationalization of the National Energy Efficiency Action Plan (NEEAP).
GHG emission mitigated tCO2e
"in MJ Energy saved in buildings that have been newly constructed or retrofitted following
project development"</t>
  </si>
  <si>
    <t xml:space="preserve"> 2,800                   531,628
1436292000 </t>
  </si>
  <si>
    <t>VF</t>
  </si>
  <si>
    <t>Accelerating just energy transition</t>
  </si>
  <si>
    <t>Energy Efficiency</t>
  </si>
  <si>
    <t>Legal Framework</t>
  </si>
  <si>
    <t>City</t>
  </si>
  <si>
    <t>Iraq Crisis Recovery and Resilience Program (ICRRP), Output 3: Resilience Of Vulnerable Communities To Climate Change Enhanced Through Access To Renewable Energy</t>
  </si>
  <si>
    <t>https://open.undp.org/projects/00085156</t>
  </si>
  <si>
    <t>Electricity Access
Energy (MW added)
Energy (MW added)
Small Enterprises
Campaign Participant
Campaign Participant
Capacity Building Training</t>
  </si>
  <si>
    <t>Farmers supported with subsidized solar energy
# MW solar energy added
# annual MWh generated per a year
# of MSMEs engaged in supply, installation and service of the solar panels
# of persons  who received awareness raising messages from the two building annually
 # of persons  who received awareness raising messages on renewable energy from social media (Million)
# of MSME personnel who received training on solar energy marketing, management, sales and services</t>
  </si>
  <si>
    <t xml:space="preserve"> 400
4
10
55,000
5
120 </t>
  </si>
  <si>
    <t>USAID</t>
  </si>
  <si>
    <t xml:space="preserve">Mainstreaming Environmental Sustainability and Clean Energy Access in the 3RP: The Case for Action: Renewable Energy Training for Forcibly Displaced and Vulnerable Young Men and Women in Iraq  </t>
  </si>
  <si>
    <t>Capacity Building Training</t>
  </si>
  <si>
    <t xml:space="preserve">Nr of refugees or host community people who received basic solar energy training </t>
  </si>
  <si>
    <t>Regional project component</t>
  </si>
  <si>
    <t>Govt. of Finland</t>
  </si>
  <si>
    <t>Funding Facility for Stabilization</t>
  </si>
  <si>
    <t>https://open.undp.org/projects/00089459</t>
  </si>
  <si>
    <t>Electricity Access
Energy (MW added)
Energy (MW added)
Agriculture and Food System
Health Services
Water Services
Education Services
Other Energy Services</t>
  </si>
  <si>
    <t>Nr of people with access to electricity
# MW solar energy added
# annual MWh generated per a year
# of agricultural services supported
# of health services supported
# of water services supported
# of educational services supported
Nr of street lights installed</t>
  </si>
  <si>
    <t xml:space="preserve"> 4,449,727
8
65
42
17
113
3001 </t>
  </si>
  <si>
    <t xml:space="preserve">Not all activities are funded </t>
  </si>
  <si>
    <t>Supporting recovery and stability through local development in Iraq</t>
  </si>
  <si>
    <t>Water Services
Education Services
Energy (MW added)
Energy (MW added)
Energy Infrastructure Services</t>
  </si>
  <si>
    <t xml:space="preserve"> 100
1000
2
0.4
10000 </t>
  </si>
  <si>
    <t>Multidonor</t>
  </si>
  <si>
    <t>Category</t>
  </si>
  <si>
    <t>Comments</t>
  </si>
  <si>
    <t xml:space="preserve"> (CO component)</t>
  </si>
  <si>
    <t>Electricity Access</t>
  </si>
  <si>
    <t>Number of people benefitted from water treatment plants</t>
  </si>
  <si>
    <t>Campaign Participant</t>
  </si>
  <si>
    <t>Number of people benefitting from solar energy training workshops and a marsh-wide awareness campaign on climate change and water conservation</t>
  </si>
  <si>
    <t>Renewable Energy</t>
  </si>
  <si>
    <t>PIMS+</t>
  </si>
  <si>
    <t>Other Energy Services</t>
  </si>
  <si>
    <t>Number of direct project beneficiaries
disaggregated by gender (individual people)</t>
  </si>
  <si>
    <t>GEF</t>
  </si>
  <si>
    <t>GHG Emissions Reduction</t>
  </si>
  <si>
    <t>GHG emission mitigated tCO2e</t>
  </si>
  <si>
    <t xml:space="preserve">
tCO2 saved
Energy saved in buildings that have been
newly constructed or retrofitted following
project development</t>
  </si>
  <si>
    <t>00085156</t>
  </si>
  <si>
    <t>Farmers supported with subsidized solar energy</t>
  </si>
  <si>
    <t>Provide solar energy for farmers with up to 60 % subsidy</t>
  </si>
  <si>
    <t>Energy (MW added)</t>
  </si>
  <si>
    <t># MW solar energy added</t>
  </si>
  <si>
    <t># annual MWh generated per a year</t>
  </si>
  <si>
    <t>Small Enterprises</t>
  </si>
  <si>
    <t># of MSMEs engaged in supply, installation and service of the solar panels</t>
  </si>
  <si>
    <t xml:space="preserve"># of persons  who received awareness raising messages from the two building annually </t>
  </si>
  <si>
    <t xml:space="preserve"> # of persons  who received awareness raising messages on renewable energy from social media (Million)</t>
  </si>
  <si>
    <t>Capacity Training</t>
  </si>
  <si>
    <t># of MSME personnel who received training on solar energy marketing, management, sales and services</t>
  </si>
  <si>
    <t>00089459</t>
  </si>
  <si>
    <t>Nr of people with access to electricity</t>
  </si>
  <si>
    <t>Agricultural Services</t>
  </si>
  <si>
    <t># of agricultural services supported</t>
  </si>
  <si>
    <t>Health Services</t>
  </si>
  <si>
    <t># of health services supported</t>
  </si>
  <si>
    <t># of water services supported</t>
  </si>
  <si>
    <t>Education Services</t>
  </si>
  <si>
    <t># of educational services supported</t>
  </si>
  <si>
    <t>Nr of street lights installed</t>
  </si>
  <si>
    <t>00116195</t>
  </si>
  <si>
    <t xml:space="preserve">Nr of water pumpts installed </t>
  </si>
  <si>
    <t>MW</t>
  </si>
  <si>
    <t>1500 (50 % women)</t>
  </si>
  <si>
    <t>1000 people (50% women)</t>
  </si>
  <si>
    <t>(Regional project component)</t>
  </si>
  <si>
    <t>Direct beneficiaries 2800 (Female: 1,400 and Male: 1,400).
In-direct beneficiaries: 274,000
persons/year (50 % women)</t>
  </si>
  <si>
    <t>Other</t>
  </si>
  <si>
    <t>GHG emission mitigated</t>
  </si>
  <si>
    <t>Direct emissions mitigated:
531,628 tCO2e
Indirect: 3,978,632 tCO2e</t>
  </si>
  <si>
    <t>Energy saved in buildings that have been
newly constructed or retrofitted following
project development</t>
  </si>
  <si>
    <t>Direct energy saved: 1,436,292 GJ</t>
  </si>
  <si>
    <t>400  (30 % women)</t>
  </si>
  <si>
    <t>total MW</t>
  </si>
  <si>
    <t xml:space="preserve"> 55,000 ( 30 % women)</t>
  </si>
  <si>
    <t>total MWh</t>
  </si>
  <si>
    <t xml:space="preserve"> # of persons  who received awareness raising messages on renewable energy from social media</t>
  </si>
  <si>
    <t>5 million (30 % women)</t>
  </si>
  <si>
    <t>120 (10 % women)</t>
  </si>
  <si>
    <t xml:space="preserve">200 (50 % women) </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</si>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</sst>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ED7D31"/>
      <name val="Calibri"/>
      <family val="2"/>
    </font>
    <font>
      <sz val="11"/>
      <color rgb="FF000000"/>
      <name val="Calibri"/>
      <charset val="1"/>
    </font>
    <font>
      <sz val="10"/>
      <color rgb="FFFF0000"/>
      <name val="Helvetica Neue"/>
      <charset val="1"/>
    </font>
    <font>
      <b/>
      <sz val="11"/>
      <color theme="1"/>
      <name val="Calibri"/>
      <scheme val="minor"/>
    </font>
    <font>
      <sz val="11"/>
      <color rgb="FF000000"/>
      <name val="Calibri"/>
      <scheme val="minor"/>
    </font>
    <font>
      <u/>
      <sz val="11"/>
      <color theme="10"/>
      <name val="Calibri"/>
      <family val="2"/>
      <scheme val="minor"/>
    </font>
    <font>
      <sz val="11"/>
      <color rgb="FF000000"/>
      <name val="Aptos Narrow"/>
      <family val="2"/>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D9E1F2"/>
        <bgColor indexed="64"/>
      </patternFill>
    </fill>
    <fill>
      <patternFill patternType="solid">
        <fgColor theme="9"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24">
    <xf numFmtId="0" fontId="0" fillId="0" borderId="0" xfId="0"/>
    <xf numFmtId="0" fontId="2" fillId="0" borderId="0" xfId="0" applyFont="1"/>
    <xf numFmtId="0" fontId="0" fillId="2" borderId="2" xfId="0" applyFill="1" applyBorder="1"/>
    <xf numFmtId="0" fontId="0" fillId="2" borderId="2" xfId="0" applyFill="1" applyBorder="1" applyAlignment="1">
      <alignment wrapText="1"/>
    </xf>
    <xf numFmtId="0" fontId="0" fillId="0" borderId="2" xfId="0" applyBorder="1"/>
    <xf numFmtId="0" fontId="3" fillId="0" borderId="2" xfId="1" applyFont="1" applyBorder="1" applyAlignment="1" applyProtection="1"/>
    <xf numFmtId="0" fontId="0" fillId="0" borderId="2" xfId="0" applyBorder="1" applyAlignment="1">
      <alignment wrapText="1"/>
    </xf>
    <xf numFmtId="0" fontId="2" fillId="0" borderId="3" xfId="0" applyFont="1" applyBorder="1" applyAlignment="1">
      <alignment horizontal="center" vertical="top"/>
    </xf>
    <xf numFmtId="0" fontId="0" fillId="0" borderId="7" xfId="0" applyBorder="1" applyAlignment="1">
      <alignment wrapText="1"/>
    </xf>
    <xf numFmtId="0" fontId="0" fillId="0" borderId="4" xfId="0" applyBorder="1" applyAlignment="1">
      <alignment wrapText="1"/>
    </xf>
    <xf numFmtId="0" fontId="0" fillId="0" borderId="4" xfId="0" applyBorder="1"/>
    <xf numFmtId="0" fontId="0" fillId="0" borderId="4" xfId="0" applyBorder="1" applyAlignment="1">
      <alignment horizontal="center" vertical="center" wrapText="1"/>
    </xf>
    <xf numFmtId="0" fontId="0" fillId="2" borderId="7" xfId="0" applyFill="1" applyBorder="1"/>
    <xf numFmtId="0" fontId="0" fillId="2" borderId="7" xfId="0" applyFill="1" applyBorder="1" applyAlignment="1">
      <alignment wrapText="1"/>
    </xf>
    <xf numFmtId="0" fontId="0" fillId="2" borderId="1" xfId="0" applyFill="1" applyBorder="1" applyAlignment="1">
      <alignment wrapText="1"/>
    </xf>
    <xf numFmtId="0" fontId="0" fillId="0" borderId="9" xfId="0" applyBorder="1" applyAlignment="1">
      <alignment wrapText="1"/>
    </xf>
    <xf numFmtId="0" fontId="0" fillId="0" borderId="7" xfId="0" applyBorder="1"/>
    <xf numFmtId="0" fontId="0" fillId="0" borderId="8" xfId="0" applyBorder="1"/>
    <xf numFmtId="0" fontId="0" fillId="3" borderId="7" xfId="0" applyFill="1" applyBorder="1" applyAlignment="1">
      <alignment wrapText="1"/>
    </xf>
    <xf numFmtId="0" fontId="0" fillId="0" borderId="4" xfId="0" applyBorder="1" applyAlignment="1">
      <alignment vertical="center" wrapText="1"/>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164" fontId="0" fillId="0" borderId="2" xfId="0" applyNumberFormat="1" applyBorder="1" applyAlignment="1">
      <alignment vertical="center"/>
    </xf>
    <xf numFmtId="164" fontId="0" fillId="0" borderId="4" xfId="0" applyNumberFormat="1" applyBorder="1" applyAlignment="1">
      <alignment vertical="center"/>
    </xf>
    <xf numFmtId="0" fontId="0" fillId="0" borderId="2" xfId="0" applyBorder="1" applyAlignment="1">
      <alignment horizontal="center" vertical="center"/>
    </xf>
    <xf numFmtId="0" fontId="0" fillId="3" borderId="4" xfId="0" applyFill="1" applyBorder="1" applyAlignment="1">
      <alignment horizontal="center" vertical="center"/>
    </xf>
    <xf numFmtId="0" fontId="0" fillId="3" borderId="9" xfId="0" applyFill="1" applyBorder="1" applyAlignment="1">
      <alignment vertical="center" wrapText="1"/>
    </xf>
    <xf numFmtId="0" fontId="4" fillId="0" borderId="0" xfId="0" applyFont="1"/>
    <xf numFmtId="0" fontId="0" fillId="4" borderId="1" xfId="0" applyFill="1" applyBorder="1" applyAlignment="1">
      <alignment vertical="center"/>
    </xf>
    <xf numFmtId="0" fontId="0" fillId="4" borderId="1" xfId="0" applyFill="1" applyBorder="1" applyAlignment="1">
      <alignment vertical="center" wrapText="1"/>
    </xf>
    <xf numFmtId="0" fontId="0" fillId="4" borderId="1" xfId="0" applyFill="1" applyBorder="1"/>
    <xf numFmtId="0" fontId="0" fillId="0" borderId="2" xfId="0" applyBorder="1" applyAlignment="1">
      <alignment horizontal="center" vertical="center" wrapText="1"/>
    </xf>
    <xf numFmtId="0" fontId="0" fillId="0" borderId="2" xfId="0" applyBorder="1" applyAlignment="1">
      <alignment vertical="center"/>
    </xf>
    <xf numFmtId="0" fontId="2" fillId="0" borderId="2" xfId="0" applyFont="1" applyBorder="1"/>
    <xf numFmtId="0" fontId="2" fillId="0" borderId="2" xfId="0" applyFont="1" applyBorder="1" applyAlignment="1">
      <alignment horizontal="center" vertical="top"/>
    </xf>
    <xf numFmtId="0" fontId="0" fillId="3" borderId="2" xfId="0" applyFill="1" applyBorder="1" applyAlignment="1">
      <alignment horizontal="center" vertical="center"/>
    </xf>
    <xf numFmtId="0" fontId="0" fillId="0" borderId="2" xfId="0" applyBorder="1" applyAlignment="1">
      <alignment vertical="center" wrapText="1"/>
    </xf>
    <xf numFmtId="0" fontId="0" fillId="4" borderId="2" xfId="0" applyFill="1"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xf>
    <xf numFmtId="0" fontId="0" fillId="4" borderId="2" xfId="0" applyFill="1" applyBorder="1"/>
    <xf numFmtId="9" fontId="0" fillId="0" borderId="2" xfId="0" applyNumberFormat="1" applyBorder="1"/>
    <xf numFmtId="49" fontId="0" fillId="2" borderId="2" xfId="0" applyNumberFormat="1" applyFill="1" applyBorder="1"/>
    <xf numFmtId="3" fontId="0" fillId="0" borderId="2" xfId="0" applyNumberFormat="1" applyBorder="1"/>
    <xf numFmtId="0" fontId="0" fillId="5" borderId="2" xfId="0" applyFill="1" applyBorder="1" applyAlignment="1">
      <alignment vertical="center"/>
    </xf>
    <xf numFmtId="0" fontId="0" fillId="5" borderId="2" xfId="0" applyFill="1" applyBorder="1" applyAlignment="1">
      <alignment vertical="center" wrapText="1"/>
    </xf>
    <xf numFmtId="0" fontId="0" fillId="5" borderId="2" xfId="0" applyFill="1" applyBorder="1"/>
    <xf numFmtId="0" fontId="0" fillId="5" borderId="0" xfId="0" applyFill="1"/>
    <xf numFmtId="0" fontId="6" fillId="5" borderId="0" xfId="0" applyFont="1" applyFill="1" applyAlignment="1">
      <alignment vertical="center"/>
    </xf>
    <xf numFmtId="0" fontId="6" fillId="0" borderId="0" xfId="0" applyFont="1" applyAlignment="1">
      <alignment vertical="center"/>
    </xf>
    <xf numFmtId="49" fontId="2" fillId="0" borderId="2" xfId="0" applyNumberFormat="1" applyFont="1" applyBorder="1" applyAlignment="1">
      <alignment horizontal="center" vertical="top"/>
    </xf>
    <xf numFmtId="49" fontId="0" fillId="0" borderId="2" xfId="0" applyNumberFormat="1" applyBorder="1"/>
    <xf numFmtId="49" fontId="0" fillId="0" borderId="2" xfId="0" applyNumberFormat="1" applyBorder="1" applyAlignment="1">
      <alignment vertical="center"/>
    </xf>
    <xf numFmtId="49" fontId="0" fillId="5" borderId="2" xfId="0" applyNumberFormat="1" applyFill="1" applyBorder="1" applyAlignment="1">
      <alignment vertical="center"/>
    </xf>
    <xf numFmtId="49" fontId="0" fillId="0" borderId="0" xfId="0" applyNumberFormat="1"/>
    <xf numFmtId="3" fontId="5" fillId="0" borderId="0" xfId="0" applyNumberFormat="1" applyFont="1"/>
    <xf numFmtId="3" fontId="0" fillId="0" borderId="2" xfId="0" applyNumberFormat="1" applyBorder="1" applyAlignment="1">
      <alignment wrapText="1"/>
    </xf>
    <xf numFmtId="0" fontId="7" fillId="0" borderId="2" xfId="0" applyFont="1" applyBorder="1" applyAlignment="1">
      <alignment horizontal="center" vertical="top" wrapText="1"/>
    </xf>
    <xf numFmtId="0" fontId="8" fillId="0" borderId="2" xfId="0" applyFont="1" applyBorder="1" applyAlignment="1">
      <alignment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0" fillId="0" borderId="2" xfId="0" quotePrefix="1" applyBorder="1" applyAlignment="1">
      <alignment horizontal="center" vertical="center"/>
    </xf>
    <xf numFmtId="164" fontId="0" fillId="0" borderId="2" xfId="0" applyNumberForma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xf>
    <xf numFmtId="0" fontId="0" fillId="0" borderId="2" xfId="0" applyBorder="1" applyAlignment="1">
      <alignment vertical="center"/>
    </xf>
    <xf numFmtId="0" fontId="0" fillId="3" borderId="2" xfId="0" applyFill="1" applyBorder="1" applyAlignment="1">
      <alignment horizontal="center" vertical="center"/>
    </xf>
    <xf numFmtId="0" fontId="0" fillId="0" borderId="4" xfId="0" applyBorder="1" applyAlignment="1">
      <alignment horizontal="center" wrapText="1"/>
    </xf>
    <xf numFmtId="0" fontId="0" fillId="0" borderId="5" xfId="0" applyBorder="1" applyAlignment="1">
      <alignment horizontal="center" wrapText="1"/>
    </xf>
    <xf numFmtId="0" fontId="0" fillId="0" borderId="2" xfId="0" applyBorder="1" applyAlignment="1">
      <alignment horizontal="left" vertical="center" wrapText="1"/>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0" borderId="4" xfId="0" quotePrefix="1" applyBorder="1" applyAlignment="1">
      <alignment horizontal="center" vertical="center"/>
    </xf>
    <xf numFmtId="0" fontId="0" fillId="0" borderId="6" xfId="0" quotePrefix="1" applyBorder="1" applyAlignment="1">
      <alignment horizontal="center" vertical="center"/>
    </xf>
    <xf numFmtId="164" fontId="0" fillId="0" borderId="4" xfId="0" applyNumberFormat="1" applyBorder="1" applyAlignment="1">
      <alignment horizontal="center" vertical="center"/>
    </xf>
    <xf numFmtId="164" fontId="0" fillId="0" borderId="6" xfId="0" applyNumberFormat="1" applyBorder="1" applyAlignment="1">
      <alignment horizontal="center" vertical="center"/>
    </xf>
    <xf numFmtId="164" fontId="0" fillId="0" borderId="5" xfId="0" applyNumberFormat="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quotePrefix="1" applyBorder="1" applyAlignment="1">
      <alignment horizontal="center" vertical="center"/>
    </xf>
    <xf numFmtId="0" fontId="2" fillId="0" borderId="2" xfId="0" applyFont="1" applyBorder="1" applyAlignment="1">
      <alignment horizontal="left" vertical="top" wrapText="1"/>
    </xf>
    <xf numFmtId="49" fontId="2" fillId="0" borderId="2" xfId="0" applyNumberFormat="1" applyFont="1" applyBorder="1" applyAlignment="1">
      <alignment horizontal="left" vertical="top" wrapText="1"/>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9" xfId="0" applyFont="1" applyBorder="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10" fillId="0" borderId="1" xfId="0" applyFont="1" applyFill="1" applyBorder="1" applyAlignment="1">
      <alignment horizontal="left" vertical="top" wrapText="1"/>
    </xf>
    <xf numFmtId="0" fontId="10" fillId="0" borderId="12" xfId="0" applyFont="1" applyFill="1" applyBorder="1" applyAlignment="1">
      <alignment horizontal="left" vertical="top" wrapText="1"/>
    </xf>
    <xf numFmtId="0" fontId="9" fillId="0" borderId="12" xfId="1" applyFill="1" applyBorder="1" applyAlignment="1">
      <alignment horizontal="left" vertical="top" wrapText="1"/>
    </xf>
    <xf numFmtId="8" fontId="10" fillId="0" borderId="12" xfId="0" applyNumberFormat="1" applyFont="1" applyFill="1" applyBorder="1" applyAlignment="1">
      <alignment horizontal="left" vertical="top" wrapText="1"/>
    </xf>
    <xf numFmtId="4" fontId="10" fillId="0" borderId="12" xfId="0" applyNumberFormat="1" applyFont="1" applyFill="1" applyBorder="1" applyAlignment="1">
      <alignment horizontal="left" vertical="top" wrapText="1"/>
    </xf>
    <xf numFmtId="9" fontId="10" fillId="0" borderId="12" xfId="0" applyNumberFormat="1" applyFont="1" applyFill="1" applyBorder="1" applyAlignment="1">
      <alignment horizontal="left" vertical="top" wrapText="1"/>
    </xf>
    <xf numFmtId="0" fontId="10" fillId="0" borderId="12" xfId="0" applyFont="1" applyFill="1" applyBorder="1" applyAlignment="1">
      <alignment horizontal="left" vertical="top"/>
    </xf>
    <xf numFmtId="0" fontId="10" fillId="0" borderId="13" xfId="0" applyFont="1" applyFill="1" applyBorder="1" applyAlignment="1">
      <alignment horizontal="left" vertical="top"/>
    </xf>
    <xf numFmtId="0" fontId="10" fillId="0" borderId="11" xfId="0" applyFont="1" applyFill="1" applyBorder="1" applyAlignment="1">
      <alignment horizontal="left" vertical="top" wrapText="1"/>
    </xf>
    <xf numFmtId="0" fontId="10" fillId="0" borderId="13" xfId="0" applyFont="1" applyFill="1" applyBorder="1" applyAlignment="1">
      <alignment horizontal="left" vertical="top" wrapText="1"/>
    </xf>
    <xf numFmtId="8" fontId="10" fillId="0" borderId="13" xfId="0" applyNumberFormat="1" applyFont="1" applyFill="1" applyBorder="1" applyAlignment="1">
      <alignment horizontal="left" vertical="top" wrapText="1"/>
    </xf>
    <xf numFmtId="4" fontId="10" fillId="0" borderId="13" xfId="0" applyNumberFormat="1" applyFont="1" applyFill="1" applyBorder="1" applyAlignment="1">
      <alignment horizontal="left" vertical="top" wrapText="1"/>
    </xf>
    <xf numFmtId="9" fontId="10" fillId="0" borderId="13" xfId="0" applyNumberFormat="1" applyFont="1" applyFill="1" applyBorder="1" applyAlignment="1">
      <alignment horizontal="left" vertical="top" wrapText="1"/>
    </xf>
    <xf numFmtId="0" fontId="9" fillId="0" borderId="13" xfId="1" applyFill="1" applyBorder="1" applyAlignment="1">
      <alignment horizontal="left" vertical="top" wrapText="1"/>
    </xf>
    <xf numFmtId="49" fontId="0" fillId="0" borderId="0" xfId="0" applyNumberFormat="1" applyAlignment="1">
      <alignment horizontal="left" vertical="top"/>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085156" TargetMode="External"/><Relationship Id="rId2" Type="http://schemas.openxmlformats.org/officeDocument/2006/relationships/hyperlink" Target="https://co.pims.undp.org/project/view?id=6487" TargetMode="External"/><Relationship Id="rId1" Type="http://schemas.openxmlformats.org/officeDocument/2006/relationships/hyperlink" Target="http://open.undp.org/projects/00122659" TargetMode="External"/><Relationship Id="rId4" Type="http://schemas.openxmlformats.org/officeDocument/2006/relationships/hyperlink" Target="https://open.undp.org/projects/0008945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265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226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B37D-49A5-4ADB-B5FC-F6F25C4D7831}">
  <dimension ref="A1:W8"/>
  <sheetViews>
    <sheetView tabSelected="1" topLeftCell="C1" zoomScale="70" zoomScaleNormal="70" workbookViewId="0">
      <pane ySplit="1" topLeftCell="A2" activePane="bottomLeft" state="frozen"/>
      <selection pane="bottomLeft" activeCell="B1" sqref="B1"/>
      <selection activeCell="C1" sqref="C1"/>
    </sheetView>
  </sheetViews>
  <sheetFormatPr defaultRowHeight="15"/>
  <cols>
    <col min="1" max="1" width="17.85546875" style="105" customWidth="1"/>
    <col min="2" max="2" width="62.85546875" style="105" customWidth="1"/>
    <col min="3" max="3" width="20.7109375" style="105" customWidth="1"/>
    <col min="4" max="4" width="19" style="105" customWidth="1"/>
    <col min="5" max="5" width="20.7109375" style="120" customWidth="1"/>
    <col min="6" max="6" width="20.7109375" style="105" customWidth="1"/>
    <col min="7" max="7" width="12.7109375" style="105" customWidth="1"/>
    <col min="8" max="8" width="12" style="105" bestFit="1" customWidth="1"/>
    <col min="9" max="9" width="32.7109375" style="105" customWidth="1"/>
    <col min="10" max="10" width="11.140625" style="105" bestFit="1" customWidth="1"/>
    <col min="11" max="13" width="9.140625" style="105"/>
    <col min="14" max="14" width="12.85546875" style="105" customWidth="1"/>
    <col min="15" max="15" width="16" style="105" bestFit="1" customWidth="1"/>
    <col min="16" max="16" width="13" style="105" customWidth="1"/>
    <col min="17" max="17" width="16.5703125" style="105" bestFit="1" customWidth="1"/>
    <col min="18" max="18" width="18.140625" style="105" bestFit="1" customWidth="1"/>
    <col min="19" max="19" width="11.28515625" style="105" bestFit="1" customWidth="1"/>
    <col min="20" max="20" width="30.28515625" style="105" bestFit="1" customWidth="1"/>
    <col min="21" max="21" width="16.7109375" style="105" bestFit="1" customWidth="1"/>
    <col min="22" max="22" width="19" style="105" customWidth="1"/>
    <col min="23" max="16384" width="9.140625" style="105"/>
  </cols>
  <sheetData>
    <row r="1" spans="1:23" ht="45.75">
      <c r="A1" s="99" t="s">
        <v>0</v>
      </c>
      <c r="B1" s="99" t="s">
        <v>1</v>
      </c>
      <c r="C1" s="99" t="s">
        <v>2</v>
      </c>
      <c r="D1" s="99" t="s">
        <v>3</v>
      </c>
      <c r="E1" s="100" t="s">
        <v>4</v>
      </c>
      <c r="F1" s="99" t="s">
        <v>5</v>
      </c>
      <c r="G1" s="99" t="s">
        <v>6</v>
      </c>
      <c r="H1" s="99" t="s">
        <v>7</v>
      </c>
      <c r="I1" s="99" t="s">
        <v>8</v>
      </c>
      <c r="J1" s="99" t="s">
        <v>9</v>
      </c>
      <c r="K1" s="99" t="s">
        <v>10</v>
      </c>
      <c r="L1" s="101" t="s">
        <v>11</v>
      </c>
      <c r="M1" s="102" t="s">
        <v>12</v>
      </c>
      <c r="N1" s="101" t="s">
        <v>13</v>
      </c>
      <c r="O1" s="101" t="s">
        <v>14</v>
      </c>
      <c r="P1" s="102" t="s">
        <v>15</v>
      </c>
      <c r="Q1" s="102" t="s">
        <v>16</v>
      </c>
      <c r="R1" s="103" t="s">
        <v>17</v>
      </c>
      <c r="S1" s="102" t="s">
        <v>18</v>
      </c>
      <c r="T1" s="103" t="s">
        <v>19</v>
      </c>
      <c r="U1" s="103" t="s">
        <v>20</v>
      </c>
      <c r="V1" s="101" t="s">
        <v>21</v>
      </c>
      <c r="W1" s="104"/>
    </row>
    <row r="2" spans="1:23" ht="43.5">
      <c r="A2" s="106">
        <v>122659</v>
      </c>
      <c r="B2" s="107" t="s">
        <v>22</v>
      </c>
      <c r="C2" s="108" t="s">
        <v>23</v>
      </c>
      <c r="D2" s="109">
        <v>149000</v>
      </c>
      <c r="E2" s="107" t="s">
        <v>24</v>
      </c>
      <c r="F2" s="107" t="s">
        <v>25</v>
      </c>
      <c r="G2" s="107" t="s">
        <v>26</v>
      </c>
      <c r="H2" s="110">
        <v>1500</v>
      </c>
      <c r="I2" s="107" t="s">
        <v>27</v>
      </c>
      <c r="J2" s="107" t="s">
        <v>28</v>
      </c>
      <c r="K2" s="111">
        <v>0.5</v>
      </c>
      <c r="L2" s="112" t="s">
        <v>29</v>
      </c>
      <c r="M2" s="112" t="s">
        <v>30</v>
      </c>
      <c r="N2" s="107" t="s">
        <v>31</v>
      </c>
      <c r="O2" s="112" t="s">
        <v>30</v>
      </c>
      <c r="P2" s="112" t="s">
        <v>30</v>
      </c>
      <c r="Q2" s="112" t="s">
        <v>30</v>
      </c>
      <c r="R2" s="112" t="s">
        <v>30</v>
      </c>
      <c r="S2" s="112" t="s">
        <v>30</v>
      </c>
      <c r="T2" s="112" t="s">
        <v>30</v>
      </c>
      <c r="U2" s="112" t="s">
        <v>30</v>
      </c>
      <c r="V2" s="113" t="s">
        <v>32</v>
      </c>
    </row>
    <row r="3" spans="1:23" ht="159">
      <c r="A3" s="114">
        <v>122627</v>
      </c>
      <c r="B3" s="115" t="s">
        <v>33</v>
      </c>
      <c r="C3" s="115" t="s">
        <v>30</v>
      </c>
      <c r="D3" s="116">
        <v>922000</v>
      </c>
      <c r="E3" s="115" t="s">
        <v>34</v>
      </c>
      <c r="F3" s="115" t="s">
        <v>35</v>
      </c>
      <c r="G3" s="115" t="s">
        <v>26</v>
      </c>
      <c r="H3" s="117">
        <v>2500</v>
      </c>
      <c r="I3" s="115" t="s">
        <v>36</v>
      </c>
      <c r="J3" s="115" t="s">
        <v>37</v>
      </c>
      <c r="K3" s="118">
        <v>0.5</v>
      </c>
      <c r="L3" s="113" t="s">
        <v>29</v>
      </c>
      <c r="M3" s="115" t="s">
        <v>30</v>
      </c>
      <c r="N3" s="115" t="s">
        <v>31</v>
      </c>
      <c r="O3" s="115" t="s">
        <v>30</v>
      </c>
      <c r="P3" s="115" t="s">
        <v>30</v>
      </c>
      <c r="Q3" s="115" t="s">
        <v>30</v>
      </c>
      <c r="R3" s="115" t="s">
        <v>30</v>
      </c>
      <c r="S3" s="115" t="s">
        <v>38</v>
      </c>
      <c r="T3" s="115" t="s">
        <v>30</v>
      </c>
      <c r="U3" s="115" t="s">
        <v>30</v>
      </c>
      <c r="V3" s="115" t="s">
        <v>30</v>
      </c>
    </row>
    <row r="4" spans="1:23" ht="346.5">
      <c r="A4" s="114">
        <v>6487</v>
      </c>
      <c r="B4" s="115" t="s">
        <v>39</v>
      </c>
      <c r="C4" s="119" t="s">
        <v>40</v>
      </c>
      <c r="D4" s="116">
        <v>3092009</v>
      </c>
      <c r="E4" s="115" t="s">
        <v>41</v>
      </c>
      <c r="F4" s="115" t="s">
        <v>42</v>
      </c>
      <c r="G4" s="115" t="s">
        <v>26</v>
      </c>
      <c r="H4" s="115" t="s">
        <v>43</v>
      </c>
      <c r="I4" s="115" t="s">
        <v>30</v>
      </c>
      <c r="J4" s="115" t="s">
        <v>30</v>
      </c>
      <c r="K4" s="115" t="s">
        <v>30</v>
      </c>
      <c r="L4" s="115" t="s">
        <v>44</v>
      </c>
      <c r="M4" s="115" t="s">
        <v>30</v>
      </c>
      <c r="N4" s="115" t="s">
        <v>45</v>
      </c>
      <c r="O4" s="113" t="s">
        <v>46</v>
      </c>
      <c r="P4" s="113" t="s">
        <v>30</v>
      </c>
      <c r="Q4" s="113" t="s">
        <v>47</v>
      </c>
      <c r="R4" s="113" t="s">
        <v>46</v>
      </c>
      <c r="S4" s="115" t="s">
        <v>30</v>
      </c>
      <c r="T4" s="113" t="s">
        <v>48</v>
      </c>
      <c r="U4" s="113">
        <v>274000</v>
      </c>
      <c r="V4" s="115" t="s">
        <v>30</v>
      </c>
    </row>
    <row r="5" spans="1:23" ht="390">
      <c r="A5" s="114">
        <v>85156</v>
      </c>
      <c r="B5" s="115" t="s">
        <v>49</v>
      </c>
      <c r="C5" s="119" t="s">
        <v>50</v>
      </c>
      <c r="D5" s="116">
        <v>4250000</v>
      </c>
      <c r="E5" s="115" t="s">
        <v>51</v>
      </c>
      <c r="F5" s="115" t="s">
        <v>52</v>
      </c>
      <c r="G5" s="115" t="s">
        <v>26</v>
      </c>
      <c r="H5" s="115" t="s">
        <v>53</v>
      </c>
      <c r="I5" s="115" t="s">
        <v>30</v>
      </c>
      <c r="J5" s="115" t="s">
        <v>54</v>
      </c>
      <c r="K5" s="118">
        <v>0.3</v>
      </c>
      <c r="L5" s="115" t="s">
        <v>29</v>
      </c>
      <c r="M5" s="115" t="s">
        <v>30</v>
      </c>
      <c r="N5" s="115" t="s">
        <v>45</v>
      </c>
      <c r="O5" s="115" t="s">
        <v>30</v>
      </c>
      <c r="P5" s="115" t="s">
        <v>30</v>
      </c>
      <c r="Q5" s="115" t="s">
        <v>30</v>
      </c>
      <c r="R5" s="115" t="s">
        <v>30</v>
      </c>
      <c r="S5" s="115" t="s">
        <v>38</v>
      </c>
      <c r="T5" s="115" t="s">
        <v>30</v>
      </c>
      <c r="U5" s="115" t="s">
        <v>30</v>
      </c>
      <c r="V5" s="115" t="s">
        <v>30</v>
      </c>
    </row>
    <row r="6" spans="1:23" ht="57.75">
      <c r="A6" s="114">
        <v>125754</v>
      </c>
      <c r="B6" s="115" t="s">
        <v>55</v>
      </c>
      <c r="C6" s="115" t="s">
        <v>30</v>
      </c>
      <c r="D6" s="116">
        <v>55000</v>
      </c>
      <c r="E6" s="115" t="s">
        <v>56</v>
      </c>
      <c r="F6" s="115" t="s">
        <v>57</v>
      </c>
      <c r="G6" s="115" t="s">
        <v>26</v>
      </c>
      <c r="H6" s="115">
        <v>200</v>
      </c>
      <c r="I6" s="115" t="s">
        <v>58</v>
      </c>
      <c r="J6" s="115" t="s">
        <v>59</v>
      </c>
      <c r="K6" s="118">
        <v>0.5</v>
      </c>
      <c r="L6" s="113" t="s">
        <v>29</v>
      </c>
      <c r="M6" s="113" t="s">
        <v>30</v>
      </c>
      <c r="N6" s="115" t="s">
        <v>31</v>
      </c>
      <c r="O6" s="113" t="s">
        <v>30</v>
      </c>
      <c r="P6" s="113" t="s">
        <v>30</v>
      </c>
      <c r="Q6" s="113" t="s">
        <v>30</v>
      </c>
      <c r="R6" s="113" t="s">
        <v>30</v>
      </c>
      <c r="S6" s="113" t="s">
        <v>30</v>
      </c>
      <c r="T6" s="113" t="s">
        <v>30</v>
      </c>
      <c r="U6" s="113" t="s">
        <v>30</v>
      </c>
      <c r="V6" s="115" t="s">
        <v>30</v>
      </c>
    </row>
    <row r="7" spans="1:23" ht="231">
      <c r="A7" s="114">
        <v>89459</v>
      </c>
      <c r="B7" s="115" t="s">
        <v>60</v>
      </c>
      <c r="C7" s="119" t="s">
        <v>61</v>
      </c>
      <c r="D7" s="116">
        <v>11182694</v>
      </c>
      <c r="E7" s="115" t="s">
        <v>62</v>
      </c>
      <c r="F7" s="115" t="s">
        <v>63</v>
      </c>
      <c r="G7" s="115" t="s">
        <v>26</v>
      </c>
      <c r="H7" s="115" t="s">
        <v>64</v>
      </c>
      <c r="I7" s="115" t="s">
        <v>65</v>
      </c>
      <c r="J7" s="115" t="s">
        <v>54</v>
      </c>
      <c r="K7" s="115" t="s">
        <v>30</v>
      </c>
      <c r="L7" s="115" t="s">
        <v>29</v>
      </c>
      <c r="M7" s="115" t="s">
        <v>30</v>
      </c>
      <c r="N7" s="115" t="s">
        <v>31</v>
      </c>
      <c r="O7" s="115" t="s">
        <v>30</v>
      </c>
      <c r="P7" s="115" t="s">
        <v>30</v>
      </c>
      <c r="Q7" s="115" t="s">
        <v>30</v>
      </c>
      <c r="R7" s="115" t="s">
        <v>30</v>
      </c>
      <c r="S7" s="115" t="s">
        <v>38</v>
      </c>
      <c r="T7" s="115" t="s">
        <v>30</v>
      </c>
      <c r="U7" s="115" t="s">
        <v>30</v>
      </c>
      <c r="V7" s="115" t="s">
        <v>30</v>
      </c>
    </row>
    <row r="8" spans="1:23" ht="87">
      <c r="A8" s="114">
        <v>116195</v>
      </c>
      <c r="B8" s="115" t="s">
        <v>66</v>
      </c>
      <c r="C8" s="115" t="s">
        <v>30</v>
      </c>
      <c r="D8" s="116">
        <v>6148000</v>
      </c>
      <c r="E8" s="115" t="s">
        <v>67</v>
      </c>
      <c r="F8" s="115" t="s">
        <v>67</v>
      </c>
      <c r="G8" s="115" t="s">
        <v>26</v>
      </c>
      <c r="H8" s="115" t="s">
        <v>68</v>
      </c>
      <c r="I8" s="115" t="s">
        <v>30</v>
      </c>
      <c r="J8" s="115" t="s">
        <v>69</v>
      </c>
      <c r="K8" s="115" t="s">
        <v>30</v>
      </c>
      <c r="L8" s="115" t="s">
        <v>29</v>
      </c>
      <c r="M8" s="115" t="s">
        <v>30</v>
      </c>
      <c r="N8" s="115" t="s">
        <v>31</v>
      </c>
      <c r="O8" s="115" t="s">
        <v>30</v>
      </c>
      <c r="P8" s="115" t="s">
        <v>30</v>
      </c>
      <c r="Q8" s="115" t="s">
        <v>30</v>
      </c>
      <c r="R8" s="115" t="s">
        <v>30</v>
      </c>
      <c r="S8" s="115" t="s">
        <v>38</v>
      </c>
      <c r="T8" s="115" t="s">
        <v>30</v>
      </c>
      <c r="U8" s="115" t="s">
        <v>30</v>
      </c>
      <c r="V8" s="115" t="s">
        <v>30</v>
      </c>
    </row>
  </sheetData>
  <dataValidations count="1">
    <dataValidation allowBlank="1" showInputMessage="1" showErrorMessage="1" sqref="E1 E9:E1048576" xr:uid="{236AB2E8-53E8-4198-A50E-49F32CD7DDE7}"/>
  </dataValidations>
  <hyperlinks>
    <hyperlink ref="C2" r:id="rId1" xr:uid="{B245A705-3FA9-4DA3-A389-9B0A6258FE78}"/>
    <hyperlink ref="C4" r:id="rId2" xr:uid="{0F6AAD45-6C27-47B2-B82B-C303594C167F}"/>
    <hyperlink ref="C5" r:id="rId3" xr:uid="{67334EC0-6F34-4A5D-9DA4-1B2AA6CF620F}"/>
    <hyperlink ref="C7" r:id="rId4" xr:uid="{14D62C39-7A16-4D55-B71B-927F044084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6CD4-6D1F-49A9-AE33-970F754B4CFF}">
  <dimension ref="A1:X30"/>
  <sheetViews>
    <sheetView zoomScale="70" zoomScaleNormal="70" workbookViewId="0">
      <pane ySplit="1" topLeftCell="A2" activePane="bottomLeft" state="frozen"/>
      <selection pane="bottomLeft"/>
      <selection activeCell="C1" sqref="C1"/>
    </sheetView>
  </sheetViews>
  <sheetFormatPr defaultRowHeight="15"/>
  <cols>
    <col min="1" max="1" width="17.85546875" customWidth="1"/>
    <col min="2" max="2" width="62.85546875" customWidth="1"/>
    <col min="3" max="3" width="20.7109375" customWidth="1"/>
    <col min="4" max="4" width="19" customWidth="1"/>
    <col min="5" max="5" width="20.7109375" style="55" customWidth="1"/>
    <col min="6" max="6" width="20.7109375" customWidth="1"/>
    <col min="7" max="7" width="12.7109375" customWidth="1"/>
    <col min="8" max="8" width="28.140625" customWidth="1"/>
    <col min="9" max="9" width="32.7109375" customWidth="1"/>
    <col min="10" max="10" width="11.140625" bestFit="1" customWidth="1"/>
    <col min="13" max="13" width="51.5703125" customWidth="1"/>
  </cols>
  <sheetData>
    <row r="1" spans="1:24">
      <c r="A1" s="35" t="s">
        <v>0</v>
      </c>
      <c r="B1" s="35" t="s">
        <v>1</v>
      </c>
      <c r="C1" s="35" t="s">
        <v>2</v>
      </c>
      <c r="D1" s="35" t="s">
        <v>3</v>
      </c>
      <c r="E1" s="51" t="s">
        <v>4</v>
      </c>
      <c r="F1" s="35" t="s">
        <v>5</v>
      </c>
      <c r="G1" s="35" t="s">
        <v>6</v>
      </c>
      <c r="H1" s="35" t="s">
        <v>7</v>
      </c>
      <c r="I1" s="35" t="s">
        <v>8</v>
      </c>
      <c r="J1" s="34" t="s">
        <v>9</v>
      </c>
      <c r="K1" s="34" t="s">
        <v>10</v>
      </c>
      <c r="L1" s="34" t="s">
        <v>70</v>
      </c>
      <c r="M1" s="34" t="s">
        <v>71</v>
      </c>
      <c r="O1" s="1" t="s">
        <v>13</v>
      </c>
      <c r="P1" s="1" t="s">
        <v>14</v>
      </c>
      <c r="Q1" s="1" t="s">
        <v>15</v>
      </c>
      <c r="R1" s="1" t="s">
        <v>16</v>
      </c>
      <c r="S1" s="1" t="s">
        <v>17</v>
      </c>
      <c r="T1" s="1"/>
      <c r="U1" s="1"/>
      <c r="V1" s="1"/>
      <c r="W1" s="1"/>
      <c r="X1" s="1"/>
    </row>
    <row r="2" spans="1:24" ht="30">
      <c r="A2" s="25">
        <v>122659</v>
      </c>
      <c r="B2" s="4" t="s">
        <v>22</v>
      </c>
      <c r="C2" s="5" t="s">
        <v>23</v>
      </c>
      <c r="D2" s="23">
        <v>149000</v>
      </c>
      <c r="E2" s="43" t="s">
        <v>24</v>
      </c>
      <c r="F2" s="3" t="s">
        <v>25</v>
      </c>
      <c r="G2" s="2">
        <v>0</v>
      </c>
      <c r="H2" s="3">
        <v>1500</v>
      </c>
      <c r="I2" s="2" t="s">
        <v>72</v>
      </c>
      <c r="J2" s="3" t="s">
        <v>28</v>
      </c>
      <c r="K2" s="42">
        <v>0.5</v>
      </c>
      <c r="L2" s="4" t="s">
        <v>29</v>
      </c>
      <c r="M2" s="4"/>
      <c r="O2" t="s">
        <v>45</v>
      </c>
      <c r="P2" t="s">
        <v>73</v>
      </c>
    </row>
    <row r="3" spans="1:24" ht="60">
      <c r="A3" s="72">
        <v>122627</v>
      </c>
      <c r="B3" s="71" t="s">
        <v>33</v>
      </c>
      <c r="C3" s="70"/>
      <c r="D3" s="68">
        <v>922000</v>
      </c>
      <c r="E3" s="52" t="s">
        <v>73</v>
      </c>
      <c r="F3" s="6" t="s">
        <v>74</v>
      </c>
      <c r="G3" s="4">
        <v>0</v>
      </c>
      <c r="H3" s="6">
        <v>1500</v>
      </c>
      <c r="I3" s="73" t="s">
        <v>36</v>
      </c>
      <c r="J3" s="69" t="s">
        <v>37</v>
      </c>
      <c r="K3" s="42">
        <v>0.5</v>
      </c>
      <c r="L3" s="64"/>
      <c r="M3" s="16"/>
      <c r="O3" t="s">
        <v>45</v>
      </c>
      <c r="P3" t="s">
        <v>73</v>
      </c>
    </row>
    <row r="4" spans="1:24" ht="135">
      <c r="A4" s="72"/>
      <c r="B4" s="71"/>
      <c r="C4" s="70"/>
      <c r="D4" s="68"/>
      <c r="E4" s="52" t="s">
        <v>75</v>
      </c>
      <c r="F4" s="6" t="s">
        <v>76</v>
      </c>
      <c r="G4" s="4">
        <v>0</v>
      </c>
      <c r="H4" s="6">
        <v>1000</v>
      </c>
      <c r="I4" s="74"/>
      <c r="J4" s="69"/>
      <c r="K4" s="42">
        <v>0.5</v>
      </c>
      <c r="L4" s="66"/>
      <c r="M4" s="16"/>
      <c r="O4" t="s">
        <v>45</v>
      </c>
      <c r="P4" t="s">
        <v>77</v>
      </c>
    </row>
    <row r="5" spans="1:24" ht="90" customHeight="1">
      <c r="A5" s="60">
        <v>6487</v>
      </c>
      <c r="B5" s="75" t="s">
        <v>39</v>
      </c>
      <c r="C5" s="71" t="s">
        <v>78</v>
      </c>
      <c r="D5" s="68">
        <v>3092009</v>
      </c>
      <c r="E5" s="52" t="s">
        <v>79</v>
      </c>
      <c r="F5" s="6" t="s">
        <v>80</v>
      </c>
      <c r="G5" s="4">
        <v>0</v>
      </c>
      <c r="H5" s="6">
        <v>2800</v>
      </c>
      <c r="I5" s="4"/>
      <c r="J5" s="69" t="s">
        <v>81</v>
      </c>
      <c r="K5" s="42">
        <v>0.5</v>
      </c>
      <c r="L5" s="61" t="s">
        <v>44</v>
      </c>
      <c r="M5" s="16"/>
      <c r="O5" t="s">
        <v>45</v>
      </c>
      <c r="P5" t="s">
        <v>73</v>
      </c>
    </row>
    <row r="6" spans="1:24" ht="45" customHeight="1">
      <c r="A6" s="60"/>
      <c r="B6" s="75"/>
      <c r="C6" s="71"/>
      <c r="D6" s="68"/>
      <c r="E6" s="52" t="s">
        <v>82</v>
      </c>
      <c r="F6" s="4" t="s">
        <v>83</v>
      </c>
      <c r="G6" s="4">
        <v>0</v>
      </c>
      <c r="H6" s="56">
        <v>531628</v>
      </c>
      <c r="I6" s="6"/>
      <c r="J6" s="69"/>
      <c r="K6" s="4"/>
      <c r="L6" s="62"/>
      <c r="M6" s="16"/>
      <c r="O6" t="s">
        <v>45</v>
      </c>
      <c r="P6" t="s">
        <v>46</v>
      </c>
    </row>
    <row r="7" spans="1:24" s="48" customFormat="1" ht="90" customHeight="1">
      <c r="A7" s="60"/>
      <c r="B7" s="75"/>
      <c r="C7" s="71"/>
      <c r="D7" s="68"/>
      <c r="E7" s="52" t="s">
        <v>79</v>
      </c>
      <c r="F7" s="6" t="s">
        <v>84</v>
      </c>
      <c r="G7" s="4">
        <v>0</v>
      </c>
      <c r="H7" s="4"/>
      <c r="I7" s="57">
        <v>106787</v>
      </c>
      <c r="J7" s="69"/>
      <c r="K7" s="4"/>
      <c r="L7" s="63"/>
      <c r="M7" s="50"/>
      <c r="N7"/>
      <c r="O7" t="s">
        <v>45</v>
      </c>
      <c r="P7" t="s">
        <v>46</v>
      </c>
      <c r="Q7"/>
      <c r="R7"/>
      <c r="S7"/>
    </row>
    <row r="8" spans="1:24" ht="45">
      <c r="A8" s="67" t="s">
        <v>85</v>
      </c>
      <c r="B8" s="69" t="s">
        <v>49</v>
      </c>
      <c r="C8" s="70"/>
      <c r="D8" s="68">
        <v>4250000</v>
      </c>
      <c r="E8" s="52" t="s">
        <v>73</v>
      </c>
      <c r="F8" s="6" t="s">
        <v>86</v>
      </c>
      <c r="G8" s="4">
        <v>0</v>
      </c>
      <c r="H8" s="6">
        <v>400</v>
      </c>
      <c r="I8" s="6" t="s">
        <v>87</v>
      </c>
      <c r="J8" s="71" t="s">
        <v>54</v>
      </c>
      <c r="K8" s="42">
        <v>0.3</v>
      </c>
      <c r="L8" s="64"/>
      <c r="M8" s="16"/>
      <c r="O8" t="s">
        <v>45</v>
      </c>
      <c r="P8" t="s">
        <v>73</v>
      </c>
    </row>
    <row r="9" spans="1:24" ht="30">
      <c r="A9" s="67"/>
      <c r="B9" s="69"/>
      <c r="C9" s="70"/>
      <c r="D9" s="68"/>
      <c r="E9" s="52" t="s">
        <v>88</v>
      </c>
      <c r="F9" s="37" t="s">
        <v>89</v>
      </c>
      <c r="G9" s="4">
        <v>0</v>
      </c>
      <c r="H9" s="6">
        <v>4</v>
      </c>
      <c r="I9" s="6"/>
      <c r="J9" s="71"/>
      <c r="K9" s="4"/>
      <c r="L9" s="65"/>
      <c r="M9" s="16"/>
      <c r="O9" t="s">
        <v>45</v>
      </c>
      <c r="P9" t="s">
        <v>77</v>
      </c>
    </row>
    <row r="10" spans="1:24" ht="30">
      <c r="A10" s="67"/>
      <c r="B10" s="69"/>
      <c r="C10" s="70"/>
      <c r="D10" s="68"/>
      <c r="E10" s="52" t="s">
        <v>88</v>
      </c>
      <c r="F10" s="38" t="s">
        <v>90</v>
      </c>
      <c r="G10" s="4">
        <v>0</v>
      </c>
      <c r="H10" s="6"/>
      <c r="I10" s="6"/>
      <c r="J10" s="71"/>
      <c r="K10" s="4"/>
      <c r="L10" s="65"/>
      <c r="M10" s="16"/>
    </row>
    <row r="11" spans="1:24" ht="60">
      <c r="A11" s="60"/>
      <c r="B11" s="69"/>
      <c r="C11" s="70"/>
      <c r="D11" s="68"/>
      <c r="E11" s="52" t="s">
        <v>91</v>
      </c>
      <c r="F11" s="6" t="s">
        <v>92</v>
      </c>
      <c r="G11" s="4">
        <v>0</v>
      </c>
      <c r="H11" s="4">
        <v>10</v>
      </c>
      <c r="I11" s="6"/>
      <c r="J11" s="71"/>
      <c r="K11" s="4"/>
      <c r="L11" s="65"/>
      <c r="M11" s="16"/>
      <c r="O11" t="s">
        <v>45</v>
      </c>
      <c r="P11" t="s">
        <v>46</v>
      </c>
    </row>
    <row r="12" spans="1:24" ht="75" customHeight="1">
      <c r="A12" s="60"/>
      <c r="B12" s="69"/>
      <c r="C12" s="70"/>
      <c r="D12" s="68"/>
      <c r="E12" s="52" t="s">
        <v>75</v>
      </c>
      <c r="F12" s="6" t="s">
        <v>93</v>
      </c>
      <c r="G12" s="4">
        <v>0</v>
      </c>
      <c r="H12" s="44">
        <v>55000</v>
      </c>
      <c r="I12" s="6"/>
      <c r="J12" s="71"/>
      <c r="K12" s="42">
        <v>0.3</v>
      </c>
      <c r="L12" s="65"/>
      <c r="M12" s="16"/>
      <c r="O12" t="s">
        <v>45</v>
      </c>
      <c r="P12" t="s">
        <v>46</v>
      </c>
    </row>
    <row r="13" spans="1:24" ht="90">
      <c r="A13" s="60"/>
      <c r="B13" s="69"/>
      <c r="C13" s="70"/>
      <c r="D13" s="68"/>
      <c r="E13" s="52" t="s">
        <v>75</v>
      </c>
      <c r="F13" s="6" t="s">
        <v>94</v>
      </c>
      <c r="G13" s="4"/>
      <c r="H13" s="6">
        <v>5</v>
      </c>
      <c r="I13" s="4"/>
      <c r="J13" s="71"/>
      <c r="K13" s="42">
        <v>0.3</v>
      </c>
      <c r="L13" s="65"/>
      <c r="M13" s="16"/>
      <c r="O13" t="s">
        <v>45</v>
      </c>
      <c r="P13" t="s">
        <v>46</v>
      </c>
    </row>
    <row r="14" spans="1:24" ht="90" customHeight="1">
      <c r="A14" s="60"/>
      <c r="B14" s="69"/>
      <c r="C14" s="70"/>
      <c r="D14" s="68"/>
      <c r="E14" s="52" t="s">
        <v>95</v>
      </c>
      <c r="F14" s="6" t="s">
        <v>96</v>
      </c>
      <c r="G14" s="4">
        <v>0</v>
      </c>
      <c r="H14" s="4">
        <v>120</v>
      </c>
      <c r="I14" s="4"/>
      <c r="J14" s="71"/>
      <c r="K14" s="42">
        <v>0.1</v>
      </c>
      <c r="L14" s="66"/>
      <c r="M14" s="16"/>
      <c r="O14" t="s">
        <v>45</v>
      </c>
      <c r="P14" t="s">
        <v>46</v>
      </c>
    </row>
    <row r="15" spans="1:24" ht="75">
      <c r="A15" s="36">
        <v>125754</v>
      </c>
      <c r="B15" s="32" t="s">
        <v>55</v>
      </c>
      <c r="C15" s="4"/>
      <c r="D15" s="23">
        <v>55000</v>
      </c>
      <c r="E15" s="52" t="s">
        <v>95</v>
      </c>
      <c r="F15" s="6" t="s">
        <v>57</v>
      </c>
      <c r="G15" s="4">
        <v>0</v>
      </c>
      <c r="H15" s="37">
        <v>200</v>
      </c>
      <c r="I15" s="39" t="s">
        <v>58</v>
      </c>
      <c r="J15" s="37" t="s">
        <v>59</v>
      </c>
      <c r="K15" s="42">
        <v>0.5</v>
      </c>
      <c r="L15" s="33" t="s">
        <v>29</v>
      </c>
      <c r="M15" s="16"/>
      <c r="O15" t="s">
        <v>45</v>
      </c>
      <c r="P15" t="s">
        <v>46</v>
      </c>
    </row>
    <row r="16" spans="1:24" ht="30" customHeight="1">
      <c r="A16" s="67" t="s">
        <v>97</v>
      </c>
      <c r="B16" s="60" t="s">
        <v>60</v>
      </c>
      <c r="C16" s="60"/>
      <c r="D16" s="68">
        <v>11182694</v>
      </c>
      <c r="E16" s="53" t="s">
        <v>73</v>
      </c>
      <c r="F16" s="37" t="s">
        <v>98</v>
      </c>
      <c r="G16" s="4">
        <v>0</v>
      </c>
      <c r="H16" s="33">
        <v>4449727</v>
      </c>
      <c r="I16" s="60" t="s">
        <v>65</v>
      </c>
      <c r="J16" s="60" t="s">
        <v>54</v>
      </c>
      <c r="K16" s="4"/>
      <c r="L16" s="64"/>
      <c r="M16" s="16"/>
      <c r="O16" t="s">
        <v>45</v>
      </c>
      <c r="P16" t="s">
        <v>73</v>
      </c>
    </row>
    <row r="17" spans="1:19" ht="30">
      <c r="A17" s="67"/>
      <c r="B17" s="60"/>
      <c r="C17" s="60"/>
      <c r="D17" s="68"/>
      <c r="E17" s="53" t="s">
        <v>88</v>
      </c>
      <c r="F17" s="37" t="s">
        <v>89</v>
      </c>
      <c r="G17" s="4">
        <v>0</v>
      </c>
      <c r="H17" s="33">
        <v>8</v>
      </c>
      <c r="I17" s="60"/>
      <c r="J17" s="60"/>
      <c r="K17" s="4"/>
      <c r="L17" s="65"/>
      <c r="M17" s="16"/>
      <c r="O17" t="s">
        <v>45</v>
      </c>
      <c r="P17" t="s">
        <v>73</v>
      </c>
    </row>
    <row r="18" spans="1:19" ht="30">
      <c r="A18" s="67"/>
      <c r="B18" s="60"/>
      <c r="C18" s="60"/>
      <c r="D18" s="68"/>
      <c r="E18" s="53" t="s">
        <v>88</v>
      </c>
      <c r="F18" s="38" t="s">
        <v>90</v>
      </c>
      <c r="G18" s="41">
        <v>0</v>
      </c>
      <c r="H18" s="40"/>
      <c r="I18" s="60"/>
      <c r="J18" s="60"/>
      <c r="K18" s="4"/>
      <c r="L18" s="65"/>
      <c r="M18" s="16"/>
      <c r="O18" t="s">
        <v>45</v>
      </c>
      <c r="P18" t="s">
        <v>73</v>
      </c>
    </row>
    <row r="19" spans="1:19" s="48" customFormat="1" ht="30">
      <c r="A19" s="67"/>
      <c r="B19" s="60"/>
      <c r="C19" s="60"/>
      <c r="D19" s="68"/>
      <c r="E19" s="54" t="s">
        <v>99</v>
      </c>
      <c r="F19" s="46" t="s">
        <v>100</v>
      </c>
      <c r="G19" s="47">
        <v>0</v>
      </c>
      <c r="H19" s="45">
        <v>65</v>
      </c>
      <c r="I19" s="60"/>
      <c r="J19" s="60"/>
      <c r="K19" s="47"/>
      <c r="L19" s="65"/>
      <c r="M19" s="49"/>
      <c r="O19" t="s">
        <v>45</v>
      </c>
      <c r="P19" t="s">
        <v>73</v>
      </c>
      <c r="Q19"/>
      <c r="R19"/>
      <c r="S19"/>
    </row>
    <row r="20" spans="1:19" s="48" customFormat="1" ht="30">
      <c r="A20" s="67"/>
      <c r="B20" s="60"/>
      <c r="C20" s="60"/>
      <c r="D20" s="68"/>
      <c r="E20" s="54" t="s">
        <v>101</v>
      </c>
      <c r="F20" s="46" t="s">
        <v>102</v>
      </c>
      <c r="G20" s="47">
        <v>0</v>
      </c>
      <c r="H20" s="45">
        <v>42</v>
      </c>
      <c r="I20" s="60"/>
      <c r="J20" s="60"/>
      <c r="K20" s="47"/>
      <c r="L20" s="65"/>
      <c r="M20" s="49"/>
      <c r="O20" t="s">
        <v>45</v>
      </c>
      <c r="P20" t="s">
        <v>73</v>
      </c>
      <c r="Q20"/>
      <c r="R20"/>
      <c r="S20"/>
    </row>
    <row r="21" spans="1:19" s="48" customFormat="1" ht="30">
      <c r="A21" s="67"/>
      <c r="B21" s="60"/>
      <c r="C21" s="60"/>
      <c r="D21" s="68"/>
      <c r="E21" s="54" t="s">
        <v>24</v>
      </c>
      <c r="F21" s="46" t="s">
        <v>103</v>
      </c>
      <c r="G21" s="47">
        <v>0</v>
      </c>
      <c r="H21" s="45">
        <v>17</v>
      </c>
      <c r="I21" s="60"/>
      <c r="J21" s="60"/>
      <c r="K21" s="47"/>
      <c r="L21" s="65"/>
      <c r="M21" s="49"/>
      <c r="O21" t="s">
        <v>45</v>
      </c>
      <c r="P21" t="s">
        <v>73</v>
      </c>
      <c r="Q21"/>
      <c r="R21"/>
      <c r="S21"/>
    </row>
    <row r="22" spans="1:19" s="48" customFormat="1" ht="30">
      <c r="A22" s="67"/>
      <c r="B22" s="60"/>
      <c r="C22" s="60"/>
      <c r="D22" s="68"/>
      <c r="E22" s="54" t="s">
        <v>104</v>
      </c>
      <c r="F22" s="46" t="s">
        <v>105</v>
      </c>
      <c r="G22" s="47">
        <v>0</v>
      </c>
      <c r="H22" s="45">
        <v>113</v>
      </c>
      <c r="I22" s="60"/>
      <c r="J22" s="60"/>
      <c r="K22" s="47"/>
      <c r="L22" s="65"/>
      <c r="M22" s="49"/>
      <c r="O22" t="s">
        <v>45</v>
      </c>
      <c r="P22" t="s">
        <v>73</v>
      </c>
      <c r="Q22"/>
      <c r="R22"/>
      <c r="S22"/>
    </row>
    <row r="23" spans="1:19" s="48" customFormat="1" ht="30">
      <c r="A23" s="67"/>
      <c r="B23" s="60"/>
      <c r="C23" s="60"/>
      <c r="D23" s="68"/>
      <c r="E23" s="54" t="s">
        <v>79</v>
      </c>
      <c r="F23" s="46" t="s">
        <v>106</v>
      </c>
      <c r="G23" s="47">
        <v>0</v>
      </c>
      <c r="H23" s="45">
        <v>3001</v>
      </c>
      <c r="I23" s="60"/>
      <c r="J23" s="60"/>
      <c r="K23" s="47"/>
      <c r="L23" s="66"/>
      <c r="M23" s="49"/>
      <c r="O23" t="s">
        <v>45</v>
      </c>
      <c r="P23" t="s">
        <v>73</v>
      </c>
      <c r="Q23"/>
      <c r="R23"/>
      <c r="S23"/>
    </row>
    <row r="24" spans="1:19" s="48" customFormat="1" ht="30">
      <c r="A24" s="67" t="s">
        <v>107</v>
      </c>
      <c r="B24" s="60" t="s">
        <v>66</v>
      </c>
      <c r="C24" s="60"/>
      <c r="D24" s="68">
        <v>6148000</v>
      </c>
      <c r="E24" s="54" t="s">
        <v>24</v>
      </c>
      <c r="F24" s="46" t="s">
        <v>108</v>
      </c>
      <c r="G24" s="47">
        <v>0</v>
      </c>
      <c r="H24" s="45">
        <v>100</v>
      </c>
      <c r="I24" s="47"/>
      <c r="J24" s="60" t="s">
        <v>69</v>
      </c>
      <c r="K24" s="47"/>
      <c r="L24" s="61" t="s">
        <v>29</v>
      </c>
      <c r="M24" s="49"/>
      <c r="O24" t="s">
        <v>45</v>
      </c>
      <c r="P24" t="s">
        <v>73</v>
      </c>
      <c r="Q24"/>
      <c r="R24"/>
      <c r="S24"/>
    </row>
    <row r="25" spans="1:19" s="48" customFormat="1" ht="30">
      <c r="A25" s="67"/>
      <c r="B25" s="60"/>
      <c r="C25" s="60"/>
      <c r="D25" s="68"/>
      <c r="E25" s="54" t="s">
        <v>104</v>
      </c>
      <c r="F25" s="46" t="s">
        <v>105</v>
      </c>
      <c r="G25" s="47">
        <v>0</v>
      </c>
      <c r="H25" s="45">
        <v>1000</v>
      </c>
      <c r="I25" s="47"/>
      <c r="J25" s="60"/>
      <c r="K25" s="47"/>
      <c r="L25" s="62"/>
      <c r="M25" s="49"/>
      <c r="O25" t="s">
        <v>45</v>
      </c>
      <c r="P25" t="s">
        <v>73</v>
      </c>
      <c r="Q25"/>
      <c r="R25"/>
      <c r="S25"/>
    </row>
    <row r="26" spans="1:19" ht="30">
      <c r="A26" s="67"/>
      <c r="B26" s="60"/>
      <c r="C26" s="60"/>
      <c r="D26" s="68"/>
      <c r="E26" s="53" t="s">
        <v>88</v>
      </c>
      <c r="F26" s="37" t="s">
        <v>89</v>
      </c>
      <c r="G26" s="4">
        <v>0</v>
      </c>
      <c r="H26" s="33">
        <v>2</v>
      </c>
      <c r="I26" s="4"/>
      <c r="J26" s="60"/>
      <c r="K26" s="4"/>
      <c r="L26" s="62"/>
      <c r="M26" s="50"/>
      <c r="O26" t="s">
        <v>45</v>
      </c>
      <c r="P26" t="s">
        <v>77</v>
      </c>
    </row>
    <row r="27" spans="1:19">
      <c r="A27" s="67"/>
      <c r="B27" s="60"/>
      <c r="C27" s="60"/>
      <c r="D27" s="68"/>
      <c r="E27" s="53"/>
      <c r="F27" s="38" t="s">
        <v>109</v>
      </c>
      <c r="G27" s="4">
        <v>0</v>
      </c>
      <c r="H27" s="33">
        <v>0.4</v>
      </c>
      <c r="I27" s="4"/>
      <c r="J27" s="60"/>
      <c r="K27" s="4"/>
      <c r="L27" s="62"/>
      <c r="M27" s="50"/>
      <c r="O27" t="s">
        <v>45</v>
      </c>
      <c r="P27" t="s">
        <v>77</v>
      </c>
    </row>
    <row r="28" spans="1:19" s="48" customFormat="1" ht="30">
      <c r="A28" s="67"/>
      <c r="B28" s="60"/>
      <c r="C28" s="60"/>
      <c r="D28" s="68"/>
      <c r="E28" s="54" t="s">
        <v>79</v>
      </c>
      <c r="F28" s="46" t="s">
        <v>106</v>
      </c>
      <c r="G28" s="47">
        <v>0</v>
      </c>
      <c r="H28" s="45">
        <v>10000</v>
      </c>
      <c r="I28" s="47"/>
      <c r="J28" s="60"/>
      <c r="K28" s="47"/>
      <c r="L28" s="63"/>
      <c r="M28" s="49"/>
      <c r="O28" t="s">
        <v>45</v>
      </c>
      <c r="P28" t="s">
        <v>73</v>
      </c>
      <c r="Q28"/>
      <c r="R28"/>
      <c r="S28"/>
    </row>
    <row r="30" spans="1:19">
      <c r="B30" s="28"/>
    </row>
  </sheetData>
  <mergeCells count="32">
    <mergeCell ref="A5:A7"/>
    <mergeCell ref="B5:B7"/>
    <mergeCell ref="C5:C7"/>
    <mergeCell ref="D5:D7"/>
    <mergeCell ref="J5:J7"/>
    <mergeCell ref="A3:A4"/>
    <mergeCell ref="B3:B4"/>
    <mergeCell ref="C3:C4"/>
    <mergeCell ref="D3:D4"/>
    <mergeCell ref="J3:J4"/>
    <mergeCell ref="I3:I4"/>
    <mergeCell ref="A16:A23"/>
    <mergeCell ref="B16:B23"/>
    <mergeCell ref="C16:C23"/>
    <mergeCell ref="D16:D23"/>
    <mergeCell ref="I16:I23"/>
    <mergeCell ref="A8:A14"/>
    <mergeCell ref="B8:B14"/>
    <mergeCell ref="C8:C14"/>
    <mergeCell ref="D8:D14"/>
    <mergeCell ref="J8:J14"/>
    <mergeCell ref="A24:A28"/>
    <mergeCell ref="B24:B28"/>
    <mergeCell ref="C24:C28"/>
    <mergeCell ref="D24:D28"/>
    <mergeCell ref="J24:J28"/>
    <mergeCell ref="J16:J23"/>
    <mergeCell ref="L24:L28"/>
    <mergeCell ref="L16:L23"/>
    <mergeCell ref="L3:L4"/>
    <mergeCell ref="L5:L7"/>
    <mergeCell ref="L8:L14"/>
  </mergeCells>
  <dataValidations count="6">
    <dataValidation allowBlank="1" showInputMessage="1" showErrorMessage="1" sqref="E1:E1048576" xr:uid="{4508A1F8-96DE-41B3-8189-7C0C3128B039}"/>
    <dataValidation type="list" allowBlank="1" showInputMessage="1" showErrorMessage="1" sqref="O2:O28" xr:uid="{9AD95AC3-C8B3-4F05-B858-E57EDA7AA16A}">
      <formula1>"Accelerating just energy transition, Close the gap on energy access, Scale up energy finance"</formula1>
    </dataValidation>
    <dataValidation type="list" allowBlank="1" showInputMessage="1" showErrorMessage="1" sqref="P2:P28" xr:uid="{356E5D54-C87B-4D64-83F7-20B75EB40A16}">
      <formula1>"Electricity Access, Energy Efficiency, Clean Cooking, Renewable Energy"</formula1>
    </dataValidation>
    <dataValidation type="list" allowBlank="1" showInputMessage="1" showErrorMessage="1" sqref="Q2:Q28" xr:uid="{DCD8C0E9-818B-4603-B5CA-E6A6AB635C96}">
      <formula1>"AMP, PUDC, Solar4Health, Action Opportunities, Italy UNDP Energy Partnership"</formula1>
    </dataValidation>
    <dataValidation type="list" allowBlank="1" showInputMessage="1" showErrorMessage="1" sqref="R2:R28" xr:uid="{530A7F54-CC2D-47E3-B9E3-06540CF5A435}">
      <formula1>"NDC Support, National Strategy, Legal Framework,Incentives and Support, Government Capacity-Building, Carbon Pricing and Monitoring, Financing Model, Business Model"</formula1>
    </dataValidation>
    <dataValidation type="list" allowBlank="1" showInputMessage="1" showErrorMessage="1" sqref="S2:S28" xr:uid="{ED8F5AC2-8900-47F4-8A4E-51A0690C4D29}">
      <formula1>"Electricity Access, Energy Efficiency, Renewable EnergyEnergy Infrastructure,   Transport, Digital &amp; Data, Clean Cooking, Decarbonization, Hydrogen, Off-Grid, On-Grid"</formula1>
    </dataValidation>
  </dataValidations>
  <hyperlinks>
    <hyperlink ref="C2" r:id="rId1" xr:uid="{030C3523-DF6B-43DF-94D6-ED108760122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zoomScale="70" zoomScaleNormal="70" workbookViewId="0">
      <pane ySplit="1" topLeftCell="M2" activePane="bottomLeft" state="frozen"/>
      <selection pane="bottomLeft" activeCell="M2" sqref="M2"/>
      <selection activeCell="C1" sqref="C1"/>
    </sheetView>
  </sheetViews>
  <sheetFormatPr defaultRowHeight="15"/>
  <cols>
    <col min="1" max="1" width="17.85546875" customWidth="1"/>
    <col min="2" max="2" width="62.85546875" customWidth="1"/>
    <col min="3" max="3" width="20.7109375" customWidth="1"/>
    <col min="4" max="4" width="19" customWidth="1"/>
    <col min="5" max="6" width="20.7109375" customWidth="1"/>
    <col min="7" max="7" width="12.7109375" customWidth="1"/>
    <col min="8" max="8" width="28.140625" customWidth="1"/>
    <col min="9" max="9" width="32.7109375" customWidth="1"/>
    <col min="10" max="10" width="11.140625" bestFit="1" customWidth="1"/>
  </cols>
  <sheetData>
    <row r="1" spans="1:14">
      <c r="A1" s="7" t="s">
        <v>0</v>
      </c>
      <c r="B1" s="7" t="s">
        <v>1</v>
      </c>
      <c r="C1" s="7" t="s">
        <v>2</v>
      </c>
      <c r="D1" s="7" t="s">
        <v>3</v>
      </c>
      <c r="E1" s="7" t="s">
        <v>4</v>
      </c>
      <c r="F1" s="7" t="s">
        <v>5</v>
      </c>
      <c r="G1" s="7" t="s">
        <v>6</v>
      </c>
      <c r="H1" s="7" t="s">
        <v>7</v>
      </c>
      <c r="I1" s="7" t="s">
        <v>8</v>
      </c>
      <c r="J1" s="1" t="s">
        <v>9</v>
      </c>
    </row>
    <row r="2" spans="1:14" ht="30">
      <c r="A2" s="25">
        <v>122659</v>
      </c>
      <c r="B2" s="4" t="s">
        <v>22</v>
      </c>
      <c r="C2" s="5" t="s">
        <v>23</v>
      </c>
      <c r="D2" s="23">
        <v>149000</v>
      </c>
      <c r="E2" s="2" t="s">
        <v>24</v>
      </c>
      <c r="F2" s="3" t="s">
        <v>25</v>
      </c>
      <c r="G2" s="2">
        <v>0</v>
      </c>
      <c r="H2" s="3" t="s">
        <v>110</v>
      </c>
      <c r="I2" s="12" t="s">
        <v>72</v>
      </c>
      <c r="J2" s="14" t="s">
        <v>28</v>
      </c>
    </row>
    <row r="3" spans="1:14" ht="60">
      <c r="A3" s="79">
        <v>122627</v>
      </c>
      <c r="B3" s="71" t="s">
        <v>33</v>
      </c>
      <c r="C3" s="70"/>
      <c r="D3" s="83">
        <v>922000</v>
      </c>
      <c r="E3" s="4" t="s">
        <v>73</v>
      </c>
      <c r="F3" s="6" t="s">
        <v>74</v>
      </c>
      <c r="G3" s="4">
        <v>0</v>
      </c>
      <c r="H3" s="6" t="s">
        <v>110</v>
      </c>
      <c r="I3" s="8" t="s">
        <v>36</v>
      </c>
      <c r="J3" s="93" t="s">
        <v>37</v>
      </c>
    </row>
    <row r="4" spans="1:14" ht="135">
      <c r="A4" s="80"/>
      <c r="B4" s="71"/>
      <c r="C4" s="70"/>
      <c r="D4" s="85"/>
      <c r="E4" s="4" t="s">
        <v>75</v>
      </c>
      <c r="F4" s="6" t="s">
        <v>76</v>
      </c>
      <c r="G4" s="4">
        <v>0</v>
      </c>
      <c r="H4" s="6" t="s">
        <v>111</v>
      </c>
      <c r="I4" s="18" t="s">
        <v>112</v>
      </c>
      <c r="J4" s="93"/>
    </row>
    <row r="5" spans="1:14" ht="90" customHeight="1">
      <c r="A5" s="61">
        <v>6487</v>
      </c>
      <c r="B5" s="87" t="s">
        <v>39</v>
      </c>
      <c r="C5" s="90" t="s">
        <v>78</v>
      </c>
      <c r="D5" s="83">
        <v>3092009</v>
      </c>
      <c r="E5" s="2" t="s">
        <v>79</v>
      </c>
      <c r="F5" s="3" t="s">
        <v>80</v>
      </c>
      <c r="G5" s="2">
        <v>0</v>
      </c>
      <c r="H5" s="3" t="s">
        <v>113</v>
      </c>
      <c r="I5" s="12"/>
      <c r="J5" s="94" t="s">
        <v>81</v>
      </c>
    </row>
    <row r="6" spans="1:14" ht="45" customHeight="1">
      <c r="A6" s="62"/>
      <c r="B6" s="88"/>
      <c r="C6" s="91"/>
      <c r="D6" s="84"/>
      <c r="E6" s="2" t="s">
        <v>114</v>
      </c>
      <c r="F6" s="2" t="s">
        <v>115</v>
      </c>
      <c r="G6" s="2">
        <v>0</v>
      </c>
      <c r="H6" s="2"/>
      <c r="I6" s="13" t="s">
        <v>116</v>
      </c>
      <c r="J6" s="94"/>
    </row>
    <row r="7" spans="1:14" ht="90" customHeight="1">
      <c r="A7" s="63"/>
      <c r="B7" s="89"/>
      <c r="C7" s="92"/>
      <c r="D7" s="85"/>
      <c r="E7" s="2" t="s">
        <v>114</v>
      </c>
      <c r="F7" s="3" t="s">
        <v>117</v>
      </c>
      <c r="G7" s="2">
        <v>0</v>
      </c>
      <c r="H7" s="2"/>
      <c r="I7" s="13" t="s">
        <v>118</v>
      </c>
      <c r="J7" s="94"/>
    </row>
    <row r="8" spans="1:14" ht="45">
      <c r="A8" s="81" t="s">
        <v>85</v>
      </c>
      <c r="B8" s="69" t="s">
        <v>49</v>
      </c>
      <c r="C8" s="64"/>
      <c r="D8" s="83">
        <v>4250000</v>
      </c>
      <c r="E8" s="4" t="s">
        <v>73</v>
      </c>
      <c r="F8" s="6" t="s">
        <v>86</v>
      </c>
      <c r="G8" s="4">
        <v>0</v>
      </c>
      <c r="H8" s="6" t="s">
        <v>119</v>
      </c>
      <c r="I8" s="8" t="s">
        <v>87</v>
      </c>
      <c r="J8" s="95" t="s">
        <v>54</v>
      </c>
    </row>
    <row r="9" spans="1:14" ht="30">
      <c r="A9" s="82"/>
      <c r="B9" s="69"/>
      <c r="C9" s="65"/>
      <c r="D9" s="84"/>
      <c r="E9" s="4" t="s">
        <v>88</v>
      </c>
      <c r="F9" s="22" t="s">
        <v>89</v>
      </c>
      <c r="G9" s="4">
        <v>0</v>
      </c>
      <c r="H9" s="6">
        <v>4</v>
      </c>
      <c r="I9" s="8"/>
      <c r="J9" s="95"/>
    </row>
    <row r="10" spans="1:14" ht="30">
      <c r="A10" s="82"/>
      <c r="B10" s="69"/>
      <c r="C10" s="65"/>
      <c r="D10" s="84"/>
      <c r="E10" s="4" t="s">
        <v>114</v>
      </c>
      <c r="F10" s="30" t="s">
        <v>90</v>
      </c>
      <c r="G10" s="4">
        <v>0</v>
      </c>
      <c r="H10" s="6">
        <f>1600*H9</f>
        <v>6400</v>
      </c>
      <c r="I10" s="8"/>
      <c r="J10" s="95"/>
    </row>
    <row r="11" spans="1:14" ht="60">
      <c r="A11" s="62"/>
      <c r="B11" s="69"/>
      <c r="C11" s="65"/>
      <c r="D11" s="84"/>
      <c r="E11" s="4" t="s">
        <v>91</v>
      </c>
      <c r="F11" s="6" t="s">
        <v>92</v>
      </c>
      <c r="G11" s="4">
        <v>0</v>
      </c>
      <c r="H11" s="4">
        <v>10</v>
      </c>
      <c r="I11" s="8"/>
      <c r="J11" s="95"/>
      <c r="L11" t="s">
        <v>120</v>
      </c>
      <c r="M11">
        <f>SUM(H9+H17+H26)</f>
        <v>14</v>
      </c>
      <c r="N11">
        <f>M11*1600</f>
        <v>22400</v>
      </c>
    </row>
    <row r="12" spans="1:14" ht="75">
      <c r="A12" s="62"/>
      <c r="B12" s="69"/>
      <c r="C12" s="65"/>
      <c r="D12" s="84"/>
      <c r="E12" s="4" t="s">
        <v>75</v>
      </c>
      <c r="F12" s="6" t="s">
        <v>93</v>
      </c>
      <c r="G12" s="4">
        <v>0</v>
      </c>
      <c r="H12" s="4" t="s">
        <v>121</v>
      </c>
      <c r="I12" s="15"/>
      <c r="J12" s="95"/>
      <c r="L12" t="s">
        <v>122</v>
      </c>
      <c r="M12">
        <f>SUM(H10+H18+H27)</f>
        <v>22400</v>
      </c>
    </row>
    <row r="13" spans="1:14" ht="75">
      <c r="A13" s="62"/>
      <c r="B13" s="69"/>
      <c r="C13" s="65"/>
      <c r="D13" s="84"/>
      <c r="E13" s="4" t="s">
        <v>75</v>
      </c>
      <c r="F13" s="6" t="s">
        <v>123</v>
      </c>
      <c r="G13" s="4"/>
      <c r="H13" s="8" t="s">
        <v>124</v>
      </c>
      <c r="I13" s="16"/>
      <c r="J13" s="95"/>
    </row>
    <row r="14" spans="1:14" ht="90">
      <c r="A14" s="62"/>
      <c r="B14" s="86"/>
      <c r="C14" s="65"/>
      <c r="D14" s="85"/>
      <c r="E14" s="10" t="s">
        <v>95</v>
      </c>
      <c r="F14" s="9" t="s">
        <v>96</v>
      </c>
      <c r="G14" s="10">
        <v>0</v>
      </c>
      <c r="H14" s="10" t="s">
        <v>125</v>
      </c>
      <c r="I14" s="17"/>
      <c r="J14" s="95"/>
    </row>
    <row r="15" spans="1:14" ht="75">
      <c r="A15" s="26">
        <v>125754</v>
      </c>
      <c r="B15" s="11" t="s">
        <v>55</v>
      </c>
      <c r="C15" s="10"/>
      <c r="D15" s="24">
        <v>55000</v>
      </c>
      <c r="E15" s="10" t="s">
        <v>95</v>
      </c>
      <c r="F15" s="9" t="s">
        <v>57</v>
      </c>
      <c r="G15" s="10">
        <v>0</v>
      </c>
      <c r="H15" s="19" t="s">
        <v>126</v>
      </c>
      <c r="I15" s="27" t="s">
        <v>58</v>
      </c>
      <c r="J15" s="22" t="s">
        <v>59</v>
      </c>
    </row>
    <row r="16" spans="1:14" ht="30">
      <c r="A16" s="98" t="s">
        <v>97</v>
      </c>
      <c r="B16" s="96" t="s">
        <v>60</v>
      </c>
      <c r="C16" s="96"/>
      <c r="D16" s="97">
        <v>11182694</v>
      </c>
      <c r="E16" s="21" t="s">
        <v>73</v>
      </c>
      <c r="F16" s="22" t="s">
        <v>98</v>
      </c>
      <c r="G16" s="20">
        <v>0</v>
      </c>
      <c r="H16" s="21">
        <v>4449727</v>
      </c>
      <c r="I16" s="76" t="s">
        <v>65</v>
      </c>
      <c r="J16" s="76" t="s">
        <v>54</v>
      </c>
    </row>
    <row r="17" spans="1:10" ht="30">
      <c r="A17" s="98"/>
      <c r="B17" s="96"/>
      <c r="C17" s="96"/>
      <c r="D17" s="97"/>
      <c r="E17" s="21" t="s">
        <v>88</v>
      </c>
      <c r="F17" s="22" t="s">
        <v>89</v>
      </c>
      <c r="G17" s="20">
        <v>0</v>
      </c>
      <c r="H17" s="21">
        <v>8</v>
      </c>
      <c r="I17" s="77"/>
      <c r="J17" s="77"/>
    </row>
    <row r="18" spans="1:10" ht="30">
      <c r="A18" s="98"/>
      <c r="B18" s="96"/>
      <c r="C18" s="96"/>
      <c r="D18" s="97"/>
      <c r="E18" s="29" t="s">
        <v>114</v>
      </c>
      <c r="F18" s="30" t="s">
        <v>90</v>
      </c>
      <c r="G18" s="31">
        <v>0</v>
      </c>
      <c r="H18" s="29">
        <f>H17*1600</f>
        <v>12800</v>
      </c>
      <c r="I18" s="77"/>
      <c r="J18" s="77"/>
    </row>
    <row r="19" spans="1:10" ht="30">
      <c r="A19" s="98"/>
      <c r="B19" s="96"/>
      <c r="C19" s="96"/>
      <c r="D19" s="97"/>
      <c r="E19" s="21" t="s">
        <v>99</v>
      </c>
      <c r="F19" s="22" t="s">
        <v>100</v>
      </c>
      <c r="G19" s="20">
        <v>0</v>
      </c>
      <c r="H19" s="21">
        <v>65</v>
      </c>
      <c r="I19" s="77"/>
      <c r="J19" s="77"/>
    </row>
    <row r="20" spans="1:10" ht="30">
      <c r="A20" s="98"/>
      <c r="B20" s="96"/>
      <c r="C20" s="96"/>
      <c r="D20" s="97"/>
      <c r="E20" s="21" t="s">
        <v>101</v>
      </c>
      <c r="F20" s="22" t="s">
        <v>102</v>
      </c>
      <c r="G20" s="20">
        <v>0</v>
      </c>
      <c r="H20" s="21">
        <v>42</v>
      </c>
      <c r="I20" s="77"/>
      <c r="J20" s="77"/>
    </row>
    <row r="21" spans="1:10" ht="30">
      <c r="A21" s="98"/>
      <c r="B21" s="96"/>
      <c r="C21" s="96"/>
      <c r="D21" s="97"/>
      <c r="E21" s="21" t="s">
        <v>24</v>
      </c>
      <c r="F21" s="22" t="s">
        <v>103</v>
      </c>
      <c r="G21" s="20">
        <v>0</v>
      </c>
      <c r="H21" s="21">
        <v>17</v>
      </c>
      <c r="I21" s="77"/>
      <c r="J21" s="77"/>
    </row>
    <row r="22" spans="1:10" ht="30">
      <c r="A22" s="98"/>
      <c r="B22" s="96"/>
      <c r="C22" s="96"/>
      <c r="D22" s="97"/>
      <c r="E22" s="21" t="s">
        <v>104</v>
      </c>
      <c r="F22" s="22" t="s">
        <v>105</v>
      </c>
      <c r="G22" s="20">
        <v>0</v>
      </c>
      <c r="H22" s="21">
        <v>113</v>
      </c>
      <c r="I22" s="77"/>
      <c r="J22" s="77"/>
    </row>
    <row r="23" spans="1:10" ht="30">
      <c r="A23" s="98"/>
      <c r="B23" s="96"/>
      <c r="C23" s="96"/>
      <c r="D23" s="97"/>
      <c r="E23" s="21" t="s">
        <v>79</v>
      </c>
      <c r="F23" s="22" t="s">
        <v>106</v>
      </c>
      <c r="G23" s="20">
        <v>0</v>
      </c>
      <c r="H23" s="21">
        <v>3001</v>
      </c>
      <c r="I23" s="78"/>
      <c r="J23" s="78"/>
    </row>
    <row r="24" spans="1:10" ht="30">
      <c r="A24" s="98" t="s">
        <v>107</v>
      </c>
      <c r="B24" s="96" t="s">
        <v>66</v>
      </c>
      <c r="C24" s="96"/>
      <c r="D24" s="97">
        <v>6148000</v>
      </c>
      <c r="E24" s="21" t="s">
        <v>24</v>
      </c>
      <c r="F24" s="22" t="s">
        <v>108</v>
      </c>
      <c r="G24" s="20">
        <v>0</v>
      </c>
      <c r="H24" s="21">
        <v>100</v>
      </c>
      <c r="I24" s="20"/>
      <c r="J24" s="76" t="s">
        <v>69</v>
      </c>
    </row>
    <row r="25" spans="1:10" ht="30">
      <c r="A25" s="98"/>
      <c r="B25" s="96"/>
      <c r="C25" s="96"/>
      <c r="D25" s="97"/>
      <c r="E25" s="21" t="s">
        <v>104</v>
      </c>
      <c r="F25" s="22" t="s">
        <v>105</v>
      </c>
      <c r="G25" s="20">
        <v>0</v>
      </c>
      <c r="H25" s="21">
        <v>2</v>
      </c>
      <c r="I25" s="20"/>
      <c r="J25" s="77"/>
    </row>
    <row r="26" spans="1:10" ht="30">
      <c r="A26" s="98"/>
      <c r="B26" s="96"/>
      <c r="C26" s="96"/>
      <c r="D26" s="97"/>
      <c r="E26" s="21" t="s">
        <v>88</v>
      </c>
      <c r="F26" s="22" t="s">
        <v>89</v>
      </c>
      <c r="G26" s="20">
        <v>0</v>
      </c>
      <c r="H26" s="21">
        <v>2</v>
      </c>
      <c r="I26" s="20"/>
      <c r="J26" s="77"/>
    </row>
    <row r="27" spans="1:10" ht="30">
      <c r="A27" s="98"/>
      <c r="B27" s="96"/>
      <c r="C27" s="96"/>
      <c r="D27" s="97"/>
      <c r="E27" s="21" t="s">
        <v>114</v>
      </c>
      <c r="F27" s="30" t="s">
        <v>90</v>
      </c>
      <c r="G27" s="20">
        <v>0</v>
      </c>
      <c r="H27" s="21">
        <f>H26*1600</f>
        <v>3200</v>
      </c>
      <c r="I27" s="20"/>
      <c r="J27" s="77"/>
    </row>
    <row r="28" spans="1:10" ht="30">
      <c r="A28" s="98"/>
      <c r="B28" s="96"/>
      <c r="C28" s="96"/>
      <c r="D28" s="97"/>
      <c r="E28" s="21" t="s">
        <v>79</v>
      </c>
      <c r="F28" s="22" t="s">
        <v>106</v>
      </c>
      <c r="G28" s="20">
        <v>0</v>
      </c>
      <c r="H28" s="21">
        <v>10000</v>
      </c>
      <c r="I28" s="20"/>
      <c r="J28" s="78"/>
    </row>
    <row r="30" spans="1:10">
      <c r="B30" s="28"/>
    </row>
    <row r="31" spans="1:10">
      <c r="H31">
        <f>H27+H18+H10</f>
        <v>22400</v>
      </c>
    </row>
  </sheetData>
  <mergeCells count="26">
    <mergeCell ref="A16:A23"/>
    <mergeCell ref="D24:D28"/>
    <mergeCell ref="A24:A28"/>
    <mergeCell ref="B24:B28"/>
    <mergeCell ref="C24:C28"/>
    <mergeCell ref="J8:J14"/>
    <mergeCell ref="B16:B23"/>
    <mergeCell ref="C16:C23"/>
    <mergeCell ref="D16:D23"/>
    <mergeCell ref="J16:J23"/>
    <mergeCell ref="J24:J28"/>
    <mergeCell ref="I16:I23"/>
    <mergeCell ref="A3:A4"/>
    <mergeCell ref="A5:A7"/>
    <mergeCell ref="A8:A14"/>
    <mergeCell ref="C8:C14"/>
    <mergeCell ref="D8:D14"/>
    <mergeCell ref="B8:B14"/>
    <mergeCell ref="D3:D4"/>
    <mergeCell ref="C3:C4"/>
    <mergeCell ref="B3:B4"/>
    <mergeCell ref="B5:B7"/>
    <mergeCell ref="C5:C7"/>
    <mergeCell ref="D5:D7"/>
    <mergeCell ref="J3:J4"/>
    <mergeCell ref="J5:J7"/>
  </mergeCell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58" t="s">
        <v>4</v>
      </c>
      <c r="B1" s="58" t="s">
        <v>5</v>
      </c>
    </row>
    <row r="2" spans="1:2" ht="45">
      <c r="A2" s="121" t="s">
        <v>73</v>
      </c>
      <c r="B2" s="59" t="s">
        <v>127</v>
      </c>
    </row>
    <row r="3" spans="1:2">
      <c r="A3" s="121" t="s">
        <v>88</v>
      </c>
      <c r="B3" s="59" t="s">
        <v>128</v>
      </c>
    </row>
    <row r="4" spans="1:2" ht="45">
      <c r="A4" s="121" t="s">
        <v>129</v>
      </c>
      <c r="B4" s="59" t="s">
        <v>130</v>
      </c>
    </row>
    <row r="5" spans="1:2" ht="30">
      <c r="A5" s="121" t="s">
        <v>131</v>
      </c>
      <c r="B5" s="59" t="s">
        <v>132</v>
      </c>
    </row>
    <row r="6" spans="1:2" ht="90">
      <c r="A6" s="121" t="s">
        <v>133</v>
      </c>
      <c r="B6" s="59" t="s">
        <v>134</v>
      </c>
    </row>
    <row r="7" spans="1:2" ht="45">
      <c r="A7" s="121" t="s">
        <v>101</v>
      </c>
      <c r="B7" s="59" t="s">
        <v>135</v>
      </c>
    </row>
    <row r="8" spans="1:2" ht="45">
      <c r="A8" s="121" t="s">
        <v>24</v>
      </c>
      <c r="B8" s="59" t="s">
        <v>136</v>
      </c>
    </row>
    <row r="9" spans="1:2" ht="45">
      <c r="A9" s="121" t="s">
        <v>104</v>
      </c>
      <c r="B9" s="59" t="s">
        <v>137</v>
      </c>
    </row>
    <row r="10" spans="1:2" ht="45">
      <c r="A10" s="121" t="s">
        <v>138</v>
      </c>
      <c r="B10" s="122" t="s">
        <v>139</v>
      </c>
    </row>
    <row r="11" spans="1:2" ht="30">
      <c r="A11" s="121" t="s">
        <v>140</v>
      </c>
      <c r="B11" s="122" t="s">
        <v>141</v>
      </c>
    </row>
    <row r="12" spans="1:2" ht="45">
      <c r="A12" s="121" t="s">
        <v>142</v>
      </c>
      <c r="B12" s="59" t="s">
        <v>143</v>
      </c>
    </row>
    <row r="13" spans="1:2" ht="30">
      <c r="A13" s="121" t="s">
        <v>79</v>
      </c>
      <c r="B13" s="122" t="s">
        <v>144</v>
      </c>
    </row>
    <row r="14" spans="1:2">
      <c r="A14" s="121" t="s">
        <v>145</v>
      </c>
      <c r="B14" s="122" t="s">
        <v>146</v>
      </c>
    </row>
    <row r="15" spans="1:2" ht="30">
      <c r="A15" s="121" t="s">
        <v>147</v>
      </c>
      <c r="B15" s="122" t="s">
        <v>148</v>
      </c>
    </row>
    <row r="16" spans="1:2" ht="30">
      <c r="A16" s="121" t="s">
        <v>91</v>
      </c>
      <c r="B16" s="122" t="s">
        <v>149</v>
      </c>
    </row>
    <row r="17" spans="1:2" ht="30">
      <c r="A17" s="121" t="s">
        <v>56</v>
      </c>
      <c r="B17" s="59" t="s">
        <v>150</v>
      </c>
    </row>
    <row r="18" spans="1:2" ht="30">
      <c r="A18" s="121" t="s">
        <v>151</v>
      </c>
      <c r="B18" s="122" t="s">
        <v>152</v>
      </c>
    </row>
    <row r="19" spans="1:2" ht="75">
      <c r="A19" s="121" t="s">
        <v>153</v>
      </c>
      <c r="B19" s="122" t="s">
        <v>154</v>
      </c>
    </row>
    <row r="20" spans="1:2" ht="30">
      <c r="A20" s="121" t="s">
        <v>75</v>
      </c>
      <c r="B20" s="122" t="s">
        <v>155</v>
      </c>
    </row>
    <row r="21" spans="1:2" ht="45">
      <c r="A21" s="121" t="s">
        <v>19</v>
      </c>
      <c r="B21" s="123" t="s">
        <v>156</v>
      </c>
    </row>
    <row r="22" spans="1:2" ht="30">
      <c r="A22" s="121" t="s">
        <v>114</v>
      </c>
      <c r="B22" s="122" t="s">
        <v>157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Mamunur Rashid</DisplayName>
        <AccountId>1909</AccountId>
        <AccountType/>
      </UserInfo>
      <UserInfo>
        <DisplayName>Mohammed Faez issa Al-Attar</DisplayName>
        <AccountId>1316</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B2F36C-ED54-4CE9-938D-170704522F69}"/>
</file>

<file path=customXml/itemProps2.xml><?xml version="1.0" encoding="utf-8"?>
<ds:datastoreItem xmlns:ds="http://schemas.openxmlformats.org/officeDocument/2006/customXml" ds:itemID="{9D725300-A553-47A2-B3D8-21DC5742429F}"/>
</file>

<file path=customXml/itemProps3.xml><?xml version="1.0" encoding="utf-8"?>
<ds:datastoreItem xmlns:ds="http://schemas.openxmlformats.org/officeDocument/2006/customXml" ds:itemID="{2C2A55B5-8243-4C30-B11C-3A11F1E7EB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2023-05-05T09:33:41Z</dcterms:created>
  <dcterms:modified xsi:type="dcterms:W3CDTF">2025-10-23T11:18:27Z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