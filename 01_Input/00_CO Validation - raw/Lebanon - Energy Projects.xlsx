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257" documentId="11_E58CCD86D1F8A99D98ABBAEECE8F2A93CC89B156" xr6:coauthVersionLast="47" xr6:coauthVersionMax="47" xr10:uidLastSave="{AFE4F3A6-8F70-4965-A87E-DB812F254030}"/>
  <bookViews>
    <workbookView xWindow="240" yWindow="500" windowWidth="29660" windowHeight="165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3" l="1"/>
  <c r="T3" i="3"/>
</calcChain>
</file>

<file path=xl/sharedStrings.xml><?xml version="1.0" encoding="utf-8"?>
<sst xmlns="http://schemas.openxmlformats.org/spreadsheetml/2006/main" count="234" uniqueCount="113">
  <si>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</si>
  <si>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</si>
  <si>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</si>
  <si>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</si>
  <si>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</si>
  <si>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</si>
  <si>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</si>
  <si>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</si>
  <si>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</si>
  <si>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</si>
  <si>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</si>
  <si>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</si>
  <si>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</si>
  <si>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</si>
  <si>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</si>
  <si>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</si>
  <si>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</si>
  <si>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</si>
  <si>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</si>
  <si>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</si>
  <si>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</si>
  <si>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</si>
  <si>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Lebanon Sustainable Low-emission Transport Systems</t>
  </si>
  <si>
    <t xml:space="preserve">https://pims.undp.org/project/view?id=6468
https://www.thegef.org/projects-operations/projects/10358 </t>
  </si>
  <si>
    <t>Transportation and E-mobility Services</t>
  </si>
  <si>
    <t>Outcome Indicator 1: # direct project beneficiaries disaggregated by gender (individual people</t>
  </si>
  <si>
    <t>https://www.thegef.org/projects-operations/projects/10358</t>
  </si>
  <si>
    <t>GEF</t>
  </si>
  <si>
    <t>VF</t>
  </si>
  <si>
    <t> </t>
  </si>
  <si>
    <t>Close the gap on energy access</t>
  </si>
  <si>
    <t>Energy Efficiency</t>
  </si>
  <si>
    <t>NDC Support</t>
  </si>
  <si>
    <t>Transport</t>
  </si>
  <si>
    <t>Other</t>
  </si>
  <si>
    <t>National</t>
  </si>
  <si>
    <t>https://undp.sharepoint.com/:b:/r/sites/Docs-Project/Shared%20Documents/6468-Lb-SustTr%20120993-Prodoc_signed.pdf?csf=1&amp;web=1&amp;e=bio7Mg</t>
  </si>
  <si>
    <t>Accelerating just energy transition</t>
  </si>
  <si>
    <t>https://undp-my.sharepoint.com/:w:/g/personal/jihan_seoud_undp_org/EdCRFNHka59Ehd5I0eDb-_QBSD3Y7vTufR-j-ioHEuPD1w?e=ZAeRLg&amp;CID=9D014957-FFDB-4849-84F1-EC9AA031D3D1</t>
  </si>
  <si>
    <t>Renewable energy opportunities</t>
  </si>
  <si>
    <t>http://open.undp.org/projects/00120029</t>
  </si>
  <si>
    <t>Entrepreneurship Training</t>
  </si>
  <si>
    <t>Number of professionals &amp; stakeholders trained</t>
  </si>
  <si>
    <t>Female beneficiaries no.=6,570</t>
  </si>
  <si>
    <t>EU</t>
  </si>
  <si>
    <t>Non-VF</t>
  </si>
  <si>
    <t>Renewable Energy</t>
  </si>
  <si>
    <t>Off-Grid</t>
  </si>
  <si>
    <t>Solar</t>
  </si>
  <si>
    <t>https://undp.sharepoint.com/:b:/r/sites/Docs-Project/Shared%20Documents/00120029-PPMUNDP%20Prodoc%20CEDRO%20V%20signed%20by%20All.pdf?csf=1&amp;web=1&amp;e=AcP4et</t>
  </si>
  <si>
    <t>Tier 1</t>
  </si>
  <si>
    <t xml:space="preserve">Project 120029 seems like it doesn't have enough beneficiaries specified. The budget is over $15M, but only 230 people were listed for a training.
1.Can you please provide more information on the outputs of this project?
2. Can you please share the ammount of budget related to energy activities ? </t>
  </si>
  <si>
    <t>For the category related to entrepreneurship training, it is indeed only 230 persons that were trained but the budget for that activity was approximately $100,000 out of the total $15 million. There are other outputs of the project that you can check in the output results in the link which includes the various activities implemented within this project each year and include the installation of solar energy systems in industries, army barracks and others. Project documents send by email</t>
  </si>
  <si>
    <t>Sustainable Energy for Public Services entities, entrepreneurship and innovation– EU Support to Lebanon’s Green Agenda</t>
  </si>
  <si>
    <t>https://undp.lightning.force.com/lightning/r/Project__c/a386N000005LZYGQA4/view</t>
  </si>
  <si>
    <t>Education Services</t>
  </si>
  <si>
    <t xml:space="preserve">Tons of annual fossil fuel imports reduced </t>
  </si>
  <si>
    <t>TBD</t>
  </si>
  <si>
    <t>Female beneficiaries no.=2,500</t>
  </si>
  <si>
    <t>https://undp.sharepoint.com/:b:/r/sites/Docs-Project/Shared%20Documents/01001256-PPM20230921_Prodoc%20CEDRO6%20GreenAgenda.doc.pdf?csf=1&amp;web=1&amp;e=jBvgx9</t>
  </si>
  <si>
    <t>Improving energy security and promoting the transition to sustainable energy in Lebanon</t>
  </si>
  <si>
    <t>https://undp.lightning.force.com/lightning/r/Project__c/a386N000005LkApQAK/view</t>
  </si>
  <si>
    <t>Health Services</t>
  </si>
  <si>
    <t>Indicator 1.1.2 Energy saved from RE &amp; EE interventions per year (MWh)</t>
  </si>
  <si>
    <t>Female beneficiaries no.=1,600</t>
  </si>
  <si>
    <t>KfW</t>
  </si>
  <si>
    <t>01001708-PPMProdoc KfW RE 01001708 Final-1.doc.pdf</t>
  </si>
  <si>
    <t>Category</t>
  </si>
  <si>
    <t>Comments</t>
  </si>
  <si>
    <t>Energy Percent</t>
  </si>
  <si>
    <t>Sustainable Energy Programme</t>
  </si>
  <si>
    <t>http://open.undp.org/projects/00120030</t>
  </si>
  <si>
    <t>Other Energy Services</t>
  </si>
  <si>
    <t>Direct additional employment (person months)</t>
  </si>
  <si>
    <t>Impact Indicators</t>
  </si>
  <si>
    <t>PIMS+
https://www.thegef.org/projects-operations/projects/10358</t>
  </si>
  <si>
    <t xml:space="preserve">Project 120029 seems like it doesn't have enough beneficiaries specified. The budget is over $15M, but only 230 people were listed for a training. 
1.Can you please provide more information on the outputs of this project?
2. Can you please share the ammount of budget related to energy activities ? </t>
  </si>
  <si>
    <t>https://undp-my.sharepoint.com/:w:/g/personal/jihan_seoud_undp_org/ET_rZwCiM-NCubONnZ9oetsBcO5MJ4JrobTG48wgaYch_g?e=e5JUmD&amp;CID=3183E6F2-6D67-4323-BE6D-31996EA2705E</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</si>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</sst>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_([$$-409]* #,##0.00_);_([$$-409]* \(#,##0.00\);_([$$-409]* &quot;-&quot;??_);_(@_)"/>
  </numFmts>
  <fonts count="10">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b/>
      <sz val="11"/>
      <color rgb="FFFF0000"/>
      <name val="Calibri"/>
      <family val="2"/>
      <scheme val="minor"/>
    </font>
    <font>
      <u/>
      <sz val="11"/>
      <color theme="10"/>
      <name val="Calibri"/>
      <family val="2"/>
      <scheme val="minor"/>
    </font>
    <font>
      <sz val="11"/>
      <color rgb="FF000000"/>
      <name val="Calibri"/>
      <family val="2"/>
      <scheme val="minor"/>
    </font>
    <font>
      <sz val="11"/>
      <color rgb="FF000000"/>
      <name val="Aptos Narrow"/>
      <family val="2"/>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FFE497"/>
        <bgColor indexed="64"/>
      </patternFill>
    </fill>
    <fill>
      <patternFill patternType="solid">
        <fgColor rgb="FFFFFF00"/>
        <bgColor rgb="FF0000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63">
    <xf numFmtId="0" fontId="0" fillId="0" borderId="0" xfId="0"/>
    <xf numFmtId="0" fontId="2" fillId="0" borderId="1" xfId="0" applyFont="1" applyBorder="1" applyAlignment="1">
      <alignment horizontal="center" vertical="top"/>
    </xf>
    <xf numFmtId="0" fontId="3" fillId="0" borderId="0" xfId="1" applyFont="1" applyAlignment="1" applyProtection="1"/>
    <xf numFmtId="0" fontId="0" fillId="2" borderId="0" xfId="0" applyFill="1"/>
    <xf numFmtId="0" fontId="3" fillId="2" borderId="0" xfId="1" applyFont="1" applyFill="1" applyAlignment="1" applyProtection="1"/>
    <xf numFmtId="0" fontId="0" fillId="0" borderId="0" xfId="0" applyAlignment="1">
      <alignment wrapText="1"/>
    </xf>
    <xf numFmtId="0" fontId="4" fillId="0" borderId="0" xfId="0" applyFont="1" applyAlignment="1">
      <alignment wrapText="1"/>
    </xf>
    <xf numFmtId="0" fontId="0" fillId="0" borderId="0" xfId="0" applyAlignment="1">
      <alignment horizontal="center" wrapText="1"/>
    </xf>
    <xf numFmtId="0" fontId="5" fillId="0" borderId="0" xfId="1"/>
    <xf numFmtId="0" fontId="2" fillId="0" borderId="0" xfId="0" applyFont="1"/>
    <xf numFmtId="0" fontId="2" fillId="0" borderId="2" xfId="0" applyFont="1" applyBorder="1"/>
    <xf numFmtId="0" fontId="2" fillId="0" borderId="2" xfId="0" applyFont="1" applyBorder="1" applyAlignment="1">
      <alignment horizontal="center" vertical="top"/>
    </xf>
    <xf numFmtId="0" fontId="0" fillId="0" borderId="2" xfId="0" applyBorder="1"/>
    <xf numFmtId="0" fontId="3" fillId="0" borderId="2" xfId="1" applyFont="1" applyBorder="1" applyAlignment="1" applyProtection="1"/>
    <xf numFmtId="0" fontId="0" fillId="2" borderId="2" xfId="0" applyFill="1" applyBorder="1"/>
    <xf numFmtId="0" fontId="0" fillId="0" borderId="2" xfId="0" applyBorder="1" applyAlignment="1">
      <alignment wrapText="1"/>
    </xf>
    <xf numFmtId="0" fontId="3" fillId="2" borderId="2" xfId="1" applyFont="1" applyFill="1" applyBorder="1" applyAlignment="1" applyProtection="1"/>
    <xf numFmtId="0" fontId="0" fillId="0" borderId="2" xfId="0" applyBorder="1" applyAlignment="1">
      <alignment vertical="center"/>
    </xf>
    <xf numFmtId="0" fontId="0" fillId="2" borderId="2" xfId="0" applyFill="1" applyBorder="1" applyAlignment="1">
      <alignment vertical="center"/>
    </xf>
    <xf numFmtId="0" fontId="2" fillId="0" borderId="3" xfId="0" applyFont="1" applyBorder="1"/>
    <xf numFmtId="0" fontId="0" fillId="0" borderId="3" xfId="0" applyBorder="1"/>
    <xf numFmtId="0" fontId="2" fillId="0" borderId="4" xfId="0" applyFont="1" applyBorder="1"/>
    <xf numFmtId="0" fontId="0" fillId="0" borderId="4" xfId="0" applyBorder="1"/>
    <xf numFmtId="0" fontId="6" fillId="0" borderId="2" xfId="0" applyFont="1" applyBorder="1" applyAlignment="1">
      <alignment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xf numFmtId="0" fontId="0" fillId="0" borderId="0" xfId="0" applyAlignment="1">
      <alignment horizontal="left" vertical="top"/>
    </xf>
    <xf numFmtId="0" fontId="2" fillId="0" borderId="2" xfId="0" applyFont="1" applyBorder="1" applyAlignment="1">
      <alignment horizontal="left" vertical="top"/>
    </xf>
    <xf numFmtId="164" fontId="2" fillId="0" borderId="2" xfId="0" applyNumberFormat="1" applyFont="1" applyBorder="1" applyAlignment="1">
      <alignment horizontal="left" vertical="top"/>
    </xf>
    <xf numFmtId="0" fontId="2"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xf>
    <xf numFmtId="0" fontId="2" fillId="0" borderId="2" xfId="0" applyFont="1" applyBorder="1" applyAlignment="1">
      <alignment horizontal="center" vertical="top" wrapText="1"/>
    </xf>
    <xf numFmtId="0" fontId="8" fillId="0" borderId="2" xfId="0" applyFont="1" applyFill="1" applyBorder="1" applyAlignment="1">
      <alignment horizontal="left" vertical="top"/>
    </xf>
    <xf numFmtId="0" fontId="8" fillId="0" borderId="4" xfId="0" applyFont="1" applyFill="1" applyBorder="1" applyAlignment="1">
      <alignment horizontal="left" vertical="top"/>
    </xf>
    <xf numFmtId="0" fontId="8" fillId="0" borderId="4" xfId="0" applyFont="1" applyFill="1" applyBorder="1" applyAlignment="1">
      <alignment horizontal="left" vertical="top" wrapText="1"/>
    </xf>
    <xf numFmtId="8" fontId="8" fillId="0" borderId="4" xfId="0" applyNumberFormat="1" applyFont="1" applyFill="1" applyBorder="1" applyAlignment="1">
      <alignment horizontal="left" vertical="top"/>
    </xf>
    <xf numFmtId="3" fontId="8" fillId="0" borderId="4" xfId="0" applyNumberFormat="1" applyFont="1" applyFill="1" applyBorder="1" applyAlignment="1">
      <alignment horizontal="left" vertical="top"/>
    </xf>
    <xf numFmtId="0" fontId="5" fillId="0" borderId="4" xfId="1" applyFill="1" applyBorder="1" applyAlignment="1">
      <alignment horizontal="left" vertical="top"/>
    </xf>
    <xf numFmtId="9" fontId="8" fillId="0" borderId="4" xfId="0" applyNumberFormat="1" applyFont="1" applyFill="1" applyBorder="1" applyAlignment="1">
      <alignment horizontal="left" vertical="top"/>
    </xf>
    <xf numFmtId="0" fontId="8" fillId="3" borderId="4" xfId="0" applyFont="1" applyFill="1" applyBorder="1" applyAlignment="1">
      <alignment horizontal="left" vertical="top"/>
    </xf>
    <xf numFmtId="0" fontId="5" fillId="0" borderId="4" xfId="1" applyFill="1" applyBorder="1" applyAlignment="1">
      <alignment horizontal="left" vertical="top" wrapText="1"/>
    </xf>
    <xf numFmtId="0" fontId="8" fillId="0" borderId="0" xfId="0" applyFont="1" applyFill="1" applyBorder="1" applyAlignment="1">
      <alignment horizontal="left" vertical="top"/>
    </xf>
    <xf numFmtId="0" fontId="5" fillId="0" borderId="0" xfId="1" applyFill="1" applyBorder="1" applyAlignment="1">
      <alignment horizontal="left" vertical="top"/>
    </xf>
    <xf numFmtId="0" fontId="7" fillId="3" borderId="5" xfId="0" applyFont="1" applyFill="1" applyBorder="1" applyAlignment="1">
      <alignment horizontal="left" vertical="top" wrapText="1"/>
    </xf>
    <xf numFmtId="0" fontId="7" fillId="3" borderId="6" xfId="0" applyFont="1" applyFill="1" applyBorder="1" applyAlignment="1">
      <alignment horizontal="left" vertical="top" wrapText="1"/>
    </xf>
    <xf numFmtId="0" fontId="5" fillId="0" borderId="6" xfId="1" applyFill="1" applyBorder="1" applyAlignment="1">
      <alignment horizontal="left" vertical="top"/>
    </xf>
    <xf numFmtId="8" fontId="8" fillId="0" borderId="6" xfId="0" applyNumberFormat="1" applyFont="1" applyFill="1" applyBorder="1" applyAlignment="1">
      <alignment horizontal="left" vertical="top"/>
    </xf>
    <xf numFmtId="0" fontId="8" fillId="0" borderId="6" xfId="0" applyFont="1" applyFill="1" applyBorder="1" applyAlignment="1">
      <alignment horizontal="left" vertical="top"/>
    </xf>
    <xf numFmtId="9" fontId="8" fillId="0" borderId="6" xfId="0" applyNumberFormat="1" applyFont="1" applyFill="1" applyBorder="1" applyAlignment="1">
      <alignment horizontal="left" vertical="top"/>
    </xf>
    <xf numFmtId="0" fontId="8" fillId="0" borderId="6" xfId="0" applyFont="1" applyFill="1" applyBorder="1" applyAlignment="1">
      <alignment horizontal="left" vertical="top" wrapText="1"/>
    </xf>
    <xf numFmtId="0" fontId="5" fillId="0" borderId="6" xfId="1" applyFill="1" applyBorder="1" applyAlignment="1">
      <alignment horizontal="left" vertical="top" wrapText="1"/>
    </xf>
    <xf numFmtId="0" fontId="8" fillId="0" borderId="5" xfId="0" applyFont="1" applyFill="1" applyBorder="1" applyAlignment="1">
      <alignment horizontal="left" vertical="top"/>
    </xf>
    <xf numFmtId="0" fontId="9"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5" xfId="0" applyFont="1" applyFill="1" applyBorder="1" applyAlignment="1">
      <alignment horizontal="left" vertical="top" wrapText="1"/>
    </xf>
    <xf numFmtId="0" fontId="8" fillId="3" borderId="6" xfId="0" applyFont="1" applyFill="1" applyBorder="1" applyAlignment="1">
      <alignment horizontal="left" vertical="top" wrapText="1"/>
    </xf>
    <xf numFmtId="8" fontId="8" fillId="3" borderId="6" xfId="0" applyNumberFormat="1" applyFont="1" applyFill="1" applyBorder="1" applyAlignment="1">
      <alignment horizontal="left" vertical="top" wrapText="1"/>
    </xf>
    <xf numFmtId="3" fontId="8" fillId="0" borderId="6" xfId="0" applyNumberFormat="1"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4" xfId="0" applyFont="1" applyFill="1" applyBorder="1" applyAlignment="1">
      <alignment horizontal="left" vertical="top" wrapText="1"/>
    </xf>
    <xf numFmtId="3" fontId="8" fillId="0" borderId="6" xfId="0" applyNumberFormat="1" applyFont="1" applyFill="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ndp.lightning.force.com/lightning/r/Project__c/a386N000005LkApQAK/view" TargetMode="External"/><Relationship Id="rId3" Type="http://schemas.openxmlformats.org/officeDocument/2006/relationships/hyperlink" Target="../../../../:w:/g/personal/jihan_seoud_undp_org/EdCRFNHka59Ehd5I0eDb-_QBSD3Y7vTufR-j-ioHEuPD1w?e=ZAeRLg&amp;CID=9D014957-FFDB-4849-84F1-EC9AA031D3D1" TargetMode="External"/><Relationship Id="rId7" Type="http://schemas.openxmlformats.org/officeDocument/2006/relationships/hyperlink" Target="https://undp.sharepoint.com/:b:/r/sites/Docs-Project/Shared%20Documents/01001256-PPM20230921_Prodoc%20CEDRO6%20GreenAgenda.doc.pdf?csf=1&amp;web=1&amp;e=jBvgx9" TargetMode="External"/><Relationship Id="rId2" Type="http://schemas.openxmlformats.org/officeDocument/2006/relationships/hyperlink" Target="https://undp.sharepoint.com/:b:/r/sites/Docs-Project/Shared%20Documents/6468-Lb-SustTr%20120993-Prodoc_signed.pdf?csf=1&amp;web=1&amp;e=bio7Mg" TargetMode="External"/><Relationship Id="rId1" Type="http://schemas.openxmlformats.org/officeDocument/2006/relationships/hyperlink" Target="https://www.thegef.org/projects-operations/projects/10358" TargetMode="External"/><Relationship Id="rId6" Type="http://schemas.openxmlformats.org/officeDocument/2006/relationships/hyperlink" Target="https://undp.lightning.force.com/lightning/r/Project__c/a386N000005LZYGQA4/view" TargetMode="External"/><Relationship Id="rId5" Type="http://schemas.openxmlformats.org/officeDocument/2006/relationships/hyperlink" Target="https://undp.sharepoint.com/:b:/r/sites/Docs-Project/Shared%20Documents/00120029-PPMUNDP%20Prodoc%20CEDRO%20V%20signed%20by%20All.pdf?csf=1&amp;web=1&amp;e=AcP4et" TargetMode="External"/><Relationship Id="rId4" Type="http://schemas.openxmlformats.org/officeDocument/2006/relationships/hyperlink" Target="http://open.undp.org/projects/00120029" TargetMode="External"/><Relationship Id="rId9" Type="http://schemas.openxmlformats.org/officeDocument/2006/relationships/hyperlink" Target="https://undp.sharepoint.com/:b:/r/sites/Docs-Project/Shared%20Documents/01001256-PPM20230921_Prodoc%20CEDRO6%20GreenAgenda.doc.pdf?csf=1&amp;web=1&amp;e=tHyFd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20029" TargetMode="External"/><Relationship Id="rId2" Type="http://schemas.openxmlformats.org/officeDocument/2006/relationships/hyperlink" Target="https://www.thegef.org/projects-operations/projects/10358" TargetMode="External"/><Relationship Id="rId1" Type="http://schemas.openxmlformats.org/officeDocument/2006/relationships/hyperlink" Target="http://open.undp.org/projects/00120029"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20029" TargetMode="External"/><Relationship Id="rId2" Type="http://schemas.openxmlformats.org/officeDocument/2006/relationships/hyperlink" Target="https://www.thegef.org/projects-operations/projects/10358" TargetMode="External"/><Relationship Id="rId1" Type="http://schemas.openxmlformats.org/officeDocument/2006/relationships/hyperlink" Target="http://open.undp.org/projects/00120029" TargetMode="External"/><Relationship Id="rId5" Type="http://schemas.openxmlformats.org/officeDocument/2006/relationships/hyperlink" Target="https://undp-my.sharepoint.com/:w:/g/personal/jihan_seoud_undp_org/EdCRFNHka59Ehd5I0eDb-_QBSD3Y7vTufR-j-ioHEuPD1w?e=ZAeRLg&amp;CID=9D014957-FFDB-4849-84F1-EC9AA031D3D1" TargetMode="External"/><Relationship Id="rId4" Type="http://schemas.openxmlformats.org/officeDocument/2006/relationships/hyperlink" Target="https://undp-my.sharepoint.com/:w:/g/personal/jihan_seoud_undp_org/ET_rZwCiM-NCubONnZ9oetsBcO5MJ4JrobTG48wgaYch_g?e=e5JUmD&amp;CID=3183E6F2-6D67-4323-BE6D-31996EA270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9AFDE-6F63-4D88-A387-95E5177A221F}">
  <dimension ref="A1:AI10"/>
  <sheetViews>
    <sheetView tabSelected="1" workbookViewId="0">
      <selection sqref="A1:XFD1048576"/>
    </sheetView>
  </sheetViews>
  <sheetFormatPr defaultColWidth="8.85546875" defaultRowHeight="15"/>
  <cols>
    <col min="1" max="1" width="8.85546875" style="27"/>
    <col min="2" max="2" width="50.85546875" style="27" customWidth="1"/>
    <col min="3" max="3" width="42.7109375" style="27" customWidth="1"/>
    <col min="4" max="4" width="17.28515625" style="32" customWidth="1"/>
    <col min="5" max="5" width="36.28515625" style="27" customWidth="1"/>
    <col min="6" max="6" width="57.85546875" style="27" customWidth="1"/>
    <col min="7" max="8" width="12.7109375" style="27" customWidth="1"/>
    <col min="9" max="9" width="26.7109375" style="27" customWidth="1"/>
    <col min="10" max="10" width="8.85546875" style="27"/>
    <col min="11" max="11" width="18" style="27" bestFit="1" customWidth="1"/>
    <col min="12" max="12" width="12.85546875" style="27" bestFit="1" customWidth="1"/>
    <col min="13" max="13" width="8.85546875" style="27"/>
    <col min="14" max="14" width="14.42578125" style="27" bestFit="1" customWidth="1"/>
    <col min="15" max="15" width="14.85546875" style="27" bestFit="1" customWidth="1"/>
    <col min="16" max="16" width="8.85546875" style="27"/>
    <col min="17" max="17" width="16.42578125" style="27" bestFit="1" customWidth="1"/>
    <col min="18" max="18" width="18.140625" style="27" bestFit="1" customWidth="1"/>
    <col min="19" max="19" width="11.28515625" style="27" bestFit="1" customWidth="1"/>
    <col min="20" max="20" width="30.28515625" style="27" bestFit="1" customWidth="1"/>
    <col min="21" max="21" width="16.7109375" style="27" bestFit="1" customWidth="1"/>
    <col min="22" max="22" width="16.7109375" style="27" customWidth="1"/>
    <col min="23" max="33" width="8.85546875" style="27"/>
    <col min="34" max="34" width="56.42578125" style="27" customWidth="1"/>
    <col min="35" max="35" width="67" style="27" customWidth="1"/>
    <col min="36" max="16384" width="8.85546875" style="27"/>
  </cols>
  <sheetData>
    <row r="1" spans="1:35">
      <c r="A1" s="28" t="s">
        <v>0</v>
      </c>
      <c r="B1" s="28" t="s">
        <v>1</v>
      </c>
      <c r="C1" s="28" t="s">
        <v>2</v>
      </c>
      <c r="D1" s="29"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spans="1:35" ht="183">
      <c r="A2" s="34">
        <v>6468</v>
      </c>
      <c r="B2" s="35" t="s">
        <v>22</v>
      </c>
      <c r="C2" s="36" t="s">
        <v>23</v>
      </c>
      <c r="D2" s="37">
        <v>3552968</v>
      </c>
      <c r="E2" s="35" t="s">
        <v>24</v>
      </c>
      <c r="F2" s="36" t="s">
        <v>25</v>
      </c>
      <c r="G2" s="35">
        <v>0</v>
      </c>
      <c r="H2" s="38">
        <v>1417000</v>
      </c>
      <c r="I2" s="39" t="s">
        <v>26</v>
      </c>
      <c r="J2" s="35" t="s">
        <v>27</v>
      </c>
      <c r="K2" s="40">
        <v>0.5</v>
      </c>
      <c r="L2" s="35" t="s">
        <v>28</v>
      </c>
      <c r="M2" s="35" t="s">
        <v>29</v>
      </c>
      <c r="N2" s="36" t="s">
        <v>30</v>
      </c>
      <c r="O2" s="35" t="s">
        <v>31</v>
      </c>
      <c r="P2" s="35" t="s">
        <v>29</v>
      </c>
      <c r="Q2" s="35" t="s">
        <v>32</v>
      </c>
      <c r="R2" s="35" t="s">
        <v>33</v>
      </c>
      <c r="S2" s="35" t="s">
        <v>34</v>
      </c>
      <c r="T2" s="41" t="s">
        <v>35</v>
      </c>
      <c r="U2" s="35" t="s">
        <v>29</v>
      </c>
      <c r="V2" s="42" t="s">
        <v>36</v>
      </c>
      <c r="W2" s="43"/>
      <c r="X2" s="34" t="s">
        <v>28</v>
      </c>
      <c r="Y2" s="35" t="s">
        <v>29</v>
      </c>
      <c r="Z2" s="35" t="s">
        <v>37</v>
      </c>
      <c r="AA2" s="35" t="s">
        <v>31</v>
      </c>
      <c r="AB2" s="35" t="s">
        <v>29</v>
      </c>
      <c r="AC2" s="35" t="s">
        <v>29</v>
      </c>
      <c r="AD2" s="35" t="s">
        <v>29</v>
      </c>
      <c r="AE2" s="35" t="s">
        <v>29</v>
      </c>
      <c r="AF2" s="35" t="s">
        <v>29</v>
      </c>
      <c r="AG2" s="43"/>
      <c r="AH2" s="43"/>
      <c r="AI2" s="44" t="s">
        <v>38</v>
      </c>
    </row>
    <row r="3" spans="1:35" ht="213">
      <c r="A3" s="45">
        <v>118152</v>
      </c>
      <c r="B3" s="46" t="s">
        <v>39</v>
      </c>
      <c r="C3" s="47" t="s">
        <v>40</v>
      </c>
      <c r="D3" s="48">
        <v>15436128</v>
      </c>
      <c r="E3" s="49" t="s">
        <v>41</v>
      </c>
      <c r="F3" s="49" t="s">
        <v>42</v>
      </c>
      <c r="G3" s="49">
        <v>0</v>
      </c>
      <c r="H3" s="49">
        <v>260</v>
      </c>
      <c r="I3" s="46" t="s">
        <v>43</v>
      </c>
      <c r="J3" s="49" t="s">
        <v>44</v>
      </c>
      <c r="K3" s="50">
        <v>0.5</v>
      </c>
      <c r="L3" s="49" t="s">
        <v>45</v>
      </c>
      <c r="M3" s="49" t="s">
        <v>29</v>
      </c>
      <c r="N3" s="51" t="s">
        <v>37</v>
      </c>
      <c r="O3" s="49" t="s">
        <v>46</v>
      </c>
      <c r="P3" s="49" t="s">
        <v>29</v>
      </c>
      <c r="Q3" s="49" t="s">
        <v>32</v>
      </c>
      <c r="R3" s="49" t="s">
        <v>47</v>
      </c>
      <c r="S3" s="49" t="s">
        <v>48</v>
      </c>
      <c r="T3" s="49" t="s">
        <v>35</v>
      </c>
      <c r="U3" s="49" t="s">
        <v>29</v>
      </c>
      <c r="V3" s="52" t="s">
        <v>49</v>
      </c>
      <c r="W3" s="43"/>
      <c r="X3" s="53" t="s">
        <v>45</v>
      </c>
      <c r="Y3" s="49" t="s">
        <v>29</v>
      </c>
      <c r="Z3" s="49" t="s">
        <v>37</v>
      </c>
      <c r="AA3" s="49" t="s">
        <v>31</v>
      </c>
      <c r="AB3" s="49" t="s">
        <v>50</v>
      </c>
      <c r="AC3" s="49" t="s">
        <v>29</v>
      </c>
      <c r="AD3" s="49" t="s">
        <v>29</v>
      </c>
      <c r="AE3" s="49" t="s">
        <v>29</v>
      </c>
      <c r="AF3" s="49">
        <v>6.6670000000000002E-3</v>
      </c>
      <c r="AG3" s="43"/>
      <c r="AH3" s="54" t="s">
        <v>51</v>
      </c>
      <c r="AI3" s="55" t="s">
        <v>52</v>
      </c>
    </row>
    <row r="4" spans="1:35" s="31" customFormat="1" ht="213">
      <c r="A4" s="56">
        <v>1001256</v>
      </c>
      <c r="B4" s="57" t="s">
        <v>53</v>
      </c>
      <c r="C4" s="52" t="s">
        <v>54</v>
      </c>
      <c r="D4" s="58">
        <v>24321900</v>
      </c>
      <c r="E4" s="51" t="s">
        <v>55</v>
      </c>
      <c r="F4" s="51" t="s">
        <v>56</v>
      </c>
      <c r="G4" s="51" t="s">
        <v>57</v>
      </c>
      <c r="H4" s="59">
        <v>4900</v>
      </c>
      <c r="I4" s="46" t="s">
        <v>58</v>
      </c>
      <c r="J4" s="51" t="s">
        <v>44</v>
      </c>
      <c r="K4" s="50">
        <v>0.5</v>
      </c>
      <c r="L4" s="51" t="s">
        <v>45</v>
      </c>
      <c r="M4" s="51" t="s">
        <v>29</v>
      </c>
      <c r="N4" s="51" t="s">
        <v>30</v>
      </c>
      <c r="O4" s="60" t="s">
        <v>46</v>
      </c>
      <c r="P4" s="61"/>
      <c r="Q4" s="51" t="s">
        <v>32</v>
      </c>
      <c r="R4" s="51" t="s">
        <v>47</v>
      </c>
      <c r="S4" s="51" t="s">
        <v>48</v>
      </c>
      <c r="T4" s="51" t="s">
        <v>35</v>
      </c>
      <c r="U4" s="51" t="s">
        <v>29</v>
      </c>
      <c r="V4" s="52" t="s">
        <v>59</v>
      </c>
      <c r="W4" s="55"/>
      <c r="X4" s="55"/>
      <c r="Y4" s="55"/>
      <c r="Z4" s="55"/>
      <c r="AA4" s="55"/>
      <c r="AB4" s="55"/>
      <c r="AC4" s="55"/>
      <c r="AD4" s="55"/>
      <c r="AE4" s="55"/>
      <c r="AF4" s="55"/>
      <c r="AG4" s="55"/>
      <c r="AH4" s="55"/>
      <c r="AI4" s="55"/>
    </row>
    <row r="5" spans="1:35" s="31" customFormat="1" ht="30.75" customHeight="1">
      <c r="A5" s="56">
        <v>1001708</v>
      </c>
      <c r="B5" s="51" t="s">
        <v>60</v>
      </c>
      <c r="C5" s="52" t="s">
        <v>61</v>
      </c>
      <c r="D5" s="58">
        <v>20293291.469999999</v>
      </c>
      <c r="E5" s="51" t="s">
        <v>62</v>
      </c>
      <c r="F5" s="51" t="s">
        <v>63</v>
      </c>
      <c r="G5" s="51" t="s">
        <v>57</v>
      </c>
      <c r="H5" s="62">
        <v>8550</v>
      </c>
      <c r="I5" s="46" t="s">
        <v>64</v>
      </c>
      <c r="J5" s="51" t="s">
        <v>65</v>
      </c>
      <c r="K5" s="50">
        <v>0.5</v>
      </c>
      <c r="L5" s="51" t="s">
        <v>45</v>
      </c>
      <c r="M5" s="51" t="s">
        <v>29</v>
      </c>
      <c r="N5" s="51" t="s">
        <v>30</v>
      </c>
      <c r="O5" s="60" t="s">
        <v>46</v>
      </c>
      <c r="P5" s="61"/>
      <c r="Q5" s="51" t="s">
        <v>32</v>
      </c>
      <c r="R5" s="51" t="s">
        <v>47</v>
      </c>
      <c r="S5" s="51" t="s">
        <v>48</v>
      </c>
      <c r="T5" s="51" t="s">
        <v>35</v>
      </c>
      <c r="U5" s="51" t="s">
        <v>29</v>
      </c>
      <c r="V5" s="52" t="s">
        <v>66</v>
      </c>
      <c r="W5" s="55"/>
      <c r="X5" s="55"/>
      <c r="Y5" s="55"/>
      <c r="Z5" s="55"/>
      <c r="AA5" s="55"/>
      <c r="AB5" s="55"/>
      <c r="AC5" s="55"/>
      <c r="AD5" s="55"/>
      <c r="AE5" s="55"/>
      <c r="AF5" s="55"/>
      <c r="AG5" s="55"/>
      <c r="AH5" s="55"/>
      <c r="AI5" s="55"/>
    </row>
    <row r="6" spans="1:35">
      <c r="B6" s="30"/>
      <c r="C6" s="31"/>
    </row>
    <row r="7" spans="1:35">
      <c r="B7" s="30"/>
      <c r="C7" s="31"/>
    </row>
    <row r="9" spans="1:35" ht="22.5" customHeight="1"/>
    <row r="10" spans="1:35" ht="22.5" customHeight="1"/>
  </sheetData>
  <mergeCells count="2">
    <mergeCell ref="O4:P4"/>
    <mergeCell ref="O5:P5"/>
  </mergeCells>
  <hyperlinks>
    <hyperlink ref="I2" r:id="rId1" xr:uid="{A09FAEC8-5AF4-4D41-9228-869F6E0342D9}"/>
    <hyperlink ref="V2" r:id="rId2" xr:uid="{824CC372-6A4B-4628-9919-AB2370A8EA68}"/>
    <hyperlink ref="AI2" r:id="rId3" xr:uid="{82339E41-5C7C-4DFB-A267-CF425BDAE496}"/>
    <hyperlink ref="C3" r:id="rId4" xr:uid="{0944FA51-2627-49ED-AA2D-4025DC95A346}"/>
    <hyperlink ref="V3" r:id="rId5" xr:uid="{CEDE55CC-0FA0-4AE1-91C6-19891BC45E29}"/>
    <hyperlink ref="C4" r:id="rId6" xr:uid="{37938B5C-880D-4ED7-8CC4-5E5374D7DED2}"/>
    <hyperlink ref="V4" r:id="rId7" xr:uid="{6956A7AF-1641-4B50-977F-25D75C885D3C}"/>
    <hyperlink ref="C5" r:id="rId8" xr:uid="{B5B9343F-012C-4A45-878E-89E8A521414C}"/>
    <hyperlink ref="V5" r:id="rId9" xr:uid="{CB5AA3AC-A9BA-47FB-9614-23D2391F82D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82623D0-F463-4808-98D8-E0AA03A6CA0F}">
          <x14:formula1>
            <xm:f>'Beneficiary Categories'!$A$2:$A$16</xm:f>
          </x14:formula1>
          <xm:sqref>E6:E9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5A8F-5674-4E64-8962-62E791AD1E13}">
  <dimension ref="A1:T8"/>
  <sheetViews>
    <sheetView workbookViewId="0">
      <selection activeCell="E11" sqref="E11"/>
    </sheetView>
  </sheetViews>
  <sheetFormatPr defaultColWidth="8.85546875" defaultRowHeight="15"/>
  <cols>
    <col min="2" max="2" width="50.85546875" customWidth="1"/>
    <col min="3" max="3" width="34.85546875" customWidth="1"/>
    <col min="4" max="4" width="17.28515625" customWidth="1"/>
    <col min="5" max="5" width="49.85546875" customWidth="1"/>
    <col min="6" max="6" width="57.85546875" customWidth="1"/>
    <col min="7" max="8" width="12.7109375" customWidth="1"/>
    <col min="9" max="9" width="32.7109375" customWidth="1"/>
    <col min="13" max="13" width="26" customWidth="1"/>
  </cols>
  <sheetData>
    <row r="1" spans="1:20">
      <c r="A1" s="11" t="s">
        <v>0</v>
      </c>
      <c r="B1" s="11" t="s">
        <v>1</v>
      </c>
      <c r="C1" s="11" t="s">
        <v>2</v>
      </c>
      <c r="D1" s="11" t="s">
        <v>3</v>
      </c>
      <c r="E1" s="11" t="s">
        <v>4</v>
      </c>
      <c r="F1" s="11" t="s">
        <v>5</v>
      </c>
      <c r="G1" s="11" t="s">
        <v>6</v>
      </c>
      <c r="H1" s="11" t="s">
        <v>7</v>
      </c>
      <c r="I1" s="11" t="s">
        <v>8</v>
      </c>
      <c r="J1" s="10" t="s">
        <v>9</v>
      </c>
      <c r="K1" s="10" t="s">
        <v>10</v>
      </c>
      <c r="L1" s="10" t="s">
        <v>67</v>
      </c>
      <c r="M1" s="19" t="s">
        <v>68</v>
      </c>
      <c r="N1" s="10" t="s">
        <v>12</v>
      </c>
      <c r="O1" s="21" t="s">
        <v>13</v>
      </c>
      <c r="P1" s="10" t="s">
        <v>14</v>
      </c>
      <c r="Q1" s="10" t="s">
        <v>15</v>
      </c>
      <c r="R1" s="10" t="s">
        <v>16</v>
      </c>
      <c r="S1" s="10" t="s">
        <v>17</v>
      </c>
      <c r="T1" s="12" t="s">
        <v>69</v>
      </c>
    </row>
    <row r="2" spans="1:20" ht="26.25" customHeight="1">
      <c r="A2" s="12">
        <v>120029</v>
      </c>
      <c r="B2" s="12" t="s">
        <v>70</v>
      </c>
      <c r="C2" s="13" t="s">
        <v>40</v>
      </c>
      <c r="D2" s="12">
        <v>15436128</v>
      </c>
      <c r="E2" s="14" t="s">
        <v>41</v>
      </c>
      <c r="F2" s="14" t="s">
        <v>42</v>
      </c>
      <c r="G2" s="14">
        <v>0</v>
      </c>
      <c r="H2" s="14">
        <v>230</v>
      </c>
      <c r="I2" s="14"/>
      <c r="J2" s="12" t="s">
        <v>44</v>
      </c>
      <c r="K2" s="12"/>
      <c r="L2" s="12" t="s">
        <v>45</v>
      </c>
      <c r="M2" s="20"/>
      <c r="N2" s="12"/>
      <c r="O2" s="22" t="s">
        <v>37</v>
      </c>
      <c r="P2" s="12" t="s">
        <v>31</v>
      </c>
      <c r="Q2" s="12"/>
      <c r="R2" s="12"/>
      <c r="S2" s="12"/>
      <c r="T2" s="12">
        <f>1/150</f>
        <v>6.6666666666666671E-3</v>
      </c>
    </row>
    <row r="3" spans="1:20" ht="26.25" customHeight="1">
      <c r="A3" s="12">
        <v>120029</v>
      </c>
      <c r="B3" s="12" t="s">
        <v>70</v>
      </c>
      <c r="C3" s="13" t="s">
        <v>71</v>
      </c>
      <c r="D3" s="12">
        <v>15436128</v>
      </c>
      <c r="E3" s="14" t="s">
        <v>72</v>
      </c>
      <c r="F3" s="14" t="s">
        <v>73</v>
      </c>
      <c r="G3" s="14">
        <v>0</v>
      </c>
      <c r="H3" s="14">
        <v>582</v>
      </c>
      <c r="I3" s="14" t="s">
        <v>74</v>
      </c>
      <c r="J3" s="12" t="s">
        <v>44</v>
      </c>
      <c r="K3" s="12"/>
      <c r="L3" s="12" t="s">
        <v>45</v>
      </c>
      <c r="M3" s="20"/>
      <c r="N3" s="12"/>
      <c r="O3" s="22" t="s">
        <v>37</v>
      </c>
      <c r="P3" s="12" t="s">
        <v>31</v>
      </c>
      <c r="Q3" s="12"/>
      <c r="R3" s="12"/>
      <c r="S3" s="12"/>
      <c r="T3" s="12">
        <f>1/150</f>
        <v>6.6666666666666671E-3</v>
      </c>
    </row>
    <row r="4" spans="1:20" ht="48">
      <c r="A4" s="12">
        <v>6468</v>
      </c>
      <c r="B4" s="12" t="s">
        <v>22</v>
      </c>
      <c r="C4" s="15" t="s">
        <v>75</v>
      </c>
      <c r="D4" s="17">
        <v>3552968</v>
      </c>
      <c r="E4" s="18" t="s">
        <v>72</v>
      </c>
      <c r="F4" s="18" t="s">
        <v>25</v>
      </c>
      <c r="G4" s="14">
        <v>0</v>
      </c>
      <c r="H4" s="14">
        <v>1417000</v>
      </c>
      <c r="I4" s="16" t="s">
        <v>26</v>
      </c>
      <c r="J4" s="12" t="s">
        <v>27</v>
      </c>
      <c r="K4" s="12"/>
      <c r="L4" s="12" t="s">
        <v>28</v>
      </c>
      <c r="M4" s="20"/>
      <c r="N4" s="12"/>
      <c r="O4" s="22" t="s">
        <v>37</v>
      </c>
      <c r="P4" s="12" t="s">
        <v>31</v>
      </c>
      <c r="Q4" s="12"/>
      <c r="R4" s="12"/>
      <c r="S4" s="12"/>
      <c r="T4" s="12"/>
    </row>
    <row r="6" spans="1:20">
      <c r="B6" s="6"/>
      <c r="C6" s="7"/>
    </row>
    <row r="7" spans="1:20">
      <c r="C7" s="8"/>
    </row>
    <row r="8" spans="1:20">
      <c r="C8" s="8"/>
    </row>
  </sheetData>
  <dataValidations count="5">
    <dataValidation type="list" allowBlank="1" showInputMessage="1" showErrorMessage="1" sqref="O2:O4" xr:uid="{19AAAA50-E29C-481E-B1B8-3EB69C7F6B54}">
      <formula1>"Accelerating just energy transition, Close the gap on energy access, Scale up energy finance"</formula1>
    </dataValidation>
    <dataValidation type="list" allowBlank="1" showInputMessage="1" showErrorMessage="1" sqref="P2:P4" xr:uid="{6E7F61EE-2B51-42CD-9F0F-2AB26DF92721}">
      <formula1>"Electricity Access, Energy Efficiency, Clean Cooking, Renewable Energy"</formula1>
    </dataValidation>
    <dataValidation type="list" allowBlank="1" showInputMessage="1" showErrorMessage="1" sqref="Q2:Q4" xr:uid="{E2D33698-3674-4CEF-AAA0-C354434273FC}">
      <formula1>"AMP, PUDC, Solar4Health, Action Opportunities, Italy UNDP Energy Partnership"</formula1>
    </dataValidation>
    <dataValidation type="list" allowBlank="1" showInputMessage="1" showErrorMessage="1" sqref="R2:R4" xr:uid="{99D61770-4732-41A9-BC0A-4FB20A2A8423}">
      <formula1>"NDC Support, National Strategy, Legal Framework,Incentives and Support, Government Capacity-Building, Carbon Pricing and Monitoring, Financing Model, Business Model"</formula1>
    </dataValidation>
    <dataValidation type="list" allowBlank="1" showInputMessage="1" showErrorMessage="1" sqref="S2:S4" xr:uid="{CE47DBE5-C9E0-4CEA-A237-894274608033}">
      <formula1>"Electricity Access, Energy Efficiency, Renewable EnergyEnergy Infrastructure,   Transport, Digital &amp; Data, Clean Cooking, Decarbonization, Hydrogen, Off-Grid, On-Grid"</formula1>
    </dataValidation>
  </dataValidations>
  <hyperlinks>
    <hyperlink ref="C2" r:id="rId1" xr:uid="{EEBBC859-F9B3-4E2F-8A6D-CA239E5E1509}"/>
    <hyperlink ref="I4" r:id="rId2" xr:uid="{16CE6F0B-18C2-448D-8D8E-F1D6C82EFA7B}"/>
    <hyperlink ref="C3" r:id="rId3" xr:uid="{77AA2F00-C433-48E6-A759-FF76AFC6CBA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5C09F71-E26F-45B2-A453-D30F2773665B}">
          <x14:formula1>
            <xm:f>'Beneficiary Categories'!$A$2:$A$16</xm:f>
          </x14:formula1>
          <xm:sqref>E2:E8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workbookViewId="0">
      <selection activeCell="B6" sqref="B6:C8"/>
    </sheetView>
  </sheetViews>
  <sheetFormatPr defaultColWidth="8.85546875" defaultRowHeight="15"/>
  <cols>
    <col min="2" max="2" width="50.85546875" customWidth="1"/>
    <col min="3" max="3" width="34.85546875" customWidth="1"/>
    <col min="4" max="4" width="17.28515625" customWidth="1"/>
    <col min="5" max="5" width="49.85546875" customWidth="1"/>
    <col min="6" max="6" width="57.85546875" customWidth="1"/>
    <col min="7" max="8" width="12.7109375" customWidth="1"/>
    <col min="9" max="9" width="32.7109375" customWidth="1"/>
  </cols>
  <sheetData>
    <row r="1" spans="1:13">
      <c r="A1" s="1" t="s">
        <v>0</v>
      </c>
      <c r="B1" s="1" t="s">
        <v>1</v>
      </c>
      <c r="C1" s="1" t="s">
        <v>2</v>
      </c>
      <c r="D1" s="1" t="s">
        <v>3</v>
      </c>
      <c r="E1" s="1" t="s">
        <v>4</v>
      </c>
      <c r="F1" s="1" t="s">
        <v>5</v>
      </c>
      <c r="G1" s="1" t="s">
        <v>6</v>
      </c>
      <c r="H1" s="1" t="s">
        <v>7</v>
      </c>
      <c r="I1" s="1" t="s">
        <v>8</v>
      </c>
      <c r="J1" s="9" t="s">
        <v>9</v>
      </c>
      <c r="K1" s="10" t="s">
        <v>10</v>
      </c>
      <c r="L1" s="10" t="s">
        <v>67</v>
      </c>
      <c r="M1" s="10" t="s">
        <v>68</v>
      </c>
    </row>
    <row r="2" spans="1:13" ht="26.25" customHeight="1">
      <c r="A2">
        <v>120029</v>
      </c>
      <c r="B2" t="s">
        <v>70</v>
      </c>
      <c r="C2" s="2" t="s">
        <v>40</v>
      </c>
      <c r="D2">
        <v>15436128</v>
      </c>
      <c r="E2" s="3" t="s">
        <v>41</v>
      </c>
      <c r="F2" s="3" t="s">
        <v>42</v>
      </c>
      <c r="G2" s="3">
        <v>0</v>
      </c>
      <c r="H2" s="3">
        <v>230</v>
      </c>
      <c r="I2" s="3"/>
      <c r="J2" t="s">
        <v>44</v>
      </c>
    </row>
    <row r="3" spans="1:13" ht="26.25" customHeight="1">
      <c r="A3">
        <v>120029</v>
      </c>
      <c r="B3" t="s">
        <v>70</v>
      </c>
      <c r="C3" s="2" t="s">
        <v>71</v>
      </c>
      <c r="D3">
        <v>15436128</v>
      </c>
      <c r="E3" s="3" t="s">
        <v>72</v>
      </c>
      <c r="F3" s="3" t="s">
        <v>73</v>
      </c>
      <c r="G3" s="3">
        <v>0</v>
      </c>
      <c r="H3" s="3">
        <v>6989</v>
      </c>
      <c r="I3" s="3" t="s">
        <v>74</v>
      </c>
      <c r="J3" t="s">
        <v>44</v>
      </c>
    </row>
    <row r="4" spans="1:13" ht="48">
      <c r="A4">
        <v>6468</v>
      </c>
      <c r="B4" t="s">
        <v>22</v>
      </c>
      <c r="C4" s="5" t="s">
        <v>75</v>
      </c>
      <c r="D4">
        <v>3552968</v>
      </c>
      <c r="E4" s="3" t="s">
        <v>72</v>
      </c>
      <c r="F4" s="3" t="s">
        <v>25</v>
      </c>
      <c r="G4" s="3">
        <v>0</v>
      </c>
      <c r="H4" s="3">
        <v>1417000</v>
      </c>
      <c r="I4" s="4" t="s">
        <v>26</v>
      </c>
      <c r="J4" t="s">
        <v>27</v>
      </c>
    </row>
    <row r="6" spans="1:13" ht="192">
      <c r="B6" s="6" t="s">
        <v>76</v>
      </c>
      <c r="C6" s="7" t="s">
        <v>52</v>
      </c>
    </row>
    <row r="7" spans="1:13">
      <c r="C7" s="8" t="s">
        <v>77</v>
      </c>
    </row>
    <row r="8" spans="1:13">
      <c r="C8" s="8" t="s">
        <v>38</v>
      </c>
    </row>
  </sheetData>
  <hyperlinks>
    <hyperlink ref="C2" r:id="rId1" xr:uid="{00000000-0004-0000-0000-000000000000}"/>
    <hyperlink ref="I4" r:id="rId2" xr:uid="{F2BAA475-0345-4B26-B4AD-2F52398A4AAF}"/>
    <hyperlink ref="C3" r:id="rId3" xr:uid="{AB30EDA5-FD96-40AE-BFE5-BED52FB50069}"/>
    <hyperlink ref="C7" r:id="rId4" xr:uid="{912C8A71-DEF7-4323-9DA0-C0DBE4D03B08}"/>
    <hyperlink ref="C8" r:id="rId5" xr:uid="{8E367468-AFB0-4F9C-98AA-30DE0E75C7D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ols>
    <col min="1" max="2" width="52.7109375" customWidth="1"/>
  </cols>
  <sheetData>
    <row r="1" spans="1:2" ht="15.95">
      <c r="A1" s="33" t="s">
        <v>4</v>
      </c>
      <c r="B1" s="33" t="s">
        <v>5</v>
      </c>
    </row>
    <row r="2" spans="1:2" ht="32.1">
      <c r="A2" s="24" t="s">
        <v>78</v>
      </c>
      <c r="B2" s="23" t="s">
        <v>79</v>
      </c>
    </row>
    <row r="3" spans="1:2" ht="15.95">
      <c r="A3" s="24" t="s">
        <v>80</v>
      </c>
      <c r="B3" s="23" t="s">
        <v>81</v>
      </c>
    </row>
    <row r="4" spans="1:2" ht="32.1">
      <c r="A4" s="24" t="s">
        <v>82</v>
      </c>
      <c r="B4" s="23" t="s">
        <v>83</v>
      </c>
    </row>
    <row r="5" spans="1:2" ht="32.1">
      <c r="A5" s="24" t="s">
        <v>84</v>
      </c>
      <c r="B5" s="23" t="s">
        <v>85</v>
      </c>
    </row>
    <row r="6" spans="1:2" ht="96">
      <c r="A6" s="24" t="s">
        <v>86</v>
      </c>
      <c r="B6" s="23" t="s">
        <v>87</v>
      </c>
    </row>
    <row r="7" spans="1:2" ht="48">
      <c r="A7" s="24" t="s">
        <v>62</v>
      </c>
      <c r="B7" s="23" t="s">
        <v>88</v>
      </c>
    </row>
    <row r="8" spans="1:2" ht="32.1">
      <c r="A8" s="24" t="s">
        <v>89</v>
      </c>
      <c r="B8" s="23" t="s">
        <v>90</v>
      </c>
    </row>
    <row r="9" spans="1:2" ht="32.1">
      <c r="A9" s="24" t="s">
        <v>55</v>
      </c>
      <c r="B9" s="23" t="s">
        <v>91</v>
      </c>
    </row>
    <row r="10" spans="1:2" ht="32.1">
      <c r="A10" s="24" t="s">
        <v>24</v>
      </c>
      <c r="B10" s="25" t="s">
        <v>92</v>
      </c>
    </row>
    <row r="11" spans="1:2" ht="32.1">
      <c r="A11" s="24" t="s">
        <v>93</v>
      </c>
      <c r="B11" s="25" t="s">
        <v>94</v>
      </c>
    </row>
    <row r="12" spans="1:2" ht="48">
      <c r="A12" s="24" t="s">
        <v>95</v>
      </c>
      <c r="B12" s="23" t="s">
        <v>96</v>
      </c>
    </row>
    <row r="13" spans="1:2" ht="15.95">
      <c r="A13" s="24" t="s">
        <v>72</v>
      </c>
      <c r="B13" s="25" t="s">
        <v>97</v>
      </c>
    </row>
    <row r="14" spans="1:2" ht="15.95">
      <c r="A14" s="24" t="s">
        <v>98</v>
      </c>
      <c r="B14" s="25" t="s">
        <v>99</v>
      </c>
    </row>
    <row r="15" spans="1:2" ht="32.1">
      <c r="A15" s="24" t="s">
        <v>100</v>
      </c>
      <c r="B15" s="25" t="s">
        <v>101</v>
      </c>
    </row>
    <row r="16" spans="1:2" ht="32.1">
      <c r="A16" s="24" t="s">
        <v>102</v>
      </c>
      <c r="B16" s="25" t="s">
        <v>103</v>
      </c>
    </row>
    <row r="17" spans="1:2" ht="32.1">
      <c r="A17" s="24" t="s">
        <v>104</v>
      </c>
      <c r="B17" s="23" t="s">
        <v>105</v>
      </c>
    </row>
    <row r="18" spans="1:2" ht="32.1">
      <c r="A18" s="24" t="s">
        <v>41</v>
      </c>
      <c r="B18" s="25" t="s">
        <v>106</v>
      </c>
    </row>
    <row r="19" spans="1:2" ht="63.95">
      <c r="A19" s="24" t="s">
        <v>107</v>
      </c>
      <c r="B19" s="25" t="s">
        <v>108</v>
      </c>
    </row>
    <row r="20" spans="1:2" ht="15.95">
      <c r="A20" s="24" t="s">
        <v>109</v>
      </c>
      <c r="B20" s="25" t="s">
        <v>110</v>
      </c>
    </row>
    <row r="21" spans="1:2" ht="32.1">
      <c r="A21" s="24" t="s">
        <v>19</v>
      </c>
      <c r="B21" s="26" t="s">
        <v>111</v>
      </c>
    </row>
    <row r="22" spans="1:2" ht="15.95">
      <c r="A22" s="24" t="s">
        <v>34</v>
      </c>
      <c r="B22" s="25" t="s">
        <v>112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6A4030-DAE3-4AB6-9CAC-C1D129FCF77E}"/>
</file>

<file path=customXml/itemProps2.xml><?xml version="1.0" encoding="utf-8"?>
<ds:datastoreItem xmlns:ds="http://schemas.openxmlformats.org/officeDocument/2006/customXml" ds:itemID="{AB9A6AAA-5019-4869-8830-05E12A6F7AC3}"/>
</file>

<file path=customXml/itemProps3.xml><?xml version="1.0" encoding="utf-8"?>
<ds:datastoreItem xmlns:ds="http://schemas.openxmlformats.org/officeDocument/2006/customXml" ds:itemID="{71C42F2C-D499-4DA1-B1C0-0B28657E66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2023-05-05T09:33:41Z</dcterms:created>
  <dcterms:modified xsi:type="dcterms:W3CDTF">2025-10-23T08:37:00Z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