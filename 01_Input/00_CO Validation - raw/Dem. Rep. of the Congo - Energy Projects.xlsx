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549" documentId="11_2006316D69CDF873991CF25EA14C6D3E783B1F6E" xr6:coauthVersionLast="47" xr6:coauthVersionMax="47" xr10:uidLastSave="{17C6C3FD-1808-4FAE-A8B0-3F2A504EA124}"/>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tc={BCF3EEEC-5401-4AAD-8889-183ACF9B2390}</author>
  </authors>
  <commentList>
    <comment ref="A15" authorId="0" shapeId="0" xr:uid="{BCF3EEEC-5401-4AAD-8889-183ACF9B2390}">
      <text>
        <t>[Threaded comment]
Your version of Excel allows you to read this threaded comment; however, any edits to it will get removed if the file is opened in a newer version of Excel. Learn more: https://go.microsoft.com/fwlink/?linkid=870924
Comment:
    ID# for this specific project is 00113647. 101442 is the umbrella program</t>
      </text>
    </comment>
  </commentList>
</comments>
</file>

<file path=xl/sharedStrings.xml><?xml version="1.0" encoding="utf-8"?>
<sst xmlns="http://schemas.openxmlformats.org/spreadsheetml/2006/main" count="321" uniqueCount="148">
  <si>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</si>
  <si>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</si>
  <si>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</si>
  <si>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</si>
  <si>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</si>
  <si>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</si>
  <si>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</si>
  <si>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</si>
  <si>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</si>
  <si>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</si>
  <si>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</si>
  <si>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</si>
  <si>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</si>
  <si>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</si>
  <si>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</si>
  <si>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</si>
  <si>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</si>
  <si>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</si>
  <si>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</si>
  <si>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</si>
  <si>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</si>
  <si>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PDL-145 Territoires</t>
  </si>
  <si>
    <t>https://open.undp.org/projects/00142763</t>
  </si>
  <si>
    <t>Electricity Access</t>
  </si>
  <si>
    <t>Number of people</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</si>
  <si>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t>
  </si>
  <si>
    <t>DRC Gov</t>
  </si>
  <si>
    <t>Non-VF</t>
  </si>
  <si>
    <t>Close the gap on energy access</t>
  </si>
  <si>
    <t>Hydro</t>
  </si>
  <si>
    <t>Health Services</t>
  </si>
  <si>
    <t xml:space="preserve">Number of people, who benefitted from services </t>
  </si>
  <si>
    <t>• 286 of health facilities connected &amp; 7500 number per people benefiting/health facility/ 2 million 145.000 people/territories</t>
  </si>
  <si>
    <t>Education Services</t>
  </si>
  <si>
    <t>Number of children benefiting from school</t>
  </si>
  <si>
    <t xml:space="preserve">•	 of Schools connected &amp; Average number of Children benefiting/school: 101,760 
</t>
  </si>
  <si>
    <t>Water Services</t>
  </si>
  <si>
    <t>•	1070 forages of water boreholes connected &amp; 4673 of people benefitting/borehole: In total: 12.1 million people</t>
  </si>
  <si>
    <t>Projet Green Energy post COVID 19 : “Accès à l’énergie verte pour atténuer les impacts de la COVID-19</t>
  </si>
  <si>
    <t>https://www.dropbox.com/scl/fi/l3y63sswt3thpkl4jf7j0/Prodoc-en-francais_Pour-Signature_DK.docx?rlkey=5c6x4qy6za2w8qvn7ct62q3w1&amp;dl=0</t>
  </si>
  <si>
    <t>Energy (MW added)</t>
  </si>
  <si>
    <t>MW installed</t>
  </si>
  <si>
    <t>Ce projet est axé sur la promotion de l’accès de la population du territoire ciblé à de meilleures infrastructures sanitaires, des conditions d’eau potable, d’hygiène et des opportunités économiques pour diversifier ses activités et accroître ses moyens de subsistance.
L’attention est accordée à :
-L’accès des établissements de santé à des sources fiables d’énergie et d’eau,
-L’accès de la population du territoire ciblé à des opportunités économiques. En tant que contribution à l’effort national pour atténuer les impacts secondaires sanitaires et socio - économiques de la COVID19.
Ce projet prévoit :
-L’installation des mini - centrales et mini-réseaux photovoltaïques pour améliorer le service d’énergie électrique,
-L’électrification et la mise en place de l’approvisionnement en eau dans les centres de santé et autres services essentiels,
-La fourniture de l’électricité aux unités de production et assurer le développement de chaînes de valeur qui augmentent la création d’emplois et les revenus.</t>
  </si>
  <si>
    <t>PNUD</t>
  </si>
  <si>
    <t>VF</t>
  </si>
  <si>
    <t>National Strategy</t>
  </si>
  <si>
    <t>Off-Grid</t>
  </si>
  <si>
    <t>Solar</t>
  </si>
  <si>
    <t>Community</t>
  </si>
  <si>
    <t>Number of households connected</t>
  </si>
  <si>
    <t>698 HH</t>
  </si>
  <si>
    <t>Household connected to the off-grid</t>
  </si>
  <si>
    <t>Small Enterprises</t>
  </si>
  <si>
    <t>Number of SMEs connected</t>
  </si>
  <si>
    <t>Number of public institutions connected</t>
  </si>
  <si>
    <t>Number of health centers connected</t>
  </si>
  <si>
    <t>Number of social institutions (radio, ONGs etc.) connected</t>
  </si>
  <si>
    <t>Congo Kinshasa Microhydro</t>
  </si>
  <si>
    <t>PIMS+</t>
  </si>
  <si>
    <t xml:space="preserve">	
Energy (MW added)</t>
  </si>
  <si>
    <t xml:space="preserve">MW
</t>
  </si>
  <si>
    <t>t</t>
  </si>
  <si>
    <t xml:space="preserve">6 persons per household.
Le projet vise à soutenir la stratégie gouvernementale d’atténuation des changements climatiques ; Accompagner la transition vers une économie verte et ; Contribuer au développement de la production d’électricité dans des zones hors réseau de la RDC (technologie MHE)
De manière spécifique, il vise à contribuer à l’amélioration de l’accès fiable à une électricité abordable, à la sécurité énergétique et la lutte contre le changement climatique à travers la contribution à un environnement favorable pour le développement des mini et micro centrales hydroélectriques 
</t>
  </si>
  <si>
    <t>GEF</t>
  </si>
  <si>
    <t xml:space="preserve">Decret </t>
  </si>
  <si>
    <t>Decret for ANSER and ARE operation</t>
  </si>
  <si>
    <t>Legal Framework</t>
  </si>
  <si>
    <t>rural electrification framework</t>
  </si>
  <si>
    <t>local electrification comities</t>
  </si>
  <si>
    <t xml:space="preserve">101442
</t>
  </si>
  <si>
    <t>Programme de Consommation Durable et Substitution partielle au bois énergie (Programme Energie-Fonaredd)</t>
  </si>
  <si>
    <t>https://open.undp.org/projects/00101442</t>
  </si>
  <si>
    <t>Number of Policies</t>
  </si>
  <si>
    <t>-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LPG regulations
ID for the specific project is 00113647</t>
  </si>
  <si>
    <t>CAFI</t>
  </si>
  <si>
    <t>Clean Cooking</t>
  </si>
  <si>
    <t>Some Sources</t>
  </si>
  <si>
    <t>National</t>
  </si>
  <si>
    <t>Number of Cookstoves disseminated</t>
  </si>
  <si>
    <t>100000 HH</t>
  </si>
  <si>
    <t>One stove serves one household</t>
  </si>
  <si>
    <t>Bioenergy</t>
  </si>
  <si>
    <t>number of Households access to LPG</t>
  </si>
  <si>
    <t>250000 HH</t>
  </si>
  <si>
    <t>One LPG bottle serves one household</t>
  </si>
  <si>
    <t>Category</t>
  </si>
  <si>
    <t>Comments</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</si>
  <si>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
• 286 of health facilities connected &amp; 7500 number per people benefiting/health facility/ 2 million 145.000 people/territories
•	 of Schools connected &amp; Average number of Children benefiting/school: 101,760 
•	1070 forages of water boreholes connected &amp; 11 308 of people benefitting/borehole: In total: 12.1 million people
•	84 of markets connected &amp; ???Average number of people benefitting/market: needs results about baseline on business : May2023
•	307 Number of Admin buildings connected &amp; 3704 Average number of people benefitting/Admin building.</t>
  </si>
  <si>
    <t>to the CO: Please disaggregate this into rows for each outputm linked to different beneficiary categories</t>
  </si>
  <si>
    <t>MW
-120 Kwp installés
-Ménages rural avec l’accès à l’électricité
-Les structures de santé et autres services communautaires ont accès à l’électricité
-Les PME ont accès à l’électricité</t>
  </si>
  <si>
    <t>National child project under the GEF Africa Minigrids Program</t>
  </si>
  <si>
    <t>Energy Access</t>
  </si>
  <si>
    <t xml:space="preserve">-Nombre de mini -réseaux construit,
-Nombre d’écoles avec accès à l’électricité 
-Nombre de centres de santé avec accès à l’électricité,
-Nombre PME avec accès à l’électricité,
</t>
  </si>
  <si>
    <t> À définir</t>
  </si>
  <si>
    <t>AMP est un programme régional mené par les pays et actif dans un premier temps dans 21 pays africains dont la RDC. Son objectif général est d'aider les pays africains à accroître l'accès à l'énergie en réduisant le coût et en augmentant la viabilité commerciale des mini-réseaux d'énergie renouvelable. Le programme est structuré en quatre composantes à savoir :
Politique et réglementation ; Innovation du modèle d'entreprise avec le secteur privé ; Financement à grande échelle ; Numérique, gestion des connaissances et suivi et évaluation. Présentement AMP est à la phase de la formulation du chapitre RDC</t>
  </si>
  <si>
    <t>to the CO: Please estimate number of beneficiaries.</t>
  </si>
  <si>
    <t xml:space="preserve">We can find you these numbers form the AMP excel file </t>
  </si>
  <si>
    <t>Energy Added (MW)</t>
  </si>
  <si>
    <t xml:space="preserve">MW
'-Décret 
-Cadre rural d’électrification
Politique
-Investissements privés
-10 MW installés
-Ménages rural avec l’accès à l’électricité
</t>
  </si>
  <si>
    <r>
      <t>Programme de Consommation Durable et Substitution partielle au bois énergie</t>
    </r>
    <r>
      <rPr>
        <sz val="9"/>
        <color theme="1"/>
        <rFont val="Calibri"/>
        <family val="2"/>
        <charset val="1"/>
      </rPr>
      <t xml:space="preserve"> (Programme Energie-Fonaredd)</t>
    </r>
  </si>
  <si>
    <t xml:space="preserve">
 Policy and Regulatory Framework
</t>
  </si>
  <si>
    <t>Number of Policies
Number of Cookstoves disseminated
number of Households access to LPG</t>
  </si>
  <si>
    <t xml:space="preserve">-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at least 100 000 Clean Cookstoves and 
- at least to 250 000 households have access to LPG
</t>
  </si>
  <si>
    <t>•	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
•	286 of health facilities connected &amp; 7500 number per people benefiting/health facility/ 2 million 145.000 people/territories
•	 of Schools connected &amp; Average number of Children benefiting/school: 101,760 
•	1070 forages of water boreholes connected &amp; 11 308 of people benefitting/borehole: In total: 12.1 million people
•	84 of markets connected &amp; ???Average number of people benefitting/market: needs results about baseline on business : May2023
•	307 Number of Admin buildings connected &amp; 3704 Average number of people benefitting/Admin building.</t>
  </si>
  <si>
    <t>-120 Kwp installés
-Ménages rural avec l’accès à l’électricité
-Les structures de santé et autres services communautaires ont accès à l’électricité
-Les PME ont accès à l’électricité</t>
  </si>
  <si>
    <t>42 PME, 
5 Structures de santé, 
6 Institutions publiques, 
3 Institutions sociales, 
156 Ménages</t>
  </si>
  <si>
    <t>A définir</t>
  </si>
  <si>
    <t>Energy Access
Energy (MW)</t>
  </si>
  <si>
    <t xml:space="preserve">-Décret 
-Cadre rural d’électrification
Politique
-Investissements privés
-10 MW installés
-Ménages rural avec l’accès à l’électricité
</t>
  </si>
  <si>
    <t xml:space="preserve">-Loi du 17 Juin 2014
-20 MW de capacité installée
</t>
  </si>
  <si>
    <t xml:space="preserve">-Décrets permettant d’appliquer pleinement la loi
-Investissements pour le micro hydro  
-30 MW installés
-20 000 nouveaux ménages ruraux connectés à l’électricité
</t>
  </si>
  <si>
    <t xml:space="preserve">- Clean Cooking
 - Policy and Regulatory Framework
</t>
  </si>
  <si>
    <t xml:space="preserve">-	A National Energy Policy
-	A LPG Master Plan 
-  at least 100 000 Clean Cookstoves and 
- at least to 250 000 households have access to LPG
</t>
  </si>
  <si>
    <t xml:space="preserve">-	The programme is supporting the country to create an enabling environment for clean cooking development. As such, a National Integrated Energy Policy is being elaborated alongside the LPG Master Plan prepared as an alternative to woodfuel energy. </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</si>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</sst>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9"/>
      <color rgb="FF000000"/>
      <name val="Calibri"/>
      <family val="2"/>
      <charset val="1"/>
    </font>
    <font>
      <sz val="9"/>
      <color theme="1"/>
      <name val="Calibri"/>
      <family val="2"/>
      <charset val="1"/>
    </font>
    <font>
      <sz val="11"/>
      <color theme="1"/>
      <name val="Calibri"/>
      <family val="2"/>
      <charset val="1"/>
    </font>
    <font>
      <sz val="10"/>
      <color rgb="FFFF0000"/>
      <name val="Helvetica Neue"/>
      <charset val="1"/>
    </font>
    <font>
      <sz val="11"/>
      <color rgb="FF000000"/>
      <name val="Calibri"/>
      <scheme val="minor"/>
    </font>
    <font>
      <sz val="11"/>
      <color rgb="FF000000"/>
      <name val="Calibri"/>
      <charset val="1"/>
    </font>
    <font>
      <b/>
      <sz val="11"/>
      <color theme="1"/>
      <name val="Calibri"/>
      <scheme val="minor"/>
    </font>
    <font>
      <sz val="9"/>
      <color rgb="FF000000"/>
      <name val="Calibri"/>
      <charset val="1"/>
    </font>
  </fonts>
  <fills count="4">
    <fill>
      <patternFill patternType="none"/>
    </fill>
    <fill>
      <patternFill patternType="gray125"/>
    </fill>
    <fill>
      <patternFill patternType="solid">
        <fgColor rgb="FFFFE497"/>
        <bgColor indexed="64"/>
      </patternFill>
    </fill>
    <fill>
      <patternFill patternType="solid">
        <fgColor rgb="FFFFFFFF"/>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89">
    <xf numFmtId="0" fontId="0" fillId="0" borderId="0" xfId="0"/>
    <xf numFmtId="0" fontId="2" fillId="0" borderId="1" xfId="0" applyFont="1" applyBorder="1" applyAlignment="1">
      <alignment horizontal="center" vertical="top"/>
    </xf>
    <xf numFmtId="0" fontId="0" fillId="2" borderId="0" xfId="0" applyFill="1"/>
    <xf numFmtId="0" fontId="2" fillId="0" borderId="0" xfId="0" applyFont="1"/>
    <xf numFmtId="0" fontId="4" fillId="0" borderId="2" xfId="0" applyFont="1" applyBorder="1"/>
    <xf numFmtId="0" fontId="4" fillId="2" borderId="2" xfId="0" applyFont="1" applyFill="1" applyBorder="1" applyAlignment="1">
      <alignment vertical="top"/>
    </xf>
    <xf numFmtId="0" fontId="4" fillId="2" borderId="2" xfId="0" quotePrefix="1" applyFont="1" applyFill="1" applyBorder="1" applyAlignment="1">
      <alignment vertical="top" wrapText="1"/>
    </xf>
    <xf numFmtId="0" fontId="4" fillId="2" borderId="2" xfId="0" applyFont="1" applyFill="1" applyBorder="1" applyAlignment="1">
      <alignment vertical="top" wrapText="1"/>
    </xf>
    <xf numFmtId="0" fontId="4" fillId="0" borderId="2" xfId="0" applyFont="1" applyBorder="1" applyAlignment="1">
      <alignment vertical="center"/>
    </xf>
    <xf numFmtId="0" fontId="4" fillId="0" borderId="2" xfId="0" applyFont="1" applyBorder="1" applyAlignment="1">
      <alignment vertical="center" wrapText="1"/>
    </xf>
    <xf numFmtId="0" fontId="3" fillId="0" borderId="2" xfId="1" applyBorder="1" applyAlignment="1">
      <alignment vertical="center" wrapText="1"/>
    </xf>
    <xf numFmtId="0" fontId="4" fillId="2" borderId="2" xfId="0" quotePrefix="1" applyFont="1" applyFill="1" applyBorder="1" applyAlignment="1">
      <alignment vertical="center" wrapText="1"/>
    </xf>
    <xf numFmtId="0" fontId="4" fillId="2" borderId="2" xfId="0" applyFont="1" applyFill="1" applyBorder="1" applyAlignment="1">
      <alignment vertical="center" wrapText="1"/>
    </xf>
    <xf numFmtId="0" fontId="4" fillId="2" borderId="2" xfId="0" applyFont="1" applyFill="1" applyBorder="1" applyAlignment="1">
      <alignment vertical="center"/>
    </xf>
    <xf numFmtId="0" fontId="0" fillId="0" borderId="0" xfId="0" applyAlignment="1">
      <alignment vertical="center"/>
    </xf>
    <xf numFmtId="0" fontId="4" fillId="0" borderId="3" xfId="0" applyFont="1" applyBorder="1" applyAlignment="1">
      <alignment vertical="center" wrapText="1"/>
    </xf>
    <xf numFmtId="0" fontId="5" fillId="0" borderId="3" xfId="0" applyFont="1" applyBorder="1" applyAlignment="1">
      <alignment vertical="center" wrapText="1"/>
    </xf>
    <xf numFmtId="0" fontId="0" fillId="0" borderId="2" xfId="0" applyBorder="1" applyAlignment="1">
      <alignment vertical="center"/>
    </xf>
    <xf numFmtId="0" fontId="0" fillId="2" borderId="2" xfId="0" applyFill="1" applyBorder="1" applyAlignment="1">
      <alignment vertical="center"/>
    </xf>
    <xf numFmtId="0" fontId="0" fillId="2" borderId="2" xfId="0" applyFill="1" applyBorder="1" applyAlignment="1">
      <alignment vertical="center" wrapText="1"/>
    </xf>
    <xf numFmtId="0" fontId="4" fillId="2" borderId="5" xfId="0" applyFont="1" applyFill="1" applyBorder="1" applyAlignment="1">
      <alignment vertical="top"/>
    </xf>
    <xf numFmtId="0" fontId="4" fillId="2" borderId="5" xfId="0" quotePrefix="1" applyFont="1" applyFill="1" applyBorder="1" applyAlignment="1">
      <alignment vertical="top" wrapText="1"/>
    </xf>
    <xf numFmtId="0" fontId="4" fillId="2" borderId="5" xfId="0" applyFont="1" applyFill="1" applyBorder="1" applyAlignment="1">
      <alignment vertical="top" wrapText="1"/>
    </xf>
    <xf numFmtId="43" fontId="6" fillId="0" borderId="0" xfId="0" applyNumberFormat="1" applyFont="1"/>
    <xf numFmtId="43" fontId="5" fillId="0" borderId="4" xfId="0" applyNumberFormat="1" applyFont="1" applyBorder="1" applyAlignment="1">
      <alignment vertical="center"/>
    </xf>
    <xf numFmtId="43" fontId="4" fillId="0" borderId="2" xfId="0" applyNumberFormat="1" applyFont="1" applyBorder="1"/>
    <xf numFmtId="43" fontId="4" fillId="0" borderId="2" xfId="0" applyNumberFormat="1" applyFont="1" applyBorder="1" applyAlignment="1">
      <alignment vertical="center"/>
    </xf>
    <xf numFmtId="0" fontId="2" fillId="0" borderId="2" xfId="0" applyFont="1" applyBorder="1"/>
    <xf numFmtId="0" fontId="7" fillId="0" borderId="0" xfId="0" applyFont="1" applyAlignment="1">
      <alignment vertical="center"/>
    </xf>
    <xf numFmtId="43" fontId="5" fillId="0" borderId="2" xfId="0" applyNumberFormat="1" applyFont="1" applyBorder="1" applyAlignment="1">
      <alignment vertical="center"/>
    </xf>
    <xf numFmtId="43" fontId="4" fillId="0" borderId="5" xfId="0" applyNumberFormat="1" applyFont="1" applyBorder="1"/>
    <xf numFmtId="0" fontId="0" fillId="0" borderId="6" xfId="0" applyBorder="1" applyAlignment="1">
      <alignment vertical="center"/>
    </xf>
    <xf numFmtId="0" fontId="2" fillId="0" borderId="3" xfId="0" applyFont="1" applyBorder="1" applyAlignment="1">
      <alignment horizontal="center" vertical="top"/>
    </xf>
    <xf numFmtId="43" fontId="6" fillId="0" borderId="2" xfId="0" applyNumberFormat="1" applyFont="1" applyBorder="1" applyAlignment="1">
      <alignment vertical="center"/>
    </xf>
    <xf numFmtId="0" fontId="5" fillId="0" borderId="2" xfId="0" applyFont="1" applyBorder="1" applyAlignment="1">
      <alignment vertical="center" wrapText="1"/>
    </xf>
    <xf numFmtId="0" fontId="4" fillId="0" borderId="5" xfId="0" applyFont="1" applyBorder="1"/>
    <xf numFmtId="0" fontId="3" fillId="0" borderId="2" xfId="1" applyBorder="1" applyAlignment="1">
      <alignment vertical="center"/>
    </xf>
    <xf numFmtId="0" fontId="8" fillId="2" borderId="2" xfId="0" applyFont="1"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7" xfId="0"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xf>
    <xf numFmtId="0" fontId="3" fillId="0" borderId="2" xfId="1" applyBorder="1" applyAlignment="1">
      <alignment horizontal="center" vertical="center"/>
    </xf>
    <xf numFmtId="43" fontId="6" fillId="0" borderId="2" xfId="0" applyNumberFormat="1" applyFont="1" applyBorder="1" applyAlignment="1">
      <alignment horizontal="center" vertical="center"/>
    </xf>
    <xf numFmtId="9" fontId="0" fillId="0" borderId="2" xfId="0" applyNumberFormat="1" applyBorder="1" applyAlignment="1">
      <alignment horizontal="center" vertic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43" fontId="5" fillId="0" borderId="2"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quotePrefix="1" applyFont="1" applyBorder="1" applyAlignment="1">
      <alignment horizontal="center" vertical="center" wrapText="1"/>
    </xf>
    <xf numFmtId="43" fontId="4" fillId="0" borderId="2" xfId="0" applyNumberFormat="1"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0" fontId="3" fillId="0" borderId="7" xfId="1" applyBorder="1" applyAlignment="1">
      <alignment horizontal="center" vertical="center" wrapText="1"/>
    </xf>
    <xf numFmtId="0" fontId="4" fillId="0" borderId="7" xfId="0" quotePrefix="1" applyFont="1" applyBorder="1" applyAlignment="1">
      <alignment horizontal="center" vertical="center" wrapText="1"/>
    </xf>
    <xf numFmtId="0" fontId="3" fillId="0" borderId="2" xfId="1" applyBorder="1" applyAlignment="1">
      <alignment horizontal="center" vertical="center" wrapText="1"/>
    </xf>
    <xf numFmtId="0" fontId="10" fillId="0" borderId="2" xfId="0" applyFont="1" applyBorder="1" applyAlignment="1">
      <alignment horizontal="center" vertical="top" wrapText="1"/>
    </xf>
    <xf numFmtId="0" fontId="8" fillId="0" borderId="2" xfId="0" applyFont="1" applyBorder="1" applyAlignment="1">
      <alignment wrapText="1"/>
    </xf>
    <xf numFmtId="0" fontId="2" fillId="0" borderId="2"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7" xfId="0" applyFont="1" applyBorder="1"/>
    <xf numFmtId="0" fontId="0" fillId="0" borderId="9" xfId="0" applyBorder="1" applyAlignment="1">
      <alignment horizontal="center" vertical="center"/>
    </xf>
    <xf numFmtId="0" fontId="0" fillId="0" borderId="6" xfId="0" applyBorder="1" applyAlignment="1">
      <alignment horizontal="center" vertical="center" wrapText="1"/>
    </xf>
    <xf numFmtId="0" fontId="4" fillId="0" borderId="7" xfId="0" quotePrefix="1" applyFont="1" applyBorder="1" applyAlignment="1">
      <alignment horizontal="left" vertical="center" wrapText="1"/>
    </xf>
    <xf numFmtId="0" fontId="2" fillId="0" borderId="3" xfId="0" applyFont="1" applyBorder="1" applyAlignment="1">
      <alignment horizontal="left" vertical="center"/>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0" fillId="0" borderId="2" xfId="0" applyBorder="1" applyAlignment="1">
      <alignment horizontal="left" vertical="center" wrapText="1"/>
    </xf>
    <xf numFmtId="0" fontId="4" fillId="0" borderId="2" xfId="0" applyFont="1" applyBorder="1" applyAlignment="1">
      <alignment horizontal="left" vertical="center" wrapText="1"/>
    </xf>
    <xf numFmtId="0" fontId="4" fillId="0" borderId="2" xfId="0" quotePrefix="1" applyFont="1" applyBorder="1" applyAlignment="1">
      <alignment horizontal="left" vertical="center" wrapText="1"/>
    </xf>
    <xf numFmtId="0" fontId="0" fillId="0" borderId="0" xfId="0" applyAlignment="1">
      <alignment horizontal="left" vertical="center"/>
    </xf>
    <xf numFmtId="0" fontId="11" fillId="3" borderId="0" xfId="0" applyFont="1" applyFill="1" applyAlignment="1">
      <alignment wrapText="1"/>
    </xf>
    <xf numFmtId="43" fontId="4" fillId="0" borderId="10" xfId="0" applyNumberFormat="1" applyFont="1" applyBorder="1" applyAlignment="1">
      <alignment horizontal="center" vertical="center"/>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3" fillId="0" borderId="5" xfId="1" applyBorder="1" applyAlignment="1">
      <alignment horizontal="center" vertical="center" wrapText="1"/>
    </xf>
    <xf numFmtId="0" fontId="4" fillId="0" borderId="7" xfId="0" applyFont="1" applyBorder="1" applyAlignment="1">
      <alignment horizontal="left" vertical="center" wrapText="1"/>
    </xf>
    <xf numFmtId="1" fontId="0" fillId="0" borderId="2" xfId="0" applyNumberFormat="1" applyBorder="1" applyAlignment="1">
      <alignment horizontal="center" vertical="center" wrapText="1"/>
    </xf>
    <xf numFmtId="43" fontId="4" fillId="0" borderId="10" xfId="0" applyNumberFormat="1" applyFont="1" applyBorder="1" applyAlignment="1">
      <alignment horizontal="center" vertical="center"/>
    </xf>
    <xf numFmtId="43" fontId="4" fillId="0" borderId="11" xfId="0" applyNumberFormat="1" applyFont="1" applyBorder="1" applyAlignment="1">
      <alignment horizontal="center" vertical="center"/>
    </xf>
    <xf numFmtId="43" fontId="4" fillId="0" borderId="12" xfId="0" applyNumberFormat="1" applyFont="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lashade Jaiyeola" id="{A6854CA1-4EDF-4CF5-B687-78413383828F}" userId="S::folashade.jaiyeola@undp.org::c208a32e-6303-48b2-9538-645490e996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5" dT="2025-02-03T21:57:22.03" personId="{A6854CA1-4EDF-4CF5-B687-78413383828F}" id="{BCF3EEEC-5401-4AAD-8889-183ACF9B2390}">
    <text>ID# for this specific project is 00113647. 101442 is the umbrella program</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dropbox.com/scl/fi/l3y63sswt3thpkl4jf7j0/Prodoc-en-francais_Pour-Signature_DK.docx?rlkey=5c6x4qy6za2w8qvn7ct62q3w1&amp;dl=0" TargetMode="External"/><Relationship Id="rId2" Type="http://schemas.openxmlformats.org/officeDocument/2006/relationships/hyperlink" Target="https://open.undp.org/projects/00142763" TargetMode="External"/><Relationship Id="rId1" Type="http://schemas.openxmlformats.org/officeDocument/2006/relationships/hyperlink" Target="https://open.undp.org/projects/00101442"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42763" TargetMode="External"/><Relationship Id="rId1" Type="http://schemas.openxmlformats.org/officeDocument/2006/relationships/hyperlink" Target="https://eur03.safelinks.protection.outlook.com/?url=https%3A%2F%2Fopen.undp.org%2Fprojects%2F00101442&amp;data=05%7C01%7Ckouadio.ngoran%40undp.org%7C8174e515522d41735f2208db564e0560%7Cb3e5db5e2944483799f57488ace54319%7C0%7C0%7C638198665316445758%7CUnknown%7CTWFpbGZsb3d8eyJWIjoiMC4wLjAwMDAiLCJQIjoiV2luMzIiLCJBTiI6Ik1haWwiLCJXVCI6Mn0%3D%7C3000%7C%7C%7C&amp;sdata=S%2FjfZZMQtlRtIUJFFZYDOzd5KWGPa5CW2xyfbYrD1vw%3D&amp;reserved=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ur03.safelinks.protection.outlook.com/?url=https%3A%2F%2Fopen.undp.org%2Fprojects%2F00101442&amp;data=05%7C01%7Ckouadio.ngoran%40undp.org%7C8174e515522d41735f2208db564e0560%7Cb3e5db5e2944483799f57488ace54319%7C0%7C0%7C638198665316445758%7CUnknown%7CTWFpbGZsb3d8eyJWIjoiMC4wLjAwMDAiLCJQIjoiV2luMzIiLCJBTiI6Ik1haWwiLCJXVCI6Mn0%3D%7C3000%7C%7C%7C&amp;sdata=S%2FjfZZMQtlRtIUJFFZYDOzd5KWGPa5CW2xyfbYrD1vw%3D&amp;reserved=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C77E-62DB-45BF-8B95-93633D45B2E3}">
  <dimension ref="A1:U17"/>
  <sheetViews>
    <sheetView tabSelected="1" topLeftCell="B7" workbookViewId="0">
      <selection activeCell="B4" sqref="B4"/>
    </sheetView>
  </sheetViews>
  <sheetFormatPr defaultRowHeight="15"/>
  <cols>
    <col min="1" max="1" width="9.140625" style="44"/>
    <col min="2" max="2" width="56.5703125" style="44" bestFit="1" customWidth="1"/>
    <col min="3" max="3" width="20.7109375" style="44" customWidth="1"/>
    <col min="4" max="4" width="15.85546875" style="44" bestFit="1" customWidth="1"/>
    <col min="5" max="6" width="20.7109375" style="44" customWidth="1"/>
    <col min="7" max="7" width="12.7109375" style="44" customWidth="1"/>
    <col min="8" max="8" width="17.42578125" style="44" customWidth="1"/>
    <col min="9" max="9" width="73" style="74" customWidth="1"/>
    <col min="10" max="10" width="9.140625" style="44"/>
    <col min="11" max="11" width="13.42578125" style="44" customWidth="1"/>
    <col min="12" max="13" width="9.140625" style="44"/>
    <col min="14" max="14" width="31.5703125" style="44" customWidth="1"/>
    <col min="15" max="15" width="12.85546875" style="44" customWidth="1"/>
    <col min="16" max="16" width="9.140625" style="44"/>
    <col min="17" max="17" width="16.5703125" style="44" bestFit="1" customWidth="1"/>
    <col min="18" max="18" width="18.140625" style="44" bestFit="1" customWidth="1"/>
    <col min="19" max="19" width="13.42578125" style="44" bestFit="1" customWidth="1"/>
    <col min="20" max="20" width="30.28515625" style="44" bestFit="1" customWidth="1"/>
    <col min="21" max="21" width="16.7109375" style="44" bestFit="1" customWidth="1"/>
    <col min="22" max="16384" width="9.140625" style="44"/>
  </cols>
  <sheetData>
    <row r="1" spans="1:21">
      <c r="A1" s="41" t="s">
        <v>0</v>
      </c>
      <c r="B1" s="41" t="s">
        <v>1</v>
      </c>
      <c r="C1" s="41" t="s">
        <v>2</v>
      </c>
      <c r="D1" s="41" t="s">
        <v>3</v>
      </c>
      <c r="E1" s="41" t="s">
        <v>4</v>
      </c>
      <c r="F1" s="41" t="s">
        <v>5</v>
      </c>
      <c r="G1" s="41" t="s">
        <v>6</v>
      </c>
      <c r="H1" s="41" t="s">
        <v>7</v>
      </c>
      <c r="I1" s="68" t="s">
        <v>8</v>
      </c>
      <c r="J1" s="42" t="s">
        <v>9</v>
      </c>
      <c r="K1" s="43" t="s">
        <v>10</v>
      </c>
      <c r="L1" s="61" t="s">
        <v>11</v>
      </c>
      <c r="M1" s="62" t="s">
        <v>12</v>
      </c>
      <c r="N1" s="61" t="s">
        <v>13</v>
      </c>
      <c r="O1" s="61" t="s">
        <v>14</v>
      </c>
      <c r="P1" s="62" t="s">
        <v>15</v>
      </c>
      <c r="Q1" s="62" t="s">
        <v>16</v>
      </c>
      <c r="R1" s="63" t="s">
        <v>17</v>
      </c>
      <c r="S1" s="64" t="s">
        <v>18</v>
      </c>
      <c r="T1" s="63" t="s">
        <v>19</v>
      </c>
      <c r="U1" s="64" t="s">
        <v>20</v>
      </c>
    </row>
    <row r="2" spans="1:21" ht="76.5">
      <c r="A2" s="38">
        <v>142763</v>
      </c>
      <c r="B2" s="38" t="s">
        <v>21</v>
      </c>
      <c r="C2" s="45" t="s">
        <v>22</v>
      </c>
      <c r="D2" s="46">
        <v>45000000</v>
      </c>
      <c r="E2" s="38" t="s">
        <v>23</v>
      </c>
      <c r="F2" s="39" t="s">
        <v>24</v>
      </c>
      <c r="G2" s="38">
        <v>0</v>
      </c>
      <c r="H2" s="82">
        <v>12000000</v>
      </c>
      <c r="I2" s="69" t="s">
        <v>25</v>
      </c>
      <c r="J2" s="38" t="s">
        <v>26</v>
      </c>
      <c r="K2" s="38"/>
      <c r="L2" s="65" t="s">
        <v>27</v>
      </c>
      <c r="M2" s="38"/>
      <c r="N2" s="66" t="s">
        <v>28</v>
      </c>
      <c r="O2" s="38"/>
      <c r="P2" s="38"/>
      <c r="Q2" s="38"/>
      <c r="R2" s="38"/>
      <c r="S2" s="17" t="s">
        <v>29</v>
      </c>
      <c r="T2" s="38"/>
      <c r="U2" s="17"/>
    </row>
    <row r="3" spans="1:21" ht="45.75">
      <c r="A3" s="38"/>
      <c r="B3" s="38"/>
      <c r="C3" s="38"/>
      <c r="D3" s="46"/>
      <c r="E3" s="38" t="s">
        <v>30</v>
      </c>
      <c r="F3" s="39" t="s">
        <v>31</v>
      </c>
      <c r="G3" s="38">
        <v>0</v>
      </c>
      <c r="H3" s="82">
        <v>2145000</v>
      </c>
      <c r="I3" s="70" t="s">
        <v>32</v>
      </c>
      <c r="J3" s="38" t="s">
        <v>26</v>
      </c>
      <c r="K3" s="38"/>
      <c r="L3" s="65" t="s">
        <v>27</v>
      </c>
      <c r="M3" s="38"/>
      <c r="N3" s="66" t="s">
        <v>28</v>
      </c>
      <c r="O3" s="38"/>
      <c r="P3" s="38"/>
      <c r="Q3" s="38"/>
      <c r="R3" s="38"/>
      <c r="S3" s="17"/>
      <c r="T3" s="38"/>
      <c r="U3" s="17"/>
    </row>
    <row r="4" spans="1:21" ht="45.75">
      <c r="A4" s="38"/>
      <c r="B4" s="38"/>
      <c r="C4" s="38"/>
      <c r="D4" s="46"/>
      <c r="E4" s="38" t="s">
        <v>33</v>
      </c>
      <c r="F4" s="39" t="s">
        <v>34</v>
      </c>
      <c r="G4" s="38">
        <v>0</v>
      </c>
      <c r="H4" s="82">
        <v>101760</v>
      </c>
      <c r="I4" s="71" t="s">
        <v>35</v>
      </c>
      <c r="J4" s="38" t="s">
        <v>26</v>
      </c>
      <c r="K4" s="47">
        <v>0.4</v>
      </c>
      <c r="L4" s="65" t="s">
        <v>27</v>
      </c>
      <c r="M4" s="38"/>
      <c r="N4" s="66" t="s">
        <v>28</v>
      </c>
      <c r="O4" s="38"/>
      <c r="P4" s="38"/>
      <c r="Q4" s="38"/>
      <c r="R4" s="38"/>
      <c r="S4" s="17"/>
      <c r="T4" s="38"/>
      <c r="U4" s="17"/>
    </row>
    <row r="5" spans="1:21" ht="45.75">
      <c r="A5" s="38"/>
      <c r="B5" s="38"/>
      <c r="C5" s="38"/>
      <c r="D5" s="46"/>
      <c r="E5" s="38" t="s">
        <v>36</v>
      </c>
      <c r="F5" s="39" t="s">
        <v>31</v>
      </c>
      <c r="G5" s="38">
        <v>0</v>
      </c>
      <c r="H5" s="82">
        <v>5000000</v>
      </c>
      <c r="I5" s="71" t="s">
        <v>37</v>
      </c>
      <c r="J5" s="38" t="s">
        <v>26</v>
      </c>
      <c r="K5" s="38"/>
      <c r="L5" s="65" t="s">
        <v>27</v>
      </c>
      <c r="M5" s="38"/>
      <c r="N5" s="66" t="s">
        <v>28</v>
      </c>
      <c r="O5" s="38"/>
      <c r="P5" s="38"/>
      <c r="Q5" s="38"/>
      <c r="R5" s="38"/>
      <c r="S5" s="17"/>
      <c r="T5" s="38"/>
      <c r="U5" s="17"/>
    </row>
    <row r="6" spans="1:21" ht="188.25">
      <c r="A6" s="48">
        <v>127148</v>
      </c>
      <c r="B6" s="49" t="s">
        <v>38</v>
      </c>
      <c r="C6" s="58" t="s">
        <v>39</v>
      </c>
      <c r="D6" s="50">
        <v>900000</v>
      </c>
      <c r="E6" s="51" t="s">
        <v>40</v>
      </c>
      <c r="F6" s="52" t="s">
        <v>41</v>
      </c>
      <c r="G6" s="51">
        <v>0</v>
      </c>
      <c r="H6" s="48">
        <v>0.51500000000000001</v>
      </c>
      <c r="I6" s="72" t="s">
        <v>42</v>
      </c>
      <c r="J6" s="38" t="s">
        <v>43</v>
      </c>
      <c r="K6" s="38"/>
      <c r="L6" s="65" t="s">
        <v>44</v>
      </c>
      <c r="M6" s="38"/>
      <c r="N6" s="66" t="s">
        <v>28</v>
      </c>
      <c r="O6" s="38" t="s">
        <v>23</v>
      </c>
      <c r="P6" s="38"/>
      <c r="Q6" s="38" t="s">
        <v>45</v>
      </c>
      <c r="R6" s="38" t="s">
        <v>46</v>
      </c>
      <c r="S6" s="17" t="s">
        <v>47</v>
      </c>
      <c r="T6" s="38" t="s">
        <v>48</v>
      </c>
      <c r="U6" s="17"/>
    </row>
    <row r="7" spans="1:21" ht="24.75">
      <c r="A7" s="48"/>
      <c r="B7" s="49"/>
      <c r="C7" s="58"/>
      <c r="D7" s="50"/>
      <c r="E7" s="51" t="s">
        <v>23</v>
      </c>
      <c r="F7" s="52" t="s">
        <v>49</v>
      </c>
      <c r="G7" s="51">
        <v>0</v>
      </c>
      <c r="H7" s="48" t="s">
        <v>50</v>
      </c>
      <c r="I7" s="72" t="s">
        <v>51</v>
      </c>
      <c r="J7" s="38" t="s">
        <v>43</v>
      </c>
      <c r="K7" s="38"/>
      <c r="L7" s="65" t="s">
        <v>44</v>
      </c>
      <c r="M7" s="38"/>
      <c r="N7" s="66" t="s">
        <v>28</v>
      </c>
      <c r="O7" s="38" t="s">
        <v>23</v>
      </c>
      <c r="P7" s="38"/>
      <c r="Q7" s="38" t="s">
        <v>45</v>
      </c>
      <c r="R7" s="38" t="s">
        <v>46</v>
      </c>
      <c r="S7" s="17" t="s">
        <v>47</v>
      </c>
      <c r="T7" s="38" t="s">
        <v>48</v>
      </c>
      <c r="U7" s="17"/>
    </row>
    <row r="8" spans="1:21">
      <c r="A8" s="48"/>
      <c r="B8" s="49"/>
      <c r="C8" s="58"/>
      <c r="D8" s="50"/>
      <c r="E8" s="51" t="s">
        <v>52</v>
      </c>
      <c r="F8" s="52" t="s">
        <v>53</v>
      </c>
      <c r="G8" s="51">
        <v>0</v>
      </c>
      <c r="H8" s="48">
        <v>189</v>
      </c>
      <c r="I8" s="72"/>
      <c r="J8" s="38" t="s">
        <v>43</v>
      </c>
      <c r="K8" s="38"/>
      <c r="L8" s="65" t="s">
        <v>44</v>
      </c>
      <c r="M8" s="38"/>
      <c r="N8" s="66" t="s">
        <v>28</v>
      </c>
      <c r="O8" s="38" t="s">
        <v>23</v>
      </c>
      <c r="P8" s="38"/>
      <c r="Q8" s="38" t="s">
        <v>45</v>
      </c>
      <c r="R8" s="38" t="s">
        <v>46</v>
      </c>
      <c r="S8" s="17" t="s">
        <v>47</v>
      </c>
      <c r="T8" s="38" t="s">
        <v>48</v>
      </c>
      <c r="U8" s="17"/>
    </row>
    <row r="9" spans="1:21" ht="24.75">
      <c r="A9" s="48"/>
      <c r="B9" s="49"/>
      <c r="C9" s="58"/>
      <c r="D9" s="50"/>
      <c r="E9" s="51" t="s">
        <v>23</v>
      </c>
      <c r="F9" s="52" t="s">
        <v>54</v>
      </c>
      <c r="G9" s="51">
        <v>0</v>
      </c>
      <c r="H9" s="48">
        <v>29</v>
      </c>
      <c r="I9" s="72"/>
      <c r="J9" s="38" t="s">
        <v>43</v>
      </c>
      <c r="K9" s="38"/>
      <c r="L9" s="65" t="s">
        <v>44</v>
      </c>
      <c r="M9" s="38"/>
      <c r="N9" s="66" t="s">
        <v>28</v>
      </c>
      <c r="O9" s="38" t="s">
        <v>23</v>
      </c>
      <c r="P9" s="38"/>
      <c r="Q9" s="38" t="s">
        <v>45</v>
      </c>
      <c r="R9" s="38" t="s">
        <v>46</v>
      </c>
      <c r="S9" s="17" t="s">
        <v>47</v>
      </c>
      <c r="T9" s="38" t="s">
        <v>48</v>
      </c>
      <c r="U9" s="17"/>
    </row>
    <row r="10" spans="1:21" ht="24.75">
      <c r="A10" s="48"/>
      <c r="B10" s="49"/>
      <c r="C10" s="58"/>
      <c r="D10" s="50"/>
      <c r="E10" s="51" t="s">
        <v>30</v>
      </c>
      <c r="F10" s="52" t="s">
        <v>55</v>
      </c>
      <c r="G10" s="51">
        <v>0</v>
      </c>
      <c r="H10" s="48">
        <v>23</v>
      </c>
      <c r="I10" s="72"/>
      <c r="J10" s="38" t="s">
        <v>43</v>
      </c>
      <c r="K10" s="38"/>
      <c r="L10" s="65" t="s">
        <v>44</v>
      </c>
      <c r="M10" s="38"/>
      <c r="N10" s="66" t="s">
        <v>28</v>
      </c>
      <c r="O10" s="38" t="s">
        <v>23</v>
      </c>
      <c r="P10" s="38"/>
      <c r="Q10" s="38" t="s">
        <v>45</v>
      </c>
      <c r="R10" s="38" t="s">
        <v>46</v>
      </c>
      <c r="S10" s="17" t="s">
        <v>47</v>
      </c>
      <c r="T10" s="38" t="s">
        <v>48</v>
      </c>
      <c r="U10" s="17"/>
    </row>
    <row r="11" spans="1:21" ht="37.5">
      <c r="A11" s="48"/>
      <c r="B11" s="49"/>
      <c r="C11" s="58"/>
      <c r="D11" s="50"/>
      <c r="E11" s="51" t="s">
        <v>23</v>
      </c>
      <c r="F11" s="52" t="s">
        <v>56</v>
      </c>
      <c r="G11" s="51">
        <v>0</v>
      </c>
      <c r="H11" s="44">
        <v>16</v>
      </c>
      <c r="I11" s="72"/>
      <c r="J11" s="38" t="s">
        <v>43</v>
      </c>
      <c r="K11" s="38"/>
      <c r="L11" s="65" t="s">
        <v>44</v>
      </c>
      <c r="M11" s="38"/>
      <c r="N11" s="66" t="s">
        <v>28</v>
      </c>
      <c r="O11" s="38" t="s">
        <v>23</v>
      </c>
      <c r="P11" s="38"/>
      <c r="Q11" s="38" t="s">
        <v>45</v>
      </c>
      <c r="R11" s="38" t="s">
        <v>46</v>
      </c>
      <c r="S11" s="17" t="s">
        <v>47</v>
      </c>
      <c r="T11" s="38" t="s">
        <v>48</v>
      </c>
      <c r="U11" s="17"/>
    </row>
    <row r="12" spans="1:21" ht="113.25">
      <c r="A12" s="54">
        <v>4690</v>
      </c>
      <c r="B12" s="54" t="s">
        <v>57</v>
      </c>
      <c r="C12" s="54" t="s">
        <v>58</v>
      </c>
      <c r="D12" s="53">
        <v>3187669</v>
      </c>
      <c r="E12" s="48" t="s">
        <v>59</v>
      </c>
      <c r="F12" s="52" t="s">
        <v>60</v>
      </c>
      <c r="G12" s="52">
        <v>20</v>
      </c>
      <c r="H12" s="52" t="s">
        <v>61</v>
      </c>
      <c r="I12" s="72" t="s">
        <v>62</v>
      </c>
      <c r="J12" s="38" t="s">
        <v>63</v>
      </c>
      <c r="K12" s="38"/>
      <c r="L12" s="65" t="s">
        <v>44</v>
      </c>
      <c r="M12" s="38"/>
      <c r="N12" s="66" t="s">
        <v>28</v>
      </c>
      <c r="O12" s="38" t="s">
        <v>23</v>
      </c>
      <c r="P12" s="38"/>
      <c r="Q12" s="38" t="s">
        <v>45</v>
      </c>
      <c r="R12" s="38"/>
      <c r="S12" s="17" t="s">
        <v>29</v>
      </c>
      <c r="T12" s="38" t="s">
        <v>48</v>
      </c>
      <c r="U12" s="17"/>
    </row>
    <row r="13" spans="1:21" ht="24.75">
      <c r="A13" s="54"/>
      <c r="B13" s="54"/>
      <c r="C13" s="54"/>
      <c r="D13" s="76"/>
      <c r="E13" s="55" t="s">
        <v>19</v>
      </c>
      <c r="F13" s="52" t="s">
        <v>64</v>
      </c>
      <c r="G13" s="57">
        <v>1</v>
      </c>
      <c r="H13" s="57">
        <v>2</v>
      </c>
      <c r="I13" s="81" t="s">
        <v>65</v>
      </c>
      <c r="J13" s="38" t="s">
        <v>63</v>
      </c>
      <c r="K13" s="40"/>
      <c r="L13" s="65" t="s">
        <v>44</v>
      </c>
      <c r="M13" s="38"/>
      <c r="N13" s="66" t="s">
        <v>28</v>
      </c>
      <c r="O13" s="38" t="s">
        <v>23</v>
      </c>
      <c r="P13" s="38"/>
      <c r="Q13" s="38" t="s">
        <v>66</v>
      </c>
      <c r="R13" s="38"/>
      <c r="S13" s="17" t="s">
        <v>29</v>
      </c>
      <c r="T13" s="38" t="s">
        <v>48</v>
      </c>
      <c r="U13" s="17"/>
    </row>
    <row r="14" spans="1:21" ht="24.75">
      <c r="A14" s="54"/>
      <c r="B14" s="54"/>
      <c r="C14" s="54"/>
      <c r="D14" s="76"/>
      <c r="E14" s="55" t="s">
        <v>19</v>
      </c>
      <c r="F14" s="57" t="s">
        <v>67</v>
      </c>
      <c r="G14" s="57">
        <v>0</v>
      </c>
      <c r="H14" s="57">
        <v>3</v>
      </c>
      <c r="I14" s="81" t="s">
        <v>68</v>
      </c>
      <c r="J14" s="38" t="s">
        <v>63</v>
      </c>
      <c r="K14" s="40"/>
      <c r="L14" s="65" t="s">
        <v>44</v>
      </c>
      <c r="M14" s="38"/>
      <c r="N14" s="66" t="s">
        <v>28</v>
      </c>
      <c r="O14" s="38" t="s">
        <v>23</v>
      </c>
      <c r="P14" s="38"/>
      <c r="Q14" s="38" t="s">
        <v>66</v>
      </c>
      <c r="R14" s="38"/>
      <c r="S14" s="17" t="s">
        <v>29</v>
      </c>
      <c r="T14" s="38" t="s">
        <v>48</v>
      </c>
      <c r="U14" s="17"/>
    </row>
    <row r="15" spans="1:21" ht="100.5">
      <c r="A15" s="55" t="s">
        <v>69</v>
      </c>
      <c r="B15" s="55" t="s">
        <v>70</v>
      </c>
      <c r="C15" s="56" t="s">
        <v>71</v>
      </c>
      <c r="D15" s="83">
        <v>15000000</v>
      </c>
      <c r="E15" s="57" t="s">
        <v>19</v>
      </c>
      <c r="F15" s="55" t="s">
        <v>72</v>
      </c>
      <c r="G15" s="54">
        <v>0</v>
      </c>
      <c r="H15" s="57">
        <v>3</v>
      </c>
      <c r="I15" s="67" t="s">
        <v>73</v>
      </c>
      <c r="J15" s="40" t="s">
        <v>74</v>
      </c>
      <c r="K15" s="40"/>
      <c r="L15" s="65" t="s">
        <v>27</v>
      </c>
      <c r="M15" s="38"/>
      <c r="N15" s="66" t="s">
        <v>28</v>
      </c>
      <c r="O15" s="38" t="s">
        <v>75</v>
      </c>
      <c r="P15" s="38"/>
      <c r="Q15" s="38" t="s">
        <v>45</v>
      </c>
      <c r="R15" s="38" t="s">
        <v>75</v>
      </c>
      <c r="S15" s="17" t="s">
        <v>76</v>
      </c>
      <c r="T15" s="38" t="s">
        <v>77</v>
      </c>
      <c r="U15" s="17"/>
    </row>
    <row r="16" spans="1:21" ht="24.75">
      <c r="A16" s="78"/>
      <c r="B16" s="77"/>
      <c r="C16" s="80"/>
      <c r="D16" s="84"/>
      <c r="E16" s="52" t="s">
        <v>75</v>
      </c>
      <c r="F16" s="75" t="s">
        <v>78</v>
      </c>
      <c r="G16" s="51">
        <v>0</v>
      </c>
      <c r="H16" s="52" t="s">
        <v>79</v>
      </c>
      <c r="I16" s="73" t="s">
        <v>80</v>
      </c>
      <c r="J16" s="40" t="s">
        <v>74</v>
      </c>
      <c r="K16" s="38"/>
      <c r="L16" s="65" t="s">
        <v>27</v>
      </c>
      <c r="M16" s="38"/>
      <c r="N16" s="66" t="s">
        <v>28</v>
      </c>
      <c r="O16" s="38" t="s">
        <v>75</v>
      </c>
      <c r="P16" s="38"/>
      <c r="Q16" s="38" t="s">
        <v>45</v>
      </c>
      <c r="R16" s="38" t="s">
        <v>75</v>
      </c>
      <c r="S16" s="17" t="s">
        <v>81</v>
      </c>
      <c r="T16" s="38" t="s">
        <v>77</v>
      </c>
      <c r="U16" s="17"/>
    </row>
    <row r="17" spans="1:21" ht="24.75">
      <c r="A17" s="78"/>
      <c r="B17" s="79"/>
      <c r="C17" s="80"/>
      <c r="D17" s="85"/>
      <c r="E17" s="52" t="s">
        <v>75</v>
      </c>
      <c r="F17" s="75" t="s">
        <v>82</v>
      </c>
      <c r="G17" s="51">
        <v>0</v>
      </c>
      <c r="H17" s="52" t="s">
        <v>83</v>
      </c>
      <c r="I17" s="73" t="s">
        <v>84</v>
      </c>
      <c r="J17" s="40" t="s">
        <v>74</v>
      </c>
      <c r="K17" s="38"/>
      <c r="L17" s="65" t="s">
        <v>27</v>
      </c>
      <c r="M17" s="38"/>
      <c r="N17" s="66" t="s">
        <v>28</v>
      </c>
      <c r="O17" s="38" t="s">
        <v>75</v>
      </c>
      <c r="P17" s="38"/>
      <c r="Q17" s="38" t="s">
        <v>45</v>
      </c>
      <c r="R17" s="38" t="s">
        <v>75</v>
      </c>
      <c r="S17" s="17" t="s">
        <v>76</v>
      </c>
      <c r="T17" s="38" t="s">
        <v>77</v>
      </c>
      <c r="U17" s="17"/>
    </row>
  </sheetData>
  <mergeCells count="1">
    <mergeCell ref="D15:D17"/>
  </mergeCells>
  <dataValidations count="9">
    <dataValidation type="list" allowBlank="1" showInputMessage="1" showErrorMessage="1" sqref="Q2:Q17" xr:uid="{0B26237B-4359-408A-8E64-579C24471D17}">
      <formula1>"NDC Support, National Strategy, Legal Framework,Incentives and Support, Government Capacity-Building, Carbon Pricing and Monitoring, Financing Model, Business Model"</formula1>
    </dataValidation>
    <dataValidation type="list" allowBlank="1" showInputMessage="1" showErrorMessage="1" sqref="P2:P17" xr:uid="{97595FAC-86BE-43FD-AD6D-473E4F612E31}">
      <formula1>"AMP, PUDC, Solar4Health, Action Opportunities, Italy UNDP Energy Partnership"</formula1>
    </dataValidation>
    <dataValidation type="list" allowBlank="1" showInputMessage="1" showErrorMessage="1" sqref="N2:N17" xr:uid="{65207555-F8F2-4794-B826-34D7D81010F9}">
      <formula1>"Accelerating just energy transition, Close the gap on energy access, Scale up energy finance"</formula1>
    </dataValidation>
    <dataValidation type="list" allowBlank="1" showInputMessage="1" showErrorMessage="1" sqref="O2:O17" xr:uid="{DDC74171-65FF-488D-8AC8-641E9598CB81}">
      <formula1>"Electricity Access, Energy Efficiency, Clean Cooking, Renewable Energy, Overall"</formula1>
    </dataValidation>
    <dataValidation type="list" allowBlank="1" showInputMessage="1" showErrorMessage="1" sqref="L2:L17" xr:uid="{0CADE575-E85E-422D-A37E-8C3BDDD6DF9A}">
      <formula1>"Non-VF, VF"</formula1>
    </dataValidation>
    <dataValidation type="list" allowBlank="1" showInputMessage="1" showErrorMessage="1" sqref="M2:M17" xr:uid="{0D6EA96D-074C-46E6-AE07-361489226827}">
      <formula1>"Finance, Gender, Efficiency, Just, Health"</formula1>
    </dataValidation>
    <dataValidation type="list" allowBlank="1" showInputMessage="1" showErrorMessage="1" sqref="T2:T17" xr:uid="{A30A7A62-B25E-405D-B5F5-387EDFEB7C06}">
      <formula1>"National, Regional, City, Community"</formula1>
    </dataValidation>
    <dataValidation type="list" allowBlank="1" showInputMessage="1" showErrorMessage="1" sqref="R2:R17" xr:uid="{00AFDFCF-FF67-4B73-A67B-9147E9EA20D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7" xr:uid="{E4F4B738-A89A-4D41-9D9A-4FB547E58C76}">
      <formula1>"Solar, Wind, Bioenergy, Hydro, Geothermal, Waste, Some Sources, Other, Unknown"</formula1>
    </dataValidation>
  </dataValidations>
  <hyperlinks>
    <hyperlink ref="C15" r:id="rId1" xr:uid="{55F723DF-E662-43E9-AE8F-799408442A66}"/>
    <hyperlink ref="C2" r:id="rId2" xr:uid="{C98D25B8-9662-42B6-BDC3-81BCA7A3D192}"/>
    <hyperlink ref="C6" r:id="rId3" xr:uid="{8CC40E69-4BB8-405A-9751-38E4631C45C4}"/>
  </hyperlinks>
  <pageMargins left="0.7" right="0.7" top="0.75" bottom="0.75" header="0.3" footer="0.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448F134E-97EA-4B6A-9C90-340FC20EC502}">
          <x14:formula1>
            <xm:f>'Beneficiary Categories'!$A$2:$A$22</xm:f>
          </x14:formula1>
          <xm:sqref>E2:E17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6D20-81A4-4A51-BC39-B9FB9B959257}">
  <dimension ref="A1:N6"/>
  <sheetViews>
    <sheetView workbookViewId="0">
      <selection activeCell="L4" sqref="L4"/>
    </sheetView>
  </sheetViews>
  <sheetFormatPr defaultRowHeight="15"/>
  <cols>
    <col min="2" max="2" width="56.5703125" bestFit="1" customWidth="1"/>
    <col min="3" max="3" width="20.7109375" customWidth="1"/>
    <col min="4" max="4" width="14.7109375" bestFit="1" customWidth="1"/>
    <col min="5" max="6" width="20.7109375" customWidth="1"/>
    <col min="7" max="7" width="12.7109375" customWidth="1"/>
    <col min="8" max="8" width="17.42578125" customWidth="1"/>
    <col min="9" max="9" width="73" customWidth="1"/>
    <col min="13" max="13" width="13.42578125" customWidth="1"/>
  </cols>
  <sheetData>
    <row r="1" spans="1:14">
      <c r="A1" s="32" t="s">
        <v>0</v>
      </c>
      <c r="B1" s="32" t="s">
        <v>1</v>
      </c>
      <c r="C1" s="32" t="s">
        <v>2</v>
      </c>
      <c r="D1" s="32" t="s">
        <v>3</v>
      </c>
      <c r="E1" s="32" t="s">
        <v>4</v>
      </c>
      <c r="F1" s="32" t="s">
        <v>5</v>
      </c>
      <c r="G1" s="32" t="s">
        <v>6</v>
      </c>
      <c r="H1" s="32" t="s">
        <v>7</v>
      </c>
      <c r="I1" s="32" t="s">
        <v>8</v>
      </c>
      <c r="J1" s="3" t="s">
        <v>9</v>
      </c>
      <c r="K1" s="27" t="s">
        <v>10</v>
      </c>
      <c r="L1" s="27" t="s">
        <v>85</v>
      </c>
      <c r="M1" s="27" t="s">
        <v>86</v>
      </c>
    </row>
    <row r="2" spans="1:14" s="14" customFormat="1" ht="229.5">
      <c r="A2" s="17">
        <v>142763</v>
      </c>
      <c r="B2" s="17" t="s">
        <v>21</v>
      </c>
      <c r="C2" s="36" t="s">
        <v>22</v>
      </c>
      <c r="D2" s="33">
        <v>65000000</v>
      </c>
      <c r="E2" s="18" t="s">
        <v>23</v>
      </c>
      <c r="F2" s="18"/>
      <c r="G2" s="18"/>
      <c r="H2" s="19"/>
      <c r="I2" s="37" t="s">
        <v>87</v>
      </c>
      <c r="J2" s="31" t="s">
        <v>26</v>
      </c>
      <c r="M2" s="28" t="s">
        <v>88</v>
      </c>
    </row>
    <row r="3" spans="1:14" s="14" customFormat="1" ht="188.25">
      <c r="A3" s="9">
        <v>127148</v>
      </c>
      <c r="B3" s="34" t="s">
        <v>38</v>
      </c>
      <c r="C3" s="17"/>
      <c r="D3" s="29">
        <v>900000</v>
      </c>
      <c r="E3" s="5" t="s">
        <v>40</v>
      </c>
      <c r="F3" s="6" t="s">
        <v>89</v>
      </c>
      <c r="G3" s="5"/>
      <c r="H3" s="7">
        <v>1.37E-2</v>
      </c>
      <c r="I3" s="7" t="s">
        <v>42</v>
      </c>
      <c r="J3" s="14" t="s">
        <v>43</v>
      </c>
    </row>
    <row r="4" spans="1:14" ht="125.25">
      <c r="A4" s="35">
        <v>6702</v>
      </c>
      <c r="B4" s="35" t="s">
        <v>90</v>
      </c>
      <c r="C4" s="35" t="s">
        <v>58</v>
      </c>
      <c r="D4" s="30">
        <v>500000</v>
      </c>
      <c r="E4" s="20" t="s">
        <v>91</v>
      </c>
      <c r="F4" s="21" t="s">
        <v>92</v>
      </c>
      <c r="G4" s="20" t="s">
        <v>93</v>
      </c>
      <c r="H4" s="20"/>
      <c r="I4" s="22" t="s">
        <v>94</v>
      </c>
      <c r="J4" s="14" t="s">
        <v>63</v>
      </c>
      <c r="L4" t="s">
        <v>44</v>
      </c>
      <c r="M4" s="28" t="s">
        <v>95</v>
      </c>
      <c r="N4" t="s">
        <v>96</v>
      </c>
    </row>
    <row r="5" spans="1:14" ht="108" customHeight="1">
      <c r="A5" s="8">
        <v>4690</v>
      </c>
      <c r="B5" s="8" t="s">
        <v>57</v>
      </c>
      <c r="C5" s="8" t="s">
        <v>58</v>
      </c>
      <c r="D5" s="26">
        <v>3187669</v>
      </c>
      <c r="E5" s="7" t="s">
        <v>97</v>
      </c>
      <c r="F5" s="6" t="s">
        <v>98</v>
      </c>
      <c r="G5" s="6">
        <v>20</v>
      </c>
      <c r="H5" s="6">
        <v>30</v>
      </c>
      <c r="I5" s="7" t="s">
        <v>62</v>
      </c>
      <c r="J5" s="14" t="s">
        <v>63</v>
      </c>
      <c r="L5" t="s">
        <v>44</v>
      </c>
    </row>
    <row r="6" spans="1:14" ht="113.25">
      <c r="A6" s="8">
        <v>113647</v>
      </c>
      <c r="B6" s="9" t="s">
        <v>99</v>
      </c>
      <c r="C6" s="10" t="s">
        <v>71</v>
      </c>
      <c r="D6" s="26">
        <v>15000000</v>
      </c>
      <c r="E6" s="11" t="s">
        <v>100</v>
      </c>
      <c r="F6" s="12" t="s">
        <v>101</v>
      </c>
      <c r="G6" s="13"/>
      <c r="H6" s="11"/>
      <c r="I6" s="11" t="s">
        <v>102</v>
      </c>
      <c r="J6" s="14" t="s">
        <v>74</v>
      </c>
    </row>
  </sheetData>
  <hyperlinks>
    <hyperlink ref="C6" r:id="rId1" xr:uid="{17FEF05B-94BF-465E-88F6-FA2610467103}"/>
    <hyperlink ref="C2" r:id="rId2" xr:uid="{68C19ED0-F74E-4525-A694-718A126B33C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2E89346-F282-4E8A-80A0-3A067BECFF06}">
          <x14:formula1>
            <xm:f>'Beneficiary Categories'!$A$2:$A$16</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opLeftCell="B1" workbookViewId="0">
      <selection activeCell="D5" sqref="D5"/>
    </sheetView>
  </sheetViews>
  <sheetFormatPr defaultRowHeight="15"/>
  <cols>
    <col min="2" max="2" width="56.5703125" bestFit="1" customWidth="1"/>
    <col min="3" max="3" width="20.7109375" customWidth="1"/>
    <col min="4" max="4" width="14.7109375" bestFit="1" customWidth="1"/>
    <col min="5" max="6" width="20.7109375" customWidth="1"/>
    <col min="7" max="7" width="12.7109375" customWidth="1"/>
    <col min="8" max="8" width="40.28515625" customWidth="1"/>
    <col min="9" max="9" width="73" customWidth="1"/>
  </cols>
  <sheetData>
    <row r="1" spans="1:10">
      <c r="A1" s="1" t="s">
        <v>0</v>
      </c>
      <c r="B1" s="1" t="s">
        <v>1</v>
      </c>
      <c r="C1" s="1" t="s">
        <v>2</v>
      </c>
      <c r="D1" s="1" t="s">
        <v>3</v>
      </c>
      <c r="E1" s="1" t="s">
        <v>4</v>
      </c>
      <c r="F1" s="1" t="s">
        <v>5</v>
      </c>
      <c r="G1" s="1" t="s">
        <v>6</v>
      </c>
      <c r="H1" s="1" t="s">
        <v>7</v>
      </c>
      <c r="I1" s="1" t="s">
        <v>8</v>
      </c>
      <c r="J1" s="3" t="s">
        <v>9</v>
      </c>
    </row>
    <row r="2" spans="1:10">
      <c r="A2">
        <v>6702</v>
      </c>
      <c r="B2" t="s">
        <v>90</v>
      </c>
      <c r="C2" t="s">
        <v>58</v>
      </c>
      <c r="D2">
        <v>500000</v>
      </c>
      <c r="E2" s="2"/>
      <c r="F2" s="2"/>
      <c r="G2" s="2"/>
      <c r="H2" s="2"/>
      <c r="I2" s="2"/>
    </row>
    <row r="3" spans="1:10">
      <c r="A3">
        <v>4690</v>
      </c>
      <c r="B3" t="s">
        <v>57</v>
      </c>
      <c r="C3" t="s">
        <v>58</v>
      </c>
      <c r="D3">
        <v>3187669</v>
      </c>
      <c r="E3" s="2"/>
      <c r="F3" s="2"/>
      <c r="G3" s="2"/>
      <c r="H3" s="2">
        <v>1000</v>
      </c>
      <c r="I3" s="2"/>
    </row>
    <row r="4" spans="1:10" s="14" customFormat="1" ht="396.75">
      <c r="B4" s="14" t="s">
        <v>21</v>
      </c>
      <c r="C4" s="17"/>
      <c r="D4" s="23">
        <v>65000000</v>
      </c>
      <c r="E4" s="18"/>
      <c r="F4" s="18"/>
      <c r="G4" s="18"/>
      <c r="H4" s="19" t="s">
        <v>103</v>
      </c>
      <c r="I4" s="18"/>
      <c r="J4" s="17" t="s">
        <v>26</v>
      </c>
    </row>
    <row r="5" spans="1:10" s="14" customFormat="1" ht="188.25">
      <c r="A5" s="15">
        <v>127148</v>
      </c>
      <c r="B5" s="16" t="s">
        <v>38</v>
      </c>
      <c r="D5" s="24">
        <v>900000</v>
      </c>
      <c r="E5" s="20" t="s">
        <v>40</v>
      </c>
      <c r="F5" s="21" t="s">
        <v>104</v>
      </c>
      <c r="G5" s="20"/>
      <c r="H5" s="22" t="s">
        <v>105</v>
      </c>
      <c r="I5" s="22" t="s">
        <v>42</v>
      </c>
      <c r="J5" s="14" t="s">
        <v>43</v>
      </c>
    </row>
    <row r="6" spans="1:10" ht="125.25">
      <c r="A6" s="4">
        <v>6702</v>
      </c>
      <c r="B6" s="4" t="s">
        <v>90</v>
      </c>
      <c r="C6" s="4" t="s">
        <v>58</v>
      </c>
      <c r="D6" s="25">
        <v>500000</v>
      </c>
      <c r="E6" s="5" t="s">
        <v>91</v>
      </c>
      <c r="F6" s="6" t="s">
        <v>92</v>
      </c>
      <c r="G6" s="5" t="s">
        <v>93</v>
      </c>
      <c r="H6" s="5" t="s">
        <v>106</v>
      </c>
      <c r="I6" s="7" t="s">
        <v>94</v>
      </c>
      <c r="J6" s="14" t="s">
        <v>63</v>
      </c>
    </row>
    <row r="7" spans="1:10" ht="108" customHeight="1">
      <c r="A7" s="8">
        <v>4690</v>
      </c>
      <c r="B7" s="8" t="s">
        <v>57</v>
      </c>
      <c r="C7" s="8" t="s">
        <v>58</v>
      </c>
      <c r="D7" s="26">
        <v>3187669</v>
      </c>
      <c r="E7" s="7" t="s">
        <v>107</v>
      </c>
      <c r="F7" s="6" t="s">
        <v>108</v>
      </c>
      <c r="G7" s="6" t="s">
        <v>109</v>
      </c>
      <c r="H7" s="6" t="s">
        <v>110</v>
      </c>
      <c r="I7" s="7" t="s">
        <v>62</v>
      </c>
      <c r="J7" s="14" t="s">
        <v>63</v>
      </c>
    </row>
    <row r="8" spans="1:10" ht="88.5">
      <c r="A8" s="8">
        <v>113647</v>
      </c>
      <c r="B8" s="9" t="s">
        <v>99</v>
      </c>
      <c r="C8" s="10" t="s">
        <v>71</v>
      </c>
      <c r="D8" s="26">
        <v>15000000</v>
      </c>
      <c r="E8" s="11" t="s">
        <v>111</v>
      </c>
      <c r="F8" s="12" t="s">
        <v>101</v>
      </c>
      <c r="G8" s="13"/>
      <c r="H8" s="11" t="s">
        <v>112</v>
      </c>
      <c r="I8" s="11" t="s">
        <v>113</v>
      </c>
      <c r="J8" s="14" t="s">
        <v>74</v>
      </c>
    </row>
  </sheetData>
  <hyperlinks>
    <hyperlink ref="C8" r:id="rId1" xr:uid="{9C338794-29C5-4467-9A04-7AB09E0D5AB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B2" workbookViewId="0">
      <selection activeCell="B2" sqref="B2"/>
    </sheetView>
  </sheetViews>
  <sheetFormatPr defaultRowHeight="15"/>
  <cols>
    <col min="1" max="2" width="52.7109375" customWidth="1"/>
  </cols>
  <sheetData>
    <row r="1" spans="1:2">
      <c r="A1" s="59" t="s">
        <v>4</v>
      </c>
      <c r="B1" s="59" t="s">
        <v>5</v>
      </c>
    </row>
    <row r="2" spans="1:2" ht="45.75">
      <c r="A2" s="86" t="s">
        <v>23</v>
      </c>
      <c r="B2" s="60" t="s">
        <v>114</v>
      </c>
    </row>
    <row r="3" spans="1:2">
      <c r="A3" s="86" t="s">
        <v>40</v>
      </c>
      <c r="B3" s="60" t="s">
        <v>115</v>
      </c>
    </row>
    <row r="4" spans="1:2" ht="30.75">
      <c r="A4" s="86" t="s">
        <v>75</v>
      </c>
      <c r="B4" s="60" t="s">
        <v>116</v>
      </c>
    </row>
    <row r="5" spans="1:2" ht="30.75">
      <c r="A5" s="86" t="s">
        <v>117</v>
      </c>
      <c r="B5" s="60" t="s">
        <v>118</v>
      </c>
    </row>
    <row r="6" spans="1:2" ht="91.5">
      <c r="A6" s="86" t="s">
        <v>119</v>
      </c>
      <c r="B6" s="60" t="s">
        <v>120</v>
      </c>
    </row>
    <row r="7" spans="1:2" ht="45.75">
      <c r="A7" s="86" t="s">
        <v>30</v>
      </c>
      <c r="B7" s="60" t="s">
        <v>121</v>
      </c>
    </row>
    <row r="8" spans="1:2" ht="45.75">
      <c r="A8" s="86" t="s">
        <v>36</v>
      </c>
      <c r="B8" s="60" t="s">
        <v>122</v>
      </c>
    </row>
    <row r="9" spans="1:2" ht="45.75">
      <c r="A9" s="86" t="s">
        <v>33</v>
      </c>
      <c r="B9" s="60" t="s">
        <v>123</v>
      </c>
    </row>
    <row r="10" spans="1:2" ht="30.75">
      <c r="A10" s="86" t="s">
        <v>124</v>
      </c>
      <c r="B10" s="87" t="s">
        <v>125</v>
      </c>
    </row>
    <row r="11" spans="1:2" ht="30.75">
      <c r="A11" s="86" t="s">
        <v>126</v>
      </c>
      <c r="B11" s="87" t="s">
        <v>127</v>
      </c>
    </row>
    <row r="12" spans="1:2" ht="45.75">
      <c r="A12" s="86" t="s">
        <v>128</v>
      </c>
      <c r="B12" s="60" t="s">
        <v>129</v>
      </c>
    </row>
    <row r="13" spans="1:2" ht="30.75">
      <c r="A13" s="86" t="s">
        <v>130</v>
      </c>
      <c r="B13" s="87" t="s">
        <v>131</v>
      </c>
    </row>
    <row r="14" spans="1:2">
      <c r="A14" s="86" t="s">
        <v>132</v>
      </c>
      <c r="B14" s="87" t="s">
        <v>133</v>
      </c>
    </row>
    <row r="15" spans="1:2" ht="30.75">
      <c r="A15" s="86" t="s">
        <v>134</v>
      </c>
      <c r="B15" s="87" t="s">
        <v>135</v>
      </c>
    </row>
    <row r="16" spans="1:2" ht="30.75">
      <c r="A16" s="86" t="s">
        <v>52</v>
      </c>
      <c r="B16" s="87" t="s">
        <v>136</v>
      </c>
    </row>
    <row r="17" spans="1:2" ht="30.75">
      <c r="A17" s="86" t="s">
        <v>137</v>
      </c>
      <c r="B17" s="60" t="s">
        <v>138</v>
      </c>
    </row>
    <row r="18" spans="1:2" ht="30.75">
      <c r="A18" s="86" t="s">
        <v>139</v>
      </c>
      <c r="B18" s="87" t="s">
        <v>140</v>
      </c>
    </row>
    <row r="19" spans="1:2" ht="76.5">
      <c r="A19" s="86" t="s">
        <v>141</v>
      </c>
      <c r="B19" s="87" t="s">
        <v>142</v>
      </c>
    </row>
    <row r="20" spans="1:2" ht="30.75">
      <c r="A20" s="86" t="s">
        <v>143</v>
      </c>
      <c r="B20" s="87" t="s">
        <v>144</v>
      </c>
    </row>
    <row r="21" spans="1:2" ht="45.75">
      <c r="A21" s="86" t="s">
        <v>19</v>
      </c>
      <c r="B21" s="88" t="s">
        <v>145</v>
      </c>
    </row>
    <row r="22" spans="1:2" ht="30.75">
      <c r="A22" s="86" t="s">
        <v>146</v>
      </c>
      <c r="B22" s="87"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Debab Asrat Ynessu</DisplayName>
        <AccountId>1816</AccountId>
        <AccountType/>
      </UserInfo>
      <UserInfo>
        <DisplayName>Kouadio Ngoran</DisplayName>
        <AccountId>1387</AccountId>
        <AccountType/>
      </UserInfo>
      <UserInfo>
        <DisplayName>Rokya Ye Dieng</DisplayName>
        <AccountId>1431</AccountId>
        <AccountType/>
      </UserInfo>
      <UserInfo>
        <DisplayName>Elhadj Oumar Diallo</DisplayName>
        <AccountId>1895</AccountId>
        <AccountType/>
      </UserInfo>
      <UserInfo>
        <DisplayName>Riad Meddeb</DisplayName>
        <AccountId>9</AccountId>
        <AccountType/>
      </UserInfo>
      <UserInfo>
        <DisplayName>Fungai Matura</DisplayName>
        <AccountId>1028</AccountId>
        <AccountType/>
      </UserInfo>
      <UserInfo>
        <DisplayName>Stefano Pistolese</DisplayName>
        <AccountId>772</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FD9792-90D9-4CA6-B20A-96366DE8EF18}"/>
</file>

<file path=customXml/itemProps2.xml><?xml version="1.0" encoding="utf-8"?>
<ds:datastoreItem xmlns:ds="http://schemas.openxmlformats.org/officeDocument/2006/customXml" ds:itemID="{E9361C1B-36AD-4384-8280-48CA653EB147}"/>
</file>

<file path=customXml/itemProps3.xml><?xml version="1.0" encoding="utf-8"?>
<ds:datastoreItem xmlns:ds="http://schemas.openxmlformats.org/officeDocument/2006/customXml" ds:itemID="{075C7A8C-6C0F-4E67-84E7-B770486456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2026-01-14T00:32:05Z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