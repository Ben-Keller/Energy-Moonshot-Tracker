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274" documentId="11_BE402CB25F082A9FC190A40FD4C98E89BC28FDC1" xr6:coauthVersionLast="47" xr6:coauthVersionMax="47" xr10:uidLastSave="{CDC6F174-B6E1-4248-A8E8-75BCAC81ADD2}"/>
  <bookViews>
    <workbookView xWindow="240" yWindow="15" windowWidth="16095" windowHeight="966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D5" i="1"/>
</calcChain>
</file>

<file path=xl/sharedStrings.xml><?xml version="1.0" encoding="utf-8"?>
<sst xmlns="http://schemas.openxmlformats.org/spreadsheetml/2006/main" count="183" uniqueCount="107">
  <si>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</si>
  <si>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</si>
  <si>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</si>
  <si>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</si>
  <si>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</si>
  <si>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</si>
  <si>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</si>
  <si>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</si>
  <si>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</si>
  <si>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</si>
  <si>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</si>
  <si>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</si>
  <si>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</si>
  <si>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</si>
  <si>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</si>
  <si>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</si>
  <si>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</si>
  <si>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</si>
  <si>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</si>
  <si>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</si>
  <si>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</si>
  <si>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Greening the RFM Hospital Demonstration</t>
  </si>
  <si>
    <t>http://open.undp.org/projects/00128213</t>
  </si>
  <si>
    <t>Energy (MW added)</t>
  </si>
  <si>
    <t>Number of MW installed capacity</t>
  </si>
  <si>
    <t>Gov. of Italy</t>
  </si>
  <si>
    <t>Non-VF</t>
  </si>
  <si>
    <t>Health</t>
  </si>
  <si>
    <t>Close the gap on energy access</t>
  </si>
  <si>
    <t>Renewable Energy</t>
  </si>
  <si>
    <t>Energy Efficiency</t>
  </si>
  <si>
    <t>Solar</t>
  </si>
  <si>
    <t>National project under the AMP</t>
  </si>
  <si>
    <t>PIMS+</t>
  </si>
  <si>
    <t>Electricity Access</t>
  </si>
  <si>
    <t>Number of people, disaggregated by sex, who gain access to clean electricity (direct access to electricity, lighting, cooling, etc.) </t>
  </si>
  <si>
    <t>Global Environment Fund</t>
  </si>
  <si>
    <t>VF</t>
  </si>
  <si>
    <t>Just</t>
  </si>
  <si>
    <t>AMP</t>
  </si>
  <si>
    <t>Off-Grid</t>
  </si>
  <si>
    <t>National</t>
  </si>
  <si>
    <t>UNDP Moonshot: Greening the UN House</t>
  </si>
  <si>
    <t>UNDP</t>
  </si>
  <si>
    <t>N/A</t>
  </si>
  <si>
    <t>Efficiency</t>
  </si>
  <si>
    <t>Infrastructure</t>
  </si>
  <si>
    <t>UNDP Moonshot: Electric Vehicle</t>
  </si>
  <si>
    <t>Transportation and E-mobility Services</t>
  </si>
  <si>
    <t xml:space="preserve">Number of MJ saved from transport and e-mobility interventions (e.g., electric vehicles, charging stations, etc.)  </t>
  </si>
  <si>
    <t>Accelerating just energy transition</t>
  </si>
  <si>
    <t>Decarbonization</t>
  </si>
  <si>
    <t>Powering Gender Equality</t>
  </si>
  <si>
    <t>Capacity Building Training</t>
  </si>
  <si>
    <t>Number of people who benefit from training for enterprises on the energy business and energy finance. </t>
  </si>
  <si>
    <t>Gender</t>
  </si>
  <si>
    <t>Research &amp; Innovation</t>
  </si>
  <si>
    <t>Bioenergy</t>
  </si>
  <si>
    <t>Italy-UNDP Energy Partnership</t>
  </si>
  <si>
    <t xml:space="preserve">Financing support </t>
  </si>
  <si>
    <t>Number of proposals developed</t>
  </si>
  <si>
    <t>Finance</t>
  </si>
  <si>
    <t>Scale up energy finance</t>
  </si>
  <si>
    <t>Italy UNDP Energy Partnership</t>
  </si>
  <si>
    <t>TBD</t>
  </si>
  <si>
    <t>Catalysing Renewable Energy Access and Transition in Eswatini.</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</si>
  <si>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</si>
  <si>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</si>
  <si>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European Union</t>
  </si>
  <si>
    <t>Addressing the Water, Health and Poverty Nexus through WASH Initiatives for COVID-19 and Climate Change Responses</t>
  </si>
  <si>
    <t>India-Brazil-South Africa</t>
  </si>
  <si>
    <t>MW installed</t>
  </si>
  <si>
    <t>1MW</t>
  </si>
  <si>
    <t>Number of addditional people</t>
  </si>
  <si>
    <t>0,116</t>
  </si>
  <si>
    <t>Other Energy Services</t>
  </si>
  <si>
    <t>Access to electric Vehicle</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</si>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</sst>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theme="1"/>
      <name val="Calibri"/>
      <scheme val="minor"/>
    </font>
    <font>
      <sz val="11"/>
      <color rgb="FF000000"/>
      <name val="Calibri"/>
      <scheme val="minor"/>
    </font>
    <font>
      <b/>
      <sz val="14"/>
      <color theme="1"/>
      <name val="Aptos"/>
      <family val="2"/>
      <charset val="1"/>
    </font>
    <font>
      <sz val="11"/>
      <color rgb="FFFF000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39">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0" fillId="2" borderId="0" xfId="0" applyFill="1" applyAlignment="1">
      <alignment horizontal="center"/>
    </xf>
    <xf numFmtId="0" fontId="0" fillId="0" borderId="0" xfId="0" applyAlignment="1">
      <alignment horizontal="center"/>
    </xf>
    <xf numFmtId="0" fontId="2" fillId="0" borderId="2" xfId="0" applyFont="1" applyBorder="1"/>
    <xf numFmtId="0" fontId="0" fillId="3" borderId="0" xfId="0" applyFill="1"/>
    <xf numFmtId="0" fontId="2" fillId="0" borderId="3" xfId="0" applyFont="1" applyBorder="1" applyAlignment="1">
      <alignment horizontal="center" vertical="top" wrapText="1"/>
    </xf>
    <xf numFmtId="0" fontId="0" fillId="0" borderId="3" xfId="0" applyBorder="1" applyAlignment="1">
      <alignment wrapText="1"/>
    </xf>
    <xf numFmtId="0" fontId="3" fillId="0" borderId="3" xfId="1" applyBorder="1" applyAlignment="1" applyProtection="1">
      <alignment wrapText="1"/>
    </xf>
    <xf numFmtId="0" fontId="0" fillId="0" borderId="3" xfId="0" applyBorder="1" applyAlignment="1">
      <alignment horizontal="center" vertical="center"/>
    </xf>
    <xf numFmtId="0" fontId="4" fillId="0" borderId="3" xfId="0" applyFont="1" applyBorder="1" applyAlignment="1">
      <alignment horizontal="center" vertical="top" wrapText="1"/>
    </xf>
    <xf numFmtId="0" fontId="5" fillId="0" borderId="3"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2" fillId="0" borderId="3" xfId="0" applyFont="1" applyBorder="1" applyAlignment="1">
      <alignment horizontal="center" wrapText="1"/>
    </xf>
    <xf numFmtId="0" fontId="0" fillId="0" borderId="3" xfId="0" applyBorder="1" applyAlignment="1">
      <alignment horizontal="center" vertical="center" wrapText="1"/>
    </xf>
    <xf numFmtId="43" fontId="2" fillId="0" borderId="3" xfId="0" applyNumberFormat="1" applyFont="1" applyBorder="1" applyAlignment="1">
      <alignment horizontal="center" vertical="top" wrapText="1"/>
    </xf>
    <xf numFmtId="43" fontId="0" fillId="0" borderId="0" xfId="0" applyNumberFormat="1"/>
    <xf numFmtId="0" fontId="0" fillId="0" borderId="3" xfId="0" applyBorder="1" applyAlignment="1">
      <alignment vertical="center" wrapText="1"/>
    </xf>
    <xf numFmtId="43" fontId="0" fillId="0" borderId="3" xfId="0" applyNumberFormat="1" applyBorder="1" applyAlignment="1">
      <alignment vertical="center" wrapText="1"/>
    </xf>
    <xf numFmtId="0" fontId="0" fillId="0" borderId="2" xfId="0" applyBorder="1" applyAlignment="1">
      <alignment vertical="center"/>
    </xf>
    <xf numFmtId="0" fontId="0" fillId="0" borderId="3" xfId="0" applyBorder="1" applyAlignment="1">
      <alignment horizontal="right" vertical="center" wrapText="1"/>
    </xf>
    <xf numFmtId="0" fontId="5" fillId="0" borderId="2" xfId="0" applyFont="1" applyBorder="1" applyAlignment="1">
      <alignment vertical="center" wrapText="1"/>
    </xf>
    <xf numFmtId="0" fontId="6" fillId="0" borderId="0" xfId="0" applyFont="1"/>
    <xf numFmtId="0" fontId="7" fillId="0" borderId="3" xfId="0" applyFont="1" applyBorder="1" applyAlignment="1">
      <alignment horizontal="center" vertical="center" wrapText="1"/>
    </xf>
    <xf numFmtId="0" fontId="2" fillId="0" borderId="3" xfId="0" applyFont="1" applyBorder="1" applyAlignment="1">
      <alignment vertical="center" wrapText="1"/>
    </xf>
    <xf numFmtId="0" fontId="0" fillId="0" borderId="0" xfId="0" applyAlignment="1">
      <alignment vertical="center"/>
    </xf>
    <xf numFmtId="0" fontId="5" fillId="0" borderId="3" xfId="0" applyFont="1" applyBorder="1" applyAlignment="1">
      <alignment vertical="center" wrapText="1"/>
    </xf>
    <xf numFmtId="0" fontId="1" fillId="0" borderId="3" xfId="0" applyFont="1" applyBorder="1" applyAlignment="1">
      <alignment wrapText="1"/>
    </xf>
    <xf numFmtId="0" fontId="1" fillId="0" borderId="2" xfId="0" applyFont="1" applyBorder="1" applyAlignment="1">
      <alignment vertical="center" wrapText="1"/>
    </xf>
    <xf numFmtId="0" fontId="1" fillId="0" borderId="3" xfId="0" applyFont="1" applyBorder="1" applyAlignment="1">
      <alignment horizontal="left" vertical="center" wrapText="1"/>
    </xf>
    <xf numFmtId="0" fontId="1"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282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82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BFF5C-BA3F-4CA9-A201-1D69034C4EEA}">
  <dimension ref="A1:U16"/>
  <sheetViews>
    <sheetView tabSelected="1" workbookViewId="0">
      <selection activeCell="I8" sqref="I8"/>
    </sheetView>
  </sheetViews>
  <sheetFormatPr defaultRowHeight="15"/>
  <cols>
    <col min="1" max="1" width="22.85546875" customWidth="1"/>
    <col min="2" max="2" width="38.85546875" customWidth="1"/>
    <col min="3" max="3" width="20.7109375" customWidth="1"/>
    <col min="4" max="4" width="14.85546875" style="24" customWidth="1"/>
    <col min="5" max="5" width="33.5703125" customWidth="1"/>
    <col min="6" max="6" width="32.28515625" customWidth="1"/>
    <col min="7" max="7" width="12.7109375" customWidth="1"/>
    <col min="8" max="8" width="12.7109375" style="5" customWidth="1"/>
    <col min="9" max="9" width="32.7109375" customWidth="1"/>
    <col min="10" max="10" width="11.85546875" style="33" customWidth="1"/>
    <col min="11" max="11" width="10.28515625" style="5" customWidth="1"/>
    <col min="14" max="14" width="14.42578125" customWidth="1"/>
    <col min="15" max="15" width="17" customWidth="1"/>
    <col min="16" max="16" width="16.85546875" customWidth="1"/>
    <col min="17" max="17" width="16.5703125" bestFit="1" customWidth="1"/>
    <col min="18" max="18" width="18.140625" bestFit="1" customWidth="1"/>
    <col min="19" max="19" width="11.28515625" bestFit="1" customWidth="1"/>
    <col min="20" max="20" width="30.28515625" bestFit="1" customWidth="1"/>
    <col min="21" max="21" width="17.5703125" customWidth="1"/>
  </cols>
  <sheetData>
    <row r="1" spans="1:21" ht="27" customHeight="1">
      <c r="A1" s="8" t="s">
        <v>0</v>
      </c>
      <c r="B1" s="8" t="s">
        <v>1</v>
      </c>
      <c r="C1" s="8" t="s">
        <v>2</v>
      </c>
      <c r="D1" s="23" t="s">
        <v>3</v>
      </c>
      <c r="E1" s="8" t="s">
        <v>4</v>
      </c>
      <c r="F1" s="8" t="s">
        <v>5</v>
      </c>
      <c r="G1" s="8" t="s">
        <v>6</v>
      </c>
      <c r="H1" s="8" t="s">
        <v>7</v>
      </c>
      <c r="I1" s="8" t="s">
        <v>8</v>
      </c>
      <c r="J1" s="32" t="s">
        <v>9</v>
      </c>
      <c r="K1" s="21" t="s">
        <v>10</v>
      </c>
      <c r="L1" s="14" t="s">
        <v>11</v>
      </c>
      <c r="M1" s="15" t="s">
        <v>12</v>
      </c>
      <c r="N1" s="14" t="s">
        <v>13</v>
      </c>
      <c r="O1" s="14" t="s">
        <v>14</v>
      </c>
      <c r="P1" s="15" t="s">
        <v>15</v>
      </c>
      <c r="Q1" s="15" t="s">
        <v>16</v>
      </c>
      <c r="R1" s="16" t="s">
        <v>17</v>
      </c>
      <c r="S1" s="17" t="s">
        <v>18</v>
      </c>
      <c r="T1" s="16" t="s">
        <v>19</v>
      </c>
      <c r="U1" s="17" t="s">
        <v>20</v>
      </c>
    </row>
    <row r="2" spans="1:21" ht="45" customHeight="1">
      <c r="A2" s="25">
        <v>128213</v>
      </c>
      <c r="B2" s="25" t="s">
        <v>21</v>
      </c>
      <c r="C2" s="10" t="s">
        <v>22</v>
      </c>
      <c r="D2" s="26">
        <v>1870871</v>
      </c>
      <c r="E2" s="25" t="s">
        <v>23</v>
      </c>
      <c r="F2" s="34" t="s">
        <v>24</v>
      </c>
      <c r="G2" s="22">
        <v>0</v>
      </c>
      <c r="H2" s="22">
        <v>1</v>
      </c>
      <c r="I2" s="9"/>
      <c r="J2" s="25" t="s">
        <v>25</v>
      </c>
      <c r="K2" s="22">
        <v>50</v>
      </c>
      <c r="L2" s="18" t="s">
        <v>26</v>
      </c>
      <c r="M2" s="11" t="s">
        <v>27</v>
      </c>
      <c r="N2" s="19" t="s">
        <v>28</v>
      </c>
      <c r="O2" s="11" t="s">
        <v>29</v>
      </c>
      <c r="P2" s="11"/>
      <c r="Q2" s="11"/>
      <c r="R2" s="22" t="s">
        <v>30</v>
      </c>
      <c r="S2" s="20" t="s">
        <v>31</v>
      </c>
      <c r="T2" s="11"/>
      <c r="U2" s="20"/>
    </row>
    <row r="3" spans="1:21" ht="60.75">
      <c r="A3" s="25">
        <v>6432</v>
      </c>
      <c r="B3" s="25" t="s">
        <v>32</v>
      </c>
      <c r="C3" s="25" t="s">
        <v>33</v>
      </c>
      <c r="D3" s="26">
        <v>863242</v>
      </c>
      <c r="E3" s="25" t="s">
        <v>34</v>
      </c>
      <c r="F3" s="13" t="s">
        <v>35</v>
      </c>
      <c r="G3" s="22">
        <v>0</v>
      </c>
      <c r="H3" s="22">
        <v>459</v>
      </c>
      <c r="I3" s="9"/>
      <c r="J3" s="25" t="s">
        <v>36</v>
      </c>
      <c r="K3" s="22">
        <v>50</v>
      </c>
      <c r="L3" s="18" t="s">
        <v>37</v>
      </c>
      <c r="M3" s="11" t="s">
        <v>38</v>
      </c>
      <c r="N3" s="19" t="s">
        <v>28</v>
      </c>
      <c r="O3" s="11" t="s">
        <v>29</v>
      </c>
      <c r="P3" s="11" t="s">
        <v>39</v>
      </c>
      <c r="Q3" s="11"/>
      <c r="R3" s="22" t="s">
        <v>40</v>
      </c>
      <c r="S3" s="20" t="s">
        <v>31</v>
      </c>
      <c r="T3" s="11" t="s">
        <v>41</v>
      </c>
      <c r="U3" s="20"/>
    </row>
    <row r="4" spans="1:21" ht="45.75">
      <c r="A4" s="25">
        <v>80963</v>
      </c>
      <c r="B4" s="25" t="s">
        <v>42</v>
      </c>
      <c r="C4" s="9"/>
      <c r="D4" s="26">
        <v>156514.85</v>
      </c>
      <c r="E4" s="25" t="s">
        <v>23</v>
      </c>
      <c r="F4" s="34" t="s">
        <v>24</v>
      </c>
      <c r="G4" s="22">
        <v>0</v>
      </c>
      <c r="H4" s="22">
        <v>0.11600000000000001</v>
      </c>
      <c r="I4" s="9"/>
      <c r="J4" s="25" t="s">
        <v>43</v>
      </c>
      <c r="K4" s="22" t="s">
        <v>44</v>
      </c>
      <c r="L4" s="18" t="s">
        <v>26</v>
      </c>
      <c r="M4" s="11" t="s">
        <v>45</v>
      </c>
      <c r="N4" s="19" t="s">
        <v>28</v>
      </c>
      <c r="O4" s="11" t="s">
        <v>29</v>
      </c>
      <c r="P4" s="11"/>
      <c r="Q4" s="11"/>
      <c r="R4" s="22" t="s">
        <v>46</v>
      </c>
      <c r="S4" s="20" t="s">
        <v>31</v>
      </c>
      <c r="T4" s="11"/>
      <c r="U4" s="20"/>
    </row>
    <row r="5" spans="1:21" ht="60.75">
      <c r="A5" s="25">
        <v>80963</v>
      </c>
      <c r="B5" s="25" t="s">
        <v>47</v>
      </c>
      <c r="C5" s="9"/>
      <c r="D5" s="26">
        <f>43030+4818</f>
        <v>47848</v>
      </c>
      <c r="E5" s="27" t="s">
        <v>48</v>
      </c>
      <c r="F5" s="35" t="s">
        <v>49</v>
      </c>
      <c r="G5" s="22">
        <v>0</v>
      </c>
      <c r="H5" s="22">
        <v>1</v>
      </c>
      <c r="I5" s="9"/>
      <c r="J5" s="25" t="s">
        <v>43</v>
      </c>
      <c r="K5" s="22" t="s">
        <v>44</v>
      </c>
      <c r="L5" s="18" t="s">
        <v>26</v>
      </c>
      <c r="M5" s="11" t="s">
        <v>38</v>
      </c>
      <c r="N5" s="19" t="s">
        <v>50</v>
      </c>
      <c r="O5" s="11" t="s">
        <v>29</v>
      </c>
      <c r="P5" s="11"/>
      <c r="Q5" s="11"/>
      <c r="R5" s="22" t="s">
        <v>51</v>
      </c>
      <c r="S5" s="20" t="s">
        <v>31</v>
      </c>
      <c r="T5" s="11"/>
      <c r="U5" s="20"/>
    </row>
    <row r="6" spans="1:21" ht="45.75">
      <c r="A6" s="25">
        <v>1000549</v>
      </c>
      <c r="B6" s="25" t="s">
        <v>52</v>
      </c>
      <c r="C6" s="9"/>
      <c r="D6" s="26">
        <v>130000</v>
      </c>
      <c r="E6" s="27" t="s">
        <v>53</v>
      </c>
      <c r="F6" s="13" t="s">
        <v>54</v>
      </c>
      <c r="G6" s="22">
        <v>0</v>
      </c>
      <c r="H6" s="22">
        <v>5</v>
      </c>
      <c r="I6" s="9"/>
      <c r="J6" s="25" t="s">
        <v>43</v>
      </c>
      <c r="K6" s="22">
        <v>100</v>
      </c>
      <c r="L6" s="18" t="s">
        <v>26</v>
      </c>
      <c r="M6" s="11" t="s">
        <v>55</v>
      </c>
      <c r="N6" s="19" t="s">
        <v>50</v>
      </c>
      <c r="O6" s="11" t="s">
        <v>29</v>
      </c>
      <c r="P6" s="11"/>
      <c r="Q6" s="11"/>
      <c r="R6" s="22" t="s">
        <v>56</v>
      </c>
      <c r="S6" s="20" t="s">
        <v>57</v>
      </c>
      <c r="T6" s="11" t="s">
        <v>41</v>
      </c>
      <c r="U6" s="20"/>
    </row>
    <row r="7" spans="1:21" ht="30.75">
      <c r="A7" s="25">
        <v>117244</v>
      </c>
      <c r="B7" s="25" t="s">
        <v>58</v>
      </c>
      <c r="C7" s="9"/>
      <c r="D7" s="26">
        <v>100000</v>
      </c>
      <c r="E7" s="27" t="s">
        <v>59</v>
      </c>
      <c r="F7" s="25" t="s">
        <v>60</v>
      </c>
      <c r="G7" s="22">
        <v>0</v>
      </c>
      <c r="H7" s="22">
        <v>5</v>
      </c>
      <c r="I7" s="9"/>
      <c r="J7" s="25" t="s">
        <v>43</v>
      </c>
      <c r="K7" s="22" t="s">
        <v>44</v>
      </c>
      <c r="L7" s="18" t="s">
        <v>26</v>
      </c>
      <c r="M7" s="11" t="s">
        <v>61</v>
      </c>
      <c r="N7" s="19" t="s">
        <v>62</v>
      </c>
      <c r="O7" s="11" t="s">
        <v>29</v>
      </c>
      <c r="P7" s="22" t="s">
        <v>63</v>
      </c>
      <c r="Q7" s="11"/>
      <c r="R7" s="22" t="s">
        <v>56</v>
      </c>
      <c r="S7" s="20" t="s">
        <v>31</v>
      </c>
      <c r="T7" s="11"/>
      <c r="U7" s="20"/>
    </row>
    <row r="8" spans="1:21" ht="152.25">
      <c r="A8" s="28" t="s">
        <v>64</v>
      </c>
      <c r="B8" s="29" t="s">
        <v>65</v>
      </c>
      <c r="C8" s="9"/>
      <c r="D8" s="26">
        <v>820000</v>
      </c>
      <c r="E8" s="27" t="s">
        <v>66</v>
      </c>
      <c r="F8" s="13" t="s">
        <v>67</v>
      </c>
      <c r="G8" s="22">
        <v>0</v>
      </c>
      <c r="H8" s="31">
        <v>100</v>
      </c>
      <c r="I8" s="9"/>
      <c r="J8" s="25" t="s">
        <v>68</v>
      </c>
      <c r="K8" s="22" t="s">
        <v>68</v>
      </c>
      <c r="L8" s="18" t="s">
        <v>26</v>
      </c>
      <c r="M8" s="11" t="s">
        <v>38</v>
      </c>
      <c r="N8" s="19" t="s">
        <v>50</v>
      </c>
      <c r="O8" s="11" t="s">
        <v>29</v>
      </c>
      <c r="P8" s="22"/>
      <c r="Q8" s="11"/>
      <c r="R8" s="22" t="s">
        <v>46</v>
      </c>
      <c r="S8" s="20" t="s">
        <v>31</v>
      </c>
      <c r="T8" s="11"/>
      <c r="U8" s="20"/>
    </row>
    <row r="9" spans="1:21" ht="152.25">
      <c r="A9" s="28">
        <v>125985</v>
      </c>
      <c r="B9" s="36" t="s">
        <v>69</v>
      </c>
      <c r="C9" s="9"/>
      <c r="D9" s="26">
        <v>999000</v>
      </c>
      <c r="E9" s="27" t="s">
        <v>66</v>
      </c>
      <c r="F9" s="13" t="s">
        <v>67</v>
      </c>
      <c r="G9" s="22">
        <v>0</v>
      </c>
      <c r="H9" s="22">
        <v>400</v>
      </c>
      <c r="I9" s="9"/>
      <c r="J9" s="25" t="s">
        <v>68</v>
      </c>
      <c r="K9" s="22" t="s">
        <v>70</v>
      </c>
      <c r="L9" s="18" t="s">
        <v>26</v>
      </c>
      <c r="M9" s="11" t="s">
        <v>38</v>
      </c>
      <c r="N9" s="19" t="s">
        <v>50</v>
      </c>
      <c r="O9" s="11" t="s">
        <v>29</v>
      </c>
      <c r="P9" s="22"/>
      <c r="Q9" s="11"/>
      <c r="R9" s="22" t="s">
        <v>46</v>
      </c>
      <c r="S9" s="20" t="s">
        <v>31</v>
      </c>
      <c r="T9" s="11"/>
      <c r="U9" s="20"/>
    </row>
    <row r="16" spans="1:21" ht="18.75">
      <c r="D16" s="30"/>
    </row>
  </sheetData>
  <dataValidations count="9">
    <dataValidation type="list" allowBlank="1" showInputMessage="1" showErrorMessage="1" sqref="N2:N9" xr:uid="{144371BE-B781-4697-A5CA-FB1FE6D3B811}">
      <formula1>"Accelerating just energy transition, Close the gap on energy access, Scale up energy finance"</formula1>
    </dataValidation>
    <dataValidation type="list" allowBlank="1" showInputMessage="1" showErrorMessage="1" sqref="P2:P9" xr:uid="{F0258D5E-DA0E-42FC-8B42-51971B595E18}">
      <formula1>"AMP, PUDC, Solar4Health, Action Opportunities, Italy UNDP Energy Partnership"</formula1>
    </dataValidation>
    <dataValidation type="list" allowBlank="1" showInputMessage="1" showErrorMessage="1" sqref="Q2:Q9" xr:uid="{7EED9006-8290-422C-89B7-7A4B3AA21A50}">
      <formula1>"NDC Support, National Strategy, Legal Framework,Incentives and Support, Government Capacity-Building, Carbon Pricing and Monitoring, Financing Model, Business Model"</formula1>
    </dataValidation>
    <dataValidation type="list" allowBlank="1" showInputMessage="1" showErrorMessage="1" sqref="O2:O9" xr:uid="{A4A3F783-64E2-4C67-9A6E-B02EFA8BB1DB}">
      <formula1>"Electricity Access, Energy Efficiency, Clean Cooking, Renewable Energy, Overall"</formula1>
    </dataValidation>
    <dataValidation type="list" allowBlank="1" showInputMessage="1" showErrorMessage="1" sqref="L2:L9" xr:uid="{82B51F00-E5A5-44BA-B45C-734538A86C37}">
      <formula1>"Non-VF, VF"</formula1>
    </dataValidation>
    <dataValidation type="list" allowBlank="1" showInputMessage="1" showErrorMessage="1" sqref="M2:M9" xr:uid="{81D1AB95-CAFF-482A-A104-E749776C2287}">
      <formula1>"Finance, Gender, Efficiency, Just, Health"</formula1>
    </dataValidation>
    <dataValidation type="list" allowBlank="1" showInputMessage="1" showErrorMessage="1" sqref="T2:T9" xr:uid="{3060BE8F-AFDF-4103-B089-3FAB12E95890}">
      <formula1>"National, Regional, City, Community"</formula1>
    </dataValidation>
    <dataValidation type="list" allowBlank="1" showInputMessage="1" showErrorMessage="1" sqref="S2:S9" xr:uid="{82608B3B-CB64-4FB4-B948-0AF28E3F455F}">
      <formula1>"Solar, Wind, Bioenergy, Hydro, Geothermal, Waste, Some Sources, Other, Unknown"</formula1>
    </dataValidation>
    <dataValidation type="list" allowBlank="1" showInputMessage="1" showErrorMessage="1" sqref="R2:R9" xr:uid="{76FB2104-6985-4C67-A42A-C8F1B2625849}">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D9FDF94E-0A5A-4CB5-844F-3988EDD22CB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899C918-CF07-4CAB-BD6C-2CAA451B7834}">
          <x14:formula1>
            <xm:f>'Beneficiary Categories'!$A$2:$A$22</xm:f>
          </x14:formula1>
          <xm:sqref>E2:E9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workbookViewId="0">
      <selection activeCell="A4" sqref="A4"/>
    </sheetView>
  </sheetViews>
  <sheetFormatPr defaultRowHeight="15"/>
  <cols>
    <col min="2" max="2" width="38.85546875" customWidth="1"/>
    <col min="3" max="3" width="20.7109375" customWidth="1"/>
    <col min="4" max="4" width="10.85546875" bestFit="1" customWidth="1"/>
    <col min="5" max="5" width="20.7109375" customWidth="1"/>
    <col min="6" max="6" width="28" bestFit="1" customWidth="1"/>
    <col min="7" max="7" width="12.7109375" customWidth="1"/>
    <col min="8" max="8" width="12.7109375" style="5" customWidth="1"/>
    <col min="9" max="9" width="32.7109375" customWidth="1"/>
  </cols>
  <sheetData>
    <row r="1" spans="1:10">
      <c r="A1" s="1" t="s">
        <v>0</v>
      </c>
      <c r="B1" s="1" t="s">
        <v>1</v>
      </c>
      <c r="C1" s="1" t="s">
        <v>2</v>
      </c>
      <c r="D1" s="1" t="s">
        <v>3</v>
      </c>
      <c r="E1" s="1" t="s">
        <v>4</v>
      </c>
      <c r="F1" s="1" t="s">
        <v>5</v>
      </c>
      <c r="G1" s="1" t="s">
        <v>6</v>
      </c>
      <c r="H1" s="1" t="s">
        <v>7</v>
      </c>
      <c r="I1" s="1" t="s">
        <v>8</v>
      </c>
      <c r="J1" s="6" t="s">
        <v>9</v>
      </c>
    </row>
    <row r="2" spans="1:10">
      <c r="A2">
        <v>128213</v>
      </c>
      <c r="B2" t="s">
        <v>21</v>
      </c>
      <c r="C2" s="2" t="s">
        <v>22</v>
      </c>
      <c r="D2">
        <v>1870871</v>
      </c>
      <c r="E2" s="3" t="s">
        <v>23</v>
      </c>
      <c r="F2" s="3" t="s">
        <v>71</v>
      </c>
      <c r="G2" s="3">
        <v>0</v>
      </c>
      <c r="H2" s="4" t="s">
        <v>72</v>
      </c>
      <c r="I2" s="3"/>
    </row>
    <row r="3" spans="1:10">
      <c r="A3">
        <v>6432</v>
      </c>
      <c r="B3" t="s">
        <v>32</v>
      </c>
      <c r="C3" t="s">
        <v>33</v>
      </c>
      <c r="D3">
        <v>863242</v>
      </c>
      <c r="E3" s="3" t="s">
        <v>34</v>
      </c>
      <c r="F3" s="3" t="s">
        <v>73</v>
      </c>
      <c r="G3" s="3">
        <v>0</v>
      </c>
      <c r="H3" s="4">
        <v>459</v>
      </c>
      <c r="I3" s="3"/>
    </row>
    <row r="4" spans="1:10">
      <c r="B4" t="s">
        <v>42</v>
      </c>
      <c r="D4">
        <v>156514.85</v>
      </c>
      <c r="E4" t="s">
        <v>23</v>
      </c>
      <c r="F4" t="s">
        <v>71</v>
      </c>
      <c r="G4">
        <v>0</v>
      </c>
      <c r="H4" s="5" t="s">
        <v>74</v>
      </c>
      <c r="J4" s="7"/>
    </row>
    <row r="5" spans="1:10">
      <c r="B5" t="s">
        <v>47</v>
      </c>
      <c r="D5">
        <f>43030+4818</f>
        <v>47848</v>
      </c>
      <c r="E5" t="s">
        <v>75</v>
      </c>
      <c r="F5" t="s">
        <v>76</v>
      </c>
      <c r="G5">
        <v>0</v>
      </c>
      <c r="H5" s="5">
        <v>1</v>
      </c>
      <c r="J5" s="7"/>
    </row>
  </sheetData>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2" sqref="B2"/>
    </sheetView>
  </sheetViews>
  <sheetFormatPr defaultRowHeight="15"/>
  <cols>
    <col min="1" max="2" width="52.7109375" customWidth="1"/>
  </cols>
  <sheetData>
    <row r="1" spans="1:2">
      <c r="A1" s="12" t="s">
        <v>4</v>
      </c>
      <c r="B1" s="12" t="s">
        <v>5</v>
      </c>
    </row>
    <row r="2" spans="1:2" ht="45.75">
      <c r="A2" s="37" t="s">
        <v>34</v>
      </c>
      <c r="B2" s="13" t="s">
        <v>35</v>
      </c>
    </row>
    <row r="3" spans="1:2">
      <c r="A3" s="37" t="s">
        <v>23</v>
      </c>
      <c r="B3" s="13" t="s">
        <v>24</v>
      </c>
    </row>
    <row r="4" spans="1:2" ht="30.75">
      <c r="A4" s="37" t="s">
        <v>77</v>
      </c>
      <c r="B4" s="13" t="s">
        <v>78</v>
      </c>
    </row>
    <row r="5" spans="1:2" ht="30.75">
      <c r="A5" s="37" t="s">
        <v>79</v>
      </c>
      <c r="B5" s="13" t="s">
        <v>80</v>
      </c>
    </row>
    <row r="6" spans="1:2" ht="91.5">
      <c r="A6" s="37" t="s">
        <v>66</v>
      </c>
      <c r="B6" s="13" t="s">
        <v>67</v>
      </c>
    </row>
    <row r="7" spans="1:2" ht="45.75">
      <c r="A7" s="37" t="s">
        <v>81</v>
      </c>
      <c r="B7" s="13" t="s">
        <v>82</v>
      </c>
    </row>
    <row r="8" spans="1:2" ht="45.75">
      <c r="A8" s="37" t="s">
        <v>83</v>
      </c>
      <c r="B8" s="13" t="s">
        <v>84</v>
      </c>
    </row>
    <row r="9" spans="1:2" ht="45.75">
      <c r="A9" s="37" t="s">
        <v>85</v>
      </c>
      <c r="B9" s="13" t="s">
        <v>86</v>
      </c>
    </row>
    <row r="10" spans="1:2" ht="30.75">
      <c r="A10" s="37" t="s">
        <v>48</v>
      </c>
      <c r="B10" s="35" t="s">
        <v>49</v>
      </c>
    </row>
    <row r="11" spans="1:2" ht="30.75">
      <c r="A11" s="37" t="s">
        <v>87</v>
      </c>
      <c r="B11" s="35" t="s">
        <v>88</v>
      </c>
    </row>
    <row r="12" spans="1:2" ht="45.75">
      <c r="A12" s="37" t="s">
        <v>89</v>
      </c>
      <c r="B12" s="13" t="s">
        <v>90</v>
      </c>
    </row>
    <row r="13" spans="1:2" ht="30.75">
      <c r="A13" s="37" t="s">
        <v>75</v>
      </c>
      <c r="B13" s="35" t="s">
        <v>91</v>
      </c>
    </row>
    <row r="14" spans="1:2">
      <c r="A14" s="37" t="s">
        <v>59</v>
      </c>
      <c r="B14" s="35" t="s">
        <v>92</v>
      </c>
    </row>
    <row r="15" spans="1:2" ht="30.75">
      <c r="A15" s="37" t="s">
        <v>93</v>
      </c>
      <c r="B15" s="35" t="s">
        <v>94</v>
      </c>
    </row>
    <row r="16" spans="1:2" ht="30.75">
      <c r="A16" s="37" t="s">
        <v>95</v>
      </c>
      <c r="B16" s="35" t="s">
        <v>96</v>
      </c>
    </row>
    <row r="17" spans="1:2" ht="30.75">
      <c r="A17" s="37" t="s">
        <v>53</v>
      </c>
      <c r="B17" s="13" t="s">
        <v>97</v>
      </c>
    </row>
    <row r="18" spans="1:2" ht="30.75">
      <c r="A18" s="37" t="s">
        <v>98</v>
      </c>
      <c r="B18" s="35" t="s">
        <v>99</v>
      </c>
    </row>
    <row r="19" spans="1:2" ht="76.5">
      <c r="A19" s="37" t="s">
        <v>100</v>
      </c>
      <c r="B19" s="35" t="s">
        <v>101</v>
      </c>
    </row>
    <row r="20" spans="1:2" ht="30.75">
      <c r="A20" s="37" t="s">
        <v>102</v>
      </c>
      <c r="B20" s="35" t="s">
        <v>103</v>
      </c>
    </row>
    <row r="21" spans="1:2" ht="45.75">
      <c r="A21" s="37" t="s">
        <v>19</v>
      </c>
      <c r="B21" s="38" t="s">
        <v>104</v>
      </c>
    </row>
    <row r="22" spans="1:2" ht="30.75">
      <c r="A22" s="37" t="s">
        <v>105</v>
      </c>
      <c r="B22" s="35"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Zenanile Dlamini</DisplayName>
        <AccountId>2573</AccountId>
        <AccountType/>
      </UserInfo>
      <UserInfo>
        <DisplayName>Nessie Golakai</DisplayName>
        <AccountId>1390</AccountId>
        <AccountType/>
      </UserInfo>
      <UserInfo>
        <DisplayName>Francis Dennig</DisplayName>
        <AccountId>2574</AccountId>
        <AccountType/>
      </UserInfo>
      <UserInfo>
        <DisplayName>Kigha Benyoh</DisplayName>
        <AccountId>2575</AccountId>
        <AccountType/>
      </UserInfo>
      <UserInfo>
        <DisplayName>Fungai Matura</DisplayName>
        <AccountId>1028</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UserInfo>
        <DisplayName>Mangaliso Mohammed</DisplayName>
        <AccountId>2580</AccountId>
        <AccountType/>
      </UserInfo>
      <UserInfo>
        <DisplayName>Temndeni Khumalo</DisplayName>
        <AccountId>2583</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3D9871-66DE-474E-AF75-010042FB742A}"/>
</file>

<file path=customXml/itemProps2.xml><?xml version="1.0" encoding="utf-8"?>
<ds:datastoreItem xmlns:ds="http://schemas.openxmlformats.org/officeDocument/2006/customXml" ds:itemID="{48B6CE9A-AE4E-485C-ACBE-294AC8221D61}"/>
</file>

<file path=customXml/itemProps3.xml><?xml version="1.0" encoding="utf-8"?>
<ds:datastoreItem xmlns:ds="http://schemas.openxmlformats.org/officeDocument/2006/customXml" ds:itemID="{D944BD0E-6224-4D2C-A4A3-006CFCCD41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