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1"/>
  <workbookPr defaultThemeVersion="124226"/>
  <xr:revisionPtr revIDLastSave="188" documentId="8_{CB229E3B-58E6-4465-B28F-BA156EBF5589}" xr6:coauthVersionLast="47" xr6:coauthVersionMax="47" xr10:uidLastSave="{FC8C1A74-DF2F-4A09-B98B-C1A392AFEB60}"/>
  <bookViews>
    <workbookView xWindow="240" yWindow="15" windowWidth="16095" windowHeight="9660" xr2:uid="{00000000-000D-0000-FFFF-FFFF00000000}"/>
  </bookViews>
  <sheets>
    <sheet name="Projects (3)" sheetId="4" r:id="rId1"/>
    <sheet name="Projects (2)" sheetId="1" state="hidden" r:id="rId2"/>
    <sheet name="Projects (1)" sheetId="3"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<sst xmlns="http://schemas.openxmlformats.org/spreadsheetml/2006/main" count="141" uniqueCount="88">
  <si>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</si>
  <si>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</si>
  <si>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</si>
  <si>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</si>
  <si>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</si>
  <si>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</si>
  <si>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</si>
  <si>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</si>
  <si>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</si>
  <si>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</si>
  <si>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</si>
  <si>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</si>
  <si>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</si>
  <si>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</si>
  <si>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</si>
  <si>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</si>
  <si>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</si>
  <si>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</si>
  <si>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</si>
  <si>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</si>
  <si>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</si>
  <si>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project document</t>
  </si>
  <si>
    <t>A systemic approach for GHG emission</t>
  </si>
  <si>
    <t>PIMS+</t>
  </si>
  <si>
    <t>GHG Emissions Reduction</t>
  </si>
  <si>
    <t xml:space="preserve">1. Direct project CO2 emission reductions from the range of interventions proposed by the project, tCO2e </t>
  </si>
  <si>
    <t>GEF</t>
  </si>
  <si>
    <t>VF</t>
  </si>
  <si>
    <t>Accelerating just energy transition</t>
  </si>
  <si>
    <t>yes</t>
  </si>
  <si>
    <t>Energy Efficiency Services</t>
  </si>
  <si>
    <t>2. Energy saved through application of Thermal Insulation Code and water efficient fixtures: diesel avoided (MJ)</t>
  </si>
  <si>
    <t>2. Energy saved through application of Thermal Insulation Code and water efficient fixtures: electricity saved (MWh)</t>
  </si>
  <si>
    <t>Other Energy Services</t>
  </si>
  <si>
    <t xml:space="preserve">3. Number of gender-disaggregated beneficiaries benefiting from investments in building envelope thermal insulation </t>
  </si>
  <si>
    <t xml:space="preserve">153,000 (of which at least 40% for women)
 </t>
  </si>
  <si>
    <t>Scaling Up Sustainable Cooling in the Middle East (Cool Up)</t>
  </si>
  <si>
    <t>increase sustainable cooling technologies in different cooling segments of the building sector (AC in residential and RAC in commercial buildings) in the MENA countries of including Egypt, Jordan, Lebanon, and Turkey.</t>
  </si>
  <si>
    <t>Non-VF</t>
  </si>
  <si>
    <t>Accelerating energy transtion</t>
  </si>
  <si>
    <t>Indirect Beneficiaries</t>
  </si>
  <si>
    <t>Energy Efficiency</t>
  </si>
  <si>
    <t>2. Energy saved through application of Thermal Insulation Code and water efficient fixtures.</t>
  </si>
  <si>
    <t>7,742 GJ (from diesel avoided) &amp; 1,822 MWh (electricity saved).</t>
  </si>
  <si>
    <t>Category</t>
  </si>
  <si>
    <t>Comments</t>
  </si>
  <si>
    <t xml:space="preserve">1. Direct project CO2 emission reductions from the range of interventions proposed by the project, tCO2e 
</t>
  </si>
  <si>
    <t>1. 1,602 tCO2e
2. 7,742 GJ (from diesel avoided) &amp; 1,822 MWh (electricity saved).
3. 153,000 (of which at least 40% for women)</t>
  </si>
  <si>
    <t>Note to CO: 153,000 is listed as a target. What does this number refer to? Also, please separate outputs into separate rows</t>
  </si>
  <si>
    <t>Electricity Access</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</si>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</sst>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theme="1"/>
      <name val="Calibri"/>
      <scheme val="minor"/>
    </font>
    <font>
      <b/>
      <sz val="11"/>
      <color theme="1"/>
      <name val="Calibri"/>
      <family val="2"/>
      <scheme val="minor"/>
    </font>
    <font>
      <b/>
      <sz val="11"/>
      <color rgb="FFFF0000"/>
      <name val="Calibri"/>
      <family val="2"/>
      <scheme val="minor"/>
    </font>
    <font>
      <b/>
      <sz val="11"/>
      <color theme="1"/>
      <name val="Calibri"/>
      <scheme val="minor"/>
    </font>
    <font>
      <sz val="11"/>
      <color rgb="FF000000"/>
      <name val="Calibri"/>
      <scheme val="minor"/>
    </font>
    <font>
      <sz val="11"/>
      <color theme="1"/>
      <name val="Calibri"/>
      <family val="2"/>
      <charset val="1"/>
    </font>
  </fonts>
  <fills count="3">
    <fill>
      <patternFill patternType="none"/>
    </fill>
    <fill>
      <patternFill patternType="gray125"/>
    </fill>
    <fill>
      <patternFill patternType="solid">
        <fgColor rgb="FFFFE497"/>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s>
  <cellStyleXfs count="1">
    <xf numFmtId="0" fontId="0" fillId="0" borderId="0"/>
  </cellStyleXfs>
  <cellXfs count="54">
    <xf numFmtId="0" fontId="0" fillId="0" borderId="0" xfId="0"/>
    <xf numFmtId="0" fontId="2" fillId="0" borderId="0" xfId="0" applyFont="1"/>
    <xf numFmtId="0" fontId="2" fillId="0" borderId="1" xfId="0" applyFont="1" applyBorder="1"/>
    <xf numFmtId="0" fontId="2" fillId="0" borderId="1" xfId="0" applyFont="1" applyBorder="1" applyAlignment="1">
      <alignment horizontal="center" vertical="top"/>
    </xf>
    <xf numFmtId="0" fontId="0" fillId="0" borderId="1" xfId="0" applyBorder="1"/>
    <xf numFmtId="0" fontId="0" fillId="2" borderId="1" xfId="0" applyFill="1" applyBorder="1" applyAlignment="1">
      <alignment wrapText="1"/>
    </xf>
    <xf numFmtId="0" fontId="0" fillId="0" borderId="1" xfId="0" applyBorder="1" applyAlignment="1">
      <alignment horizontal="center" vertical="center"/>
    </xf>
    <xf numFmtId="9" fontId="0" fillId="0" borderId="1" xfId="0" applyNumberFormat="1" applyBorder="1" applyAlignment="1">
      <alignment horizontal="center" vertical="center"/>
    </xf>
    <xf numFmtId="0" fontId="0" fillId="2" borderId="1" xfId="0" applyFill="1" applyBorder="1" applyAlignment="1">
      <alignment horizontal="center" vertical="center" wrapText="1"/>
    </xf>
    <xf numFmtId="49" fontId="0" fillId="2" borderId="1" xfId="0" applyNumberFormat="1" applyFill="1" applyBorder="1" applyAlignment="1">
      <alignment horizontal="center" vertical="center" wrapText="1"/>
    </xf>
    <xf numFmtId="0" fontId="0" fillId="2" borderId="1" xfId="0" applyFill="1" applyBorder="1" applyAlignment="1">
      <alignment vertical="center" wrapText="1"/>
    </xf>
    <xf numFmtId="0" fontId="0" fillId="2" borderId="1" xfId="0" applyFill="1" applyBorder="1" applyAlignment="1">
      <alignment horizontal="center" vertical="center"/>
    </xf>
    <xf numFmtId="0" fontId="3" fillId="0" borderId="0" xfId="0" applyFont="1"/>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xf>
    <xf numFmtId="9" fontId="0" fillId="0" borderId="1" xfId="0" applyNumberFormat="1" applyBorder="1" applyAlignment="1">
      <alignment vertical="center"/>
    </xf>
    <xf numFmtId="0" fontId="0" fillId="0" borderId="1" xfId="0" applyBorder="1" applyAlignment="1">
      <alignment vertical="center" wrapText="1"/>
    </xf>
    <xf numFmtId="0" fontId="0" fillId="0" borderId="2" xfId="0" applyBorder="1" applyAlignment="1">
      <alignment horizontal="center" vertical="center" wrapText="1"/>
    </xf>
    <xf numFmtId="0" fontId="2" fillId="0" borderId="3" xfId="0" applyFont="1"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2" borderId="1" xfId="0" applyFill="1" applyBorder="1"/>
    <xf numFmtId="0" fontId="0" fillId="0" borderId="2" xfId="0" applyBorder="1"/>
    <xf numFmtId="0" fontId="2" fillId="0" borderId="3" xfId="0" applyFont="1" applyBorder="1" applyAlignment="1">
      <alignment horizontal="center" vertical="top"/>
    </xf>
    <xf numFmtId="0" fontId="0" fillId="0" borderId="7" xfId="0" applyBorder="1"/>
    <xf numFmtId="0" fontId="0" fillId="0" borderId="10" xfId="0" applyBorder="1"/>
    <xf numFmtId="0" fontId="0" fillId="0" borderId="8" xfId="0" applyBorder="1"/>
    <xf numFmtId="0" fontId="0" fillId="0" borderId="11" xfId="0" applyBorder="1"/>
    <xf numFmtId="0" fontId="0" fillId="0" borderId="12" xfId="0" applyBorder="1"/>
    <xf numFmtId="0" fontId="0" fillId="0" borderId="9" xfId="0" applyBorder="1"/>
    <xf numFmtId="0" fontId="0" fillId="0" borderId="13" xfId="0" applyBorder="1"/>
    <xf numFmtId="0" fontId="0" fillId="0" borderId="1" xfId="0" applyBorder="1" applyAlignment="1">
      <alignment wrapText="1"/>
    </xf>
    <xf numFmtId="0" fontId="4" fillId="0" borderId="1" xfId="0" applyFont="1" applyBorder="1" applyAlignment="1">
      <alignment horizontal="center" vertical="top" wrapText="1"/>
    </xf>
    <xf numFmtId="0" fontId="5" fillId="0" borderId="1" xfId="0" applyFont="1" applyBorder="1" applyAlignment="1">
      <alignment wrapText="1"/>
    </xf>
    <xf numFmtId="0" fontId="2" fillId="0" borderId="1" xfId="0" applyFont="1" applyBorder="1" applyAlignment="1">
      <alignment horizontal="center"/>
    </xf>
    <xf numFmtId="0" fontId="2" fillId="0" borderId="3" xfId="0" applyFont="1" applyBorder="1" applyAlignment="1">
      <alignment horizontal="center"/>
    </xf>
    <xf numFmtId="0" fontId="2" fillId="0" borderId="6" xfId="0" applyFont="1" applyBorder="1" applyAlignment="1">
      <alignment horizontal="center"/>
    </xf>
    <xf numFmtId="0" fontId="2" fillId="0" borderId="3" xfId="0" applyFont="1" applyBorder="1"/>
    <xf numFmtId="0" fontId="0" fillId="0" borderId="9" xfId="0" applyBorder="1" applyAlignment="1">
      <alignment horizontal="center" vertical="center"/>
    </xf>
    <xf numFmtId="0" fontId="6" fillId="0" borderId="0" xfId="0" applyFont="1"/>
    <xf numFmtId="4" fontId="6" fillId="0" borderId="0" xfId="0" applyNumberFormat="1" applyFont="1"/>
    <xf numFmtId="0" fontId="0" fillId="0" borderId="1" xfId="0" applyBorder="1" applyAlignment="1">
      <alignment horizontal="center"/>
    </xf>
    <xf numFmtId="0" fontId="1" fillId="0" borderId="1" xfId="0" applyFont="1" applyBorder="1" applyAlignment="1">
      <alignment horizontal="left" vertical="center" wrapText="1"/>
    </xf>
    <xf numFmtId="0" fontId="1" fillId="0" borderId="1" xfId="0" applyFont="1" applyBorder="1" applyAlignment="1">
      <alignment wrapText="1"/>
    </xf>
    <xf numFmtId="0" fontId="1" fillId="0" borderId="1"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E440-8DA0-4594-A437-A02A7E98AF26}">
  <dimension ref="A1:V6"/>
  <sheetViews>
    <sheetView tabSelected="1" topLeftCell="B1" workbookViewId="0">
      <selection activeCell="L7" sqref="L7"/>
    </sheetView>
  </sheetViews>
  <sheetFormatPr defaultRowHeight="15"/>
  <cols>
    <col min="2" max="2" width="30.7109375" customWidth="1"/>
    <col min="3" max="3" width="20.7109375" customWidth="1"/>
    <col min="4" max="4" width="10.85546875" bestFit="1" customWidth="1"/>
    <col min="5" max="5" width="20.7109375" customWidth="1"/>
    <col min="6" max="6" width="25.85546875" customWidth="1"/>
    <col min="7" max="8" width="12.7109375" customWidth="1"/>
    <col min="9" max="9" width="32.7109375" customWidth="1"/>
    <col min="12" max="12" width="12.85546875" bestFit="1" customWidth="1"/>
    <col min="14" max="14" width="14.42578125" bestFit="1" customWidth="1"/>
    <col min="15" max="15" width="14.85546875" bestFit="1" customWidth="1"/>
    <col min="16" max="16" width="11" customWidth="1"/>
    <col min="17" max="17" width="16.5703125" bestFit="1" customWidth="1"/>
    <col min="18" max="18" width="18.140625" bestFit="1" customWidth="1"/>
    <col min="19" max="19" width="11" customWidth="1"/>
    <col min="20" max="20" width="30.28515625" bestFit="1" customWidth="1"/>
    <col min="21" max="21" width="16.7109375" bestFit="1" customWidth="1"/>
  </cols>
  <sheetData>
    <row r="1" spans="1:22" ht="45.75">
      <c r="A1" s="20" t="s">
        <v>0</v>
      </c>
      <c r="B1" s="20" t="s">
        <v>1</v>
      </c>
      <c r="C1" s="20" t="s">
        <v>2</v>
      </c>
      <c r="D1" s="20" t="s">
        <v>3</v>
      </c>
      <c r="E1" s="14" t="s">
        <v>4</v>
      </c>
      <c r="F1" s="14" t="s">
        <v>5</v>
      </c>
      <c r="G1" s="14" t="s">
        <v>6</v>
      </c>
      <c r="H1" s="14" t="s">
        <v>7</v>
      </c>
      <c r="I1" s="14" t="s">
        <v>8</v>
      </c>
      <c r="J1" s="13" t="s">
        <v>9</v>
      </c>
      <c r="K1" s="13" t="s">
        <v>10</v>
      </c>
      <c r="L1" s="43" t="s">
        <v>11</v>
      </c>
      <c r="M1" s="44" t="s">
        <v>12</v>
      </c>
      <c r="N1" s="43" t="s">
        <v>13</v>
      </c>
      <c r="O1" s="43" t="s">
        <v>14</v>
      </c>
      <c r="P1" s="44" t="s">
        <v>15</v>
      </c>
      <c r="Q1" s="44" t="s">
        <v>16</v>
      </c>
      <c r="R1" s="45" t="s">
        <v>17</v>
      </c>
      <c r="S1" s="46" t="s">
        <v>18</v>
      </c>
      <c r="T1" s="45" t="s">
        <v>19</v>
      </c>
      <c r="U1" s="46" t="s">
        <v>20</v>
      </c>
      <c r="V1" t="s">
        <v>21</v>
      </c>
    </row>
    <row r="2" spans="1:22" ht="76.5" customHeight="1">
      <c r="A2" s="24">
        <v>5543</v>
      </c>
      <c r="B2" s="24" t="s">
        <v>22</v>
      </c>
      <c r="C2" s="24" t="s">
        <v>23</v>
      </c>
      <c r="D2" s="21">
        <v>2640000</v>
      </c>
      <c r="E2" s="40" t="s">
        <v>24</v>
      </c>
      <c r="F2" s="18" t="s">
        <v>25</v>
      </c>
      <c r="G2" s="18">
        <v>0</v>
      </c>
      <c r="H2" s="18">
        <v>1602</v>
      </c>
      <c r="I2" s="14"/>
      <c r="J2" s="15" t="s">
        <v>26</v>
      </c>
      <c r="K2" s="16"/>
      <c r="L2" s="47" t="s">
        <v>27</v>
      </c>
      <c r="M2" s="6"/>
      <c r="N2" s="19" t="s">
        <v>28</v>
      </c>
      <c r="O2" s="6"/>
      <c r="P2" s="6"/>
      <c r="Q2" s="6"/>
      <c r="R2" s="6"/>
      <c r="S2" s="16"/>
      <c r="T2" s="6"/>
      <c r="U2" s="16"/>
      <c r="V2" t="s">
        <v>29</v>
      </c>
    </row>
    <row r="3" spans="1:22" ht="76.5" customHeight="1">
      <c r="A3" s="25"/>
      <c r="B3" s="25"/>
      <c r="C3" s="25"/>
      <c r="D3" s="22"/>
      <c r="E3" s="19" t="s">
        <v>30</v>
      </c>
      <c r="F3" s="18" t="s">
        <v>31</v>
      </c>
      <c r="G3" s="18">
        <v>0</v>
      </c>
      <c r="H3" s="18">
        <v>7742000</v>
      </c>
      <c r="I3" s="14"/>
      <c r="J3" s="15"/>
      <c r="K3" s="16"/>
      <c r="L3" s="47" t="s">
        <v>27</v>
      </c>
      <c r="M3" s="6"/>
      <c r="N3" s="19" t="s">
        <v>28</v>
      </c>
      <c r="O3" s="6"/>
      <c r="P3" s="6"/>
      <c r="Q3" s="6"/>
      <c r="R3" s="6"/>
      <c r="S3" s="16"/>
      <c r="T3" s="6"/>
      <c r="U3" s="16"/>
    </row>
    <row r="4" spans="1:22" ht="76.5">
      <c r="A4" s="25"/>
      <c r="B4" s="25"/>
      <c r="C4" s="25"/>
      <c r="D4" s="22"/>
      <c r="E4" s="19"/>
      <c r="F4" s="18" t="s">
        <v>32</v>
      </c>
      <c r="G4" s="18">
        <v>0</v>
      </c>
      <c r="H4" s="29">
        <v>1822</v>
      </c>
      <c r="I4" s="14"/>
      <c r="J4" s="15"/>
      <c r="K4" s="16"/>
      <c r="L4" s="47" t="s">
        <v>27</v>
      </c>
      <c r="M4" s="6"/>
      <c r="N4" s="19" t="s">
        <v>28</v>
      </c>
      <c r="O4" s="6"/>
      <c r="P4" s="6"/>
      <c r="Q4" s="6"/>
      <c r="R4" s="6"/>
      <c r="S4" s="16"/>
      <c r="T4" s="6"/>
      <c r="U4" s="16"/>
    </row>
    <row r="5" spans="1:22" ht="102" customHeight="1">
      <c r="A5" s="26"/>
      <c r="B5" s="26"/>
      <c r="C5" s="26"/>
      <c r="D5" s="23"/>
      <c r="E5" s="40" t="s">
        <v>33</v>
      </c>
      <c r="F5" s="18" t="s">
        <v>34</v>
      </c>
      <c r="G5" s="27">
        <v>0</v>
      </c>
      <c r="H5" s="16">
        <v>153000</v>
      </c>
      <c r="I5" s="28" t="s">
        <v>35</v>
      </c>
      <c r="J5" s="15"/>
      <c r="K5" s="17">
        <v>0.4</v>
      </c>
      <c r="L5" s="47" t="s">
        <v>27</v>
      </c>
      <c r="M5" s="6"/>
      <c r="N5" s="19" t="s">
        <v>28</v>
      </c>
      <c r="O5" s="6"/>
      <c r="P5" s="6"/>
      <c r="Q5" s="6"/>
      <c r="R5" s="6"/>
      <c r="S5" s="16"/>
      <c r="T5" s="6"/>
      <c r="U5" s="16"/>
    </row>
    <row r="6" spans="1:22">
      <c r="A6">
        <v>139584</v>
      </c>
      <c r="B6" s="48" t="s">
        <v>36</v>
      </c>
      <c r="D6" s="49">
        <v>785000</v>
      </c>
      <c r="E6" t="s">
        <v>33</v>
      </c>
      <c r="F6" t="s">
        <v>37</v>
      </c>
      <c r="G6">
        <v>0</v>
      </c>
      <c r="L6" t="s">
        <v>38</v>
      </c>
      <c r="N6" t="s">
        <v>39</v>
      </c>
    </row>
  </sheetData>
  <dataValidations count="9">
    <dataValidation type="list" allowBlank="1" showInputMessage="1" showErrorMessage="1" sqref="Q2:Q5" xr:uid="{74FAE332-D73E-4413-8B59-0F864624C521}">
      <formula1>"NDC Support, National Strategy, Legal Framework,Incentives and Support, Government Capacity-Building, Carbon Pricing and Monitoring, Financing Model, Business Model"</formula1>
    </dataValidation>
    <dataValidation type="list" allowBlank="1" showInputMessage="1" showErrorMessage="1" sqref="P2:P5" xr:uid="{6D3D584F-702B-4E5F-B0A2-732C74E62633}">
      <formula1>"AMP, PUDC, Solar4Health, Action Opportunities, Italy UNDP Energy Partnership"</formula1>
    </dataValidation>
    <dataValidation type="list" allowBlank="1" showInputMessage="1" showErrorMessage="1" sqref="N2:N5" xr:uid="{7109A120-DA29-42C6-BEFB-4C7CBDA5786B}">
      <formula1>"Accelerating just energy transition, Close the gap on energy access, Scale up energy finance"</formula1>
    </dataValidation>
    <dataValidation type="list" allowBlank="1" showInputMessage="1" showErrorMessage="1" sqref="O2:O5" xr:uid="{AB905F65-B53F-4E30-B6B8-2C2914536A09}">
      <formula1>"Electricity Access, Energy Efficiency, Clean Cooking, Renewable Energy, Overall"</formula1>
    </dataValidation>
    <dataValidation type="list" allowBlank="1" showInputMessage="1" showErrorMessage="1" sqref="L2:L5" xr:uid="{A7AE6D69-70B2-40E3-8B48-1A197FCE2179}">
      <formula1>"Non-VF, VF"</formula1>
    </dataValidation>
    <dataValidation type="list" allowBlank="1" showInputMessage="1" showErrorMessage="1" sqref="M2:M5" xr:uid="{25A8A4C5-2309-45AE-B67E-832DD6809997}">
      <formula1>"Finance, Gender, Efficiency, Just, Health"</formula1>
    </dataValidation>
    <dataValidation type="list" allowBlank="1" showInputMessage="1" showErrorMessage="1" sqref="T2:T5" xr:uid="{80867396-39E8-4F3A-91E1-F4AC8A2A6210}">
      <formula1>"National, Regional, City, Community"</formula1>
    </dataValidation>
    <dataValidation type="list" allowBlank="1" showInputMessage="1" showErrorMessage="1" sqref="R2:R5" xr:uid="{576E6CF7-D6E7-4A29-94DD-8DB2A15304AB}">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5" xr:uid="{43A7B56E-6997-45F4-A1E4-7E900F06B10F}">
      <formula1>"Solar, Wind, Bioenergy, Hydro, Geothermal, Waste, Some Sources, Other, Unknown"</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D82997D-4198-4A30-8AB6-638E463755EA}">
          <x14:formula1>
            <xm:f>'Beneficiary Categories'!$A$2:$A$16</xm:f>
          </x14:formula1>
          <xm:sqref>E6:E7</xm:sqref>
        </x14:dataValidation>
        <x14:dataValidation type="list" allowBlank="1" showInputMessage="1" showErrorMessage="1" xr:uid="{2C62CB56-CF42-4751-824C-7886A2D8E9C8}">
          <x14:formula1>
            <xm:f>'Beneficiary Categories'!$A$2:$A$22</xm:f>
          </x14:formula1>
          <xm:sqref>E2:E5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
  <sheetViews>
    <sheetView workbookViewId="0">
      <selection activeCell="L1" sqref="L1"/>
    </sheetView>
  </sheetViews>
  <sheetFormatPr defaultRowHeight="15"/>
  <cols>
    <col min="2" max="2" width="30.7109375" customWidth="1"/>
    <col min="3" max="3" width="20.7109375" customWidth="1"/>
    <col min="5" max="6" width="20.7109375" customWidth="1"/>
    <col min="7" max="8" width="12.7109375" customWidth="1"/>
    <col min="9" max="9" width="32.7109375" customWidth="1"/>
  </cols>
  <sheetData>
    <row r="1" spans="1:12">
      <c r="A1" s="32" t="s">
        <v>0</v>
      </c>
      <c r="B1" s="32" t="s">
        <v>1</v>
      </c>
      <c r="C1" s="32" t="s">
        <v>2</v>
      </c>
      <c r="D1" s="3" t="s">
        <v>3</v>
      </c>
      <c r="E1" s="3" t="s">
        <v>4</v>
      </c>
      <c r="F1" s="3" t="s">
        <v>5</v>
      </c>
      <c r="G1" s="3" t="s">
        <v>6</v>
      </c>
      <c r="H1" s="3" t="s">
        <v>7</v>
      </c>
      <c r="I1" s="3" t="s">
        <v>8</v>
      </c>
      <c r="J1" s="2" t="s">
        <v>9</v>
      </c>
      <c r="K1" s="4" t="s">
        <v>10</v>
      </c>
      <c r="L1" s="4" t="s">
        <v>40</v>
      </c>
    </row>
    <row r="2" spans="1:12" ht="76.5" customHeight="1">
      <c r="A2" s="38">
        <v>5543</v>
      </c>
      <c r="B2" s="39" t="s">
        <v>22</v>
      </c>
      <c r="C2" s="31" t="s">
        <v>23</v>
      </c>
      <c r="D2" s="31">
        <v>2640000</v>
      </c>
      <c r="E2" s="4" t="s">
        <v>24</v>
      </c>
      <c r="F2" s="5" t="s">
        <v>25</v>
      </c>
      <c r="G2" s="10">
        <v>0</v>
      </c>
      <c r="H2" s="5">
        <v>1602</v>
      </c>
      <c r="I2" s="3"/>
      <c r="J2" s="50" t="s">
        <v>26</v>
      </c>
      <c r="K2" s="4"/>
      <c r="L2" s="4"/>
    </row>
    <row r="3" spans="1:12" ht="91.5">
      <c r="A3" s="33"/>
      <c r="C3" s="34"/>
      <c r="D3" s="31"/>
      <c r="E3" s="4" t="s">
        <v>41</v>
      </c>
      <c r="F3" s="5" t="s">
        <v>42</v>
      </c>
      <c r="G3" s="10">
        <v>0</v>
      </c>
      <c r="H3" s="5" t="s">
        <v>43</v>
      </c>
      <c r="I3" s="3"/>
      <c r="J3" s="50"/>
      <c r="K3" s="4"/>
      <c r="L3" s="4"/>
    </row>
    <row r="4" spans="1:12" ht="102" customHeight="1">
      <c r="A4" s="35"/>
      <c r="B4" s="36"/>
      <c r="C4" s="37"/>
      <c r="D4" s="31"/>
      <c r="E4" s="4" t="s">
        <v>41</v>
      </c>
      <c r="F4" s="5" t="s">
        <v>34</v>
      </c>
      <c r="G4" s="10">
        <v>0</v>
      </c>
      <c r="H4" s="4"/>
      <c r="I4" s="30"/>
      <c r="J4" s="50"/>
      <c r="K4" s="4">
        <v>40</v>
      </c>
      <c r="L4" s="5">
        <v>153000</v>
      </c>
    </row>
  </sheetData>
  <mergeCells count="1">
    <mergeCell ref="J2:J4"/>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E5:E6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69540-194E-417A-B15C-A11D07BCFFDA}">
  <dimension ref="A1:S4"/>
  <sheetViews>
    <sheetView workbookViewId="0">
      <selection activeCell="I2" sqref="I2"/>
    </sheetView>
  </sheetViews>
  <sheetFormatPr defaultRowHeight="15"/>
  <cols>
    <col min="2" max="2" width="30.7109375" customWidth="1"/>
    <col min="3" max="3" width="20.7109375" customWidth="1"/>
    <col min="5" max="6" width="20.7109375" customWidth="1"/>
    <col min="7" max="8" width="12.7109375" customWidth="1"/>
    <col min="9" max="9" width="32.7109375" customWidth="1"/>
  </cols>
  <sheetData>
    <row r="1" spans="1:19">
      <c r="A1" s="3" t="s">
        <v>0</v>
      </c>
      <c r="B1" s="3" t="s">
        <v>1</v>
      </c>
      <c r="C1" s="3" t="s">
        <v>2</v>
      </c>
      <c r="D1" s="3" t="s">
        <v>3</v>
      </c>
      <c r="E1" s="3" t="s">
        <v>4</v>
      </c>
      <c r="F1" s="3" t="s">
        <v>5</v>
      </c>
      <c r="G1" s="3" t="s">
        <v>6</v>
      </c>
      <c r="H1" s="3" t="s">
        <v>7</v>
      </c>
      <c r="I1" s="3" t="s">
        <v>8</v>
      </c>
      <c r="J1" s="2" t="s">
        <v>9</v>
      </c>
      <c r="K1" s="2" t="s">
        <v>10</v>
      </c>
      <c r="L1" s="2" t="s">
        <v>44</v>
      </c>
      <c r="M1" s="2" t="s">
        <v>45</v>
      </c>
      <c r="O1" s="1" t="s">
        <v>13</v>
      </c>
      <c r="P1" s="1" t="s">
        <v>14</v>
      </c>
      <c r="Q1" s="1" t="s">
        <v>15</v>
      </c>
      <c r="R1" s="1" t="s">
        <v>16</v>
      </c>
      <c r="S1" s="1" t="s">
        <v>17</v>
      </c>
    </row>
    <row r="2" spans="1:19" ht="268.5" customHeight="1">
      <c r="A2" s="4">
        <v>5543</v>
      </c>
      <c r="B2" s="4" t="s">
        <v>22</v>
      </c>
      <c r="C2" s="4" t="s">
        <v>23</v>
      </c>
      <c r="D2" s="4">
        <v>2640000</v>
      </c>
      <c r="E2" s="11" t="s">
        <v>24</v>
      </c>
      <c r="F2" s="10" t="s">
        <v>46</v>
      </c>
      <c r="G2" s="5">
        <v>1</v>
      </c>
      <c r="H2" s="9">
        <v>1602</v>
      </c>
      <c r="I2" s="8" t="s">
        <v>47</v>
      </c>
      <c r="J2" s="6" t="s">
        <v>26</v>
      </c>
      <c r="K2" s="7">
        <v>0.4</v>
      </c>
      <c r="L2" s="6" t="s">
        <v>27</v>
      </c>
      <c r="M2" s="4"/>
      <c r="O2" t="s">
        <v>28</v>
      </c>
      <c r="P2" t="s">
        <v>41</v>
      </c>
    </row>
    <row r="4" spans="1:19">
      <c r="B4" s="12" t="s">
        <v>48</v>
      </c>
    </row>
  </sheetData>
  <dataValidations count="6">
    <dataValidation allowBlank="1" showInputMessage="1" showErrorMessage="1" sqref="E2" xr:uid="{0B3624A5-C291-4740-A9CE-68F589B45BFE}"/>
    <dataValidation type="list" allowBlank="1" showInputMessage="1" showErrorMessage="1" sqref="O2" xr:uid="{E7770A01-D4A3-4D43-A64D-C1E553FBCCEA}">
      <formula1>"Accelerating just energy transition, Close the gap on energy access, Scale up energy finance"</formula1>
    </dataValidation>
    <dataValidation type="list" allowBlank="1" showInputMessage="1" showErrorMessage="1" sqref="P2" xr:uid="{9858CC8C-E20E-4551-BDF2-E764082160CF}">
      <formula1>"Electricity Access, Energy Efficiency, Clean Cooking, Renewable Energy"</formula1>
    </dataValidation>
    <dataValidation type="list" allowBlank="1" showInputMessage="1" showErrorMessage="1" sqref="Q2" xr:uid="{41DBA53F-A829-4526-BC3E-89CF338C5498}">
      <formula1>"AMP, PUDC, Solar4Health, Action Opportunities, Italy UNDP Energy Partnership"</formula1>
    </dataValidation>
    <dataValidation type="list" allowBlank="1" showInputMessage="1" showErrorMessage="1" sqref="R2" xr:uid="{2C02D950-6894-4A2A-A777-A238A16699EC}">
      <formula1>"NDC Support, National Strategy, Legal Framework,Incentives and Support, Government Capacity-Building, Carbon Pricing and Monitoring, Financing Model, Business Model"</formula1>
    </dataValidation>
    <dataValidation type="list" allowBlank="1" showInputMessage="1" showErrorMessage="1" sqref="S2" xr:uid="{7A92F744-48B8-4C04-A3D9-512F2DEBF9BD}">
      <formula1>"Electricity Access, Energy Efficiency, Renewable EnergyEnergy Infrastructure,   Transport, Digital &amp; Data, Clean Cooking, Decarbonization, Hydrogen, Off-Grid, On-Grid"</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7FDD816-F7D7-4FCE-ADA3-73EF43EA3059}">
          <x14:formula1>
            <xm:f>'Beneficiary Categories'!$A$2:$A$16</xm:f>
          </x14:formula1>
          <xm:sqref>E3:E4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RowHeight="15"/>
  <cols>
    <col min="1" max="2" width="52.7109375" customWidth="1"/>
  </cols>
  <sheetData>
    <row r="1" spans="1:2">
      <c r="A1" s="41" t="s">
        <v>4</v>
      </c>
      <c r="B1" s="41" t="s">
        <v>5</v>
      </c>
    </row>
    <row r="2" spans="1:2" ht="45.75">
      <c r="A2" s="51" t="s">
        <v>49</v>
      </c>
      <c r="B2" s="42" t="s">
        <v>50</v>
      </c>
    </row>
    <row r="3" spans="1:2">
      <c r="A3" s="51" t="s">
        <v>51</v>
      </c>
      <c r="B3" s="42" t="s">
        <v>52</v>
      </c>
    </row>
    <row r="4" spans="1:2" ht="30.75">
      <c r="A4" s="51" t="s">
        <v>53</v>
      </c>
      <c r="B4" s="42" t="s">
        <v>54</v>
      </c>
    </row>
    <row r="5" spans="1:2" ht="30.75">
      <c r="A5" s="51" t="s">
        <v>55</v>
      </c>
      <c r="B5" s="42" t="s">
        <v>56</v>
      </c>
    </row>
    <row r="6" spans="1:2" ht="91.5">
      <c r="A6" s="51" t="s">
        <v>57</v>
      </c>
      <c r="B6" s="42" t="s">
        <v>58</v>
      </c>
    </row>
    <row r="7" spans="1:2" ht="45.75">
      <c r="A7" s="51" t="s">
        <v>59</v>
      </c>
      <c r="B7" s="42" t="s">
        <v>60</v>
      </c>
    </row>
    <row r="8" spans="1:2" ht="45.75">
      <c r="A8" s="51" t="s">
        <v>61</v>
      </c>
      <c r="B8" s="42" t="s">
        <v>62</v>
      </c>
    </row>
    <row r="9" spans="1:2" ht="45.75">
      <c r="A9" s="51" t="s">
        <v>63</v>
      </c>
      <c r="B9" s="42" t="s">
        <v>64</v>
      </c>
    </row>
    <row r="10" spans="1:2" ht="30.75">
      <c r="A10" s="51" t="s">
        <v>65</v>
      </c>
      <c r="B10" s="52" t="s">
        <v>66</v>
      </c>
    </row>
    <row r="11" spans="1:2" ht="30.75">
      <c r="A11" s="51" t="s">
        <v>30</v>
      </c>
      <c r="B11" s="52" t="s">
        <v>67</v>
      </c>
    </row>
    <row r="12" spans="1:2" ht="45.75">
      <c r="A12" s="51" t="s">
        <v>68</v>
      </c>
      <c r="B12" s="42" t="s">
        <v>69</v>
      </c>
    </row>
    <row r="13" spans="1:2" ht="30.75">
      <c r="A13" s="51" t="s">
        <v>33</v>
      </c>
      <c r="B13" s="52" t="s">
        <v>70</v>
      </c>
    </row>
    <row r="14" spans="1:2">
      <c r="A14" s="51" t="s">
        <v>71</v>
      </c>
      <c r="B14" s="52" t="s">
        <v>72</v>
      </c>
    </row>
    <row r="15" spans="1:2" ht="30.75">
      <c r="A15" s="51" t="s">
        <v>73</v>
      </c>
      <c r="B15" s="52" t="s">
        <v>74</v>
      </c>
    </row>
    <row r="16" spans="1:2" ht="30.75">
      <c r="A16" s="51" t="s">
        <v>75</v>
      </c>
      <c r="B16" s="52" t="s">
        <v>76</v>
      </c>
    </row>
    <row r="17" spans="1:2" ht="30.75">
      <c r="A17" s="51" t="s">
        <v>77</v>
      </c>
      <c r="B17" s="42" t="s">
        <v>78</v>
      </c>
    </row>
    <row r="18" spans="1:2" ht="30.75">
      <c r="A18" s="51" t="s">
        <v>79</v>
      </c>
      <c r="B18" s="52" t="s">
        <v>80</v>
      </c>
    </row>
    <row r="19" spans="1:2" ht="76.5">
      <c r="A19" s="51" t="s">
        <v>81</v>
      </c>
      <c r="B19" s="52" t="s">
        <v>82</v>
      </c>
    </row>
    <row r="20" spans="1:2" ht="30.75">
      <c r="A20" s="51" t="s">
        <v>83</v>
      </c>
      <c r="B20" s="52" t="s">
        <v>84</v>
      </c>
    </row>
    <row r="21" spans="1:2" ht="45.75">
      <c r="A21" s="51" t="s">
        <v>19</v>
      </c>
      <c r="B21" s="53" t="s">
        <v>85</v>
      </c>
    </row>
    <row r="22" spans="1:2" ht="30.75">
      <c r="A22" s="51" t="s">
        <v>86</v>
      </c>
      <c r="B22" s="52" t="s">
        <v>87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Nedal Alouran</DisplayName>
        <AccountId>1911</AccountId>
        <AccountType/>
      </UserInfo>
    </SharedWithUsers>
  </documentManagement>
</p:properties>
</file>

<file path=customXml/itemProps1.xml><?xml version="1.0" encoding="utf-8"?>
<ds:datastoreItem xmlns:ds="http://schemas.openxmlformats.org/officeDocument/2006/customXml" ds:itemID="{A14B29B3-5A01-452E-8E9F-B5400B531914}"/>
</file>

<file path=customXml/itemProps2.xml><?xml version="1.0" encoding="utf-8"?>
<ds:datastoreItem xmlns:ds="http://schemas.openxmlformats.org/officeDocument/2006/customXml" ds:itemID="{BEC57686-68CE-4B69-9F4B-7C88CF13FEA5}"/>
</file>

<file path=customXml/itemProps3.xml><?xml version="1.0" encoding="utf-8"?>
<ds:datastoreItem xmlns:ds="http://schemas.openxmlformats.org/officeDocument/2006/customXml" ds:itemID="{E770CFFA-AA26-4A47-882A-FC6089AF40F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Danae franco Lopera</cp:lastModifiedBy>
  <cp:revision/>
  <dcterms:created xsi:type="dcterms:W3CDTF">2023-05-05T09:33:41Z</dcterms:created>
  <dcterms:modified xsi:type="dcterms:W3CDTF">2025-01-30T21:20:19Z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