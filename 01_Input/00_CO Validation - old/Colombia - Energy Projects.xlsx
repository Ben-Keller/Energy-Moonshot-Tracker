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576" documentId="8_{A4E74F79-E02C-435D-8D4A-18BF02B394B5}" xr6:coauthVersionLast="47" xr6:coauthVersionMax="47" xr10:uidLastSave="{9B667E2E-592C-4649-8464-9205E0DDD7F5}"/>
  <bookViews>
    <workbookView xWindow="-12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 l="1"/>
  <c r="D16" i="3"/>
  <c r="H3" i="3" l="1"/>
</calcChain>
</file>

<file path=xl/sharedStrings.xml><?xml version="1.0" encoding="utf-8"?>
<sst xmlns="http://schemas.openxmlformats.org/spreadsheetml/2006/main" count="234" uniqueCount="129">
  <si>
    <t>Project ID</t>
  </si>
  <si>
    <t>Title</t>
  </si>
  <si>
    <t>Link</t>
  </si>
  <si>
    <t>Budget</t>
  </si>
  <si>
    <t>Budget (Notes)</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</si>
  <si>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</si>
  <si>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</si>
  <si>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</si>
  <si>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</si>
  <si>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</si>
  <si>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</si>
  <si>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</si>
  <si>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</si>
  <si>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</si>
  <si>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</si>
  <si>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</si>
  <si>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</si>
  <si>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</si>
  <si>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</si>
  <si>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</si>
  <si>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</si>
  <si>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</si>
  <si>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132166</t>
  </si>
  <si>
    <t>Tiendas Comunitarias - La Guajira</t>
  </si>
  <si>
    <t>https://www.undp.org/es/colombia/news/en-la-guajira-mujeres-rurales-lideran-tiendas-comunitarias-para-su-empoderamiento-econ%C3%B3mico
https://www.youtube.com/watch?v=6vtlQRzqaUw
https://open.undp.org/projects/00132166</t>
  </si>
  <si>
    <t xml:space="preserve">"Project Budget 00132166: 
USD 340.151
Output Budget 00124835: 
USD 176.162 
Initiative Budget: 
USD 14,780 (8% of the total approved budget) "
</t>
  </si>
  <si>
    <t>Energy Efficiency Services</t>
  </si>
  <si>
    <t>Number of people benefited with photovoltaic systems in the rural stores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</si>
  <si>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</si>
  <si>
    <t>Non-VF</t>
  </si>
  <si>
    <t>Efficiency</t>
  </si>
  <si>
    <t>Accelerating just energy transition</t>
  </si>
  <si>
    <t>Electricity Access</t>
  </si>
  <si>
    <t>Action Opportunities</t>
  </si>
  <si>
    <t>Incentives and Support</t>
  </si>
  <si>
    <t>Solar</t>
  </si>
  <si>
    <t>Community</t>
  </si>
  <si>
    <t>Not applicable</t>
  </si>
  <si>
    <t>123292</t>
  </si>
  <si>
    <t>Tiendas Comunitarias - Chocó</t>
  </si>
  <si>
    <t>https://pnudcolombia.exposure.co/juntas-y-poderosas
https://www.youtube.com/watch?v=h6buc3MubaY
https://open.undp.org/projects/00123292</t>
  </si>
  <si>
    <t xml:space="preserve">Project Budget 00123292: 
USD 11.631.345
Output Budget 00118585: 
Total USD 2.213.905,35
TRAC 55.946,27
MPTF 2.056.069,02 
Initiative Budget: 
USD 9.217  (0.4% of the total approved budget) </t>
  </si>
  <si>
    <t>Energy Infrastructure Services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</si>
  <si>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</si>
  <si>
    <r>
      <rPr>
        <b/>
        <sz val="11"/>
        <color rgb="FF000000"/>
        <rFont val="Calibri"/>
      </rPr>
      <t xml:space="preserve">Donor 00012: UNDP's Rapid Response Facility (RRF2) program </t>
    </r>
    <r>
      <rPr>
        <sz val="11"/>
        <color rgb="FF000000"/>
        <rFont val="Calibri"/>
      </rPr>
      <t xml:space="preserve">https://www.undp.org/press-releases/covid-19-30-million-rapid-response-facility-launched-vulnerable-countries
</t>
    </r>
    <r>
      <rPr>
        <b/>
        <sz val="11"/>
        <color rgb="FF000000"/>
        <rFont val="Calibri"/>
      </rPr>
      <t xml:space="preserve">
Donor 00012: CO UNDP Funding
</t>
    </r>
    <r>
      <rPr>
        <sz val="11"/>
        <color rgb="FF000000"/>
        <rFont val="Calibri"/>
      </rPr>
      <t>https://www.undp.org/es/colombia</t>
    </r>
  </si>
  <si>
    <t>98331</t>
  </si>
  <si>
    <t xml:space="preserve">
Implement collective reparation measures in 7 ethnic communities and one non-ethnic community in photovoltaic power lines and definition of sustainability strategy</t>
  </si>
  <si>
    <t>https://open.undp.org/projects/00098331</t>
  </si>
  <si>
    <t xml:space="preserve">Project Budget:
USD 16.67M
Output Budget: 
USD 2.567.174
Initiative Budget: 
USD 3.627  (0.1% of the total approved budget) </t>
  </si>
  <si>
    <t xml:space="preserve">Number of victims of the army conflict with solutions for collective use for social appropriation </t>
  </si>
  <si>
    <r>
      <rPr>
        <b/>
        <sz val="11"/>
        <color rgb="FF000000"/>
        <rFont val="Calibri"/>
        <scheme val="minor"/>
      </rPr>
      <t xml:space="preserve">CSA UNDP and Unit Victim´s. Donor Victim Unit. Counterpart: Government of Norway                                                                                                                                                                                                                                                                                                          Main Activities of Solar Panel Installation:
</t>
    </r>
    <r>
      <rPr>
        <sz val="11"/>
        <color rgb="FF000000"/>
        <rFont val="Calibri"/>
        <scheme val="minor"/>
      </rPr>
      <t xml:space="preserve">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t>
    </r>
    <r>
      <rPr>
        <b/>
        <sz val="11"/>
        <color rgb="FF000000"/>
        <rFont val="Calibri"/>
        <scheme val="minor"/>
      </rPr>
      <t xml:space="preserve">Beneficiary Communities: Delivery Date of Solar Panels 
</t>
    </r>
    <r>
      <rPr>
        <sz val="11"/>
        <color rgb="FF000000"/>
        <rFont val="Calibri"/>
        <scheme val="minor"/>
      </rPr>
      <t xml:space="preserve">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r>
  </si>
  <si>
    <r>
      <t xml:space="preserve">Donor 12641: The United Nations Multi-Partner Trust Fund for Sustaining Peace in Colombia </t>
    </r>
    <r>
      <rPr>
        <sz val="11"/>
        <color rgb="FF000000"/>
        <rFont val="Calibri"/>
        <family val="2"/>
      </rPr>
      <t>/ (Previously Known As Mptf-Colombia Post-Conflict Unmptf)
https://mptf.undp.org/</t>
    </r>
    <r>
      <rPr>
        <b/>
        <sz val="11"/>
        <color rgb="FF000000"/>
        <rFont val="Calibri"/>
      </rPr>
      <t xml:space="preserve">
Donor 00012: CO UNDP Funding
</t>
    </r>
    <r>
      <rPr>
        <sz val="11"/>
        <color rgb="FF000000"/>
        <rFont val="Calibri"/>
        <family val="2"/>
      </rPr>
      <t>https://www.undp.org/es/colombia</t>
    </r>
  </si>
  <si>
    <t>Close the gap on energy access</t>
  </si>
  <si>
    <t>Energy Efficiency</t>
  </si>
  <si>
    <t>National Strategy</t>
  </si>
  <si>
    <t>Renewable Energy</t>
  </si>
  <si>
    <r>
      <rPr>
        <b/>
        <sz val="11"/>
        <color theme="1"/>
        <rFont val="Calibri"/>
        <family val="2"/>
        <scheme val="minor"/>
      </rPr>
      <t xml:space="preserve">Donor 12844 Victims Unit (Government of Colombia) 
</t>
    </r>
    <r>
      <rPr>
        <sz val="11"/>
        <color theme="1"/>
        <rFont val="Calibri"/>
        <family val="2"/>
        <scheme val="minor"/>
      </rPr>
      <t xml:space="preserve">https://www.unidadvictimas.gov.co/es/
</t>
    </r>
    <r>
      <rPr>
        <b/>
        <sz val="11"/>
        <color theme="1"/>
        <rFont val="Calibri"/>
        <family val="2"/>
        <scheme val="minor"/>
      </rPr>
      <t>Donor 10503: Norwegian Government</t>
    </r>
    <r>
      <rPr>
        <sz val="11"/>
        <color theme="1"/>
        <rFont val="Calibri"/>
        <family val="2"/>
        <scheme val="minor"/>
      </rPr>
      <t xml:space="preserve">
https://www.regjeringen.no/en/id4/</t>
    </r>
  </si>
  <si>
    <t>Budget (USD)</t>
  </si>
  <si>
    <t xml:space="preserve">Comments </t>
  </si>
  <si>
    <t>Category</t>
  </si>
  <si>
    <t>Comments</t>
  </si>
  <si>
    <t>00124835</t>
  </si>
  <si>
    <r>
      <rPr>
        <b/>
        <sz val="11"/>
        <color theme="1"/>
        <rFont val="Calibri"/>
        <family val="2"/>
        <scheme val="minor"/>
      </rPr>
      <t>Project Budget 00132166:</t>
    </r>
    <r>
      <rPr>
        <sz val="11"/>
        <color theme="1"/>
        <rFont val="Calibri"/>
        <family val="2"/>
        <scheme val="minor"/>
      </rPr>
      <t xml:space="preserve"> 
USD 340.151
</t>
    </r>
    <r>
      <rPr>
        <b/>
        <sz val="11"/>
        <color theme="1"/>
        <rFont val="Calibri"/>
        <family val="2"/>
        <scheme val="minor"/>
      </rPr>
      <t>Output Budget 00124835:</t>
    </r>
    <r>
      <rPr>
        <sz val="11"/>
        <color theme="1"/>
        <rFont val="Calibri"/>
        <family val="2"/>
        <scheme val="minor"/>
      </rPr>
      <t xml:space="preserve"> 
USD 176.162 
</t>
    </r>
    <r>
      <rPr>
        <b/>
        <sz val="11"/>
        <color theme="1"/>
        <rFont val="Calibri"/>
        <family val="2"/>
        <scheme val="minor"/>
      </rPr>
      <t>Initiative Budget:</t>
    </r>
    <r>
      <rPr>
        <sz val="11"/>
        <color theme="1"/>
        <rFont val="Calibri"/>
        <family val="2"/>
        <scheme val="minor"/>
      </rPr>
      <t xml:space="preserve"> 
USD 14,780 (8% of the total approved budget) </t>
    </r>
  </si>
  <si>
    <t>Other Energy Services</t>
  </si>
  <si>
    <t>Number of stores in operation with photovoltaic system</t>
  </si>
  <si>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t>
  </si>
  <si>
    <r>
      <t xml:space="preserve">Donor 00012: </t>
    </r>
    <r>
      <rPr>
        <sz val="11"/>
        <color rgb="FF000000"/>
        <rFont val="Calibri"/>
        <family val="2"/>
      </rPr>
      <t xml:space="preserve">UNDP's Rapid Response Facility (RRF2) program https://www.undp.org/press-releases/covid-19-30-million-rapid-response-facility-launched-vulnerable-countries
</t>
    </r>
    <r>
      <rPr>
        <b/>
        <sz val="11"/>
        <color rgb="FF000000"/>
        <rFont val="Calibri"/>
      </rPr>
      <t xml:space="preserve">
Donor 00012: </t>
    </r>
    <r>
      <rPr>
        <sz val="11"/>
        <color rgb="FF000000"/>
        <rFont val="Calibri"/>
        <family val="2"/>
      </rPr>
      <t>CO UNDP Funding</t>
    </r>
    <r>
      <rPr>
        <b/>
        <sz val="11"/>
        <color rgb="FF000000"/>
        <rFont val="Calibri"/>
        <family val="2"/>
      </rPr>
      <t xml:space="preserve">
</t>
    </r>
    <r>
      <rPr>
        <sz val="11"/>
        <color rgb="FF000000"/>
        <rFont val="Calibri"/>
        <family val="2"/>
      </rPr>
      <t>https://www.undp.org/es/colombia</t>
    </r>
  </si>
  <si>
    <t>Number of people benefited from the stores</t>
  </si>
  <si>
    <t>00118585 </t>
  </si>
  <si>
    <t>https://pnudcolombia.exposure.co/juntas-y-poderosas
https://www.youtube.com/watch?v=h6buc3MubaY
https://open.undp.org/projects/00123292</t>
  </si>
  <si>
    <r>
      <rPr>
        <b/>
        <sz val="11"/>
        <color rgb="FF000000"/>
        <rFont val="Calibri"/>
        <scheme val="minor"/>
      </rPr>
      <t xml:space="preserve">Project Budget 00123292: 
</t>
    </r>
    <r>
      <rPr>
        <sz val="11"/>
        <color rgb="FF000000"/>
        <rFont val="Calibri"/>
        <scheme val="minor"/>
      </rPr>
      <t xml:space="preserve">USD 11.631.345
</t>
    </r>
    <r>
      <rPr>
        <b/>
        <sz val="11"/>
        <color rgb="FF000000"/>
        <rFont val="Calibri"/>
        <scheme val="minor"/>
      </rPr>
      <t xml:space="preserve">Output Budget 00118585: 
</t>
    </r>
    <r>
      <rPr>
        <sz val="11"/>
        <color rgb="FF000000"/>
        <rFont val="Calibri"/>
        <scheme val="minor"/>
      </rPr>
      <t xml:space="preserve">Total USD 2.213.905,35
TRAC 55.946,27
MPTF 2.056.069,02 
</t>
    </r>
    <r>
      <rPr>
        <b/>
        <sz val="11"/>
        <color rgb="FF000000"/>
        <rFont val="Calibri"/>
        <scheme val="minor"/>
      </rPr>
      <t xml:space="preserve">Initiative Budget: 
</t>
    </r>
    <r>
      <rPr>
        <sz val="11"/>
        <color rgb="FF000000"/>
        <rFont val="Calibri"/>
        <scheme val="minor"/>
      </rPr>
      <t xml:space="preserve">USD 9.217  (0.4% of the total approved budget) </t>
    </r>
  </si>
  <si>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t>
  </si>
  <si>
    <r>
      <t xml:space="preserve">Donor 12641: </t>
    </r>
    <r>
      <rPr>
        <sz val="11"/>
        <color rgb="FF000000"/>
        <rFont val="Calibri"/>
        <family val="2"/>
      </rPr>
      <t xml:space="preserve">The United Nations Multi-Partner Trust Fund for Sustaining Peace in Colombia / (Previously Known As Mptf-Colombia Post-Conflict Unmptf)
https://mptf.undp.org/
</t>
    </r>
    <r>
      <rPr>
        <b/>
        <sz val="11"/>
        <color rgb="FF000000"/>
        <rFont val="Calibri"/>
        <family val="2"/>
      </rPr>
      <t>Donor 00012:</t>
    </r>
    <r>
      <rPr>
        <sz val="11"/>
        <color rgb="FF000000"/>
        <rFont val="Calibri"/>
        <family val="2"/>
      </rPr>
      <t xml:space="preserve"> CO UNDP Funding</t>
    </r>
    <r>
      <rPr>
        <b/>
        <sz val="11"/>
        <color rgb="FF000000"/>
        <rFont val="Calibri"/>
        <family val="2"/>
      </rPr>
      <t xml:space="preserve">
</t>
    </r>
    <r>
      <rPr>
        <sz val="11"/>
        <color rgb="FF000000"/>
        <rFont val="Calibri"/>
        <family val="2"/>
      </rPr>
      <t>https://www.undp.org/es/colombia</t>
    </r>
  </si>
  <si>
    <t>00101702</t>
  </si>
  <si>
    <r>
      <rPr>
        <b/>
        <sz val="11"/>
        <color rgb="FF000000"/>
        <rFont val="Calibri"/>
        <scheme val="minor"/>
      </rPr>
      <t xml:space="preserve">Project Budget:
</t>
    </r>
    <r>
      <rPr>
        <sz val="11"/>
        <color rgb="FF000000"/>
        <rFont val="Calibri"/>
        <scheme val="minor"/>
      </rPr>
      <t xml:space="preserve">USD 16.67M
</t>
    </r>
    <r>
      <rPr>
        <b/>
        <sz val="11"/>
        <color rgb="FF000000"/>
        <rFont val="Calibri"/>
        <scheme val="minor"/>
      </rPr>
      <t xml:space="preserve">Output Budget: 
</t>
    </r>
    <r>
      <rPr>
        <sz val="11"/>
        <color rgb="FF000000"/>
        <rFont val="Calibri"/>
        <scheme val="minor"/>
      </rPr>
      <t xml:space="preserve">USD 2.567.174
</t>
    </r>
    <r>
      <rPr>
        <b/>
        <sz val="11"/>
        <color rgb="FF000000"/>
        <rFont val="Calibri"/>
        <scheme val="minor"/>
      </rPr>
      <t xml:space="preserve">Initiative Budget: 
</t>
    </r>
    <r>
      <rPr>
        <sz val="11"/>
        <color rgb="FF000000"/>
        <rFont val="Calibri"/>
        <scheme val="minor"/>
      </rPr>
      <t xml:space="preserve">USD 3.627  (0.1% of the total approved budget) </t>
    </r>
  </si>
  <si>
    <t>Energy (MW added)</t>
  </si>
  <si>
    <r>
      <rPr>
        <b/>
        <sz val="11"/>
        <color rgb="FF000000"/>
        <rFont val="Calibri"/>
        <scheme val="minor"/>
      </rPr>
      <t xml:space="preserve">CSA UNDP and Unit Victim´s. Donor Victim Unit. Counterpart: Government of Norway                                                                                                                                                                                                                                                                                                          Main Activities of Solar Panel Installation:
</t>
    </r>
    <r>
      <rPr>
        <sz val="11"/>
        <color rgb="FF000000"/>
        <rFont val="Calibri"/>
        <scheme val="minor"/>
      </rPr>
      <t xml:space="preserve">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t>
    </r>
    <r>
      <rPr>
        <b/>
        <sz val="11"/>
        <color rgb="FF000000"/>
        <rFont val="Calibri"/>
        <scheme val="minor"/>
      </rPr>
      <t xml:space="preserve">Beneficiary Communities: Delivery Date of Solar Panels 
</t>
    </r>
    <r>
      <rPr>
        <sz val="11"/>
        <color rgb="FF000000"/>
        <rFont val="Calibri"/>
        <scheme val="minor"/>
      </rPr>
      <t>1.Community of El Arenillo: November 11, 2021 
2.Honduras Reservation: March 1, 2022 
3.La Gaitana Reservation: March 2, 2022 
4.La Puria Reservation: March 21, 2022 
5.Resguardo Consuelo Lower Part: March 23, 2022 
6.Tanela Reservations: April 30, 2022 
Budget: initially 3.627 USD</t>
    </r>
  </si>
  <si>
    <r>
      <t xml:space="preserve">Donor 12844 Victims Unit (Government of Colombia) 
</t>
    </r>
    <r>
      <rPr>
        <sz val="11"/>
        <color rgb="FF000000"/>
        <rFont val="Calibri"/>
        <family val="2"/>
      </rPr>
      <t xml:space="preserve">https://www.unidadvictimas.gov.co/es/
</t>
    </r>
    <r>
      <rPr>
        <b/>
        <sz val="11"/>
        <color rgb="FF000000"/>
        <rFont val="Calibri"/>
        <family val="2"/>
      </rPr>
      <t xml:space="preserve">
Donor 10503: Norwegian Government
</t>
    </r>
    <r>
      <rPr>
        <sz val="11"/>
        <color rgb="FF000000"/>
        <rFont val="Calibri"/>
        <family val="2"/>
      </rPr>
      <t>https://www.regjeringen.no/en/id4/</t>
    </r>
  </si>
  <si>
    <r>
      <rPr>
        <b/>
        <sz val="11"/>
        <color theme="1"/>
        <rFont val="Calibri"/>
        <family val="2"/>
        <scheme val="minor"/>
      </rPr>
      <t>Project Budget 00132166:</t>
    </r>
    <r>
      <rPr>
        <sz val="11"/>
        <color theme="1"/>
        <rFont val="Calibri"/>
        <family val="2"/>
        <scheme val="minor"/>
      </rPr>
      <t xml:space="preserve"> 
USD 340.151
</t>
    </r>
    <r>
      <rPr>
        <b/>
        <sz val="11"/>
        <color theme="1"/>
        <rFont val="Calibri"/>
        <family val="2"/>
        <scheme val="minor"/>
      </rPr>
      <t xml:space="preserve">Output Budget 00124835: 
</t>
    </r>
    <r>
      <rPr>
        <sz val="11"/>
        <color theme="1"/>
        <rFont val="Calibri"/>
        <family val="2"/>
        <scheme val="minor"/>
      </rPr>
      <t xml:space="preserve">USD 176.162 
</t>
    </r>
    <r>
      <rPr>
        <b/>
        <sz val="11"/>
        <color theme="1"/>
        <rFont val="Calibri"/>
        <family val="2"/>
        <scheme val="minor"/>
      </rPr>
      <t xml:space="preserve">Initiative Budget: 
</t>
    </r>
    <r>
      <rPr>
        <sz val="11"/>
        <color theme="1"/>
        <rFont val="Calibri"/>
        <family val="2"/>
        <scheme val="minor"/>
      </rPr>
      <t xml:space="preserve">USD 14,780 (8% of the total approved budget) </t>
    </r>
  </si>
  <si>
    <t xml:space="preserve">0 stores
</t>
  </si>
  <si>
    <t>2 store in operation with photovoltaic system</t>
  </si>
  <si>
    <r>
      <t xml:space="preserve">Donor 00012: UNDP's Rapid Response Facility (RRF2) program </t>
    </r>
    <r>
      <rPr>
        <sz val="11"/>
        <rFont val="Calibri"/>
        <family val="2"/>
      </rPr>
      <t xml:space="preserve">https://www.undp.org/press-releases/covid-19-30-million-rapid-response-facility-launched-vulnerable-countries
</t>
    </r>
    <r>
      <rPr>
        <b/>
        <sz val="11"/>
        <rFont val="Calibri"/>
        <family val="2"/>
      </rPr>
      <t xml:space="preserve">
Donor 00012: CO UNDP Funding
</t>
    </r>
    <r>
      <rPr>
        <sz val="11"/>
        <rFont val="Calibri"/>
        <family val="2"/>
      </rPr>
      <t>https://www.undp.org/es/colombia</t>
    </r>
  </si>
  <si>
    <t>0 people</t>
  </si>
  <si>
    <t>68 people benefited.</t>
  </si>
  <si>
    <t>00118585</t>
  </si>
  <si>
    <r>
      <rPr>
        <b/>
        <sz val="11"/>
        <rFont val="Calibri"/>
        <family val="2"/>
        <scheme val="minor"/>
      </rPr>
      <t xml:space="preserve">Project Budget 00123292: 
</t>
    </r>
    <r>
      <rPr>
        <sz val="11"/>
        <rFont val="Calibri"/>
        <family val="2"/>
        <scheme val="minor"/>
      </rPr>
      <t xml:space="preserve">USD 11.631.345
</t>
    </r>
    <r>
      <rPr>
        <b/>
        <sz val="11"/>
        <rFont val="Calibri"/>
        <family val="2"/>
        <scheme val="minor"/>
      </rPr>
      <t xml:space="preserve">Output Budget 00118585: 
</t>
    </r>
    <r>
      <rPr>
        <sz val="11"/>
        <rFont val="Calibri"/>
        <family val="2"/>
        <scheme val="minor"/>
      </rPr>
      <t xml:space="preserve">Total USD 2.213.905,35
TRAC 55.946,27
MPTF 2.056.069,02 
</t>
    </r>
    <r>
      <rPr>
        <b/>
        <sz val="11"/>
        <rFont val="Calibri"/>
        <family val="2"/>
        <scheme val="minor"/>
      </rPr>
      <t xml:space="preserve">Initiative Budget: 
</t>
    </r>
    <r>
      <rPr>
        <sz val="11"/>
        <rFont val="Calibri"/>
        <family val="2"/>
        <scheme val="minor"/>
      </rPr>
      <t xml:space="preserve">USD 9.217 (0.4% of the total approved budget) </t>
    </r>
  </si>
  <si>
    <t>1 store in operation with photovoltaic system</t>
  </si>
  <si>
    <r>
      <t>Donor 12641: The United Nations Multi-Partner Trust Fund for Sustaining Peace in Colombia</t>
    </r>
    <r>
      <rPr>
        <sz val="11"/>
        <color rgb="FF000000"/>
        <rFont val="Calibri"/>
        <family val="2"/>
      </rPr>
      <t xml:space="preserve"> / (Previously Known As Mptf-Colombia Post-Conflict Unmptf)
https://mptf.undp.org/
</t>
    </r>
    <r>
      <rPr>
        <b/>
        <sz val="11"/>
        <color rgb="FF000000"/>
        <rFont val="Calibri"/>
      </rPr>
      <t xml:space="preserve">
Donor 00012: CO UNDP Funding
</t>
    </r>
    <r>
      <rPr>
        <sz val="11"/>
        <color rgb="FF000000"/>
        <rFont val="Calibri"/>
        <family val="2"/>
      </rPr>
      <t>https://www.undp.org/es/colombia</t>
    </r>
  </si>
  <si>
    <t xml:space="preserve">56 people benefited. </t>
  </si>
  <si>
    <r>
      <rPr>
        <b/>
        <sz val="11"/>
        <color theme="1"/>
        <rFont val="Calibri"/>
        <family val="2"/>
        <scheme val="minor"/>
      </rPr>
      <t xml:space="preserve">Project Budget:
</t>
    </r>
    <r>
      <rPr>
        <sz val="11"/>
        <color theme="1"/>
        <rFont val="Calibri"/>
        <family val="2"/>
        <scheme val="minor"/>
      </rPr>
      <t xml:space="preserve">USD 16.67M
</t>
    </r>
    <r>
      <rPr>
        <b/>
        <sz val="11"/>
        <color theme="1"/>
        <rFont val="Calibri"/>
        <family val="2"/>
        <scheme val="minor"/>
      </rPr>
      <t xml:space="preserve">Output Budget: 
</t>
    </r>
    <r>
      <rPr>
        <sz val="11"/>
        <color theme="1"/>
        <rFont val="Calibri"/>
        <family val="2"/>
        <scheme val="minor"/>
      </rPr>
      <t xml:space="preserve">USD 2.567.174
</t>
    </r>
    <r>
      <rPr>
        <b/>
        <sz val="11"/>
        <color theme="1"/>
        <rFont val="Calibri"/>
        <family val="2"/>
        <scheme val="minor"/>
      </rPr>
      <t xml:space="preserve">Initiative Budget: 
</t>
    </r>
    <r>
      <rPr>
        <sz val="11"/>
        <color theme="1"/>
        <rFont val="Calibri"/>
        <family val="2"/>
        <scheme val="minor"/>
      </rPr>
      <t xml:space="preserve">USD 3.627  (0.1% of the total approved budget) </t>
    </r>
  </si>
  <si>
    <t xml:space="preserve">16.571  (Direct) </t>
  </si>
  <si>
    <t>Collective Communities - Victims of the army conflict.</t>
  </si>
  <si>
    <r>
      <rPr>
        <b/>
        <sz val="11"/>
        <color theme="1"/>
        <rFont val="Calibri"/>
        <family val="2"/>
        <scheme val="minor"/>
      </rPr>
      <t>CSA UNDP and Unit Victim´s. Donor Victim Unit. Counterpart: Government of Norway                                                                                                                                                                                                                                                                                                          Main Activities of Solar Panel Installation:</t>
    </r>
    <r>
      <rPr>
        <sz val="11"/>
        <color theme="1"/>
        <rFont val="Calibri"/>
        <family val="2"/>
        <scheme val="minor"/>
      </rPr>
      <t xml:space="preserve">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t>
    </r>
    <r>
      <rPr>
        <b/>
        <sz val="11"/>
        <color theme="1"/>
        <rFont val="Calibri"/>
        <family val="2"/>
        <scheme val="minor"/>
      </rPr>
      <t xml:space="preserve">Beneficiary Communities: Delivery Date of Solar Panels 
</t>
    </r>
    <r>
      <rPr>
        <sz val="11"/>
        <color theme="1"/>
        <rFont val="Calibri"/>
        <family val="2"/>
        <scheme val="minor"/>
      </rPr>
      <t xml:space="preserve">1.Community of El Arenillo: November 11, 2021 
2.Honduras Reservation: March 1, 2022 
3.La Gaitana Reservation: March 2, 2022 
4.La Puria Reservation: March 21, 2022 
5.Resguardo Consuelo Lower Part: March 23, 2022 
6.Tanela Reservations: April 30, 2022 
</t>
    </r>
  </si>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</sst>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0">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u/>
      <sz val="11"/>
      <color theme="1"/>
      <name val="Calibri"/>
      <family val="2"/>
      <scheme val="minor"/>
    </font>
    <font>
      <u/>
      <sz val="11"/>
      <color theme="10"/>
      <name val="Calibri"/>
      <family val="2"/>
    </font>
    <font>
      <sz val="11"/>
      <color rgb="FF000000"/>
      <name val="Calibri"/>
      <family val="2"/>
    </font>
    <font>
      <sz val="11"/>
      <name val="Calibri"/>
      <family val="2"/>
      <scheme val="minor"/>
    </font>
    <font>
      <b/>
      <sz val="11"/>
      <color rgb="FFFF0000"/>
      <name val="Calibri"/>
    </font>
    <font>
      <b/>
      <sz val="11"/>
      <color rgb="FF000000"/>
      <name val="Calibri"/>
    </font>
    <font>
      <b/>
      <sz val="11"/>
      <color rgb="FF000000"/>
      <name val="Calibri"/>
      <scheme val="minor"/>
    </font>
    <font>
      <sz val="11"/>
      <color rgb="FF000000"/>
      <name val="Calibri"/>
      <scheme val="minor"/>
    </font>
    <font>
      <sz val="11"/>
      <color rgb="FF444444"/>
      <name val="Calibri"/>
      <family val="2"/>
      <charset val="1"/>
    </font>
    <font>
      <b/>
      <sz val="11"/>
      <color theme="1"/>
      <name val="Calibri"/>
      <scheme val="minor"/>
    </font>
    <font>
      <sz val="11"/>
      <color theme="1"/>
      <name val="Calibri"/>
      <family val="2"/>
      <scheme val="minor"/>
    </font>
    <font>
      <b/>
      <sz val="11"/>
      <name val="Calibri"/>
      <family val="2"/>
      <scheme val="minor"/>
    </font>
    <font>
      <b/>
      <sz val="11"/>
      <color rgb="FF000000"/>
      <name val="Calibri"/>
      <family val="2"/>
    </font>
    <font>
      <b/>
      <sz val="11"/>
      <name val="Calibri"/>
      <family val="2"/>
    </font>
    <font>
      <sz val="11"/>
      <name val="Calibri"/>
      <family val="2"/>
    </font>
    <font>
      <sz val="11"/>
      <color rgb="FF000000"/>
      <name val="Calibri"/>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s>
  <cellStyleXfs count="4">
    <xf numFmtId="0" fontId="0" fillId="0" borderId="0"/>
    <xf numFmtId="43" fontId="14" fillId="0" borderId="0" applyFont="0" applyFill="0" applyBorder="0" applyAlignment="0" applyProtection="0"/>
    <xf numFmtId="9" fontId="14" fillId="0" borderId="0" applyFont="0" applyFill="0" applyBorder="0" applyAlignment="0" applyProtection="0"/>
    <xf numFmtId="0" fontId="3" fillId="0" borderId="0" applyNumberFormat="0" applyFill="0" applyBorder="0" applyAlignment="0" applyProtection="0"/>
  </cellStyleXfs>
  <cellXfs count="137">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6" xfId="0" applyFill="1" applyBorder="1" applyAlignment="1">
      <alignment horizontal="center" vertical="center"/>
    </xf>
    <xf numFmtId="0" fontId="0" fillId="2" borderId="6" xfId="0" applyFill="1" applyBorder="1" applyAlignment="1">
      <alignment horizontal="center" vertical="center" wrapText="1"/>
    </xf>
    <xf numFmtId="0" fontId="13" fillId="0" borderId="6" xfId="0" applyFont="1" applyBorder="1" applyAlignment="1">
      <alignment horizontal="center" vertical="top" wrapText="1"/>
    </xf>
    <xf numFmtId="0" fontId="11" fillId="0" borderId="6" xfId="0" applyFont="1" applyBorder="1" applyAlignment="1">
      <alignment wrapText="1"/>
    </xf>
    <xf numFmtId="0" fontId="0" fillId="2" borderId="6" xfId="0" applyFill="1" applyBorder="1" applyAlignment="1">
      <alignment vertical="center"/>
    </xf>
    <xf numFmtId="0" fontId="0" fillId="2" borderId="8" xfId="0" applyFill="1" applyBorder="1" applyAlignment="1">
      <alignment horizontal="center" vertical="center"/>
    </xf>
    <xf numFmtId="0" fontId="0" fillId="2" borderId="9" xfId="0" applyFill="1" applyBorder="1" applyAlignment="1">
      <alignment horizontal="center" vertical="center" wrapText="1"/>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0" fontId="0" fillId="2" borderId="1" xfId="0" applyFill="1" applyBorder="1" applyAlignment="1">
      <alignment vertical="center" wrapText="1"/>
    </xf>
    <xf numFmtId="4" fontId="6" fillId="2" borderId="0" xfId="0" applyNumberFormat="1" applyFont="1" applyFill="1" applyAlignment="1">
      <alignment vertical="center"/>
    </xf>
    <xf numFmtId="0" fontId="6" fillId="2" borderId="0" xfId="0" applyFont="1" applyFill="1" applyAlignment="1">
      <alignment horizontal="left" vertical="center"/>
    </xf>
    <xf numFmtId="0" fontId="5" fillId="2" borderId="0" xfId="3" applyFont="1" applyFill="1" applyAlignment="1" applyProtection="1">
      <alignment horizontal="left" vertical="center" wrapText="1"/>
    </xf>
    <xf numFmtId="0" fontId="6" fillId="2" borderId="0" xfId="0" applyFont="1" applyFill="1" applyAlignment="1">
      <alignment horizontal="left" vertical="center" wrapText="1"/>
    </xf>
    <xf numFmtId="0" fontId="0" fillId="2" borderId="0" xfId="0" applyFill="1" applyAlignment="1">
      <alignment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5" fillId="2" borderId="0" xfId="3" applyFont="1" applyFill="1" applyBorder="1" applyAlignment="1" applyProtection="1">
      <alignment vertical="center" wrapText="1"/>
    </xf>
    <xf numFmtId="0" fontId="0" fillId="2" borderId="0" xfId="0" applyFill="1" applyAlignment="1">
      <alignment vertical="center"/>
    </xf>
    <xf numFmtId="0" fontId="2" fillId="0" borderId="6" xfId="0" applyFont="1" applyBorder="1" applyAlignment="1">
      <alignment horizontal="center" vertical="center"/>
    </xf>
    <xf numFmtId="0" fontId="2" fillId="0" borderId="6" xfId="0" applyFont="1" applyBorder="1" applyAlignment="1">
      <alignment vertical="center"/>
    </xf>
    <xf numFmtId="0" fontId="2" fillId="0" borderId="6" xfId="0" applyFont="1" applyBorder="1" applyAlignment="1">
      <alignment vertical="center" wrapText="1"/>
    </xf>
    <xf numFmtId="0" fontId="11" fillId="2" borderId="6" xfId="0" applyFont="1" applyFill="1" applyBorder="1" applyAlignment="1">
      <alignment vertical="center" wrapText="1"/>
    </xf>
    <xf numFmtId="0" fontId="4" fillId="2" borderId="0" xfId="0" applyFont="1" applyFill="1" applyAlignment="1">
      <alignment vertical="center"/>
    </xf>
    <xf numFmtId="43" fontId="0" fillId="2" borderId="0" xfId="0" applyNumberFormat="1" applyFill="1" applyAlignment="1">
      <alignment vertical="center"/>
    </xf>
    <xf numFmtId="0" fontId="0" fillId="2" borderId="0" xfId="0" applyFill="1" applyAlignment="1">
      <alignment horizontal="center" vertical="center"/>
    </xf>
    <xf numFmtId="0" fontId="0" fillId="2" borderId="6" xfId="0" applyFill="1" applyBorder="1" applyAlignment="1">
      <alignment vertical="center" wrapText="1"/>
    </xf>
    <xf numFmtId="0" fontId="0" fillId="2" borderId="7" xfId="0" applyFill="1" applyBorder="1" applyAlignment="1">
      <alignment vertical="center" wrapText="1"/>
    </xf>
    <xf numFmtId="0" fontId="3" fillId="2" borderId="6" xfId="3" applyFill="1" applyBorder="1" applyAlignment="1" applyProtection="1">
      <alignment vertical="center"/>
    </xf>
    <xf numFmtId="0" fontId="5" fillId="2" borderId="0" xfId="3" applyFont="1" applyFill="1" applyAlignment="1" applyProtection="1">
      <alignment vertical="center" wrapText="1"/>
    </xf>
    <xf numFmtId="0" fontId="6" fillId="2" borderId="0" xfId="0" applyFont="1" applyFill="1" applyAlignment="1">
      <alignment horizontal="center" vertical="center"/>
    </xf>
    <xf numFmtId="0" fontId="0" fillId="2" borderId="0" xfId="0" applyFill="1" applyAlignment="1">
      <alignment horizontal="center" vertical="center" wrapText="1"/>
    </xf>
    <xf numFmtId="0" fontId="2" fillId="2" borderId="6" xfId="0" applyFont="1" applyFill="1" applyBorder="1" applyAlignment="1">
      <alignment horizontal="left" vertical="center"/>
    </xf>
    <xf numFmtId="0" fontId="0" fillId="2" borderId="0" xfId="0" applyFill="1" applyAlignment="1">
      <alignment horizontal="left" vertical="center"/>
    </xf>
    <xf numFmtId="0" fontId="0" fillId="2" borderId="8" xfId="0" applyFill="1" applyBorder="1" applyAlignment="1">
      <alignment vertical="center"/>
    </xf>
    <xf numFmtId="0" fontId="3" fillId="2" borderId="6" xfId="3" applyFill="1" applyBorder="1" applyAlignment="1">
      <alignment horizontal="left" vertical="center" wrapText="1"/>
    </xf>
    <xf numFmtId="0" fontId="6" fillId="2" borderId="6"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0" fillId="2" borderId="0" xfId="0" applyFill="1" applyAlignment="1">
      <alignment horizontal="left" vertical="center" wrapText="1"/>
    </xf>
    <xf numFmtId="0" fontId="5" fillId="2" borderId="0" xfId="3" applyFont="1" applyFill="1" applyBorder="1" applyAlignment="1" applyProtection="1">
      <alignment horizontal="left" vertical="center" wrapText="1"/>
    </xf>
    <xf numFmtId="0" fontId="4" fillId="2" borderId="0" xfId="0" applyFont="1" applyFill="1" applyAlignment="1">
      <alignment horizontal="left" vertical="center"/>
    </xf>
    <xf numFmtId="0" fontId="12" fillId="2" borderId="0" xfId="0" applyFont="1" applyFill="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6" fillId="2" borderId="1" xfId="0" applyFont="1" applyFill="1" applyBorder="1" applyAlignment="1">
      <alignment horizontal="left" vertical="center" wrapText="1"/>
    </xf>
    <xf numFmtId="0" fontId="2" fillId="0" borderId="1" xfId="0" applyFont="1" applyBorder="1" applyAlignment="1">
      <alignment horizontal="left" vertical="center"/>
    </xf>
    <xf numFmtId="49" fontId="2" fillId="0" borderId="1" xfId="1" applyNumberFormat="1" applyFont="1" applyBorder="1" applyAlignment="1">
      <alignment horizontal="right" vertical="center"/>
    </xf>
    <xf numFmtId="49" fontId="6" fillId="2" borderId="0" xfId="1" applyNumberFormat="1" applyFont="1" applyFill="1" applyAlignment="1">
      <alignment horizontal="right" vertical="center"/>
    </xf>
    <xf numFmtId="49" fontId="0" fillId="2" borderId="0" xfId="1" applyNumberFormat="1" applyFont="1" applyFill="1" applyAlignment="1">
      <alignment horizontal="right" vertical="center"/>
    </xf>
    <xf numFmtId="49" fontId="0" fillId="0" borderId="1" xfId="1" applyNumberFormat="1" applyFont="1" applyBorder="1" applyAlignment="1">
      <alignment horizontal="left" vertical="center" wrapText="1"/>
    </xf>
    <xf numFmtId="49" fontId="2" fillId="2" borderId="6" xfId="0" applyNumberFormat="1" applyFont="1" applyFill="1" applyBorder="1" applyAlignment="1">
      <alignment horizontal="left" vertical="center"/>
    </xf>
    <xf numFmtId="49" fontId="0" fillId="2" borderId="6" xfId="0" applyNumberFormat="1" applyFill="1" applyBorder="1" applyAlignment="1">
      <alignment horizontal="left" vertical="center"/>
    </xf>
    <xf numFmtId="49" fontId="6" fillId="2" borderId="0" xfId="0" applyNumberFormat="1" applyFont="1" applyFill="1" applyAlignment="1">
      <alignment horizontal="left" vertical="center"/>
    </xf>
    <xf numFmtId="49" fontId="0" fillId="2" borderId="0" xfId="0" applyNumberFormat="1" applyFill="1" applyAlignment="1">
      <alignment horizontal="left" vertical="center"/>
    </xf>
    <xf numFmtId="49" fontId="2" fillId="0" borderId="6" xfId="0" applyNumberFormat="1" applyFont="1" applyBorder="1" applyAlignment="1">
      <alignment horizontal="left" vertical="center"/>
    </xf>
    <xf numFmtId="49" fontId="2" fillId="0" borderId="1" xfId="0" applyNumberFormat="1" applyFont="1" applyBorder="1" applyAlignment="1">
      <alignment horizontal="left" vertical="center"/>
    </xf>
    <xf numFmtId="49" fontId="0" fillId="0" borderId="1" xfId="0" applyNumberFormat="1" applyBorder="1" applyAlignment="1">
      <alignment horizontal="left" vertical="center"/>
    </xf>
    <xf numFmtId="0" fontId="3" fillId="0" borderId="1" xfId="3" applyBorder="1" applyAlignment="1" applyProtection="1">
      <alignment horizontal="left" vertical="center"/>
    </xf>
    <xf numFmtId="0" fontId="0" fillId="2" borderId="8" xfId="0" applyFill="1" applyBorder="1" applyAlignment="1">
      <alignment horizontal="center" vertical="center" wrapText="1"/>
    </xf>
    <xf numFmtId="9" fontId="0" fillId="2" borderId="6" xfId="0" applyNumberForma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2" xfId="0" applyFill="1" applyBorder="1" applyAlignment="1">
      <alignment horizontal="center" vertical="center"/>
    </xf>
    <xf numFmtId="164" fontId="2" fillId="0" borderId="6" xfId="1" applyNumberFormat="1" applyFont="1" applyBorder="1" applyAlignment="1">
      <alignment horizontal="center" vertical="center"/>
    </xf>
    <xf numFmtId="164" fontId="0" fillId="2" borderId="6" xfId="1" applyNumberFormat="1" applyFont="1" applyFill="1" applyBorder="1" applyAlignment="1">
      <alignment horizontal="center" vertical="center" wrapText="1"/>
    </xf>
    <xf numFmtId="164" fontId="6" fillId="2" borderId="6" xfId="1" applyNumberFormat="1" applyFont="1" applyFill="1" applyBorder="1" applyAlignment="1">
      <alignment horizontal="center" vertical="center" wrapText="1"/>
    </xf>
    <xf numFmtId="164" fontId="0" fillId="2" borderId="6" xfId="1" applyNumberFormat="1" applyFont="1" applyFill="1" applyBorder="1" applyAlignment="1">
      <alignment horizontal="center" vertical="center"/>
    </xf>
    <xf numFmtId="164" fontId="6" fillId="2" borderId="0" xfId="1" applyNumberFormat="1" applyFont="1" applyFill="1" applyAlignment="1">
      <alignment horizontal="center" vertical="center"/>
    </xf>
    <xf numFmtId="164" fontId="12" fillId="2" borderId="0" xfId="1" applyNumberFormat="1" applyFont="1" applyFill="1" applyAlignment="1">
      <alignment horizontal="center" vertical="center"/>
    </xf>
    <xf numFmtId="164" fontId="0" fillId="2" borderId="0" xfId="1" applyNumberFormat="1" applyFont="1" applyFill="1" applyAlignment="1">
      <alignment horizontal="center" vertical="center" wrapText="1"/>
    </xf>
    <xf numFmtId="164" fontId="2" fillId="2" borderId="6" xfId="1" applyNumberFormat="1" applyFont="1" applyFill="1" applyBorder="1" applyAlignment="1">
      <alignment horizontal="left" vertical="center"/>
    </xf>
    <xf numFmtId="0" fontId="2" fillId="0" borderId="7" xfId="0" applyFont="1" applyBorder="1" applyAlignment="1">
      <alignment horizontal="center" vertical="center" wrapText="1"/>
    </xf>
    <xf numFmtId="9" fontId="0" fillId="2" borderId="1" xfId="0" applyNumberFormat="1" applyFill="1" applyBorder="1" applyAlignment="1">
      <alignment vertical="center" wrapText="1"/>
    </xf>
    <xf numFmtId="9" fontId="6" fillId="2" borderId="0" xfId="2" applyFont="1" applyFill="1" applyAlignment="1">
      <alignment vertical="center"/>
    </xf>
    <xf numFmtId="0" fontId="16" fillId="2" borderId="6" xfId="0" applyFont="1" applyFill="1" applyBorder="1" applyAlignment="1">
      <alignment vertical="center" wrapText="1"/>
    </xf>
    <xf numFmtId="165" fontId="0" fillId="2" borderId="0" xfId="2" applyNumberFormat="1" applyFont="1" applyFill="1" applyAlignment="1">
      <alignment vertical="center"/>
    </xf>
    <xf numFmtId="0" fontId="16" fillId="0" borderId="1" xfId="0" applyFont="1" applyBorder="1" applyAlignment="1">
      <alignment horizontal="left" vertical="center" wrapText="1"/>
    </xf>
    <xf numFmtId="0" fontId="16" fillId="2" borderId="6" xfId="0" applyFont="1" applyFill="1" applyBorder="1" applyAlignment="1">
      <alignment horizontal="left" vertical="center" wrapText="1"/>
    </xf>
    <xf numFmtId="0" fontId="0" fillId="2" borderId="15" xfId="0" applyFill="1" applyBorder="1" applyAlignment="1">
      <alignment horizontal="left" vertical="center" wrapText="1"/>
    </xf>
    <xf numFmtId="49" fontId="19" fillId="2" borderId="6" xfId="0" applyNumberFormat="1" applyFont="1" applyFill="1" applyBorder="1" applyAlignment="1">
      <alignment horizontal="left" vertical="center" wrapText="1"/>
    </xf>
    <xf numFmtId="2" fontId="0" fillId="2" borderId="6" xfId="0" applyNumberFormat="1" applyFill="1" applyBorder="1" applyAlignment="1">
      <alignment horizontal="left" vertical="center" wrapText="1"/>
    </xf>
    <xf numFmtId="2" fontId="19" fillId="2" borderId="6" xfId="0" applyNumberFormat="1" applyFont="1" applyFill="1" applyBorder="1" applyAlignment="1">
      <alignment horizontal="left" vertical="center" wrapText="1"/>
    </xf>
    <xf numFmtId="49" fontId="11" fillId="2" borderId="6" xfId="0" applyNumberFormat="1" applyFont="1" applyFill="1" applyBorder="1" applyAlignment="1">
      <alignment vertical="center" wrapText="1"/>
    </xf>
    <xf numFmtId="43" fontId="0" fillId="2" borderId="6" xfId="0" applyNumberFormat="1" applyFill="1" applyBorder="1" applyAlignment="1">
      <alignment horizontal="left" vertical="center" wrapText="1"/>
    </xf>
    <xf numFmtId="0" fontId="3" fillId="2" borderId="6" xfId="3" applyFill="1" applyBorder="1" applyAlignment="1" applyProtection="1">
      <alignment horizontal="left" vertical="center"/>
    </xf>
    <xf numFmtId="0" fontId="9" fillId="2" borderId="6" xfId="0" applyFont="1" applyFill="1" applyBorder="1" applyAlignment="1">
      <alignment horizontal="left" vertical="center" wrapText="1"/>
    </xf>
    <xf numFmtId="0" fontId="0" fillId="0" borderId="1" xfId="0" applyBorder="1" applyAlignment="1">
      <alignment vertical="center" wrapText="1"/>
    </xf>
    <xf numFmtId="49" fontId="0" fillId="0" borderId="7" xfId="0" applyNumberFormat="1" applyBorder="1" applyAlignment="1">
      <alignment horizontal="left" vertical="center"/>
    </xf>
    <xf numFmtId="49" fontId="0" fillId="0" borderId="10" xfId="0" applyNumberFormat="1" applyBorder="1" applyAlignment="1">
      <alignment horizontal="left" vertical="center"/>
    </xf>
    <xf numFmtId="0" fontId="0" fillId="0" borderId="7" xfId="0" applyBorder="1" applyAlignment="1">
      <alignment vertical="center"/>
    </xf>
    <xf numFmtId="0" fontId="0" fillId="0" borderId="10" xfId="0" applyBorder="1" applyAlignment="1">
      <alignment vertical="center"/>
    </xf>
    <xf numFmtId="0" fontId="3" fillId="0" borderId="7" xfId="3" applyFill="1" applyBorder="1" applyAlignment="1">
      <alignment vertical="center" wrapText="1"/>
    </xf>
    <xf numFmtId="0" fontId="3" fillId="0" borderId="10" xfId="3" applyFill="1" applyBorder="1" applyAlignment="1">
      <alignment vertical="center" wrapText="1"/>
    </xf>
    <xf numFmtId="0" fontId="6" fillId="2" borderId="7" xfId="0" applyFont="1" applyFill="1" applyBorder="1" applyAlignment="1">
      <alignment vertical="center" wrapText="1"/>
    </xf>
    <xf numFmtId="0" fontId="6" fillId="2" borderId="10" xfId="0" applyFont="1" applyFill="1" applyBorder="1" applyAlignment="1">
      <alignment vertical="center" wrapText="1"/>
    </xf>
    <xf numFmtId="0" fontId="16" fillId="0" borderId="7" xfId="0" applyFont="1" applyBorder="1" applyAlignment="1">
      <alignment vertical="center" wrapText="1"/>
    </xf>
    <xf numFmtId="0" fontId="9" fillId="0" borderId="10" xfId="0" applyFont="1" applyBorder="1" applyAlignment="1">
      <alignment vertical="center" wrapText="1"/>
    </xf>
    <xf numFmtId="0" fontId="9" fillId="0" borderId="13" xfId="0" applyFont="1" applyBorder="1" applyAlignment="1">
      <alignment vertical="center" wrapText="1"/>
    </xf>
    <xf numFmtId="0" fontId="9" fillId="0" borderId="14" xfId="0" applyFont="1" applyBorder="1" applyAlignment="1">
      <alignment vertical="center" wrapText="1"/>
    </xf>
    <xf numFmtId="9" fontId="0" fillId="0" borderId="1" xfId="0" applyNumberFormat="1" applyBorder="1" applyAlignment="1">
      <alignment vertical="center" wrapText="1"/>
    </xf>
    <xf numFmtId="49" fontId="11" fillId="0" borderId="7" xfId="0" applyNumberFormat="1" applyFont="1" applyBorder="1" applyAlignment="1">
      <alignment vertical="center" wrapText="1"/>
    </xf>
    <xf numFmtId="49" fontId="7" fillId="0" borderId="10" xfId="0" applyNumberFormat="1" applyFont="1" applyBorder="1" applyAlignment="1">
      <alignment vertical="center"/>
    </xf>
    <xf numFmtId="49" fontId="0" fillId="0" borderId="7" xfId="0" applyNumberFormat="1" applyBorder="1" applyAlignment="1">
      <alignment horizontal="left" vertical="center" wrapText="1"/>
    </xf>
    <xf numFmtId="0" fontId="0" fillId="2" borderId="7" xfId="0" applyFill="1" applyBorder="1" applyAlignment="1">
      <alignment vertical="center" wrapText="1"/>
    </xf>
    <xf numFmtId="0" fontId="0" fillId="2" borderId="10" xfId="0" applyFill="1" applyBorder="1" applyAlignment="1">
      <alignment vertical="center" wrapText="1"/>
    </xf>
    <xf numFmtId="0" fontId="8" fillId="0" borderId="10" xfId="0" applyFont="1" applyBorder="1" applyAlignment="1">
      <alignment vertical="center" wrapText="1"/>
    </xf>
    <xf numFmtId="0" fontId="8" fillId="0" borderId="14" xfId="0" applyFont="1" applyBorder="1" applyAlignment="1">
      <alignment vertical="center" wrapText="1"/>
    </xf>
    <xf numFmtId="0" fontId="3" fillId="0" borderId="2" xfId="3" applyFill="1" applyBorder="1" applyAlignment="1">
      <alignment horizontal="left" vertical="center" wrapText="1"/>
    </xf>
    <xf numFmtId="0" fontId="3" fillId="0" borderId="3" xfId="3" applyFill="1" applyBorder="1" applyAlignment="1">
      <alignment horizontal="left" vertical="center" wrapText="1"/>
    </xf>
    <xf numFmtId="0" fontId="0" fillId="0" borderId="1" xfId="0" applyBorder="1" applyAlignment="1">
      <alignment horizontal="left" vertical="center"/>
    </xf>
    <xf numFmtId="49" fontId="0" fillId="0" borderId="1" xfId="0" applyNumberFormat="1" applyBorder="1" applyAlignment="1">
      <alignment horizontal="left"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6" fillId="2" borderId="1" xfId="0" applyFont="1" applyFill="1" applyBorder="1" applyAlignment="1">
      <alignment horizontal="left" vertical="center" wrapText="1"/>
    </xf>
    <xf numFmtId="0" fontId="3" fillId="0" borderId="4" xfId="3" applyFill="1" applyBorder="1" applyAlignment="1">
      <alignment horizontal="left" vertical="center" wrapText="1"/>
    </xf>
    <xf numFmtId="0" fontId="3" fillId="0" borderId="5" xfId="3" applyFill="1" applyBorder="1" applyAlignment="1">
      <alignment horizontal="left" vertical="center" wrapText="1"/>
    </xf>
    <xf numFmtId="49" fontId="7" fillId="0" borderId="2" xfId="1" applyNumberFormat="1" applyFont="1" applyBorder="1" applyAlignment="1">
      <alignment horizontal="left" vertical="center" wrapText="1"/>
    </xf>
    <xf numFmtId="49" fontId="7" fillId="0" borderId="3" xfId="1" applyNumberFormat="1" applyFont="1" applyBorder="1" applyAlignment="1">
      <alignment horizontal="left"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6" fillId="0" borderId="2" xfId="0" applyFont="1" applyBorder="1" applyAlignment="1">
      <alignment horizontal="left" vertical="center" wrapText="1"/>
    </xf>
    <xf numFmtId="0" fontId="9" fillId="0" borderId="3"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49" fontId="0" fillId="0" borderId="1" xfId="1" applyNumberFormat="1" applyFont="1" applyBorder="1" applyAlignment="1">
      <alignment horizontal="left" vertical="center" wrapText="1"/>
    </xf>
    <xf numFmtId="49" fontId="0" fillId="0" borderId="1" xfId="1" applyNumberFormat="1" applyFont="1" applyBorder="1" applyAlignment="1">
      <alignment horizontal="left" vertical="center"/>
    </xf>
    <xf numFmtId="0" fontId="1" fillId="0" borderId="6" xfId="0" applyFont="1" applyBorder="1" applyAlignment="1">
      <alignment horizontal="left" vertical="center" wrapText="1"/>
    </xf>
    <xf numFmtId="0" fontId="1" fillId="0" borderId="6" xfId="0" applyFont="1" applyBorder="1" applyAlignment="1">
      <alignment wrapText="1"/>
    </xf>
    <xf numFmtId="0" fontId="1" fillId="0" borderId="6" xfId="0" applyFont="1" applyBorder="1" applyAlignment="1">
      <alignment vertical="center" wrapText="1"/>
    </xf>
  </cellXfs>
  <cellStyles count="4">
    <cellStyle name="Comma" xfId="1" builtinId="3"/>
    <cellStyle name="Hyperlink" xfId="3"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098331" TargetMode="External"/><Relationship Id="rId2" Type="http://schemas.openxmlformats.org/officeDocument/2006/relationships/hyperlink" Target="https://pnudcolombia.exposure.co/juntas-y-poderosas" TargetMode="External"/><Relationship Id="rId1" Type="http://schemas.openxmlformats.org/officeDocument/2006/relationships/hyperlink" Target="https://www.undp.org/es/colombia/news/en-la-guajira-mujeres-rurales-lideran-tiendas-comunitarias-para-su-empoderamiento-econ%C3%B3mic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pen.undp.org/projects/00098331" TargetMode="External"/><Relationship Id="rId2" Type="http://schemas.openxmlformats.org/officeDocument/2006/relationships/hyperlink" Target="https://pnudcolombia.exposure.co/juntas-y-poderosas" TargetMode="External"/><Relationship Id="rId1" Type="http://schemas.openxmlformats.org/officeDocument/2006/relationships/hyperlink" Target="https://www.undp.org/es/colombia/news/en-la-guajira-mujeres-rurales-lideran-tiendas-comunitarias-para-su-empoderamiento-econ%C3%B3mico"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open.undp.org/projects/00098331" TargetMode="External"/><Relationship Id="rId2" Type="http://schemas.openxmlformats.org/officeDocument/2006/relationships/hyperlink" Target="https://pnudcolombia.exposure.co/juntas-y-poderosas" TargetMode="External"/><Relationship Id="rId1" Type="http://schemas.openxmlformats.org/officeDocument/2006/relationships/hyperlink" Target="https://www.undp.org/es/colombia/news/en-la-guajira-mujeres-rurales-lideran-tiendas-comunitarias-para-su-empoderamiento-econ%C3%B3mico"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46EA-FDC7-4DC9-81A3-7BACF1037900}">
  <dimension ref="A1:V11"/>
  <sheetViews>
    <sheetView tabSelected="1" topLeftCell="C1" zoomScale="70" zoomScaleNormal="70" workbookViewId="0">
      <pane ySplit="1" topLeftCell="D3" activePane="bottomLeft" state="frozen"/>
      <selection pane="bottomLeft" activeCell="I4" sqref="I4"/>
    </sheetView>
  </sheetViews>
  <sheetFormatPr defaultColWidth="8.85546875" defaultRowHeight="15" customHeight="1"/>
  <cols>
    <col min="1" max="1" width="15.7109375" style="56" customWidth="1"/>
    <col min="2" max="3" width="41.7109375" style="36" customWidth="1"/>
    <col min="4" max="4" width="30.7109375" style="36" customWidth="1"/>
    <col min="5" max="5" width="34" style="56" customWidth="1"/>
    <col min="6" max="6" width="28.5703125" style="36" customWidth="1"/>
    <col min="7" max="7" width="35" style="41" customWidth="1"/>
    <col min="8" max="8" width="8.5703125" style="36" bestFit="1" customWidth="1"/>
    <col min="9" max="9" width="6.85546875" style="41" bestFit="1" customWidth="1"/>
    <col min="10" max="10" width="129.42578125" style="41" customWidth="1"/>
    <col min="11" max="11" width="35.28515625" style="36" bestFit="1" customWidth="1"/>
    <col min="12" max="12" width="18" style="34" bestFit="1" customWidth="1"/>
    <col min="13" max="13" width="13" style="34" bestFit="1" customWidth="1"/>
    <col min="14" max="14" width="9.7109375" style="34" bestFit="1" customWidth="1"/>
    <col min="15" max="15" width="14" style="34" bestFit="1" customWidth="1"/>
    <col min="16" max="16" width="14.28515625" style="34" bestFit="1" customWidth="1"/>
    <col min="17" max="17" width="13.7109375" style="34" bestFit="1" customWidth="1"/>
    <col min="18" max="18" width="16.42578125" style="34" bestFit="1" customWidth="1"/>
    <col min="19" max="19" width="17.5703125" style="34" bestFit="1" customWidth="1"/>
    <col min="20" max="20" width="11.140625" style="34" bestFit="1" customWidth="1"/>
    <col min="21" max="21" width="21.140625" style="34" customWidth="1"/>
    <col min="22" max="22" width="16.5703125" style="34" bestFit="1" customWidth="1"/>
    <col min="23" max="16384" width="8.85546875" style="36"/>
  </cols>
  <sheetData>
    <row r="1" spans="1:22" ht="40.5" customHeight="1">
      <c r="A1" s="53" t="s">
        <v>0</v>
      </c>
      <c r="B1" s="35" t="s">
        <v>1</v>
      </c>
      <c r="C1" s="35" t="s">
        <v>2</v>
      </c>
      <c r="D1" s="35" t="s">
        <v>3</v>
      </c>
      <c r="E1" s="53" t="s">
        <v>4</v>
      </c>
      <c r="F1" s="35" t="s">
        <v>5</v>
      </c>
      <c r="G1" s="35" t="s">
        <v>6</v>
      </c>
      <c r="H1" s="35" t="s">
        <v>7</v>
      </c>
      <c r="I1" s="76" t="s">
        <v>8</v>
      </c>
      <c r="J1" s="35" t="s">
        <v>9</v>
      </c>
      <c r="K1" s="35" t="s">
        <v>10</v>
      </c>
      <c r="L1" s="63" t="s">
        <v>11</v>
      </c>
      <c r="M1" s="63" t="s">
        <v>12</v>
      </c>
      <c r="N1" s="64" t="s">
        <v>13</v>
      </c>
      <c r="O1" s="63" t="s">
        <v>14</v>
      </c>
      <c r="P1" s="63" t="s">
        <v>15</v>
      </c>
      <c r="Q1" s="63" t="s">
        <v>16</v>
      </c>
      <c r="R1" s="63" t="s">
        <v>17</v>
      </c>
      <c r="S1" s="65" t="s">
        <v>18</v>
      </c>
      <c r="T1" s="63" t="s">
        <v>19</v>
      </c>
      <c r="U1" s="65" t="s">
        <v>20</v>
      </c>
      <c r="V1" s="63" t="s">
        <v>21</v>
      </c>
    </row>
    <row r="2" spans="1:22" ht="201" customHeight="1">
      <c r="A2" s="54" t="s">
        <v>22</v>
      </c>
      <c r="B2" s="10" t="s">
        <v>23</v>
      </c>
      <c r="C2" s="38" t="s">
        <v>24</v>
      </c>
      <c r="D2" s="89">
        <v>14780</v>
      </c>
      <c r="E2" s="86" t="s">
        <v>25</v>
      </c>
      <c r="F2" s="10" t="s">
        <v>26</v>
      </c>
      <c r="G2" s="11" t="s">
        <v>27</v>
      </c>
      <c r="H2" s="10">
        <v>0</v>
      </c>
      <c r="I2" s="11">
        <v>69</v>
      </c>
      <c r="J2" s="11" t="s">
        <v>28</v>
      </c>
      <c r="K2" s="35"/>
      <c r="L2" s="62">
        <v>0.72</v>
      </c>
      <c r="M2" s="61" t="s">
        <v>29</v>
      </c>
      <c r="N2" s="4" t="s">
        <v>30</v>
      </c>
      <c r="O2" s="9" t="s">
        <v>31</v>
      </c>
      <c r="P2" s="4" t="s">
        <v>32</v>
      </c>
      <c r="Q2" s="4" t="s">
        <v>33</v>
      </c>
      <c r="R2" s="61" t="s">
        <v>34</v>
      </c>
      <c r="S2" s="4" t="s">
        <v>32</v>
      </c>
      <c r="T2" s="4" t="s">
        <v>35</v>
      </c>
      <c r="U2" s="66" t="s">
        <v>36</v>
      </c>
      <c r="V2" s="4" t="s">
        <v>37</v>
      </c>
    </row>
    <row r="3" spans="1:22" ht="208.5" customHeight="1">
      <c r="A3" s="54" t="s">
        <v>38</v>
      </c>
      <c r="B3" s="10" t="s">
        <v>39</v>
      </c>
      <c r="C3" s="38" t="s">
        <v>40</v>
      </c>
      <c r="D3" s="89">
        <v>9217</v>
      </c>
      <c r="E3" s="85" t="s">
        <v>41</v>
      </c>
      <c r="F3" s="10" t="s">
        <v>42</v>
      </c>
      <c r="G3" s="11" t="s">
        <v>27</v>
      </c>
      <c r="H3" s="10">
        <v>0</v>
      </c>
      <c r="I3" s="39">
        <v>56</v>
      </c>
      <c r="J3" s="39" t="s">
        <v>43</v>
      </c>
      <c r="K3" s="91" t="s">
        <v>44</v>
      </c>
      <c r="L3" s="62">
        <v>0.2</v>
      </c>
      <c r="M3" s="8" t="s">
        <v>29</v>
      </c>
      <c r="N3" s="3" t="s">
        <v>30</v>
      </c>
      <c r="O3" s="9" t="s">
        <v>31</v>
      </c>
      <c r="P3" s="4" t="s">
        <v>32</v>
      </c>
      <c r="Q3" s="4" t="s">
        <v>33</v>
      </c>
      <c r="R3" s="61" t="s">
        <v>34</v>
      </c>
      <c r="S3" s="67" t="s">
        <v>32</v>
      </c>
      <c r="T3" s="30" t="s">
        <v>35</v>
      </c>
      <c r="U3" s="68" t="s">
        <v>36</v>
      </c>
      <c r="V3" s="4" t="s">
        <v>37</v>
      </c>
    </row>
    <row r="4" spans="1:22" ht="381.75">
      <c r="A4" s="54" t="s">
        <v>45</v>
      </c>
      <c r="B4" s="11" t="s">
        <v>46</v>
      </c>
      <c r="C4" s="90" t="s">
        <v>47</v>
      </c>
      <c r="D4" s="89">
        <v>3627</v>
      </c>
      <c r="E4" s="87" t="s">
        <v>48</v>
      </c>
      <c r="F4" s="10" t="s">
        <v>32</v>
      </c>
      <c r="G4" s="11" t="s">
        <v>49</v>
      </c>
      <c r="H4" s="10">
        <v>0</v>
      </c>
      <c r="I4" s="10">
        <v>16571</v>
      </c>
      <c r="J4" s="40" t="s">
        <v>50</v>
      </c>
      <c r="K4" s="83" t="s">
        <v>51</v>
      </c>
      <c r="L4" s="62">
        <v>0.2</v>
      </c>
      <c r="M4" s="8" t="s">
        <v>29</v>
      </c>
      <c r="N4" s="3" t="s">
        <v>30</v>
      </c>
      <c r="O4" s="9" t="s">
        <v>52</v>
      </c>
      <c r="P4" s="4" t="s">
        <v>53</v>
      </c>
      <c r="Q4" s="4" t="s">
        <v>33</v>
      </c>
      <c r="R4" s="61" t="s">
        <v>54</v>
      </c>
      <c r="S4" s="4" t="s">
        <v>55</v>
      </c>
      <c r="T4" s="29" t="s">
        <v>35</v>
      </c>
      <c r="U4" s="4" t="s">
        <v>36</v>
      </c>
      <c r="V4" s="4" t="s">
        <v>37</v>
      </c>
    </row>
    <row r="5" spans="1:22" ht="106.5">
      <c r="A5" s="55"/>
      <c r="B5" s="14"/>
      <c r="C5" s="15"/>
      <c r="D5" s="15"/>
      <c r="E5" s="55"/>
      <c r="F5" s="14"/>
      <c r="G5" s="16"/>
      <c r="H5" s="14"/>
      <c r="I5" s="14"/>
      <c r="K5" s="84" t="s">
        <v>56</v>
      </c>
    </row>
    <row r="6" spans="1:22">
      <c r="A6" s="55"/>
      <c r="C6" s="15"/>
      <c r="D6" s="15"/>
      <c r="E6" s="55"/>
      <c r="F6" s="14"/>
      <c r="G6" s="16"/>
      <c r="H6" s="14"/>
      <c r="I6" s="14"/>
    </row>
    <row r="7" spans="1:22">
      <c r="A7" s="55"/>
      <c r="B7" s="14"/>
      <c r="C7" s="42"/>
      <c r="D7" s="42"/>
      <c r="E7" s="55"/>
      <c r="F7" s="14"/>
      <c r="G7" s="16"/>
      <c r="H7" s="14"/>
      <c r="I7" s="14"/>
    </row>
    <row r="11" spans="1:22">
      <c r="B11" s="43"/>
      <c r="I11" s="44"/>
    </row>
  </sheetData>
  <dataValidations count="9">
    <dataValidation type="list" allowBlank="1" showInputMessage="1" showErrorMessage="1" sqref="R2:R4" xr:uid="{B1DE9920-651D-409A-9862-7A4F4FDDD16C}">
      <formula1>"NDC Support, National Strategy, Legal Framework,Incentives and Support, Government Capacity-Building, Carbon Pricing and Monitoring, Financing Model, Business Model"</formula1>
    </dataValidation>
    <dataValidation type="list" allowBlank="1" showInputMessage="1" showErrorMessage="1" sqref="Q2:Q4" xr:uid="{68859A0A-70A9-4712-AAA3-5B58409F63C1}">
      <formula1>"AMP, PUDC, Solar4Health, Action Opportunities, Italy UNDP Energy Partnership"</formula1>
    </dataValidation>
    <dataValidation type="list" allowBlank="1" showInputMessage="1" showErrorMessage="1" sqref="O2:O4" xr:uid="{226E2294-CF69-4E00-B4A6-35B3AADBB437}">
      <formula1>"Accelerating just energy transition, Close the gap on energy access, Scale up energy finance"</formula1>
    </dataValidation>
    <dataValidation type="list" allowBlank="1" showInputMessage="1" showErrorMessage="1" sqref="P2:P4" xr:uid="{32FB862E-93A5-4080-944B-E63960DD868F}">
      <formula1>"Electricity Access, Energy Efficiency, Clean Cooking, Renewable Energy, Overall"</formula1>
    </dataValidation>
    <dataValidation type="list" allowBlank="1" showInputMessage="1" showErrorMessage="1" sqref="U2:U4" xr:uid="{DBEF4149-F57D-4427-ACAC-75B0A9F16BDF}">
      <formula1>"National, Regional, City, Community"</formula1>
    </dataValidation>
    <dataValidation type="list" allowBlank="1" showInputMessage="1" showErrorMessage="1" sqref="N2:N4" xr:uid="{2A830CFC-452C-4A9E-9B6E-858A10840F07}">
      <formula1>"Finance, Gender, Efficiency, Just, Health"</formula1>
    </dataValidation>
    <dataValidation type="list" allowBlank="1" showInputMessage="1" showErrorMessage="1" sqref="M2:M4" xr:uid="{585F7FA1-B70F-41DF-90FA-A2798989B191}">
      <formula1>"Non-VF, VF"</formula1>
    </dataValidation>
    <dataValidation type="list" allowBlank="1" showInputMessage="1" showErrorMessage="1" sqref="T2:T4" xr:uid="{96B7F67D-2CFA-4D14-9C10-86A154AACBD4}">
      <formula1>"Solar, Wind, Bioenergy, Hydro, Geothermal, Waste, Some Sources, Other, Unknown"</formula1>
    </dataValidation>
    <dataValidation type="list" allowBlank="1" showInputMessage="1" showErrorMessage="1" sqref="S2:S4" xr:uid="{D70CAB8C-9E76-41EB-B6F2-3B111EA07165}">
      <formula1>"Electricity Access, Energy Efficiency, Renewable Energy, Infrastructure,  Transport, Digital &amp; Data, Clean Cooking, Decarbonization, Hydrogen, Off-Grid, On-Grid, Research &amp; Innovation, Grant &amp; Investment"</formula1>
    </dataValidation>
  </dataValidations>
  <hyperlinks>
    <hyperlink ref="C2" r:id="rId1" display="https://www.undp.org/es/colombia/news/en-la-guajira-mujeres-rurales-lideran-tiendas-comunitarias-para-su-empoderamiento-econ%C3%B3mico_x000a__x000a_https://www.youtube.com/watch?v=6vtlQRzqaUw" xr:uid="{023B6CA4-31BB-4239-A4AC-B83D3045AFC9}"/>
    <hyperlink ref="C3" r:id="rId2" display="https://pnudcolombia.exposure.co/juntas-y-poderosas_x000a__x000a_https://www.youtube.com/watch?v=h6buc3MubaY" xr:uid="{5F46FA43-8ECD-43AB-BBE4-D4E4B879594D}"/>
    <hyperlink ref="C4" r:id="rId3" xr:uid="{FDBA0F40-5B2F-4DC3-BE12-36C99CAE3BD2}"/>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BD4CF14-F577-4B53-BDD3-F94C0EC4FC4A}">
          <x14:formula1>
            <xm:f>'Beneficiary Categories'!$A$2:$A$22</xm:f>
          </x14:formula1>
          <xm:sqref>F2:F4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7A07-E862-4119-8187-B7AC673D86AE}">
  <dimension ref="A1:T16"/>
  <sheetViews>
    <sheetView topLeftCell="H1" zoomScale="78" zoomScaleNormal="70" workbookViewId="0">
      <pane ySplit="1" topLeftCell="A6" activePane="bottomLeft" state="frozen"/>
      <selection pane="bottomLeft" activeCell="D6" sqref="D6"/>
    </sheetView>
  </sheetViews>
  <sheetFormatPr defaultColWidth="8.85546875" defaultRowHeight="15"/>
  <cols>
    <col min="1" max="1" width="15.7109375" style="56" customWidth="1"/>
    <col min="2" max="3" width="41.7109375" style="21" customWidth="1"/>
    <col min="4" max="4" width="31.140625" style="27" customWidth="1"/>
    <col min="5" max="5" width="28.5703125" style="21" customWidth="1"/>
    <col min="6" max="6" width="35" style="17" customWidth="1"/>
    <col min="7" max="7" width="8.5703125" style="28" bestFit="1" customWidth="1"/>
    <col min="8" max="8" width="11.140625" style="75" bestFit="1" customWidth="1"/>
    <col min="9" max="9" width="65.140625" style="17" customWidth="1"/>
    <col min="10" max="10" width="35.28515625" style="21" bestFit="1" customWidth="1"/>
    <col min="11" max="11" width="16.140625" style="21" customWidth="1"/>
    <col min="12" max="13" width="8.85546875" style="21"/>
    <col min="14" max="14" width="12.140625" style="21" customWidth="1"/>
    <col min="15" max="15" width="8.85546875" style="21"/>
    <col min="16" max="16" width="12.85546875" style="21" customWidth="1"/>
    <col min="17" max="17" width="11.85546875" style="21" customWidth="1"/>
    <col min="18" max="18" width="15.85546875" style="21" customWidth="1"/>
    <col min="19" max="19" width="15.7109375" style="21" customWidth="1"/>
    <col min="20" max="20" width="13.28515625" style="21" customWidth="1"/>
    <col min="21" max="16384" width="8.85546875" style="21"/>
  </cols>
  <sheetData>
    <row r="1" spans="1:20" ht="45">
      <c r="A1" s="57" t="s">
        <v>0</v>
      </c>
      <c r="B1" s="23" t="s">
        <v>1</v>
      </c>
      <c r="C1" s="23" t="s">
        <v>2</v>
      </c>
      <c r="D1" s="23" t="s">
        <v>57</v>
      </c>
      <c r="E1" s="23" t="s">
        <v>5</v>
      </c>
      <c r="F1" s="24" t="s">
        <v>6</v>
      </c>
      <c r="G1" s="22" t="s">
        <v>7</v>
      </c>
      <c r="H1" s="69" t="s">
        <v>8</v>
      </c>
      <c r="I1" s="23" t="s">
        <v>9</v>
      </c>
      <c r="J1" s="23" t="s">
        <v>10</v>
      </c>
      <c r="K1" s="23" t="s">
        <v>58</v>
      </c>
      <c r="L1" s="77" t="s">
        <v>11</v>
      </c>
      <c r="M1" s="77" t="s">
        <v>59</v>
      </c>
      <c r="N1" s="77" t="s">
        <v>60</v>
      </c>
      <c r="O1" s="77" t="s">
        <v>13</v>
      </c>
      <c r="P1" s="77" t="s">
        <v>14</v>
      </c>
      <c r="Q1" s="77" t="s">
        <v>15</v>
      </c>
      <c r="R1" s="77" t="s">
        <v>16</v>
      </c>
      <c r="S1" s="77" t="s">
        <v>17</v>
      </c>
      <c r="T1" s="77" t="s">
        <v>18</v>
      </c>
    </row>
    <row r="2" spans="1:20" ht="141.75" customHeight="1">
      <c r="A2" s="93" t="s">
        <v>61</v>
      </c>
      <c r="B2" s="95" t="s">
        <v>23</v>
      </c>
      <c r="C2" s="97" t="s">
        <v>24</v>
      </c>
      <c r="D2" s="108" t="s">
        <v>62</v>
      </c>
      <c r="E2" s="7" t="s">
        <v>63</v>
      </c>
      <c r="F2" s="29" t="s">
        <v>64</v>
      </c>
      <c r="G2" s="4">
        <v>0</v>
      </c>
      <c r="H2" s="70">
        <v>2</v>
      </c>
      <c r="I2" s="109" t="s">
        <v>65</v>
      </c>
      <c r="J2" s="101" t="s">
        <v>66</v>
      </c>
      <c r="K2" s="103"/>
      <c r="L2" s="105">
        <v>0.72</v>
      </c>
      <c r="M2" s="92"/>
      <c r="N2" s="92"/>
      <c r="O2" s="92" t="s">
        <v>30</v>
      </c>
      <c r="P2" s="92" t="s">
        <v>31</v>
      </c>
      <c r="Q2" s="92" t="s">
        <v>32</v>
      </c>
      <c r="R2" s="92" t="s">
        <v>33</v>
      </c>
      <c r="S2" s="92" t="s">
        <v>34</v>
      </c>
      <c r="T2" s="92" t="s">
        <v>32</v>
      </c>
    </row>
    <row r="3" spans="1:20" ht="30">
      <c r="A3" s="94"/>
      <c r="B3" s="96"/>
      <c r="C3" s="98"/>
      <c r="D3" s="94"/>
      <c r="E3" s="7" t="s">
        <v>63</v>
      </c>
      <c r="F3" s="29" t="s">
        <v>67</v>
      </c>
      <c r="G3" s="3">
        <v>0</v>
      </c>
      <c r="H3" s="70">
        <f>37+32</f>
        <v>69</v>
      </c>
      <c r="I3" s="110"/>
      <c r="J3" s="111"/>
      <c r="K3" s="112"/>
      <c r="L3" s="92"/>
      <c r="M3" s="92"/>
      <c r="N3" s="92"/>
      <c r="O3" s="92"/>
      <c r="P3" s="92"/>
      <c r="Q3" s="92"/>
      <c r="R3" s="92"/>
      <c r="S3" s="92"/>
      <c r="T3" s="92"/>
    </row>
    <row r="4" spans="1:20" ht="165" customHeight="1">
      <c r="A4" s="93" t="s">
        <v>68</v>
      </c>
      <c r="B4" s="95" t="s">
        <v>39</v>
      </c>
      <c r="C4" s="97" t="s">
        <v>69</v>
      </c>
      <c r="D4" s="106" t="s">
        <v>70</v>
      </c>
      <c r="E4" s="7" t="s">
        <v>63</v>
      </c>
      <c r="F4" s="29" t="s">
        <v>64</v>
      </c>
      <c r="G4" s="4">
        <v>0</v>
      </c>
      <c r="H4" s="71">
        <v>1</v>
      </c>
      <c r="I4" s="99" t="s">
        <v>71</v>
      </c>
      <c r="J4" s="101" t="s">
        <v>72</v>
      </c>
      <c r="K4" s="103"/>
      <c r="L4" s="105">
        <v>0.2</v>
      </c>
      <c r="M4" s="92"/>
      <c r="N4" s="92"/>
      <c r="O4" s="92" t="s">
        <v>30</v>
      </c>
      <c r="P4" s="92" t="s">
        <v>31</v>
      </c>
      <c r="Q4" s="92" t="s">
        <v>32</v>
      </c>
      <c r="R4" s="92" t="s">
        <v>33</v>
      </c>
      <c r="S4" s="92" t="s">
        <v>34</v>
      </c>
      <c r="T4" s="92" t="s">
        <v>32</v>
      </c>
    </row>
    <row r="5" spans="1:20" ht="30">
      <c r="A5" s="94"/>
      <c r="B5" s="96"/>
      <c r="C5" s="98"/>
      <c r="D5" s="107"/>
      <c r="E5" s="7" t="s">
        <v>63</v>
      </c>
      <c r="F5" s="29" t="s">
        <v>67</v>
      </c>
      <c r="G5" s="3">
        <v>0</v>
      </c>
      <c r="H5" s="71">
        <v>56</v>
      </c>
      <c r="I5" s="100"/>
      <c r="J5" s="102"/>
      <c r="K5" s="104"/>
      <c r="L5" s="92"/>
      <c r="M5" s="92"/>
      <c r="N5" s="92"/>
      <c r="O5" s="92"/>
      <c r="P5" s="92"/>
      <c r="Q5" s="92"/>
      <c r="R5" s="92"/>
      <c r="S5" s="92"/>
      <c r="T5" s="92"/>
    </row>
    <row r="6" spans="1:20" ht="409.5">
      <c r="A6" s="54" t="s">
        <v>73</v>
      </c>
      <c r="B6" s="29" t="s">
        <v>46</v>
      </c>
      <c r="C6" s="31" t="s">
        <v>47</v>
      </c>
      <c r="D6" s="88" t="s">
        <v>74</v>
      </c>
      <c r="E6" s="7" t="s">
        <v>75</v>
      </c>
      <c r="F6" s="29" t="s">
        <v>49</v>
      </c>
      <c r="G6" s="3">
        <v>0</v>
      </c>
      <c r="H6" s="72">
        <v>16571</v>
      </c>
      <c r="I6" s="25" t="s">
        <v>76</v>
      </c>
      <c r="J6" s="80" t="s">
        <v>77</v>
      </c>
      <c r="K6" s="37"/>
      <c r="L6" s="78">
        <v>0.2</v>
      </c>
      <c r="M6" s="12"/>
      <c r="N6" s="12"/>
      <c r="O6" s="12" t="s">
        <v>30</v>
      </c>
      <c r="P6" s="12" t="s">
        <v>31</v>
      </c>
      <c r="Q6" s="12" t="s">
        <v>32</v>
      </c>
      <c r="R6" s="12" t="s">
        <v>33</v>
      </c>
      <c r="S6" s="12" t="s">
        <v>54</v>
      </c>
      <c r="T6" s="12" t="s">
        <v>32</v>
      </c>
    </row>
    <row r="7" spans="1:20">
      <c r="A7" s="55"/>
      <c r="B7" s="18"/>
      <c r="C7" s="32"/>
      <c r="D7" s="13"/>
      <c r="E7" s="18"/>
      <c r="F7" s="19"/>
      <c r="G7" s="33"/>
      <c r="H7" s="73"/>
    </row>
    <row r="8" spans="1:20">
      <c r="A8" s="55"/>
      <c r="B8" s="18"/>
      <c r="C8" s="32"/>
      <c r="D8" s="13"/>
      <c r="E8" s="18"/>
      <c r="F8" s="19"/>
      <c r="G8" s="33"/>
      <c r="H8" s="73"/>
    </row>
    <row r="9" spans="1:20">
      <c r="A9" s="55"/>
      <c r="C9" s="32"/>
      <c r="D9" s="79"/>
      <c r="E9" s="18"/>
      <c r="F9" s="19"/>
      <c r="G9" s="33"/>
      <c r="H9" s="73"/>
    </row>
    <row r="10" spans="1:20">
      <c r="A10" s="55"/>
      <c r="B10" s="18"/>
      <c r="C10" s="20"/>
      <c r="D10" s="13"/>
      <c r="E10" s="18"/>
      <c r="F10" s="19"/>
      <c r="G10" s="33"/>
      <c r="H10" s="73"/>
    </row>
    <row r="11" spans="1:20">
      <c r="D11" s="27">
        <v>723600</v>
      </c>
      <c r="E11" s="81">
        <f>3627/D16</f>
        <v>1.4128376183305067E-3</v>
      </c>
    </row>
    <row r="12" spans="1:20">
      <c r="D12" s="27">
        <v>122417</v>
      </c>
    </row>
    <row r="13" spans="1:20">
      <c r="D13" s="27">
        <v>1150000</v>
      </c>
    </row>
    <row r="14" spans="1:20">
      <c r="B14" s="26"/>
      <c r="D14" s="27">
        <v>571157</v>
      </c>
      <c r="H14" s="74"/>
    </row>
    <row r="16" spans="1:20">
      <c r="D16" s="27">
        <f>+SUM(D11:D14)</f>
        <v>2567174</v>
      </c>
    </row>
  </sheetData>
  <mergeCells count="32">
    <mergeCell ref="I4:I5"/>
    <mergeCell ref="J4:J5"/>
    <mergeCell ref="K4:K5"/>
    <mergeCell ref="C2:C3"/>
    <mergeCell ref="O4:O5"/>
    <mergeCell ref="N4:N5"/>
    <mergeCell ref="M4:M5"/>
    <mergeCell ref="L4:L5"/>
    <mergeCell ref="D4:D5"/>
    <mergeCell ref="D2:D3"/>
    <mergeCell ref="I2:I3"/>
    <mergeCell ref="J2:J3"/>
    <mergeCell ref="K2:K3"/>
    <mergeCell ref="L2:L3"/>
    <mergeCell ref="M2:M3"/>
    <mergeCell ref="A2:A3"/>
    <mergeCell ref="B2:B3"/>
    <mergeCell ref="B4:B5"/>
    <mergeCell ref="A4:A5"/>
    <mergeCell ref="C4:C5"/>
    <mergeCell ref="T2:T3"/>
    <mergeCell ref="T4:T5"/>
    <mergeCell ref="S4:S5"/>
    <mergeCell ref="R4:R5"/>
    <mergeCell ref="Q4:Q5"/>
    <mergeCell ref="R2:R3"/>
    <mergeCell ref="S2:S3"/>
    <mergeCell ref="P4:P5"/>
    <mergeCell ref="N2:N3"/>
    <mergeCell ref="O2:O3"/>
    <mergeCell ref="P2:P3"/>
    <mergeCell ref="Q2:Q3"/>
  </mergeCells>
  <hyperlinks>
    <hyperlink ref="C2" r:id="rId1" display="https://www.undp.org/es/colombia/news/en-la-guajira-mujeres-rurales-lideran-tiendas-comunitarias-para-su-empoderamiento-econ%C3%B3mico_x000a__x000a_https://www.youtube.com/watch?v=6vtlQRzqaUw" xr:uid="{D1B7DF54-289B-4418-9980-364EFE41E4B2}"/>
    <hyperlink ref="C4" r:id="rId2" display="https://pnudcolombia.exposure.co/juntas-y-poderosas_x000a__x000a_https://www.youtube.com/watch?v=h6buc3MubaY" xr:uid="{872BF616-EA32-4F3B-A011-4A75D9DFF40A}"/>
    <hyperlink ref="C6" r:id="rId3" xr:uid="{6CFEE19C-80B2-430D-B6A6-26EA7FEDAD38}"/>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852E2CA0-9F41-4E73-A512-7516C660B3CD}">
          <x14:formula1>
            <xm:f>'Beneficiary Categories'!$A$2:$A$16</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opLeftCell="E1" zoomScale="70" zoomScaleNormal="70" workbookViewId="0">
      <pane ySplit="1" topLeftCell="A2" activePane="bottomLeft" state="frozen"/>
      <selection pane="bottomLeft" activeCell="J2" sqref="J2:J3"/>
    </sheetView>
  </sheetViews>
  <sheetFormatPr defaultColWidth="8.85546875" defaultRowHeight="15"/>
  <cols>
    <col min="1" max="1" width="15.7109375" style="56" customWidth="1"/>
    <col min="2" max="3" width="41.7109375" style="36" customWidth="1"/>
    <col min="4" max="4" width="23.85546875" style="51" customWidth="1"/>
    <col min="5" max="5" width="28.5703125" style="36" customWidth="1"/>
    <col min="6" max="6" width="35" style="41" customWidth="1"/>
    <col min="7" max="7" width="19.85546875" style="36" customWidth="1"/>
    <col min="8" max="8" width="21.5703125" style="41" customWidth="1"/>
    <col min="9" max="9" width="65.140625" style="41" customWidth="1"/>
    <col min="10" max="10" width="35.28515625" style="36" bestFit="1" customWidth="1"/>
    <col min="11" max="11" width="53.28515625" style="36" customWidth="1"/>
    <col min="12" max="16384" width="8.85546875" style="36"/>
  </cols>
  <sheetData>
    <row r="1" spans="1:11">
      <c r="A1" s="58" t="s">
        <v>0</v>
      </c>
      <c r="B1" s="48" t="s">
        <v>1</v>
      </c>
      <c r="C1" s="48" t="s">
        <v>2</v>
      </c>
      <c r="D1" s="49" t="s">
        <v>57</v>
      </c>
      <c r="E1" s="48" t="s">
        <v>5</v>
      </c>
      <c r="F1" s="48" t="s">
        <v>6</v>
      </c>
      <c r="G1" s="48" t="s">
        <v>7</v>
      </c>
      <c r="H1" s="48" t="s">
        <v>8</v>
      </c>
      <c r="I1" s="48" t="s">
        <v>9</v>
      </c>
      <c r="J1" s="48" t="s">
        <v>10</v>
      </c>
      <c r="K1" s="48" t="s">
        <v>58</v>
      </c>
    </row>
    <row r="2" spans="1:11" ht="141.75" customHeight="1">
      <c r="A2" s="116" t="s">
        <v>61</v>
      </c>
      <c r="B2" s="115" t="s">
        <v>23</v>
      </c>
      <c r="C2" s="113" t="s">
        <v>24</v>
      </c>
      <c r="D2" s="132" t="s">
        <v>78</v>
      </c>
      <c r="E2" s="45" t="s">
        <v>63</v>
      </c>
      <c r="F2" s="46" t="s">
        <v>64</v>
      </c>
      <c r="G2" s="46" t="s">
        <v>79</v>
      </c>
      <c r="H2" s="46" t="s">
        <v>80</v>
      </c>
      <c r="I2" s="117" t="s">
        <v>65</v>
      </c>
      <c r="J2" s="128" t="s">
        <v>81</v>
      </c>
      <c r="K2" s="130"/>
    </row>
    <row r="3" spans="1:11" ht="30">
      <c r="A3" s="116"/>
      <c r="B3" s="115"/>
      <c r="C3" s="114"/>
      <c r="D3" s="133"/>
      <c r="E3" s="45" t="s">
        <v>63</v>
      </c>
      <c r="F3" s="46" t="s">
        <v>67</v>
      </c>
      <c r="G3" s="45" t="s">
        <v>82</v>
      </c>
      <c r="H3" s="46" t="s">
        <v>83</v>
      </c>
      <c r="I3" s="118"/>
      <c r="J3" s="129"/>
      <c r="K3" s="131"/>
    </row>
    <row r="4" spans="1:11" ht="165" customHeight="1">
      <c r="A4" s="116" t="s">
        <v>84</v>
      </c>
      <c r="B4" s="115" t="s">
        <v>39</v>
      </c>
      <c r="C4" s="120" t="s">
        <v>69</v>
      </c>
      <c r="D4" s="122" t="s">
        <v>85</v>
      </c>
      <c r="E4" s="45" t="s">
        <v>63</v>
      </c>
      <c r="F4" s="46" t="s">
        <v>64</v>
      </c>
      <c r="G4" s="46" t="s">
        <v>79</v>
      </c>
      <c r="H4" s="47" t="s">
        <v>86</v>
      </c>
      <c r="I4" s="119" t="s">
        <v>71</v>
      </c>
      <c r="J4" s="126" t="s">
        <v>87</v>
      </c>
      <c r="K4" s="124"/>
    </row>
    <row r="5" spans="1:11" ht="30">
      <c r="A5" s="116"/>
      <c r="B5" s="115"/>
      <c r="C5" s="121"/>
      <c r="D5" s="123"/>
      <c r="E5" s="45" t="s">
        <v>63</v>
      </c>
      <c r="F5" s="46" t="s">
        <v>67</v>
      </c>
      <c r="G5" s="45" t="s">
        <v>82</v>
      </c>
      <c r="H5" s="47" t="s">
        <v>88</v>
      </c>
      <c r="I5" s="119"/>
      <c r="J5" s="127"/>
      <c r="K5" s="125"/>
    </row>
    <row r="6" spans="1:11" ht="409.5">
      <c r="A6" s="59" t="s">
        <v>73</v>
      </c>
      <c r="B6" s="2" t="s">
        <v>46</v>
      </c>
      <c r="C6" s="60" t="s">
        <v>47</v>
      </c>
      <c r="D6" s="52" t="s">
        <v>89</v>
      </c>
      <c r="E6" s="45" t="s">
        <v>75</v>
      </c>
      <c r="F6" s="45" t="s">
        <v>90</v>
      </c>
      <c r="G6" s="45">
        <v>0</v>
      </c>
      <c r="H6" s="46" t="s">
        <v>91</v>
      </c>
      <c r="I6" s="46" t="s">
        <v>92</v>
      </c>
      <c r="J6" s="82" t="s">
        <v>77</v>
      </c>
      <c r="K6" s="1"/>
    </row>
    <row r="7" spans="1:11">
      <c r="A7" s="55"/>
      <c r="B7" s="14"/>
      <c r="C7" s="15"/>
      <c r="D7" s="50"/>
      <c r="E7" s="14"/>
      <c r="F7" s="16"/>
      <c r="G7" s="14"/>
      <c r="H7" s="14"/>
    </row>
    <row r="8" spans="1:11">
      <c r="A8" s="55"/>
      <c r="B8" s="14"/>
      <c r="C8" s="15"/>
      <c r="D8" s="50"/>
      <c r="E8" s="14"/>
      <c r="F8" s="16"/>
      <c r="G8" s="14"/>
      <c r="H8" s="14"/>
    </row>
    <row r="9" spans="1:11">
      <c r="A9" s="55"/>
      <c r="C9" s="15"/>
      <c r="D9" s="50"/>
      <c r="E9" s="14"/>
      <c r="F9" s="16"/>
      <c r="G9" s="14"/>
      <c r="H9" s="14"/>
    </row>
    <row r="10" spans="1:11">
      <c r="A10" s="55"/>
      <c r="B10" s="14"/>
      <c r="C10" s="42"/>
      <c r="D10" s="50"/>
      <c r="E10" s="14"/>
      <c r="F10" s="16"/>
      <c r="G10" s="14"/>
      <c r="H10" s="14"/>
    </row>
    <row r="14" spans="1:11">
      <c r="B14" s="43"/>
    </row>
  </sheetData>
  <mergeCells count="14">
    <mergeCell ref="K4:K5"/>
    <mergeCell ref="J4:J5"/>
    <mergeCell ref="J2:J3"/>
    <mergeCell ref="K2:K3"/>
    <mergeCell ref="D2:D3"/>
    <mergeCell ref="C2:C3"/>
    <mergeCell ref="B2:B3"/>
    <mergeCell ref="A2:A3"/>
    <mergeCell ref="I2:I3"/>
    <mergeCell ref="I4:I5"/>
    <mergeCell ref="B4:B5"/>
    <mergeCell ref="A4:A5"/>
    <mergeCell ref="C4:C5"/>
    <mergeCell ref="D4:D5"/>
  </mergeCells>
  <hyperlinks>
    <hyperlink ref="C2" r:id="rId1" display="https://www.undp.org/es/colombia/news/en-la-guajira-mujeres-rurales-lideran-tiendas-comunitarias-para-su-empoderamiento-econ%C3%B3mico_x000a__x000a_https://www.youtube.com/watch?v=6vtlQRzqaUw" xr:uid="{5A53599B-2B12-4126-B10B-63EF8BFC44B4}"/>
    <hyperlink ref="C4" r:id="rId2" display="https://pnudcolombia.exposure.co/juntas-y-poderosas_x000a__x000a_https://www.youtube.com/watch?v=h6buc3MubaY" xr:uid="{6BBA6C8A-32B6-4B55-BFA6-AC402C27B34D}"/>
    <hyperlink ref="C6" r:id="rId3" xr:uid="{9A21D782-A925-433D-B54D-231585254048}"/>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4" workbookViewId="0"/>
  </sheetViews>
  <sheetFormatPr defaultColWidth="8.85546875" defaultRowHeight="15"/>
  <cols>
    <col min="1" max="1" width="30.42578125" customWidth="1"/>
    <col min="2" max="2" width="96" customWidth="1"/>
  </cols>
  <sheetData>
    <row r="1" spans="1:2">
      <c r="A1" s="5" t="s">
        <v>5</v>
      </c>
      <c r="B1" s="5" t="s">
        <v>6</v>
      </c>
    </row>
    <row r="2" spans="1:2" ht="30">
      <c r="A2" s="134" t="s">
        <v>32</v>
      </c>
      <c r="B2" s="6" t="s">
        <v>93</v>
      </c>
    </row>
    <row r="3" spans="1:2">
      <c r="A3" s="134" t="s">
        <v>75</v>
      </c>
      <c r="B3" s="6" t="s">
        <v>94</v>
      </c>
    </row>
    <row r="4" spans="1:2" ht="30">
      <c r="A4" s="134" t="s">
        <v>95</v>
      </c>
      <c r="B4" s="6" t="s">
        <v>96</v>
      </c>
    </row>
    <row r="5" spans="1:2" ht="30">
      <c r="A5" s="134" t="s">
        <v>97</v>
      </c>
      <c r="B5" s="6" t="s">
        <v>98</v>
      </c>
    </row>
    <row r="6" spans="1:2" ht="60">
      <c r="A6" s="134" t="s">
        <v>99</v>
      </c>
      <c r="B6" s="6" t="s">
        <v>100</v>
      </c>
    </row>
    <row r="7" spans="1:2" ht="30">
      <c r="A7" s="134" t="s">
        <v>101</v>
      </c>
      <c r="B7" s="6" t="s">
        <v>102</v>
      </c>
    </row>
    <row r="8" spans="1:2" ht="30">
      <c r="A8" s="134" t="s">
        <v>103</v>
      </c>
      <c r="B8" s="6" t="s">
        <v>104</v>
      </c>
    </row>
    <row r="9" spans="1:2" ht="30">
      <c r="A9" s="134" t="s">
        <v>105</v>
      </c>
      <c r="B9" s="6" t="s">
        <v>106</v>
      </c>
    </row>
    <row r="10" spans="1:2" ht="30">
      <c r="A10" s="134" t="s">
        <v>107</v>
      </c>
      <c r="B10" s="135" t="s">
        <v>108</v>
      </c>
    </row>
    <row r="11" spans="1:2">
      <c r="A11" s="134" t="s">
        <v>26</v>
      </c>
      <c r="B11" s="135" t="s">
        <v>109</v>
      </c>
    </row>
    <row r="12" spans="1:2" ht="30">
      <c r="A12" s="134" t="s">
        <v>42</v>
      </c>
      <c r="B12" s="6" t="s">
        <v>110</v>
      </c>
    </row>
    <row r="13" spans="1:2">
      <c r="A13" s="134" t="s">
        <v>63</v>
      </c>
      <c r="B13" s="135" t="s">
        <v>111</v>
      </c>
    </row>
    <row r="14" spans="1:2">
      <c r="A14" s="134" t="s">
        <v>112</v>
      </c>
      <c r="B14" s="135" t="s">
        <v>113</v>
      </c>
    </row>
    <row r="15" spans="1:2">
      <c r="A15" s="134" t="s">
        <v>114</v>
      </c>
      <c r="B15" s="135" t="s">
        <v>115</v>
      </c>
    </row>
    <row r="16" spans="1:2">
      <c r="A16" s="134" t="s">
        <v>116</v>
      </c>
      <c r="B16" s="135" t="s">
        <v>117</v>
      </c>
    </row>
    <row r="17" spans="1:2" ht="30">
      <c r="A17" s="134" t="s">
        <v>118</v>
      </c>
      <c r="B17" s="6" t="s">
        <v>119</v>
      </c>
    </row>
    <row r="18" spans="1:2">
      <c r="A18" s="134" t="s">
        <v>120</v>
      </c>
      <c r="B18" s="135" t="s">
        <v>121</v>
      </c>
    </row>
    <row r="19" spans="1:2" ht="45">
      <c r="A19" s="134" t="s">
        <v>122</v>
      </c>
      <c r="B19" s="135" t="s">
        <v>123</v>
      </c>
    </row>
    <row r="20" spans="1:2">
      <c r="A20" s="134" t="s">
        <v>124</v>
      </c>
      <c r="B20" s="135" t="s">
        <v>125</v>
      </c>
    </row>
    <row r="21" spans="1:2" ht="30">
      <c r="A21" s="134" t="s">
        <v>20</v>
      </c>
      <c r="B21" s="136" t="s">
        <v>126</v>
      </c>
    </row>
    <row r="22" spans="1:2">
      <c r="A22" s="134" t="s">
        <v>127</v>
      </c>
      <c r="B22" s="135" t="s">
        <v>128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Alejandro Pacheco</DisplayName>
        <AccountId>1250</AccountId>
        <AccountType/>
      </UserInfo>
      <UserInfo>
        <DisplayName>Lyes FERROUKHI</DisplayName>
        <AccountId>97</AccountId>
        <AccountType/>
      </UserInfo>
      <UserInfo>
        <DisplayName>Stefano Pistolese</DisplayName>
        <AccountId>772</AccountId>
        <AccountType/>
      </UserInfo>
      <UserInfo>
        <DisplayName>Jimena Puyana</DisplayName>
        <AccountId>1259</AccountId>
        <AccountType/>
      </UserInfo>
      <UserInfo>
        <DisplayName>Carlos Salgado</DisplayName>
        <AccountId>1344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2E2830-96FA-47FD-BB98-C94BEB851E40}"/>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Nazly Gutierrez</dc:creator>
  <cp:keywords/>
  <dc:description/>
  <cp:lastModifiedBy>Folashade Jaiyeola</cp:lastModifiedBy>
  <cp:revision/>
  <dcterms:created xsi:type="dcterms:W3CDTF">2023-05-05T09:33:41Z</dcterms:created>
  <dcterms:modified xsi:type="dcterms:W3CDTF">2025-01-30T17:14:16Z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