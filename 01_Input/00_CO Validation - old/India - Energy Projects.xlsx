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418" documentId="11_205CCE8673D824AFE5FBA3BCDECF12A4B06896D9" xr6:coauthVersionLast="47" xr6:coauthVersionMax="47" xr10:uidLastSave="{D3757130-BD16-4D4C-9433-22699A487778}"/>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<sst xmlns="http://schemas.openxmlformats.org/spreadsheetml/2006/main" count="313" uniqueCount="128">
  <si>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</si>
  <si>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</si>
  <si>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</si>
  <si>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</si>
  <si>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</si>
  <si>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</si>
  <si>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</si>
  <si>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</si>
  <si>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</si>
  <si>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</si>
  <si>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</si>
  <si>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</si>
  <si>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</si>
  <si>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</si>
  <si>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</si>
  <si>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</si>
  <si>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</si>
  <si>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</si>
  <si>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</si>
  <si>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</si>
  <si>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</si>
  <si>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COVID 2.0- Beyond Recovery COVID-19</t>
  </si>
  <si>
    <t>http://open.undp.org/projects/00133229</t>
  </si>
  <si>
    <t>Health Services</t>
  </si>
  <si>
    <t>Number of beneficiaries benefited form PHCs provided with Solar PV backup</t>
  </si>
  <si>
    <t>10 kWp battery backed systems installed at each of these PHCs, a total of approx. 25,000 persons use their services annually</t>
  </si>
  <si>
    <t>This was the Green Recovery Project supported by UNDP Rapid Finance Facility in 2021-2022. Approx. 77.28 tCO2 equivalent per yr abated</t>
  </si>
  <si>
    <t>Non-VF</t>
  </si>
  <si>
    <t>Close the gap on energy access</t>
  </si>
  <si>
    <t>Small Enterprises</t>
  </si>
  <si>
    <t>Number of enterprises energized</t>
  </si>
  <si>
    <t>10 kWp battery backed systems installed at each of these enterprises, approx 50 women direct beneficiaries</t>
  </si>
  <si>
    <t>Energy Efficiency and Thermal Comfort in Buildings</t>
  </si>
  <si>
    <t>PIMS+</t>
  </si>
  <si>
    <t>Energy Efficiency Services</t>
  </si>
  <si>
    <t>Number of energy efficient buildings piloted</t>
  </si>
  <si>
    <t>52 buildings</t>
  </si>
  <si>
    <t>EE measures in specific buildings to be decided </t>
  </si>
  <si>
    <t xml:space="preserve">Under this GEF supported project, super EE technologies will be piloted in select public, private buildings across 3 States in India. The total estimated GHG reduction potential from this pilot is estimated to be 26.6 ktCO2 per year </t>
  </si>
  <si>
    <t>Accelerating just energy transition</t>
  </si>
  <si>
    <t>Scaling Solar Applications for Agricultural Use</t>
  </si>
  <si>
    <t>Agriculture and Food System</t>
  </si>
  <si>
    <t>Number of solar based irrigation systems (agricultural pumps) deployed</t>
  </si>
  <si>
    <t>1000 indirect beneficiaires, considering an average family size of 5.</t>
  </si>
  <si>
    <t>This project is being implemented in partnership with International Solar Alliance (ISA) across 10 of its member countries. Estimation : Approx. 87.84 tCO2 per year will be abated</t>
  </si>
  <si>
    <t xml:space="preserve">JSB-NZE 2021 project </t>
  </si>
  <si>
    <t>Number of people</t>
  </si>
  <si>
    <t xml:space="preserve">EE measures in specific buildings to be decided </t>
  </si>
  <si>
    <t>The project support by Govt of Japan is being implemented across several States in India. The approximate GHJG emissions abated from the interventions is 778.32 tCo2 equivalent per yr</t>
  </si>
  <si>
    <t>Number of beneficiaries</t>
  </si>
  <si>
    <t>5 kW solar cold storages installed, Approx. 950 beneficieries per yr</t>
  </si>
  <si>
    <t>Other Energy Services</t>
  </si>
  <si>
    <t>approx 50,000 beneficieries in one year</t>
  </si>
  <si>
    <t>Capacity Building Training</t>
  </si>
  <si>
    <t>Number of persons trained on green livelihoods</t>
  </si>
  <si>
    <t>300 (Solar PV), 681 (Cold Storage &amp; EV)- as on 13 Apr 2023</t>
  </si>
  <si>
    <t>Entrepreneurship Training</t>
  </si>
  <si>
    <t>Number of persons trained on entrepreneurship</t>
  </si>
  <si>
    <t>Trained on Agri-value chain &amp; 21st Century Skills </t>
  </si>
  <si>
    <t>GHG Emissions Reduction</t>
  </si>
  <si>
    <t>tCO2 avoided</t>
  </si>
  <si>
    <t>Facilitating 49,200 MWh cumulative emissions reduction annually</t>
  </si>
  <si>
    <t>JSB-NZE 2022 project</t>
  </si>
  <si>
    <t>Medium Enterprises</t>
  </si>
  <si>
    <t>Number of Steel units supported for energy transitions</t>
  </si>
  <si>
    <t>approx. 12500 indirect beneficieries (100 workers per mini plant)</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</si>
  <si>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</si>
  <si>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DRE for Livelihoods </t>
  </si>
  <si>
    <t>To be calculated based on the deployment of systems/units</t>
  </si>
  <si>
    <t>Transportation and E-mobility Services</t>
  </si>
  <si>
    <t>EV for Waste Collection </t>
  </si>
  <si>
    <t>approx. 200,000 indirect beneficieries </t>
  </si>
  <si>
    <t>Policy Framework - Just Transition</t>
  </si>
  <si>
    <t>No of people informed on principles of JT  </t>
  </si>
  <si>
    <t>Direct Beneficiaries</t>
  </si>
  <si>
    <t>Category</t>
  </si>
  <si>
    <t>Comments</t>
  </si>
  <si>
    <t>Number of PHCs provided with Solar PV backup</t>
  </si>
  <si>
    <t>Electricity Access</t>
  </si>
  <si>
    <t>VF</t>
  </si>
  <si>
    <t>to the CO: Please estimate number of beneficiaries or CO2 emissions reduction</t>
  </si>
  <si>
    <t>Energy Efficiency</t>
  </si>
  <si>
    <t>Agricultural Services</t>
  </si>
  <si>
    <t>to the CO: Please estimate number of beneficiaries.</t>
  </si>
  <si>
    <t>Numeber of people</t>
  </si>
  <si>
    <t>Renewable Energy</t>
  </si>
  <si>
    <t>Capacity Training</t>
  </si>
  <si>
    <t>GHG Emission Reduction</t>
  </si>
  <si>
    <t>UNDP</t>
  </si>
  <si>
    <t>GEF</t>
  </si>
  <si>
    <t>IBSA Fund Facility of UNOSSC</t>
  </si>
  <si>
    <t>10 kWp battery backed systems installed at each of these PHCs, Approx. 60,000 beneficieries</t>
  </si>
  <si>
    <t>Number of Solar Cold Storages installed</t>
  </si>
  <si>
    <t>Number of EV charging stations commissioned</t>
  </si>
  <si>
    <t>Number of investment grade energy audits conducted for MSME</t>
  </si>
  <si>
    <t xml:space="preserve">For project 4484357, can you please estimate the number of beneficiaries per energy efficient building?
</t>
  </si>
  <si>
    <t>Done - not beneficiaries, but CO2 emissions reduction</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</si>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</sst>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1F4E78"/>
      <name val="Calibri"/>
      <family val="2"/>
      <scheme val="minor"/>
    </font>
    <font>
      <sz val="11"/>
      <color rgb="FF000000"/>
      <name val="Calibri"/>
      <family val="2"/>
      <charset val="1"/>
    </font>
    <font>
      <sz val="11"/>
      <color rgb="FF1F4E78"/>
      <name val="Calibri"/>
      <charset val="1"/>
    </font>
    <font>
      <sz val="11"/>
      <color rgb="FFFF0000"/>
      <name val="Calibri"/>
      <family val="2"/>
      <scheme val="minor"/>
    </font>
    <font>
      <sz val="10"/>
      <color rgb="FFFF0000"/>
      <name val="Helvetica Neue"/>
      <charset val="1"/>
    </font>
    <font>
      <sz val="11"/>
      <color rgb="FF444444"/>
      <name val="Calibri"/>
      <family val="2"/>
      <charset val="1"/>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96">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4" fillId="0" borderId="2" xfId="0" applyFont="1" applyBorder="1"/>
    <xf numFmtId="0" fontId="0" fillId="0" borderId="0" xfId="0" applyAlignment="1">
      <alignment wrapText="1"/>
    </xf>
    <xf numFmtId="0" fontId="5" fillId="0" borderId="0" xfId="0" applyFont="1"/>
    <xf numFmtId="0" fontId="4" fillId="0" borderId="0" xfId="0" applyFont="1"/>
    <xf numFmtId="0" fontId="4" fillId="0" borderId="0" xfId="0" applyFont="1"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2" borderId="0" xfId="0" applyFill="1" applyAlignment="1">
      <alignment vertical="center"/>
    </xf>
    <xf numFmtId="0" fontId="7" fillId="0" borderId="0" xfId="0" applyFont="1"/>
    <xf numFmtId="0" fontId="8" fillId="0" borderId="0" xfId="0" applyFont="1" applyAlignment="1">
      <alignment horizontal="center"/>
    </xf>
    <xf numFmtId="0" fontId="2" fillId="3" borderId="2" xfId="0" applyFont="1" applyFill="1" applyBorder="1" applyAlignment="1">
      <alignment horizontal="center" vertical="top"/>
    </xf>
    <xf numFmtId="0" fontId="2" fillId="3" borderId="2" xfId="0" applyFont="1" applyFill="1" applyBorder="1"/>
    <xf numFmtId="0" fontId="0" fillId="3" borderId="2" xfId="0" applyFill="1" applyBorder="1"/>
    <xf numFmtId="0" fontId="0" fillId="3" borderId="2" xfId="0" applyFill="1" applyBorder="1" applyAlignment="1">
      <alignment horizontal="center" vertical="center"/>
    </xf>
    <xf numFmtId="0" fontId="5" fillId="3" borderId="2" xfId="0" applyFont="1" applyFill="1" applyBorder="1"/>
    <xf numFmtId="0" fontId="8" fillId="3" borderId="2" xfId="0" applyFont="1" applyFill="1" applyBorder="1" applyAlignment="1">
      <alignment horizontal="center"/>
    </xf>
    <xf numFmtId="0" fontId="4" fillId="3" borderId="2" xfId="0" applyFont="1" applyFill="1" applyBorder="1"/>
    <xf numFmtId="0" fontId="0" fillId="3" borderId="2" xfId="0" applyFill="1" applyBorder="1" applyAlignment="1">
      <alignment vertical="center" wrapText="1"/>
    </xf>
    <xf numFmtId="0" fontId="0" fillId="3" borderId="2" xfId="0" applyFill="1" applyBorder="1" applyAlignment="1">
      <alignment vertical="center"/>
    </xf>
    <xf numFmtId="0" fontId="0" fillId="3" borderId="2" xfId="0" applyFill="1" applyBorder="1" applyAlignment="1">
      <alignment wrapText="1"/>
    </xf>
    <xf numFmtId="0" fontId="0" fillId="3" borderId="2" xfId="0" applyFill="1" applyBorder="1" applyAlignment="1">
      <alignment horizontal="left" vertical="center" wrapText="1"/>
    </xf>
    <xf numFmtId="0" fontId="4" fillId="3" borderId="2" xfId="0" applyFont="1" applyFill="1" applyBorder="1" applyAlignment="1">
      <alignment vertical="center"/>
    </xf>
    <xf numFmtId="3" fontId="5" fillId="3" borderId="2" xfId="0" applyNumberFormat="1" applyFont="1" applyFill="1" applyBorder="1"/>
    <xf numFmtId="0" fontId="0" fillId="0" borderId="3" xfId="0" applyBorder="1" applyAlignment="1">
      <alignment vertical="center"/>
    </xf>
    <xf numFmtId="3" fontId="9" fillId="0" borderId="0" xfId="0" applyNumberFormat="1" applyFont="1"/>
    <xf numFmtId="0" fontId="2" fillId="0" borderId="2" xfId="0" applyFont="1" applyBorder="1" applyAlignment="1">
      <alignment horizontal="center" vertical="top" wrapText="1"/>
    </xf>
    <xf numFmtId="0" fontId="2" fillId="0" borderId="2" xfId="0" applyFont="1" applyBorder="1" applyAlignment="1">
      <alignment wrapText="1"/>
    </xf>
    <xf numFmtId="0" fontId="0" fillId="0" borderId="2" xfId="0" applyBorder="1" applyAlignment="1">
      <alignment wrapText="1"/>
    </xf>
    <xf numFmtId="0" fontId="0" fillId="0" borderId="2" xfId="0" applyBorder="1" applyAlignment="1">
      <alignment horizontal="center" wrapText="1"/>
    </xf>
    <xf numFmtId="0" fontId="0" fillId="0" borderId="2" xfId="0" applyBorder="1" applyAlignment="1">
      <alignment vertical="center" wrapText="1"/>
    </xf>
    <xf numFmtId="0" fontId="5" fillId="0" borderId="2" xfId="0" applyFont="1" applyBorder="1" applyAlignment="1">
      <alignment wrapText="1"/>
    </xf>
    <xf numFmtId="0" fontId="4" fillId="0" borderId="2" xfId="0" applyFont="1" applyBorder="1" applyAlignment="1">
      <alignment horizontal="left" vertical="center" wrapText="1"/>
    </xf>
    <xf numFmtId="0" fontId="4" fillId="0" borderId="2" xfId="0" applyFont="1" applyBorder="1" applyAlignment="1">
      <alignment wrapText="1"/>
    </xf>
    <xf numFmtId="0" fontId="0" fillId="0" borderId="2" xfId="0" applyBorder="1" applyAlignment="1">
      <alignment horizontal="left" vertical="center" wrapText="1"/>
    </xf>
    <xf numFmtId="0" fontId="4" fillId="0" borderId="2" xfId="0" applyFont="1" applyBorder="1" applyAlignment="1">
      <alignment vertical="center" wrapText="1"/>
    </xf>
    <xf numFmtId="0" fontId="6" fillId="0" borderId="2" xfId="0" applyFont="1" applyBorder="1" applyAlignment="1">
      <alignment horizontal="left" vertical="center" wrapText="1"/>
    </xf>
    <xf numFmtId="164" fontId="5" fillId="0" borderId="2" xfId="0" applyNumberFormat="1" applyFont="1" applyBorder="1" applyAlignment="1">
      <alignment wrapText="1"/>
    </xf>
    <xf numFmtId="164" fontId="0" fillId="0" borderId="2" xfId="0" applyNumberFormat="1" applyBorder="1" applyAlignment="1">
      <alignment vertical="center" wrapText="1"/>
    </xf>
    <xf numFmtId="0" fontId="0" fillId="0" borderId="7" xfId="0" applyBorder="1" applyAlignment="1">
      <alignment wrapText="1"/>
    </xf>
    <xf numFmtId="0" fontId="2" fillId="0" borderId="4" xfId="0" applyFont="1" applyBorder="1" applyAlignment="1">
      <alignment horizontal="center" vertical="top" wrapText="1"/>
    </xf>
    <xf numFmtId="0" fontId="0" fillId="0" borderId="5" xfId="0" applyBorder="1" applyAlignment="1">
      <alignment wrapText="1"/>
    </xf>
    <xf numFmtId="0" fontId="0" fillId="0" borderId="8" xfId="0" applyBorder="1" applyAlignment="1">
      <alignment horizontal="center" wrapText="1"/>
    </xf>
    <xf numFmtId="0" fontId="0" fillId="0" borderId="4" xfId="0" applyBorder="1" applyAlignment="1">
      <alignment vertical="center" wrapText="1"/>
    </xf>
    <xf numFmtId="0" fontId="0" fillId="0" borderId="5" xfId="0" applyBorder="1" applyAlignment="1">
      <alignment vertical="center" wrapText="1"/>
    </xf>
    <xf numFmtId="0" fontId="3" fillId="0" borderId="8" xfId="1" applyFill="1" applyBorder="1" applyAlignment="1" applyProtection="1">
      <alignment horizontal="center" wrapText="1"/>
    </xf>
    <xf numFmtId="0" fontId="5" fillId="0" borderId="7" xfId="0" applyFont="1" applyBorder="1" applyAlignment="1">
      <alignment wrapText="1"/>
    </xf>
    <xf numFmtId="0" fontId="0" fillId="0" borderId="4" xfId="0" applyBorder="1" applyAlignment="1">
      <alignment wrapText="1"/>
    </xf>
    <xf numFmtId="0" fontId="0" fillId="0" borderId="6" xfId="0" applyBorder="1" applyAlignment="1">
      <alignment horizontal="center" wrapText="1"/>
    </xf>
    <xf numFmtId="0" fontId="0" fillId="0" borderId="9" xfId="0" applyBorder="1" applyAlignment="1">
      <alignment horizontal="center" wrapText="1"/>
    </xf>
    <xf numFmtId="0" fontId="0" fillId="4" borderId="7" xfId="0" applyFill="1" applyBorder="1" applyAlignment="1">
      <alignment wrapText="1"/>
    </xf>
    <xf numFmtId="0" fontId="5" fillId="4" borderId="2" xfId="0" applyFont="1" applyFill="1" applyBorder="1" applyAlignment="1">
      <alignment wrapText="1"/>
    </xf>
    <xf numFmtId="164" fontId="5" fillId="4" borderId="2" xfId="0" applyNumberFormat="1" applyFont="1" applyFill="1" applyBorder="1" applyAlignment="1">
      <alignment wrapText="1"/>
    </xf>
    <xf numFmtId="0" fontId="0" fillId="0" borderId="10" xfId="0" applyBorder="1" applyAlignment="1">
      <alignment horizontal="center" wrapText="1"/>
    </xf>
    <xf numFmtId="0" fontId="0" fillId="0" borderId="2" xfId="0" applyBorder="1" applyAlignment="1">
      <alignment horizontal="center" vertical="center"/>
    </xf>
    <xf numFmtId="0" fontId="3" fillId="0" borderId="10" xfId="1" applyFill="1" applyBorder="1" applyAlignment="1" applyProtection="1">
      <alignment horizontal="center" wrapText="1"/>
    </xf>
    <xf numFmtId="0" fontId="0" fillId="4" borderId="2" xfId="0" applyFill="1" applyBorder="1" applyAlignment="1">
      <alignment wrapText="1"/>
    </xf>
    <xf numFmtId="0" fontId="10" fillId="0" borderId="2" xfId="0" applyFont="1" applyBorder="1" applyAlignment="1">
      <alignment horizontal="center" vertical="top" wrapText="1"/>
    </xf>
    <xf numFmtId="0" fontId="11"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11" xfId="0" applyFont="1" applyBorder="1" applyAlignment="1">
      <alignment horizontal="center"/>
    </xf>
    <xf numFmtId="0" fontId="2" fillId="0" borderId="4" xfId="0" applyFont="1" applyBorder="1"/>
    <xf numFmtId="0" fontId="0" fillId="0" borderId="10" xfId="0"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5" xfId="0" applyFont="1" applyFill="1" applyBorder="1" applyAlignment="1">
      <alignment horizontal="left" vertical="center" wrapText="1"/>
    </xf>
    <xf numFmtId="0" fontId="0" fillId="3" borderId="4" xfId="0" applyFill="1" applyBorder="1" applyAlignment="1">
      <alignment horizontal="center"/>
    </xf>
    <xf numFmtId="0" fontId="0" fillId="3" borderId="5" xfId="0" applyFill="1" applyBorder="1" applyAlignment="1">
      <alignment horizontal="center"/>
    </xf>
    <xf numFmtId="0" fontId="3" fillId="3" borderId="4" xfId="1" applyFill="1" applyBorder="1" applyAlignment="1" applyProtection="1">
      <alignment horizontal="center"/>
    </xf>
    <xf numFmtId="0" fontId="3" fillId="3" borderId="5" xfId="1" applyFill="1" applyBorder="1" applyAlignment="1" applyProtection="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0" fillId="3" borderId="6" xfId="0" applyFill="1" applyBorder="1" applyAlignment="1">
      <alignment horizont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Alignment="1">
      <alignment horizontal="left" vertical="center" wrapText="1"/>
    </xf>
    <xf numFmtId="0" fontId="6" fillId="0" borderId="0" xfId="0" applyFont="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3322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332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332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7B69-4984-472F-B103-E50970C5407E}">
  <dimension ref="A1:U20"/>
  <sheetViews>
    <sheetView topLeftCell="Y1" workbookViewId="0">
      <selection activeCell="Y1" sqref="Y1"/>
    </sheetView>
  </sheetViews>
  <sheetFormatPr defaultRowHeight="15"/>
  <cols>
    <col min="2" max="2" width="44.140625" customWidth="1"/>
    <col min="3" max="3" width="20.7109375" customWidth="1"/>
    <col min="5" max="5" width="24" bestFit="1" customWidth="1"/>
    <col min="6" max="6" width="45" customWidth="1"/>
    <col min="7" max="8" width="12.7109375" customWidth="1"/>
    <col min="9" max="9" width="63.5703125" customWidth="1"/>
    <col min="10" max="10" width="61.85546875" customWidth="1"/>
    <col min="12" max="12" width="13" customWidth="1"/>
    <col min="13" max="13" width="4.28515625" bestFit="1" customWidth="1"/>
    <col min="14" max="14" width="14.5703125"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ht="45.75">
      <c r="A1" s="45" t="s">
        <v>0</v>
      </c>
      <c r="B1" s="45" t="s">
        <v>1</v>
      </c>
      <c r="C1" s="45" t="s">
        <v>2</v>
      </c>
      <c r="D1" s="45" t="s">
        <v>3</v>
      </c>
      <c r="E1" s="31" t="s">
        <v>4</v>
      </c>
      <c r="F1" s="31" t="s">
        <v>5</v>
      </c>
      <c r="G1" s="31" t="s">
        <v>6</v>
      </c>
      <c r="H1" s="31" t="s">
        <v>7</v>
      </c>
      <c r="I1" s="31" t="s">
        <v>8</v>
      </c>
      <c r="J1" s="32" t="s">
        <v>9</v>
      </c>
      <c r="K1" s="32" t="s">
        <v>10</v>
      </c>
      <c r="L1" s="64" t="s">
        <v>11</v>
      </c>
      <c r="M1" s="65" t="s">
        <v>12</v>
      </c>
      <c r="N1" s="64" t="s">
        <v>13</v>
      </c>
      <c r="O1" s="64" t="s">
        <v>14</v>
      </c>
      <c r="P1" s="65" t="s">
        <v>15</v>
      </c>
      <c r="Q1" s="65" t="s">
        <v>16</v>
      </c>
      <c r="R1" s="66" t="s">
        <v>17</v>
      </c>
      <c r="S1" s="67" t="s">
        <v>18</v>
      </c>
      <c r="T1" s="66" t="s">
        <v>19</v>
      </c>
      <c r="U1" s="67" t="s">
        <v>20</v>
      </c>
    </row>
    <row r="2" spans="1:21" ht="45.75">
      <c r="A2" s="58">
        <v>133229</v>
      </c>
      <c r="B2" s="58" t="s">
        <v>21</v>
      </c>
      <c r="C2" s="60" t="s">
        <v>22</v>
      </c>
      <c r="D2" s="35">
        <v>668218</v>
      </c>
      <c r="E2" s="55" t="s">
        <v>23</v>
      </c>
      <c r="F2" s="56" t="s">
        <v>24</v>
      </c>
      <c r="G2" s="56">
        <v>0</v>
      </c>
      <c r="H2" s="57">
        <v>25000</v>
      </c>
      <c r="I2" s="36" t="s">
        <v>25</v>
      </c>
      <c r="J2" s="37" t="s">
        <v>26</v>
      </c>
      <c r="K2" s="34"/>
      <c r="L2" s="68" t="s">
        <v>27</v>
      </c>
      <c r="M2" s="59"/>
      <c r="N2" s="69" t="s">
        <v>28</v>
      </c>
      <c r="O2" s="59"/>
      <c r="P2" s="59"/>
      <c r="Q2" s="59"/>
      <c r="R2" s="59"/>
      <c r="S2" s="70"/>
      <c r="T2" s="59"/>
      <c r="U2" s="70"/>
    </row>
    <row r="3" spans="1:21" ht="45.75">
      <c r="A3" s="47"/>
      <c r="B3" s="47"/>
      <c r="C3" s="50"/>
      <c r="D3" s="49"/>
      <c r="E3" s="44" t="s">
        <v>29</v>
      </c>
      <c r="F3" s="36" t="s">
        <v>30</v>
      </c>
      <c r="G3" s="36">
        <v>0</v>
      </c>
      <c r="H3" s="42">
        <v>50</v>
      </c>
      <c r="I3" s="36" t="s">
        <v>31</v>
      </c>
      <c r="J3" s="37"/>
      <c r="K3" s="34"/>
      <c r="L3" s="68" t="s">
        <v>27</v>
      </c>
      <c r="M3" s="59"/>
      <c r="N3" s="69" t="s">
        <v>28</v>
      </c>
      <c r="O3" s="59"/>
      <c r="P3" s="59"/>
      <c r="Q3" s="59"/>
      <c r="R3" s="59"/>
      <c r="S3" s="70"/>
      <c r="T3" s="59"/>
      <c r="U3" s="70"/>
    </row>
    <row r="4" spans="1:21" ht="60.75">
      <c r="A4" s="46">
        <v>116294</v>
      </c>
      <c r="B4" s="46" t="s">
        <v>32</v>
      </c>
      <c r="C4" s="46" t="s">
        <v>33</v>
      </c>
      <c r="D4" s="46">
        <v>4484357</v>
      </c>
      <c r="E4" s="61" t="s">
        <v>34</v>
      </c>
      <c r="F4" s="56" t="s">
        <v>35</v>
      </c>
      <c r="G4" s="56">
        <v>0</v>
      </c>
      <c r="H4" s="57" t="s">
        <v>36</v>
      </c>
      <c r="I4" s="36" t="s">
        <v>37</v>
      </c>
      <c r="J4" s="38" t="s">
        <v>38</v>
      </c>
      <c r="K4" s="33"/>
      <c r="L4" s="68" t="s">
        <v>27</v>
      </c>
      <c r="M4" s="59"/>
      <c r="N4" s="69" t="s">
        <v>39</v>
      </c>
      <c r="O4" s="59"/>
      <c r="P4" s="59"/>
      <c r="Q4" s="59"/>
      <c r="R4" s="59"/>
      <c r="S4" s="70"/>
      <c r="T4" s="59"/>
      <c r="U4" s="70"/>
    </row>
    <row r="5" spans="1:21" ht="45.75">
      <c r="A5" s="48">
        <v>1000316</v>
      </c>
      <c r="B5" s="48" t="s">
        <v>40</v>
      </c>
      <c r="C5" s="52"/>
      <c r="D5" s="35">
        <v>200000</v>
      </c>
      <c r="E5" s="35" t="s">
        <v>41</v>
      </c>
      <c r="F5" s="33" t="s">
        <v>42</v>
      </c>
      <c r="G5" s="35">
        <v>0</v>
      </c>
      <c r="H5" s="43">
        <v>200</v>
      </c>
      <c r="I5" s="39" t="s">
        <v>43</v>
      </c>
      <c r="J5" s="40" t="s">
        <v>44</v>
      </c>
      <c r="K5" s="33"/>
      <c r="L5" s="68" t="s">
        <v>27</v>
      </c>
      <c r="M5" s="59"/>
      <c r="N5" s="69" t="s">
        <v>28</v>
      </c>
      <c r="O5" s="59"/>
      <c r="P5" s="59"/>
      <c r="Q5" s="59"/>
      <c r="R5" s="59"/>
      <c r="S5" s="70"/>
      <c r="T5" s="59"/>
      <c r="U5" s="70"/>
    </row>
    <row r="6" spans="1:21" ht="45.75">
      <c r="A6" s="58">
        <v>127730</v>
      </c>
      <c r="B6" s="58" t="s">
        <v>45</v>
      </c>
      <c r="C6" s="34"/>
      <c r="D6" s="51">
        <v>1782418</v>
      </c>
      <c r="E6" s="33" t="s">
        <v>23</v>
      </c>
      <c r="F6" s="36" t="s">
        <v>46</v>
      </c>
      <c r="G6" s="36">
        <v>2</v>
      </c>
      <c r="H6" s="42">
        <v>60000</v>
      </c>
      <c r="I6" s="36" t="s">
        <v>47</v>
      </c>
      <c r="J6" s="37" t="s">
        <v>48</v>
      </c>
      <c r="K6" s="34"/>
      <c r="L6" s="68" t="s">
        <v>27</v>
      </c>
      <c r="M6" s="59"/>
      <c r="N6" s="69" t="s">
        <v>39</v>
      </c>
      <c r="O6" s="59"/>
      <c r="P6" s="59"/>
      <c r="Q6" s="59"/>
      <c r="R6" s="59"/>
      <c r="S6" s="70"/>
      <c r="T6" s="59"/>
      <c r="U6" s="70"/>
    </row>
    <row r="7" spans="1:21" ht="45.75">
      <c r="A7" s="54"/>
      <c r="B7" s="54"/>
      <c r="C7" s="53"/>
      <c r="D7" s="51">
        <v>635649</v>
      </c>
      <c r="E7" s="33" t="s">
        <v>41</v>
      </c>
      <c r="F7" s="36" t="s">
        <v>49</v>
      </c>
      <c r="G7" s="36">
        <v>0</v>
      </c>
      <c r="H7" s="42">
        <v>950</v>
      </c>
      <c r="I7" s="36" t="s">
        <v>50</v>
      </c>
      <c r="J7" s="37"/>
      <c r="K7" s="34"/>
      <c r="L7" s="68" t="s">
        <v>27</v>
      </c>
      <c r="M7" s="59"/>
      <c r="N7" s="69" t="s">
        <v>39</v>
      </c>
      <c r="O7" s="59"/>
      <c r="P7" s="59"/>
      <c r="Q7" s="59"/>
      <c r="R7" s="59"/>
      <c r="S7" s="70"/>
      <c r="T7" s="59"/>
      <c r="U7" s="70"/>
    </row>
    <row r="8" spans="1:21" ht="45.75">
      <c r="A8" s="54"/>
      <c r="B8" s="54"/>
      <c r="C8" s="53"/>
      <c r="D8" s="51">
        <v>200000</v>
      </c>
      <c r="E8" s="33" t="s">
        <v>51</v>
      </c>
      <c r="F8" s="36" t="s">
        <v>49</v>
      </c>
      <c r="G8" s="36">
        <v>0</v>
      </c>
      <c r="H8" s="42">
        <v>50000</v>
      </c>
      <c r="I8" s="36" t="s">
        <v>52</v>
      </c>
      <c r="J8" s="37"/>
      <c r="K8" s="34"/>
      <c r="L8" s="68" t="s">
        <v>27</v>
      </c>
      <c r="M8" s="59"/>
      <c r="N8" s="69" t="s">
        <v>39</v>
      </c>
      <c r="O8" s="59"/>
      <c r="P8" s="59"/>
      <c r="Q8" s="59"/>
      <c r="R8" s="59"/>
      <c r="S8" s="70"/>
      <c r="T8" s="59"/>
      <c r="U8" s="70"/>
    </row>
    <row r="9" spans="1:21" ht="45.75">
      <c r="A9" s="54"/>
      <c r="B9" s="54"/>
      <c r="C9" s="53"/>
      <c r="D9" s="51">
        <v>265000</v>
      </c>
      <c r="E9" s="33" t="s">
        <v>53</v>
      </c>
      <c r="F9" s="36" t="s">
        <v>54</v>
      </c>
      <c r="G9" s="36">
        <v>0</v>
      </c>
      <c r="H9" s="42">
        <v>981</v>
      </c>
      <c r="I9" s="36" t="s">
        <v>55</v>
      </c>
      <c r="J9" s="37"/>
      <c r="K9" s="34"/>
      <c r="L9" s="68" t="s">
        <v>27</v>
      </c>
      <c r="M9" s="59"/>
      <c r="N9" s="69" t="s">
        <v>39</v>
      </c>
      <c r="O9" s="59"/>
      <c r="P9" s="59"/>
      <c r="Q9" s="59"/>
      <c r="R9" s="59"/>
      <c r="S9" s="70"/>
      <c r="T9" s="59"/>
      <c r="U9" s="70"/>
    </row>
    <row r="10" spans="1:21" ht="45.75">
      <c r="A10" s="54"/>
      <c r="B10" s="54"/>
      <c r="C10" s="53"/>
      <c r="D10" s="51">
        <v>150000</v>
      </c>
      <c r="E10" s="33" t="s">
        <v>56</v>
      </c>
      <c r="F10" s="36" t="s">
        <v>57</v>
      </c>
      <c r="G10" s="36">
        <v>0</v>
      </c>
      <c r="H10" s="42">
        <v>690</v>
      </c>
      <c r="I10" s="36" t="s">
        <v>58</v>
      </c>
      <c r="J10" s="37"/>
      <c r="K10" s="34"/>
      <c r="L10" s="68" t="s">
        <v>27</v>
      </c>
      <c r="M10" s="59"/>
      <c r="N10" s="69" t="s">
        <v>39</v>
      </c>
      <c r="O10" s="59"/>
      <c r="P10" s="59"/>
      <c r="Q10" s="59"/>
      <c r="R10" s="59"/>
      <c r="S10" s="70"/>
      <c r="T10" s="59"/>
      <c r="U10" s="70"/>
    </row>
    <row r="11" spans="1:21" ht="45.75">
      <c r="A11" s="54"/>
      <c r="B11" s="54"/>
      <c r="C11" s="53"/>
      <c r="D11" s="51">
        <v>150000</v>
      </c>
      <c r="E11" t="s">
        <v>59</v>
      </c>
      <c r="F11" s="36" t="s">
        <v>60</v>
      </c>
      <c r="G11" s="36">
        <v>0</v>
      </c>
      <c r="H11" s="42">
        <v>38434</v>
      </c>
      <c r="I11" s="36" t="s">
        <v>61</v>
      </c>
      <c r="J11" s="37"/>
      <c r="K11" s="34"/>
      <c r="L11" s="68" t="s">
        <v>27</v>
      </c>
      <c r="M11" s="59"/>
      <c r="N11" s="69" t="s">
        <v>39</v>
      </c>
      <c r="O11" s="59"/>
      <c r="P11" s="59"/>
      <c r="Q11" s="59"/>
      <c r="R11" s="59"/>
      <c r="S11" s="70"/>
      <c r="T11" s="59"/>
      <c r="U11" s="70"/>
    </row>
    <row r="12" spans="1:21" ht="91.5">
      <c r="A12" s="58">
        <v>1000354</v>
      </c>
      <c r="B12" s="58" t="s">
        <v>62</v>
      </c>
      <c r="C12" s="34"/>
      <c r="D12" s="51">
        <v>695057</v>
      </c>
      <c r="E12" s="33" t="s">
        <v>63</v>
      </c>
      <c r="F12" s="36" t="s">
        <v>64</v>
      </c>
      <c r="G12" s="36">
        <v>0</v>
      </c>
      <c r="H12" s="42">
        <v>125</v>
      </c>
      <c r="I12" s="36" t="s">
        <v>65</v>
      </c>
      <c r="J12" s="41" t="s">
        <v>66</v>
      </c>
      <c r="K12" s="34"/>
      <c r="L12" s="68" t="s">
        <v>27</v>
      </c>
      <c r="M12" s="59"/>
      <c r="N12" s="69" t="s">
        <v>39</v>
      </c>
      <c r="O12" s="59"/>
      <c r="P12" s="59"/>
      <c r="Q12" s="59"/>
      <c r="R12" s="59"/>
      <c r="S12" s="70"/>
      <c r="T12" s="59"/>
      <c r="U12" s="70"/>
    </row>
    <row r="13" spans="1:21" ht="45.75">
      <c r="A13" s="54"/>
      <c r="B13" s="54"/>
      <c r="C13" s="53"/>
      <c r="D13" s="51">
        <v>1764000</v>
      </c>
      <c r="E13" s="33" t="s">
        <v>29</v>
      </c>
      <c r="F13" s="36" t="s">
        <v>67</v>
      </c>
      <c r="G13" s="36">
        <v>0</v>
      </c>
      <c r="H13" s="42">
        <v>400</v>
      </c>
      <c r="I13" s="36" t="s">
        <v>68</v>
      </c>
      <c r="J13" s="41"/>
      <c r="K13" s="34"/>
      <c r="L13" s="68" t="s">
        <v>27</v>
      </c>
      <c r="M13" s="59"/>
      <c r="N13" s="69" t="s">
        <v>39</v>
      </c>
      <c r="O13" s="59"/>
      <c r="P13" s="59"/>
      <c r="Q13" s="59"/>
      <c r="R13" s="59"/>
      <c r="S13" s="70"/>
      <c r="T13" s="59"/>
      <c r="U13" s="70"/>
    </row>
    <row r="14" spans="1:21" ht="45.75">
      <c r="A14" s="54"/>
      <c r="B14" s="54"/>
      <c r="C14" s="53"/>
      <c r="D14" s="51">
        <v>542004</v>
      </c>
      <c r="E14" s="33" t="s">
        <v>69</v>
      </c>
      <c r="F14" s="36" t="s">
        <v>70</v>
      </c>
      <c r="G14" s="36">
        <v>0</v>
      </c>
      <c r="H14" s="42">
        <v>100</v>
      </c>
      <c r="I14" s="36" t="s">
        <v>71</v>
      </c>
      <c r="J14" s="41"/>
      <c r="K14" s="34"/>
      <c r="L14" s="68" t="s">
        <v>27</v>
      </c>
      <c r="M14" s="59"/>
      <c r="N14" s="69" t="s">
        <v>39</v>
      </c>
      <c r="O14" s="59"/>
      <c r="P14" s="59"/>
      <c r="Q14" s="59"/>
      <c r="R14" s="59"/>
      <c r="S14" s="70"/>
      <c r="T14" s="59"/>
      <c r="U14" s="70"/>
    </row>
    <row r="15" spans="1:21" ht="45.75">
      <c r="A15" s="47"/>
      <c r="B15" s="47"/>
      <c r="C15" s="46"/>
      <c r="D15" s="51">
        <v>500000</v>
      </c>
      <c r="E15" s="7" t="s">
        <v>53</v>
      </c>
      <c r="F15" s="36" t="s">
        <v>72</v>
      </c>
      <c r="G15" s="36">
        <v>0</v>
      </c>
      <c r="H15" s="42">
        <v>2500</v>
      </c>
      <c r="I15" s="36" t="s">
        <v>73</v>
      </c>
      <c r="J15" s="41"/>
      <c r="K15" s="34"/>
      <c r="L15" s="68" t="s">
        <v>27</v>
      </c>
      <c r="M15" s="59"/>
      <c r="N15" s="69" t="s">
        <v>39</v>
      </c>
      <c r="O15" s="59"/>
      <c r="P15" s="59"/>
      <c r="Q15" s="59"/>
      <c r="R15" s="59"/>
      <c r="S15" s="70"/>
      <c r="T15" s="59"/>
      <c r="U15" s="70"/>
    </row>
    <row r="16" spans="1:21">
      <c r="E16" t="s">
        <v>59</v>
      </c>
      <c r="F16" s="7"/>
      <c r="G16" s="7"/>
      <c r="H16" s="7">
        <v>92500</v>
      </c>
      <c r="I16" s="7"/>
      <c r="M16" s="15"/>
      <c r="N16" s="8"/>
    </row>
    <row r="17" spans="4:14">
      <c r="F17" s="7"/>
      <c r="G17" s="7"/>
      <c r="H17" s="7"/>
      <c r="I17" s="7"/>
      <c r="M17" s="15"/>
      <c r="N17" s="8"/>
    </row>
    <row r="18" spans="4:14">
      <c r="D18" s="14"/>
      <c r="F18" s="7"/>
      <c r="G18" s="7"/>
      <c r="H18" s="7"/>
      <c r="I18" s="7"/>
      <c r="M18" s="15"/>
      <c r="N18" s="8"/>
    </row>
    <row r="19" spans="4:14">
      <c r="D19" s="14"/>
      <c r="G19" s="7"/>
      <c r="H19" s="7"/>
      <c r="I19" s="7"/>
      <c r="M19" s="15"/>
      <c r="N19" s="8"/>
    </row>
    <row r="20" spans="4:14">
      <c r="M20" s="15"/>
    </row>
  </sheetData>
  <dataValidations count="9">
    <dataValidation type="list" allowBlank="1" showInputMessage="1" showErrorMessage="1" sqref="Q2:Q15" xr:uid="{75F3D6A4-D502-4677-81EB-2375E9B519FE}">
      <formula1>"NDC Support, National Strategy, Legal Framework,Incentives and Support, Government Capacity-Building, Carbon Pricing and Monitoring, Financing Model, Business Model"</formula1>
    </dataValidation>
    <dataValidation type="list" allowBlank="1" showInputMessage="1" showErrorMessage="1" sqref="P2:P15" xr:uid="{F2146614-844F-4BDA-8315-EB80BD8824FB}">
      <formula1>"AMP, PUDC, Solar4Health, Action Opportunities, Italy UNDP Energy Partnership"</formula1>
    </dataValidation>
    <dataValidation type="list" allowBlank="1" showInputMessage="1" showErrorMessage="1" sqref="N2:N15" xr:uid="{816A5850-E022-46F9-AA7F-AAB27D2A41FE}">
      <formula1>"Accelerating just energy transition, Close the gap on energy access, Scale up energy finance"</formula1>
    </dataValidation>
    <dataValidation type="list" allowBlank="1" showInputMessage="1" showErrorMessage="1" sqref="O2:O15" xr:uid="{581CAA92-3A0D-4732-80B1-4EBC75D31366}">
      <formula1>"Electricity Access, Energy Efficiency, Clean Cooking, Renewable Energy, Overall"</formula1>
    </dataValidation>
    <dataValidation type="list" allowBlank="1" showInputMessage="1" showErrorMessage="1" sqref="L2:L15" xr:uid="{A7043CB3-116A-4F7E-ABAF-370FEA686832}">
      <formula1>"Non-VF, VF"</formula1>
    </dataValidation>
    <dataValidation type="list" allowBlank="1" showInputMessage="1" showErrorMessage="1" sqref="M2:M15" xr:uid="{0C1E105C-49D3-4809-B093-38C321CFB4D0}">
      <formula1>"Finance, Gender, Efficiency, Just, Health"</formula1>
    </dataValidation>
    <dataValidation type="list" allowBlank="1" showInputMessage="1" showErrorMessage="1" sqref="T2:T15" xr:uid="{3E9A3216-5AFC-4D42-A609-597CEE104A3F}">
      <formula1>"National, Regional, City, Community"</formula1>
    </dataValidation>
    <dataValidation type="list" allowBlank="1" showInputMessage="1" showErrorMessage="1" sqref="R2:R15" xr:uid="{E3CB5D41-4BDE-499F-ABAE-A25DA284AEC0}">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5" xr:uid="{A7E255FF-ADA8-4A77-B62C-EAA35C8A29FF}">
      <formula1>"Solar, Wind, Bioenergy, Hydro, Geothermal, Waste, Some Sources, Other, Unknown"</formula1>
    </dataValidation>
  </dataValidations>
  <hyperlinks>
    <hyperlink ref="C2" r:id="rId1" xr:uid="{EB34F8B7-2E03-4EEA-A0F5-F2C89ED37298}"/>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99B44C-534D-4F8B-B15B-D99EA5DE2688}">
          <x14:formula1>
            <xm:f>'Beneficiary Categories'!$A$2:$A$16</xm:f>
          </x14:formula1>
          <xm:sqref>E17:E19</xm:sqref>
        </x14:dataValidation>
        <x14:dataValidation type="list" allowBlank="1" showInputMessage="1" showErrorMessage="1" xr:uid="{38271C46-2A0F-474B-A0AD-302EBC0B7EFD}">
          <x14:formula1>
            <xm:f>'Beneficiary Categories'!$A$2:$A$22</xm:f>
          </x14:formula1>
          <xm:sqref>E2:E16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267A-3E41-44E5-9120-EC45FBC9E7E3}">
  <dimension ref="A1:T20"/>
  <sheetViews>
    <sheetView workbookViewId="0"/>
  </sheetViews>
  <sheetFormatPr defaultRowHeight="15"/>
  <cols>
    <col min="2" max="2" width="44.140625" customWidth="1"/>
    <col min="3" max="3" width="20.7109375" customWidth="1"/>
    <col min="5" max="5" width="20.7109375" customWidth="1"/>
    <col min="6" max="6" width="45" customWidth="1"/>
    <col min="7" max="8" width="12.7109375" customWidth="1"/>
    <col min="9" max="9" width="21.42578125" customWidth="1"/>
    <col min="10" max="10" width="63.5703125" customWidth="1"/>
    <col min="11" max="11" width="61.85546875" customWidth="1"/>
    <col min="13" max="13" width="13" customWidth="1"/>
    <col min="14" max="14" width="71.5703125" customWidth="1"/>
    <col min="15" max="15" width="14.5703125" customWidth="1"/>
  </cols>
  <sheetData>
    <row r="1" spans="1:20">
      <c r="A1" s="16"/>
      <c r="B1" s="16" t="s">
        <v>1</v>
      </c>
      <c r="C1" s="16" t="s">
        <v>2</v>
      </c>
      <c r="D1" s="16" t="s">
        <v>3</v>
      </c>
      <c r="E1" s="16" t="s">
        <v>4</v>
      </c>
      <c r="F1" s="16" t="s">
        <v>5</v>
      </c>
      <c r="G1" s="16" t="s">
        <v>6</v>
      </c>
      <c r="H1" s="16" t="s">
        <v>7</v>
      </c>
      <c r="I1" s="16" t="s">
        <v>74</v>
      </c>
      <c r="J1" s="16" t="s">
        <v>8</v>
      </c>
      <c r="K1" s="17" t="s">
        <v>9</v>
      </c>
      <c r="L1" s="17" t="s">
        <v>10</v>
      </c>
      <c r="M1" s="17" t="s">
        <v>75</v>
      </c>
      <c r="N1" s="17" t="s">
        <v>76</v>
      </c>
      <c r="O1" s="18"/>
      <c r="P1" s="4" t="s">
        <v>13</v>
      </c>
      <c r="Q1" s="4" t="s">
        <v>14</v>
      </c>
      <c r="R1" s="4" t="s">
        <v>15</v>
      </c>
      <c r="S1" s="4" t="s">
        <v>16</v>
      </c>
      <c r="T1" s="4" t="s">
        <v>17</v>
      </c>
    </row>
    <row r="2" spans="1:20">
      <c r="A2" s="79">
        <v>133229</v>
      </c>
      <c r="B2" s="79" t="s">
        <v>21</v>
      </c>
      <c r="C2" s="81" t="s">
        <v>22</v>
      </c>
      <c r="D2" s="24">
        <v>668218</v>
      </c>
      <c r="E2" s="18" t="s">
        <v>23</v>
      </c>
      <c r="F2" s="20" t="s">
        <v>77</v>
      </c>
      <c r="G2" s="20">
        <v>0</v>
      </c>
      <c r="H2" s="20">
        <v>2</v>
      </c>
      <c r="I2" s="30">
        <v>25000</v>
      </c>
      <c r="J2" s="20" t="s">
        <v>25</v>
      </c>
      <c r="K2" s="71" t="s">
        <v>26</v>
      </c>
      <c r="L2" s="79"/>
      <c r="M2" s="79" t="s">
        <v>27</v>
      </c>
      <c r="N2" s="83"/>
      <c r="O2" s="71"/>
      <c r="P2" t="s">
        <v>39</v>
      </c>
      <c r="Q2" t="s">
        <v>78</v>
      </c>
    </row>
    <row r="3" spans="1:20">
      <c r="A3" s="80"/>
      <c r="B3" s="80"/>
      <c r="C3" s="82"/>
      <c r="D3" s="24"/>
      <c r="E3" s="18" t="s">
        <v>29</v>
      </c>
      <c r="F3" s="20" t="s">
        <v>30</v>
      </c>
      <c r="G3" s="20">
        <v>0</v>
      </c>
      <c r="H3" s="20">
        <v>50</v>
      </c>
      <c r="I3" s="20"/>
      <c r="J3" s="20" t="s">
        <v>31</v>
      </c>
      <c r="K3" s="72"/>
      <c r="L3" s="80"/>
      <c r="M3" s="80"/>
      <c r="N3" s="84"/>
      <c r="O3" s="72"/>
    </row>
    <row r="4" spans="1:20">
      <c r="A4" s="18">
        <v>116294</v>
      </c>
      <c r="B4" s="18" t="s">
        <v>32</v>
      </c>
      <c r="C4" s="18" t="s">
        <v>33</v>
      </c>
      <c r="D4" s="18">
        <v>4484357</v>
      </c>
      <c r="E4" s="18" t="s">
        <v>51</v>
      </c>
      <c r="F4" s="20" t="s">
        <v>35</v>
      </c>
      <c r="G4" s="20">
        <v>0</v>
      </c>
      <c r="H4" s="20">
        <v>52</v>
      </c>
      <c r="I4" s="20"/>
      <c r="J4" s="20" t="s">
        <v>37</v>
      </c>
      <c r="K4" s="22" t="s">
        <v>38</v>
      </c>
      <c r="L4" s="18"/>
      <c r="M4" s="19" t="s">
        <v>79</v>
      </c>
      <c r="N4" s="21" t="s">
        <v>80</v>
      </c>
      <c r="O4" s="22"/>
      <c r="P4" t="s">
        <v>39</v>
      </c>
      <c r="Q4" t="s">
        <v>81</v>
      </c>
    </row>
    <row r="5" spans="1:20" ht="30.75">
      <c r="A5" s="23">
        <v>1000316</v>
      </c>
      <c r="B5" s="23" t="s">
        <v>40</v>
      </c>
      <c r="C5" s="18"/>
      <c r="D5" s="24">
        <v>200000</v>
      </c>
      <c r="E5" s="24" t="s">
        <v>82</v>
      </c>
      <c r="F5" s="25" t="s">
        <v>42</v>
      </c>
      <c r="G5" s="23">
        <v>0</v>
      </c>
      <c r="H5" s="23">
        <v>200</v>
      </c>
      <c r="I5" s="23"/>
      <c r="J5" s="26" t="s">
        <v>43</v>
      </c>
      <c r="K5" s="27" t="s">
        <v>44</v>
      </c>
      <c r="L5" s="18"/>
      <c r="M5" s="19" t="s">
        <v>27</v>
      </c>
      <c r="N5" s="21" t="s">
        <v>83</v>
      </c>
      <c r="O5" s="27"/>
      <c r="P5" t="s">
        <v>39</v>
      </c>
      <c r="Q5" t="s">
        <v>78</v>
      </c>
    </row>
    <row r="6" spans="1:20" ht="15" customHeight="1">
      <c r="A6" s="79">
        <v>127730</v>
      </c>
      <c r="B6" s="79" t="s">
        <v>45</v>
      </c>
      <c r="C6" s="79"/>
      <c r="D6" s="20">
        <v>1782418</v>
      </c>
      <c r="E6" s="18" t="s">
        <v>23</v>
      </c>
      <c r="F6" s="20" t="s">
        <v>84</v>
      </c>
      <c r="G6" s="20">
        <v>2</v>
      </c>
      <c r="H6" s="28">
        <v>60000</v>
      </c>
      <c r="I6" s="28"/>
      <c r="J6" s="20" t="s">
        <v>47</v>
      </c>
      <c r="K6" s="73" t="s">
        <v>48</v>
      </c>
      <c r="L6" s="79"/>
      <c r="M6" s="86" t="s">
        <v>27</v>
      </c>
      <c r="N6" s="21"/>
      <c r="O6" s="73"/>
      <c r="P6" t="s">
        <v>39</v>
      </c>
      <c r="Q6" t="s">
        <v>85</v>
      </c>
    </row>
    <row r="7" spans="1:20">
      <c r="A7" s="85"/>
      <c r="B7" s="85"/>
      <c r="C7" s="85"/>
      <c r="D7" s="20">
        <v>635649</v>
      </c>
      <c r="E7" s="18" t="s">
        <v>82</v>
      </c>
      <c r="F7" s="20" t="s">
        <v>49</v>
      </c>
      <c r="G7" s="20">
        <v>0</v>
      </c>
      <c r="H7" s="20">
        <v>950</v>
      </c>
      <c r="I7" s="20"/>
      <c r="J7" s="20" t="s">
        <v>50</v>
      </c>
      <c r="K7" s="74"/>
      <c r="L7" s="85"/>
      <c r="M7" s="87"/>
      <c r="N7" s="21"/>
      <c r="O7" s="74"/>
    </row>
    <row r="8" spans="1:20">
      <c r="A8" s="85"/>
      <c r="B8" s="85"/>
      <c r="C8" s="85"/>
      <c r="D8" s="20">
        <v>200000</v>
      </c>
      <c r="E8" s="18" t="s">
        <v>51</v>
      </c>
      <c r="F8" s="20" t="s">
        <v>49</v>
      </c>
      <c r="G8" s="20">
        <v>0</v>
      </c>
      <c r="H8" s="20">
        <v>50000</v>
      </c>
      <c r="I8" s="20"/>
      <c r="J8" s="20" t="s">
        <v>52</v>
      </c>
      <c r="K8" s="74"/>
      <c r="L8" s="85"/>
      <c r="M8" s="87"/>
      <c r="N8" s="21"/>
      <c r="O8" s="74"/>
    </row>
    <row r="9" spans="1:20">
      <c r="A9" s="85"/>
      <c r="B9" s="85"/>
      <c r="C9" s="85"/>
      <c r="D9" s="20">
        <v>265000</v>
      </c>
      <c r="E9" s="18" t="s">
        <v>86</v>
      </c>
      <c r="F9" s="20" t="s">
        <v>54</v>
      </c>
      <c r="G9" s="20">
        <v>0</v>
      </c>
      <c r="H9" s="20">
        <v>981</v>
      </c>
      <c r="I9" s="20"/>
      <c r="J9" s="20" t="s">
        <v>55</v>
      </c>
      <c r="K9" s="74"/>
      <c r="L9" s="85"/>
      <c r="M9" s="87"/>
      <c r="N9" s="21"/>
      <c r="O9" s="74"/>
    </row>
    <row r="10" spans="1:20">
      <c r="A10" s="85"/>
      <c r="B10" s="85"/>
      <c r="C10" s="85"/>
      <c r="D10" s="20">
        <v>150000</v>
      </c>
      <c r="E10" s="18" t="s">
        <v>56</v>
      </c>
      <c r="F10" s="20" t="s">
        <v>57</v>
      </c>
      <c r="G10" s="20">
        <v>0</v>
      </c>
      <c r="H10" s="20">
        <v>690</v>
      </c>
      <c r="I10" s="20"/>
      <c r="J10" s="20" t="s">
        <v>58</v>
      </c>
      <c r="K10" s="74"/>
      <c r="L10" s="85"/>
      <c r="M10" s="87"/>
      <c r="N10" s="21"/>
      <c r="O10" s="74"/>
    </row>
    <row r="11" spans="1:20">
      <c r="A11" s="80"/>
      <c r="B11" s="80"/>
      <c r="C11" s="80"/>
      <c r="D11" s="20">
        <v>150000</v>
      </c>
      <c r="E11" s="7" t="s">
        <v>87</v>
      </c>
      <c r="F11" s="20" t="s">
        <v>60</v>
      </c>
      <c r="G11" s="20">
        <v>0</v>
      </c>
      <c r="H11" s="28">
        <v>38434</v>
      </c>
      <c r="I11" s="20"/>
      <c r="J11" s="20" t="s">
        <v>61</v>
      </c>
      <c r="K11" s="75"/>
      <c r="L11" s="80"/>
      <c r="M11" s="88"/>
      <c r="N11" s="21"/>
      <c r="O11" s="75"/>
    </row>
    <row r="12" spans="1:20" ht="15" customHeight="1">
      <c r="A12" s="79">
        <v>1000354</v>
      </c>
      <c r="B12" s="79" t="s">
        <v>62</v>
      </c>
      <c r="C12" s="79"/>
      <c r="D12" s="20">
        <v>695057</v>
      </c>
      <c r="E12" s="18" t="s">
        <v>63</v>
      </c>
      <c r="F12" s="20" t="s">
        <v>64</v>
      </c>
      <c r="G12" s="20">
        <v>0</v>
      </c>
      <c r="H12" s="20">
        <v>125</v>
      </c>
      <c r="I12" s="20"/>
      <c r="J12" s="20" t="s">
        <v>65</v>
      </c>
      <c r="K12" s="76" t="s">
        <v>66</v>
      </c>
      <c r="L12" s="79"/>
      <c r="M12" s="86" t="s">
        <v>27</v>
      </c>
      <c r="N12" s="21" t="s">
        <v>83</v>
      </c>
      <c r="O12" s="76"/>
      <c r="P12" t="s">
        <v>39</v>
      </c>
      <c r="Q12" t="s">
        <v>81</v>
      </c>
    </row>
    <row r="13" spans="1:20">
      <c r="A13" s="85"/>
      <c r="B13" s="85"/>
      <c r="C13" s="85"/>
      <c r="D13" s="20">
        <v>1764000</v>
      </c>
      <c r="E13" s="18" t="s">
        <v>29</v>
      </c>
      <c r="F13" s="20" t="s">
        <v>67</v>
      </c>
      <c r="G13" s="20">
        <v>0</v>
      </c>
      <c r="H13" s="20">
        <v>400</v>
      </c>
      <c r="I13" s="20"/>
      <c r="J13" s="20" t="s">
        <v>68</v>
      </c>
      <c r="K13" s="77"/>
      <c r="L13" s="85"/>
      <c r="M13" s="87"/>
      <c r="N13" s="21"/>
      <c r="O13" s="77"/>
      <c r="P13" t="s">
        <v>39</v>
      </c>
      <c r="Q13" t="s">
        <v>85</v>
      </c>
    </row>
    <row r="14" spans="1:20">
      <c r="A14" s="85"/>
      <c r="B14" s="85"/>
      <c r="C14" s="80"/>
      <c r="D14" s="20">
        <v>542004</v>
      </c>
      <c r="E14" s="18" t="s">
        <v>51</v>
      </c>
      <c r="F14" s="20" t="s">
        <v>70</v>
      </c>
      <c r="G14" s="20">
        <v>0</v>
      </c>
      <c r="H14" s="20">
        <v>100</v>
      </c>
      <c r="I14" s="20"/>
      <c r="J14" s="20" t="s">
        <v>71</v>
      </c>
      <c r="K14" s="77"/>
      <c r="L14" s="85"/>
      <c r="M14" s="87"/>
      <c r="N14" s="21" t="s">
        <v>83</v>
      </c>
      <c r="O14" s="77"/>
    </row>
    <row r="15" spans="1:20">
      <c r="A15" s="80"/>
      <c r="B15" s="80"/>
      <c r="C15" s="18"/>
      <c r="D15" s="20">
        <v>500000</v>
      </c>
      <c r="E15" s="18" t="s">
        <v>51</v>
      </c>
      <c r="F15" s="20" t="s">
        <v>72</v>
      </c>
      <c r="G15" s="20">
        <v>0</v>
      </c>
      <c r="H15" s="20">
        <v>2500</v>
      </c>
      <c r="I15" s="20"/>
      <c r="J15" s="20" t="s">
        <v>73</v>
      </c>
      <c r="K15" s="78"/>
      <c r="L15" s="80"/>
      <c r="M15" s="88"/>
      <c r="N15" s="21"/>
      <c r="O15" s="78"/>
    </row>
    <row r="16" spans="1:20">
      <c r="F16" s="7"/>
      <c r="G16" s="7"/>
      <c r="H16" s="7"/>
      <c r="I16" s="7"/>
      <c r="J16" s="7"/>
      <c r="N16" s="15"/>
      <c r="O16" s="8"/>
    </row>
    <row r="17" spans="4:15">
      <c r="F17" s="7"/>
      <c r="G17" s="7"/>
      <c r="H17" s="7"/>
      <c r="I17" s="7"/>
      <c r="J17" s="7"/>
      <c r="N17" s="15"/>
      <c r="O17" s="8"/>
    </row>
    <row r="18" spans="4:15">
      <c r="D18" s="14"/>
      <c r="F18" s="7" t="s">
        <v>87</v>
      </c>
      <c r="G18" s="7"/>
      <c r="H18" s="7"/>
      <c r="I18" s="7"/>
      <c r="J18" s="7"/>
      <c r="N18" s="15"/>
      <c r="O18" s="8"/>
    </row>
    <row r="19" spans="4:15">
      <c r="D19" s="14"/>
      <c r="F19" s="7"/>
      <c r="G19" s="7"/>
      <c r="H19" s="7"/>
      <c r="I19" s="7"/>
      <c r="J19" s="7"/>
      <c r="N19" s="15"/>
      <c r="O19" s="8"/>
    </row>
    <row r="20" spans="4:15">
      <c r="N20" s="15"/>
    </row>
  </sheetData>
  <mergeCells count="22">
    <mergeCell ref="K12:K15"/>
    <mergeCell ref="M6:M11"/>
    <mergeCell ref="M12:M15"/>
    <mergeCell ref="C12:C14"/>
    <mergeCell ref="L6:L11"/>
    <mergeCell ref="L12:L15"/>
    <mergeCell ref="O2:O3"/>
    <mergeCell ref="O6:O11"/>
    <mergeCell ref="O12:O15"/>
    <mergeCell ref="A2:A3"/>
    <mergeCell ref="B2:B3"/>
    <mergeCell ref="C2:C3"/>
    <mergeCell ref="K2:K3"/>
    <mergeCell ref="L2:L3"/>
    <mergeCell ref="M2:M3"/>
    <mergeCell ref="N2:N3"/>
    <mergeCell ref="A6:A11"/>
    <mergeCell ref="B6:B11"/>
    <mergeCell ref="C6:C11"/>
    <mergeCell ref="A12:A15"/>
    <mergeCell ref="B12:B15"/>
    <mergeCell ref="K6:K11"/>
  </mergeCells>
  <dataValidations count="5">
    <dataValidation type="list" allowBlank="1" showInputMessage="1" showErrorMessage="1" sqref="P2:P15" xr:uid="{C0A7BE9E-F9DC-4C5A-93ED-FE760A0CCE37}">
      <formula1>"Accelerating just energy transition, Close the gap on energy access, Scale up energy finance"</formula1>
    </dataValidation>
    <dataValidation type="list" allowBlank="1" showInputMessage="1" showErrorMessage="1" sqref="Q2:Q15" xr:uid="{9A177717-5A62-4C44-9B2B-AFFE84DE76B9}">
      <formula1>"Electricity Access, Energy Efficiency, Clean Cooking, Renewable Energy"</formula1>
    </dataValidation>
    <dataValidation type="list" allowBlank="1" showInputMessage="1" showErrorMessage="1" sqref="R2:R15" xr:uid="{461D4B73-A187-445D-8ABA-1108CF91B75D}">
      <formula1>"AMP, PUDC, Solar4Health, Action Opportunities, Italy UNDP Energy Partnership"</formula1>
    </dataValidation>
    <dataValidation type="list" allowBlank="1" showInputMessage="1" showErrorMessage="1" sqref="S2:S15" xr:uid="{547DBFBD-0CF4-48DF-BCFA-9EA37ABF8C9E}">
      <formula1>"NDC Support, National Strategy, Legal Framework,Incentives and Support, Government Capacity-Building, Carbon Pricing and Monitoring, Financing Model, Business Model"</formula1>
    </dataValidation>
    <dataValidation type="list" allowBlank="1" showInputMessage="1" showErrorMessage="1" sqref="T2:T15" xr:uid="{74D4E4CA-5E65-4724-AB3D-4D95EDEFE4A5}">
      <formula1>"Electricity Access, Energy Efficiency, Renewable EnergyEnergy Infrastructure,   Transport, Digital &amp; Data, Clean Cooking, Decarbonization, Hydrogen, Off-Grid, On-Grid"</formula1>
    </dataValidation>
  </dataValidations>
  <hyperlinks>
    <hyperlink ref="C2" r:id="rId1" xr:uid="{CED457E5-592F-47ED-BA6E-5A69A3D2F1D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976AA1A-180B-4456-9F94-33AEC8EF730B}">
          <x14:formula1>
            <xm:f>'Beneficiary Categories'!$A$2:$A$16</xm:f>
          </x14:formula1>
          <xm:sqref>E2:E10 E12:E19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opLeftCell="G1" workbookViewId="0">
      <selection activeCell="I5" sqref="I5"/>
    </sheetView>
  </sheetViews>
  <sheetFormatPr defaultRowHeight="15"/>
  <cols>
    <col min="2" max="2" width="46.140625" customWidth="1"/>
    <col min="3" max="3" width="20.7109375" customWidth="1"/>
    <col min="5" max="5" width="20.7109375" customWidth="1"/>
    <col min="6" max="6" width="48.7109375" customWidth="1"/>
    <col min="7" max="8" width="12.7109375" customWidth="1"/>
    <col min="9" max="9" width="34.5703125" customWidth="1"/>
    <col min="10" max="10" width="43.140625" hidden="1" customWidth="1"/>
    <col min="11" max="11" width="209.140625" bestFit="1" customWidth="1"/>
  </cols>
  <sheetData>
    <row r="1" spans="1:11">
      <c r="A1" s="1" t="s">
        <v>0</v>
      </c>
      <c r="B1" s="1" t="s">
        <v>1</v>
      </c>
      <c r="C1" s="1" t="s">
        <v>2</v>
      </c>
      <c r="D1" s="1" t="s">
        <v>3</v>
      </c>
      <c r="E1" s="1" t="s">
        <v>4</v>
      </c>
      <c r="F1" s="1" t="s">
        <v>5</v>
      </c>
      <c r="G1" s="1" t="s">
        <v>6</v>
      </c>
      <c r="H1" s="1" t="s">
        <v>7</v>
      </c>
      <c r="I1" s="1" t="s">
        <v>8</v>
      </c>
      <c r="J1" s="4" t="s">
        <v>9</v>
      </c>
    </row>
    <row r="2" spans="1:11">
      <c r="A2">
        <v>133229</v>
      </c>
      <c r="B2" t="s">
        <v>21</v>
      </c>
      <c r="C2" s="2" t="s">
        <v>22</v>
      </c>
      <c r="D2" s="29">
        <v>668218</v>
      </c>
      <c r="E2" s="3" t="s">
        <v>23</v>
      </c>
      <c r="F2" s="7" t="s">
        <v>77</v>
      </c>
      <c r="G2" s="7">
        <v>0</v>
      </c>
      <c r="H2" s="7">
        <v>2</v>
      </c>
      <c r="I2" s="7" t="s">
        <v>25</v>
      </c>
      <c r="J2" t="s">
        <v>88</v>
      </c>
      <c r="K2" s="89" t="s">
        <v>26</v>
      </c>
    </row>
    <row r="3" spans="1:11">
      <c r="C3" s="2"/>
      <c r="D3" s="12"/>
      <c r="E3" s="3" t="s">
        <v>29</v>
      </c>
      <c r="F3" s="7" t="s">
        <v>30</v>
      </c>
      <c r="G3" s="7">
        <v>0</v>
      </c>
      <c r="H3" s="7">
        <v>5</v>
      </c>
      <c r="I3" s="7" t="s">
        <v>31</v>
      </c>
      <c r="J3" t="s">
        <v>88</v>
      </c>
      <c r="K3" s="90"/>
    </row>
    <row r="4" spans="1:11">
      <c r="C4" s="2"/>
      <c r="E4" s="3"/>
      <c r="F4" s="7"/>
      <c r="G4" s="7"/>
      <c r="H4" s="7"/>
      <c r="I4" s="7"/>
      <c r="J4" s="7"/>
      <c r="K4" s="7"/>
    </row>
    <row r="5" spans="1:11">
      <c r="A5">
        <v>116294</v>
      </c>
      <c r="B5" t="s">
        <v>32</v>
      </c>
      <c r="C5" t="s">
        <v>33</v>
      </c>
      <c r="D5">
        <v>4484357</v>
      </c>
      <c r="E5" s="3" t="s">
        <v>51</v>
      </c>
      <c r="F5" s="7" t="s">
        <v>35</v>
      </c>
      <c r="G5" s="7">
        <v>0</v>
      </c>
      <c r="H5" s="7">
        <v>52</v>
      </c>
      <c r="I5" s="7" t="s">
        <v>37</v>
      </c>
      <c r="J5" t="s">
        <v>89</v>
      </c>
      <c r="K5" s="5" t="s">
        <v>38</v>
      </c>
    </row>
    <row r="6" spans="1:11">
      <c r="E6" s="3"/>
      <c r="F6" s="7"/>
      <c r="G6" s="7"/>
      <c r="H6" s="7"/>
      <c r="I6" s="7"/>
      <c r="K6" s="8"/>
    </row>
    <row r="7" spans="1:11" ht="30.75">
      <c r="A7" s="11">
        <v>1000316</v>
      </c>
      <c r="B7" s="11" t="s">
        <v>40</v>
      </c>
      <c r="D7" s="12">
        <v>200000</v>
      </c>
      <c r="E7" s="13" t="s">
        <v>82</v>
      </c>
      <c r="F7" s="6" t="s">
        <v>42</v>
      </c>
      <c r="G7" s="11">
        <v>0</v>
      </c>
      <c r="H7" s="11">
        <v>200</v>
      </c>
      <c r="I7" s="10" t="s">
        <v>43</v>
      </c>
      <c r="J7" t="s">
        <v>90</v>
      </c>
      <c r="K7" s="9" t="s">
        <v>44</v>
      </c>
    </row>
    <row r="8" spans="1:11">
      <c r="E8" s="3"/>
      <c r="F8" s="7"/>
      <c r="G8" s="7"/>
      <c r="H8" s="7"/>
      <c r="I8" s="7"/>
      <c r="K8" s="8"/>
    </row>
    <row r="9" spans="1:11">
      <c r="A9">
        <v>127730</v>
      </c>
      <c r="B9" t="s">
        <v>45</v>
      </c>
      <c r="D9" s="7">
        <v>1782418</v>
      </c>
      <c r="E9" s="3" t="s">
        <v>23</v>
      </c>
      <c r="F9" s="7" t="s">
        <v>77</v>
      </c>
      <c r="G9" s="7">
        <v>2</v>
      </c>
      <c r="H9" s="7">
        <v>61</v>
      </c>
      <c r="I9" s="7" t="s">
        <v>91</v>
      </c>
      <c r="K9" s="91" t="s">
        <v>48</v>
      </c>
    </row>
    <row r="10" spans="1:11">
      <c r="D10" s="7">
        <v>635649</v>
      </c>
      <c r="E10" s="3" t="s">
        <v>82</v>
      </c>
      <c r="F10" s="7" t="s">
        <v>92</v>
      </c>
      <c r="G10" s="7">
        <v>0</v>
      </c>
      <c r="H10" s="7">
        <v>19</v>
      </c>
      <c r="I10" s="7" t="s">
        <v>50</v>
      </c>
      <c r="K10" s="91"/>
    </row>
    <row r="11" spans="1:11">
      <c r="D11" s="7">
        <v>200000</v>
      </c>
      <c r="E11" s="3" t="s">
        <v>51</v>
      </c>
      <c r="F11" s="7" t="s">
        <v>93</v>
      </c>
      <c r="G11" s="7">
        <v>0</v>
      </c>
      <c r="H11" s="7">
        <v>48</v>
      </c>
      <c r="I11" s="7" t="s">
        <v>52</v>
      </c>
      <c r="K11" s="91"/>
    </row>
    <row r="12" spans="1:11">
      <c r="D12" s="7">
        <v>265000</v>
      </c>
      <c r="E12" s="3" t="s">
        <v>86</v>
      </c>
      <c r="F12" s="7" t="s">
        <v>54</v>
      </c>
      <c r="G12" s="7">
        <v>0</v>
      </c>
      <c r="H12" s="7">
        <v>981</v>
      </c>
      <c r="I12" s="7" t="s">
        <v>55</v>
      </c>
      <c r="K12" s="91"/>
    </row>
    <row r="13" spans="1:11">
      <c r="D13" s="7">
        <v>150000</v>
      </c>
      <c r="E13" s="3" t="s">
        <v>56</v>
      </c>
      <c r="F13" s="7" t="s">
        <v>57</v>
      </c>
      <c r="G13" s="7">
        <v>0</v>
      </c>
      <c r="H13" s="7">
        <v>690</v>
      </c>
      <c r="I13" s="7" t="s">
        <v>58</v>
      </c>
      <c r="K13" s="91"/>
    </row>
    <row r="14" spans="1:11">
      <c r="D14" s="7">
        <v>150000</v>
      </c>
      <c r="E14" s="3" t="s">
        <v>63</v>
      </c>
      <c r="F14" s="7" t="s">
        <v>94</v>
      </c>
      <c r="G14" s="7">
        <v>0</v>
      </c>
      <c r="H14" s="7">
        <v>95</v>
      </c>
      <c r="I14" s="7" t="s">
        <v>61</v>
      </c>
      <c r="K14" s="91"/>
    </row>
    <row r="15" spans="1:11">
      <c r="E15" s="3"/>
      <c r="F15" s="7"/>
      <c r="G15" s="7"/>
      <c r="H15" s="7"/>
      <c r="I15" s="7"/>
      <c r="K15" s="8"/>
    </row>
    <row r="16" spans="1:11">
      <c r="A16">
        <v>1000354</v>
      </c>
      <c r="B16" t="s">
        <v>62</v>
      </c>
      <c r="D16" s="7">
        <v>695057</v>
      </c>
      <c r="E16" s="3" t="s">
        <v>63</v>
      </c>
      <c r="F16" s="7" t="s">
        <v>64</v>
      </c>
      <c r="G16" s="7">
        <v>0</v>
      </c>
      <c r="H16" s="7">
        <v>125</v>
      </c>
      <c r="I16" s="7" t="s">
        <v>65</v>
      </c>
      <c r="K16" s="92" t="s">
        <v>66</v>
      </c>
    </row>
    <row r="17" spans="4:11">
      <c r="D17" s="7">
        <v>1764000</v>
      </c>
      <c r="E17" s="3" t="s">
        <v>29</v>
      </c>
      <c r="F17" s="7" t="s">
        <v>67</v>
      </c>
      <c r="G17" s="7">
        <v>0</v>
      </c>
      <c r="H17" s="7">
        <v>400</v>
      </c>
      <c r="I17" s="7" t="s">
        <v>68</v>
      </c>
      <c r="K17" s="92"/>
    </row>
    <row r="18" spans="4:11">
      <c r="D18" s="7">
        <v>542004</v>
      </c>
      <c r="E18" s="3" t="s">
        <v>51</v>
      </c>
      <c r="F18" s="7" t="s">
        <v>70</v>
      </c>
      <c r="G18" s="7">
        <v>0</v>
      </c>
      <c r="H18" s="7">
        <v>100</v>
      </c>
      <c r="I18" s="7" t="s">
        <v>71</v>
      </c>
      <c r="K18" s="92"/>
    </row>
    <row r="19" spans="4:11">
      <c r="D19" s="7">
        <v>500000</v>
      </c>
      <c r="E19" s="3" t="s">
        <v>51</v>
      </c>
      <c r="F19" s="7" t="s">
        <v>72</v>
      </c>
      <c r="G19" s="7">
        <v>0</v>
      </c>
      <c r="H19" s="7">
        <v>2500</v>
      </c>
      <c r="I19" s="7" t="s">
        <v>73</v>
      </c>
      <c r="K19" s="92"/>
    </row>
    <row r="20" spans="4:11">
      <c r="F20" s="7"/>
      <c r="G20" s="7"/>
      <c r="H20" s="7"/>
      <c r="I20" s="7"/>
      <c r="K20" s="8"/>
    </row>
    <row r="21" spans="4:11">
      <c r="F21" s="7"/>
      <c r="G21" s="7"/>
      <c r="H21" s="7"/>
      <c r="I21" s="7"/>
      <c r="K21" s="8"/>
    </row>
    <row r="22" spans="4:11">
      <c r="D22" s="14" t="s">
        <v>95</v>
      </c>
      <c r="F22" s="7"/>
      <c r="G22" s="7"/>
      <c r="H22" s="7"/>
      <c r="I22" s="7"/>
      <c r="K22" s="8"/>
    </row>
    <row r="23" spans="4:11">
      <c r="D23" s="14" t="s">
        <v>96</v>
      </c>
      <c r="F23" s="7"/>
      <c r="G23" s="7"/>
      <c r="H23" s="7"/>
      <c r="I23" s="7"/>
      <c r="K23" s="8"/>
    </row>
  </sheetData>
  <mergeCells count="3">
    <mergeCell ref="K2:K3"/>
    <mergeCell ref="K9:K14"/>
    <mergeCell ref="K16:K19"/>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62" t="s">
        <v>4</v>
      </c>
      <c r="B1" s="62" t="s">
        <v>5</v>
      </c>
    </row>
    <row r="2" spans="1:2" ht="45.75">
      <c r="A2" s="93" t="s">
        <v>78</v>
      </c>
      <c r="B2" s="63" t="s">
        <v>97</v>
      </c>
    </row>
    <row r="3" spans="1:2">
      <c r="A3" s="93" t="s">
        <v>98</v>
      </c>
      <c r="B3" s="63" t="s">
        <v>99</v>
      </c>
    </row>
    <row r="4" spans="1:2" ht="30.75">
      <c r="A4" s="93" t="s">
        <v>100</v>
      </c>
      <c r="B4" s="63" t="s">
        <v>101</v>
      </c>
    </row>
    <row r="5" spans="1:2" ht="30.75">
      <c r="A5" s="93" t="s">
        <v>102</v>
      </c>
      <c r="B5" s="63" t="s">
        <v>103</v>
      </c>
    </row>
    <row r="6" spans="1:2" ht="91.5">
      <c r="A6" s="93" t="s">
        <v>41</v>
      </c>
      <c r="B6" s="63" t="s">
        <v>104</v>
      </c>
    </row>
    <row r="7" spans="1:2" ht="45.75">
      <c r="A7" s="93" t="s">
        <v>23</v>
      </c>
      <c r="B7" s="63" t="s">
        <v>105</v>
      </c>
    </row>
    <row r="8" spans="1:2" ht="45.75">
      <c r="A8" s="93" t="s">
        <v>106</v>
      </c>
      <c r="B8" s="63" t="s">
        <v>107</v>
      </c>
    </row>
    <row r="9" spans="1:2" ht="45.75">
      <c r="A9" s="93" t="s">
        <v>108</v>
      </c>
      <c r="B9" s="63" t="s">
        <v>109</v>
      </c>
    </row>
    <row r="10" spans="1:2" ht="30.75">
      <c r="A10" s="93" t="s">
        <v>69</v>
      </c>
      <c r="B10" s="94" t="s">
        <v>110</v>
      </c>
    </row>
    <row r="11" spans="1:2" ht="30.75">
      <c r="A11" s="93" t="s">
        <v>34</v>
      </c>
      <c r="B11" s="94" t="s">
        <v>111</v>
      </c>
    </row>
    <row r="12" spans="1:2" ht="45.75">
      <c r="A12" s="93" t="s">
        <v>112</v>
      </c>
      <c r="B12" s="63" t="s">
        <v>113</v>
      </c>
    </row>
    <row r="13" spans="1:2" ht="30.75">
      <c r="A13" s="93" t="s">
        <v>51</v>
      </c>
      <c r="B13" s="94" t="s">
        <v>114</v>
      </c>
    </row>
    <row r="14" spans="1:2">
      <c r="A14" s="93" t="s">
        <v>115</v>
      </c>
      <c r="B14" s="94" t="s">
        <v>116</v>
      </c>
    </row>
    <row r="15" spans="1:2" ht="30" customHeight="1">
      <c r="A15" s="93" t="s">
        <v>63</v>
      </c>
      <c r="B15" s="94" t="s">
        <v>117</v>
      </c>
    </row>
    <row r="16" spans="1:2" ht="24.75" customHeight="1">
      <c r="A16" s="93" t="s">
        <v>29</v>
      </c>
      <c r="B16" s="94" t="s">
        <v>118</v>
      </c>
    </row>
    <row r="17" spans="1:2" ht="30.75">
      <c r="A17" s="93" t="s">
        <v>53</v>
      </c>
      <c r="B17" s="63" t="s">
        <v>119</v>
      </c>
    </row>
    <row r="18" spans="1:2" ht="30.75">
      <c r="A18" s="93" t="s">
        <v>56</v>
      </c>
      <c r="B18" s="94" t="s">
        <v>120</v>
      </c>
    </row>
    <row r="19" spans="1:2" ht="76.5">
      <c r="A19" s="93" t="s">
        <v>121</v>
      </c>
      <c r="B19" s="94" t="s">
        <v>122</v>
      </c>
    </row>
    <row r="20" spans="1:2" ht="30.75">
      <c r="A20" s="93" t="s">
        <v>123</v>
      </c>
      <c r="B20" s="94" t="s">
        <v>124</v>
      </c>
    </row>
    <row r="21" spans="1:2" ht="45.75">
      <c r="A21" s="93" t="s">
        <v>19</v>
      </c>
      <c r="B21" s="95" t="s">
        <v>125</v>
      </c>
    </row>
    <row r="22" spans="1:2" ht="30.75">
      <c r="A22" s="93" t="s">
        <v>126</v>
      </c>
      <c r="B22" s="94" t="s">
        <v>127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02B8D7-1910-4859-8982-71D012229A9C}"/>
</file>

<file path=customXml/itemProps2.xml><?xml version="1.0" encoding="utf-8"?>
<ds:datastoreItem xmlns:ds="http://schemas.openxmlformats.org/officeDocument/2006/customXml" ds:itemID="{CAE5BA3C-99E5-44F9-A8DF-8B7DC2F6D2CB}"/>
</file>

<file path=customXml/itemProps3.xml><?xml version="1.0" encoding="utf-8"?>
<ds:datastoreItem xmlns:ds="http://schemas.openxmlformats.org/officeDocument/2006/customXml" ds:itemID="{A276CE89-5130-4CC6-B40A-3CD9FFC9E1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2024-10-29T15:40:05Z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