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74" documentId="11_018CEA815E7029892E7022B586DC3E56F5683844" xr6:coauthVersionLast="47" xr6:coauthVersionMax="47" xr10:uidLastSave="{D11CA075-BC29-4585-A618-3B082CA7F095}"/>
  <bookViews>
    <workbookView xWindow="240" yWindow="15" windowWidth="16095"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<sst xmlns="http://schemas.openxmlformats.org/spreadsheetml/2006/main" count="160" uniqueCount="97">
  <si>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</si>
  <si>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</si>
  <si>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</si>
  <si>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</si>
  <si>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</si>
  <si>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</si>
  <si>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</si>
  <si>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</si>
  <si>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</si>
  <si>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</si>
  <si>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</si>
  <si>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</si>
  <si>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</si>
  <si>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</si>
  <si>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</si>
  <si>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</si>
  <si>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</si>
  <si>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</si>
  <si>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</si>
  <si>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</si>
  <si>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</si>
  <si>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Transition to sustainable energy and economy</t>
  </si>
  <si>
    <t>http://open.undp.org/projects/00120474</t>
  </si>
  <si>
    <t>Education Services</t>
  </si>
  <si>
    <t xml:space="preserve">number of female students benefitted from access to solar energy </t>
  </si>
  <si>
    <t xml:space="preserve">Output 116664: status: completed, 3451 female students in the Gaza Strip has improved learning environment </t>
  </si>
  <si>
    <t>Japan</t>
  </si>
  <si>
    <t>Non-VF</t>
  </si>
  <si>
    <t>Close the gap on energy access</t>
  </si>
  <si>
    <t>Energy (MW added)</t>
  </si>
  <si>
    <t>MW generated</t>
  </si>
  <si>
    <t>25KWP installed in 3 schools</t>
  </si>
  <si>
    <t>Solar</t>
  </si>
  <si>
    <t xml:space="preserve">MWh generated </t>
  </si>
  <si>
    <t>Output 127570: Status: completed, a detailed to install 1 MWP solar canopies system in Jericho Isteraha prepared in consultation with stakeholders.</t>
  </si>
  <si>
    <t>status: cancelled, The project was cancelled in 2022 due to change in development of parking system at the Isteraha in Jericho.</t>
  </si>
  <si>
    <t>Solar Energy System for KY WWTP</t>
  </si>
  <si>
    <t>http://open.undp.org/projects/00121913</t>
  </si>
  <si>
    <t>Electricity Access</t>
  </si>
  <si>
    <t>MW</t>
  </si>
  <si>
    <t>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the WWTP will serve around 413,000 people in Khan Younis Governorate 
the target 1,878 MWH is the generated clean energy from installing 1.3 MWp solar station</t>
  </si>
  <si>
    <t>Norway</t>
  </si>
  <si>
    <t>GO SOLAR| Renewable Energy Investments at Education and Public Facilities in East Jerusalem</t>
  </si>
  <si>
    <t>http://open.undp.org/projects/00132972</t>
  </si>
  <si>
    <t xml:space="preserve">The project will target 17 schools, 4 hospitals and 6 public facilities across different locations in East Jerusalem, with an estimated capacity of 1.6 MWp, in addition to investments in energy efficiency. The project will also complement this effort with the deployment of energy efficiency solutions and upgrading of electricity networks for the targeted facilities, to reduce electricity consumption, as well as the installation of energy monitoring data at all </t>
  </si>
  <si>
    <t>Solar for margenalized communites in the West Bank</t>
  </si>
  <si>
    <t>http://open.undp.org/projects/00133802</t>
  </si>
  <si>
    <t xml:space="preserve">The support provided by the Funding Window will enable two Local Government Units (LGUs) in the Occupied Palestinian Territories’ (oPT) West Bank to develop in-depth financial and technical feasibility studies for solar PV utilities, to de-risk and crowd-in private finance, directly benefitting at least 20,000 people who will gain access to clean energy as a result of the support provided.
</t>
  </si>
  <si>
    <t xml:space="preserve">Funding Window </t>
  </si>
  <si>
    <t>Solar Powered Water Wells in the West Bank</t>
  </si>
  <si>
    <t>Water Services</t>
  </si>
  <si>
    <t xml:space="preserve">Number of people benefitted from access to solar energy </t>
  </si>
  <si>
    <t>Solar PV system is developed and operationalized including energy efficiency measures at the identified water facilities and resilience fund for wells’ sustainable operation established and operationalized. Direct benefits inclde: Generate annually $500K revenue stream, $ 10.0 million over lifetime, Avoidance of 35 tons Co2 eq and Replenishment of a revolving fund.</t>
  </si>
  <si>
    <t>Close access gap</t>
  </si>
  <si>
    <t>NB: Project under development.  UNDP and Norway to sign agreement on the 29th November 2024.</t>
  </si>
  <si>
    <t>KWh generated</t>
  </si>
  <si>
    <t xml:space="preserve">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
  </si>
  <si>
    <t>For project 121913 does the target 1878 refer to an estimate of beneficiaries? Please explain further</t>
  </si>
  <si>
    <t xml:space="preserve">the WWTP will serve around 413,000 people in Khan Younis Governorate </t>
  </si>
  <si>
    <t>the target 1,878 MWH is the generated clean energy from installing 1.3 MWp solar station</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</si>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</sst>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FF0000"/>
      <name val="Calibri"/>
      <family val="2"/>
      <scheme val="minor"/>
    </font>
    <font>
      <b/>
      <sz val="11"/>
      <color theme="1"/>
      <name val="Calibri"/>
      <scheme val="minor"/>
    </font>
    <font>
      <sz val="11"/>
      <color rgb="FF000000"/>
      <name val="Calibri"/>
      <scheme val="minor"/>
    </font>
    <font>
      <sz val="11"/>
      <color theme="1"/>
      <name val="Calibri"/>
      <family val="2"/>
      <charset val="1"/>
    </font>
  </fonts>
  <fills count="3">
    <fill>
      <patternFill patternType="none"/>
    </fill>
    <fill>
      <patternFill patternType="gray125"/>
    </fill>
    <fill>
      <patternFill patternType="solid">
        <fgColor rgb="FFFFE497"/>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61">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0" fillId="2" borderId="0" xfId="0" applyFill="1" applyAlignment="1">
      <alignment wrapText="1"/>
    </xf>
    <xf numFmtId="3" fontId="0" fillId="2" borderId="0" xfId="0" applyNumberFormat="1" applyFill="1"/>
    <xf numFmtId="0" fontId="0" fillId="0" borderId="0" xfId="0" applyAlignment="1">
      <alignment wrapText="1"/>
    </xf>
    <xf numFmtId="0" fontId="4" fillId="0" borderId="0" xfId="0" applyFont="1"/>
    <xf numFmtId="0" fontId="0" fillId="0" borderId="2" xfId="0" applyBorder="1" applyAlignment="1">
      <alignment vertical="center" wrapText="1"/>
    </xf>
    <xf numFmtId="0" fontId="0" fillId="0" borderId="4" xfId="0" applyBorder="1" applyAlignment="1">
      <alignmen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8" xfId="0" applyBorder="1" applyAlignment="1">
      <alignment vertical="center" wrapText="1"/>
    </xf>
    <xf numFmtId="0" fontId="3" fillId="0" borderId="8" xfId="1" applyBorder="1" applyAlignment="1" applyProtection="1">
      <alignment vertical="center" wrapText="1"/>
    </xf>
    <xf numFmtId="0" fontId="0" fillId="0" borderId="3" xfId="0" applyBorder="1" applyAlignment="1">
      <alignment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9" fontId="0" fillId="0" borderId="4" xfId="0" applyNumberFormat="1" applyBorder="1" applyAlignment="1">
      <alignment vertical="center" wrapText="1"/>
    </xf>
    <xf numFmtId="0" fontId="0" fillId="0" borderId="9" xfId="0" applyBorder="1" applyAlignment="1">
      <alignment vertical="center" wrapText="1"/>
    </xf>
    <xf numFmtId="0" fontId="3" fillId="0" borderId="9" xfId="1" applyBorder="1" applyAlignment="1" applyProtection="1">
      <alignment vertical="center" wrapText="1"/>
    </xf>
    <xf numFmtId="0" fontId="0" fillId="0" borderId="7" xfId="0" applyBorder="1" applyAlignment="1">
      <alignment vertical="center" wrapText="1"/>
    </xf>
    <xf numFmtId="0" fontId="0" fillId="2" borderId="6" xfId="0" applyFill="1" applyBorder="1" applyAlignment="1">
      <alignment vertical="center" wrapText="1"/>
    </xf>
    <xf numFmtId="0" fontId="0" fillId="2" borderId="2" xfId="0" applyFill="1" applyBorder="1" applyAlignment="1">
      <alignment vertical="center" wrapText="1"/>
    </xf>
    <xf numFmtId="3" fontId="0" fillId="2" borderId="2" xfId="0" applyNumberFormat="1" applyFill="1" applyBorder="1" applyAlignment="1">
      <alignment vertical="center" wrapText="1"/>
    </xf>
    <xf numFmtId="0" fontId="0" fillId="0" borderId="10" xfId="0" applyBorder="1" applyAlignment="1">
      <alignment vertical="center" wrapText="1"/>
    </xf>
    <xf numFmtId="0" fontId="3" fillId="0" borderId="10" xfId="1" applyBorder="1" applyAlignment="1" applyProtection="1">
      <alignment vertical="center" wrapText="1"/>
    </xf>
    <xf numFmtId="0" fontId="0" fillId="0" borderId="4" xfId="0" quotePrefix="1" applyBorder="1" applyAlignment="1">
      <alignment vertical="center" wrapText="1"/>
    </xf>
    <xf numFmtId="0" fontId="0" fillId="0" borderId="2" xfId="0" applyBorder="1" applyAlignment="1">
      <alignment horizontal="center" vertical="center"/>
    </xf>
    <xf numFmtId="0" fontId="5" fillId="0" borderId="2" xfId="0" applyFont="1" applyBorder="1" applyAlignment="1">
      <alignment horizontal="center" vertical="top" wrapText="1"/>
    </xf>
    <xf numFmtId="0" fontId="6"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8" xfId="0" applyFont="1" applyBorder="1" applyAlignment="1">
      <alignment horizontal="center"/>
    </xf>
    <xf numFmtId="0" fontId="2" fillId="0" borderId="3" xfId="0" applyFont="1" applyBorder="1"/>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0" fillId="0" borderId="2" xfId="0" applyBorder="1"/>
    <xf numFmtId="0" fontId="7" fillId="0" borderId="2" xfId="0" applyFont="1" applyBorder="1" applyAlignment="1">
      <alignment wrapText="1"/>
    </xf>
    <xf numFmtId="0" fontId="0" fillId="0" borderId="8"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wrapText="1"/>
    </xf>
    <xf numFmtId="0" fontId="0" fillId="0" borderId="3" xfId="0" applyBorder="1" applyAlignment="1">
      <alignment vertical="center"/>
    </xf>
    <xf numFmtId="0" fontId="0" fillId="0" borderId="2" xfId="0" applyBorder="1" applyAlignment="1">
      <alignment wrapText="1"/>
    </xf>
    <xf numFmtId="0" fontId="3" fillId="0" borderId="2" xfId="1" applyBorder="1" applyAlignment="1" applyProtection="1">
      <alignment vertical="center" wrapText="1"/>
    </xf>
    <xf numFmtId="0" fontId="3" fillId="0" borderId="7" xfId="1" applyBorder="1" applyAlignment="1" applyProtection="1">
      <alignment vertical="center" wrapText="1"/>
    </xf>
    <xf numFmtId="0" fontId="4" fillId="0" borderId="2" xfId="0" applyFont="1" applyBorder="1"/>
    <xf numFmtId="0" fontId="0" fillId="0" borderId="3" xfId="0" applyBorder="1" applyAlignment="1">
      <alignment wrapText="1"/>
    </xf>
    <xf numFmtId="0" fontId="3" fillId="0" borderId="3" xfId="1" applyBorder="1" applyAlignment="1" applyProtection="1">
      <alignment vertical="center" wrapText="1"/>
    </xf>
    <xf numFmtId="0" fontId="0" fillId="0" borderId="3" xfId="0" applyBorder="1"/>
    <xf numFmtId="0" fontId="0" fillId="0" borderId="12" xfId="0" applyBorder="1"/>
    <xf numFmtId="0" fontId="7" fillId="0" borderId="3" xfId="0" applyFont="1" applyBorder="1" applyAlignment="1">
      <alignment wrapText="1"/>
    </xf>
    <xf numFmtId="0" fontId="0" fillId="0" borderId="11" xfId="0" applyBorder="1"/>
    <xf numFmtId="164" fontId="0" fillId="2" borderId="2" xfId="0" applyNumberFormat="1" applyFill="1" applyBorder="1" applyAlignment="1">
      <alignment vertical="center" wrapText="1"/>
    </xf>
    <xf numFmtId="1" fontId="0" fillId="2" borderId="4" xfId="0" applyNumberFormat="1" applyFill="1" applyBorder="1" applyAlignment="1">
      <alignment vertical="center" wrapText="1"/>
    </xf>
    <xf numFmtId="3" fontId="0" fillId="0" borderId="0" xfId="0" applyNumberFormat="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32972" TargetMode="External"/><Relationship Id="rId2" Type="http://schemas.openxmlformats.org/officeDocument/2006/relationships/hyperlink" Target="http://open.undp.org/projects/00121913" TargetMode="External"/><Relationship Id="rId1" Type="http://schemas.openxmlformats.org/officeDocument/2006/relationships/hyperlink" Target="http://open.undp.org/projects/00120474" TargetMode="External"/><Relationship Id="rId4" Type="http://schemas.openxmlformats.org/officeDocument/2006/relationships/hyperlink" Target="http://open.undp.org/projects/00133802"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21913" TargetMode="External"/><Relationship Id="rId1" Type="http://schemas.openxmlformats.org/officeDocument/2006/relationships/hyperlink" Target="http://open.undp.org/projects/001204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7768-DEC8-4081-9B21-3EDC1EFC6A04}">
  <dimension ref="A1:V9"/>
  <sheetViews>
    <sheetView tabSelected="1" topLeftCell="A8" workbookViewId="0">
      <selection activeCell="C15" sqref="C15"/>
    </sheetView>
  </sheetViews>
  <sheetFormatPr defaultRowHeight="15"/>
  <cols>
    <col min="2" max="2" width="50.85546875" customWidth="1"/>
    <col min="3" max="3" width="20.7109375" customWidth="1"/>
    <col min="4" max="4" width="9.85546875" bestFit="1" customWidth="1"/>
    <col min="5" max="6" width="20.7109375" customWidth="1"/>
    <col min="7" max="8" width="12.7109375" customWidth="1"/>
    <col min="9" max="9" width="32.7109375" customWidth="1"/>
    <col min="11" max="11" width="13" customWidth="1"/>
    <col min="12" max="12" width="12.85546875" bestFit="1" customWidth="1"/>
    <col min="14" max="14" width="14.42578125" bestFit="1" customWidth="1"/>
    <col min="15" max="15" width="12.85546875" customWidth="1"/>
    <col min="16" max="17" width="14.5703125" customWidth="1"/>
    <col min="18" max="18" width="18.140625" bestFit="1" customWidth="1"/>
    <col min="19" max="19" width="11.28515625" bestFit="1" customWidth="1"/>
    <col min="20" max="20" width="30.28515625" bestFit="1" customWidth="1"/>
    <col min="21" max="21" width="16.7109375" bestFit="1" customWidth="1"/>
  </cols>
  <sheetData>
    <row r="1" spans="1:22" ht="30.75">
      <c r="A1" s="11" t="s">
        <v>0</v>
      </c>
      <c r="B1" s="11" t="s">
        <v>1</v>
      </c>
      <c r="C1" s="11" t="s">
        <v>2</v>
      </c>
      <c r="D1" s="11" t="s">
        <v>3</v>
      </c>
      <c r="E1" s="12" t="s">
        <v>4</v>
      </c>
      <c r="F1" s="12" t="s">
        <v>5</v>
      </c>
      <c r="G1" s="12" t="s">
        <v>6</v>
      </c>
      <c r="H1" s="12" t="s">
        <v>7</v>
      </c>
      <c r="I1" s="12" t="s">
        <v>8</v>
      </c>
      <c r="J1" s="13" t="s">
        <v>9</v>
      </c>
      <c r="K1" s="13" t="s">
        <v>10</v>
      </c>
      <c r="L1" s="32" t="s">
        <v>11</v>
      </c>
      <c r="M1" s="33" t="s">
        <v>12</v>
      </c>
      <c r="N1" s="32" t="s">
        <v>13</v>
      </c>
      <c r="O1" s="32" t="s">
        <v>14</v>
      </c>
      <c r="P1" s="33" t="s">
        <v>15</v>
      </c>
      <c r="Q1" s="33" t="s">
        <v>16</v>
      </c>
      <c r="R1" s="34" t="s">
        <v>17</v>
      </c>
      <c r="S1" s="35" t="s">
        <v>18</v>
      </c>
      <c r="T1" s="34" t="s">
        <v>19</v>
      </c>
      <c r="U1" s="35" t="s">
        <v>20</v>
      </c>
    </row>
    <row r="2" spans="1:22" ht="60.75">
      <c r="A2" s="14">
        <v>120474</v>
      </c>
      <c r="B2" s="14" t="s">
        <v>21</v>
      </c>
      <c r="C2" s="15" t="s">
        <v>22</v>
      </c>
      <c r="D2" s="16">
        <v>662997</v>
      </c>
      <c r="E2" s="17" t="s">
        <v>23</v>
      </c>
      <c r="F2" s="18" t="s">
        <v>24</v>
      </c>
      <c r="G2" s="18">
        <v>0</v>
      </c>
      <c r="H2" s="56">
        <v>3451</v>
      </c>
      <c r="I2" s="18" t="s">
        <v>25</v>
      </c>
      <c r="J2" s="10" t="s">
        <v>26</v>
      </c>
      <c r="K2" s="19">
        <v>1</v>
      </c>
      <c r="L2" s="36" t="s">
        <v>27</v>
      </c>
      <c r="M2" s="29"/>
      <c r="N2" s="37" t="s">
        <v>28</v>
      </c>
      <c r="O2" s="29"/>
      <c r="P2" s="29"/>
      <c r="Q2" s="29"/>
      <c r="R2" s="29"/>
      <c r="S2" s="38"/>
      <c r="T2" s="29"/>
      <c r="U2" s="38"/>
    </row>
    <row r="3" spans="1:22" ht="45.75">
      <c r="A3" s="20"/>
      <c r="B3" s="20"/>
      <c r="C3" s="21"/>
      <c r="D3" s="22"/>
      <c r="E3" s="23" t="s">
        <v>29</v>
      </c>
      <c r="F3" s="24" t="s">
        <v>30</v>
      </c>
      <c r="G3" s="24">
        <v>0</v>
      </c>
      <c r="H3" s="55">
        <v>1.2500000000000001E-2</v>
      </c>
      <c r="I3" s="24" t="s">
        <v>31</v>
      </c>
      <c r="J3" s="9"/>
      <c r="K3" s="9"/>
      <c r="L3" s="36" t="s">
        <v>27</v>
      </c>
      <c r="M3" s="29"/>
      <c r="N3" s="37" t="s">
        <v>28</v>
      </c>
      <c r="O3" s="29"/>
      <c r="P3" s="29"/>
      <c r="Q3" s="29"/>
      <c r="R3" s="29"/>
      <c r="S3" s="38" t="s">
        <v>32</v>
      </c>
      <c r="T3" s="29"/>
      <c r="U3" s="38"/>
    </row>
    <row r="4" spans="1:22" ht="76.5">
      <c r="A4" s="20"/>
      <c r="B4" s="20"/>
      <c r="C4" s="21"/>
      <c r="D4" s="22"/>
      <c r="E4" s="23" t="s">
        <v>29</v>
      </c>
      <c r="F4" s="24" t="s">
        <v>33</v>
      </c>
      <c r="G4" s="24">
        <v>0</v>
      </c>
      <c r="H4" s="25">
        <v>1</v>
      </c>
      <c r="I4" s="24" t="s">
        <v>34</v>
      </c>
      <c r="J4" s="9" t="s">
        <v>26</v>
      </c>
      <c r="K4" s="9"/>
      <c r="L4" s="36" t="s">
        <v>27</v>
      </c>
      <c r="M4" s="29"/>
      <c r="N4" s="37" t="s">
        <v>28</v>
      </c>
      <c r="O4" s="29"/>
      <c r="P4" s="29"/>
      <c r="Q4" s="29"/>
      <c r="R4" s="29"/>
      <c r="S4" s="38" t="s">
        <v>32</v>
      </c>
      <c r="T4" s="29"/>
      <c r="U4" s="38"/>
    </row>
    <row r="5" spans="1:22" ht="63.75" customHeight="1">
      <c r="A5" s="26"/>
      <c r="B5" s="26"/>
      <c r="C5" s="27"/>
      <c r="D5" s="10"/>
      <c r="E5" s="23"/>
      <c r="F5" s="24" t="s">
        <v>33</v>
      </c>
      <c r="G5" s="24">
        <v>0</v>
      </c>
      <c r="H5" s="25">
        <v>0</v>
      </c>
      <c r="I5" s="24" t="s">
        <v>35</v>
      </c>
      <c r="J5" s="9" t="s">
        <v>26</v>
      </c>
      <c r="K5" s="9"/>
      <c r="L5" s="36" t="s">
        <v>27</v>
      </c>
      <c r="M5" s="29"/>
      <c r="N5" s="37" t="s">
        <v>28</v>
      </c>
      <c r="O5" s="29"/>
      <c r="P5" s="29"/>
      <c r="Q5" s="29"/>
      <c r="R5" s="29"/>
      <c r="S5" s="38"/>
      <c r="T5" s="29"/>
      <c r="U5" s="38"/>
    </row>
    <row r="6" spans="1:22" ht="305.25">
      <c r="A6" s="28"/>
      <c r="B6" s="22" t="s">
        <v>36</v>
      </c>
      <c r="C6" s="47" t="s">
        <v>37</v>
      </c>
      <c r="D6" s="22">
        <v>2348907</v>
      </c>
      <c r="E6" s="16" t="s">
        <v>38</v>
      </c>
      <c r="F6" s="16" t="s">
        <v>39</v>
      </c>
      <c r="G6" s="16">
        <v>0</v>
      </c>
      <c r="H6" s="16">
        <v>413000</v>
      </c>
      <c r="I6" s="16" t="s">
        <v>40</v>
      </c>
      <c r="J6" s="16" t="s">
        <v>41</v>
      </c>
      <c r="K6" s="16"/>
      <c r="L6" s="41" t="s">
        <v>27</v>
      </c>
      <c r="M6" s="42"/>
      <c r="N6" s="43" t="s">
        <v>28</v>
      </c>
      <c r="O6" s="42"/>
      <c r="P6" s="42"/>
      <c r="Q6" s="42"/>
      <c r="R6" s="42"/>
      <c r="S6" s="44" t="s">
        <v>32</v>
      </c>
      <c r="T6" s="42"/>
      <c r="U6" s="44"/>
    </row>
    <row r="7" spans="1:22" ht="213">
      <c r="A7">
        <v>132972</v>
      </c>
      <c r="B7" s="49" t="s">
        <v>42</v>
      </c>
      <c r="C7" s="50" t="s">
        <v>43</v>
      </c>
      <c r="D7" s="51">
        <v>2300000</v>
      </c>
      <c r="E7" s="51" t="s">
        <v>23</v>
      </c>
      <c r="F7" s="51" t="s">
        <v>39</v>
      </c>
      <c r="G7" s="51">
        <v>0</v>
      </c>
      <c r="H7" s="52">
        <v>1.6</v>
      </c>
      <c r="I7" s="53" t="s">
        <v>44</v>
      </c>
      <c r="J7" s="51" t="s">
        <v>41</v>
      </c>
      <c r="K7" s="51"/>
      <c r="L7" s="51" t="s">
        <v>27</v>
      </c>
      <c r="M7" s="51"/>
      <c r="N7" s="51"/>
      <c r="O7" s="51"/>
      <c r="P7" s="51"/>
      <c r="Q7" s="51"/>
      <c r="R7" s="51"/>
      <c r="S7" s="51" t="s">
        <v>32</v>
      </c>
      <c r="T7" s="51"/>
      <c r="U7" s="51"/>
    </row>
    <row r="8" spans="1:22" ht="213">
      <c r="A8">
        <v>133802</v>
      </c>
      <c r="B8" s="48" t="s">
        <v>45</v>
      </c>
      <c r="C8" s="46" t="s">
        <v>46</v>
      </c>
      <c r="D8" s="39">
        <v>300000</v>
      </c>
      <c r="E8" s="39" t="s">
        <v>29</v>
      </c>
      <c r="F8" s="39" t="s">
        <v>39</v>
      </c>
      <c r="G8" s="39">
        <v>0</v>
      </c>
      <c r="H8" s="39">
        <v>2.2999999999999998</v>
      </c>
      <c r="I8" s="40" t="s">
        <v>47</v>
      </c>
      <c r="J8" s="45" t="s">
        <v>48</v>
      </c>
      <c r="K8" s="39"/>
      <c r="L8" s="39" t="s">
        <v>27</v>
      </c>
      <c r="M8" s="39"/>
      <c r="N8" s="54"/>
      <c r="O8" s="39"/>
      <c r="P8" s="39"/>
      <c r="Q8" s="39"/>
      <c r="R8" s="39"/>
      <c r="S8" s="39" t="s">
        <v>32</v>
      </c>
      <c r="T8" s="39"/>
      <c r="U8" s="39"/>
    </row>
    <row r="9" spans="1:22">
      <c r="B9" t="s">
        <v>49</v>
      </c>
      <c r="D9" s="57">
        <v>3200000</v>
      </c>
      <c r="E9" t="s">
        <v>50</v>
      </c>
      <c r="F9" t="s">
        <v>51</v>
      </c>
      <c r="G9">
        <v>0</v>
      </c>
      <c r="I9" t="s">
        <v>52</v>
      </c>
      <c r="J9" t="s">
        <v>41</v>
      </c>
      <c r="L9" t="s">
        <v>27</v>
      </c>
      <c r="N9" t="s">
        <v>53</v>
      </c>
      <c r="S9" t="s">
        <v>32</v>
      </c>
      <c r="V9" t="s">
        <v>54</v>
      </c>
    </row>
  </sheetData>
  <dataValidations count="9">
    <dataValidation type="list" allowBlank="1" showInputMessage="1" showErrorMessage="1" sqref="N2:N6" xr:uid="{27AA54FF-B3F0-46DE-AC0D-DA23946E08FD}">
      <formula1>"Accelerating just energy transition, Close the gap on energy access, Scale up energy finance"</formula1>
    </dataValidation>
    <dataValidation type="list" allowBlank="1" showInputMessage="1" showErrorMessage="1" sqref="P2:P6" xr:uid="{6FCA9FA1-AFF2-42E8-AC95-D0BDD5F64F26}">
      <formula1>"AMP, PUDC, Solar4Health, Action Opportunities, Italy UNDP Energy Partnership"</formula1>
    </dataValidation>
    <dataValidation type="list" allowBlank="1" showInputMessage="1" showErrorMessage="1" sqref="Q2:Q6" xr:uid="{E7F4EBC7-A94B-406E-9EA0-FE892FE1327C}">
      <formula1>"NDC Support, National Strategy, Legal Framework,Incentives and Support, Government Capacity-Building, Carbon Pricing and Monitoring, Financing Model, Business Model"</formula1>
    </dataValidation>
    <dataValidation type="list" allowBlank="1" showInputMessage="1" showErrorMessage="1" sqref="O2:O6" xr:uid="{D3C480D2-27C9-42AF-A550-18C7EAF01F4D}">
      <formula1>"Electricity Access, Energy Efficiency, Clean Cooking, Renewable Energy, Overall"</formula1>
    </dataValidation>
    <dataValidation type="list" allowBlank="1" showInputMessage="1" showErrorMessage="1" sqref="M2:M6" xr:uid="{1E54EE0D-E96A-4210-B76C-967C2650B6A6}">
      <formula1>"Finance, Gender, Efficiency, Just, Health"</formula1>
    </dataValidation>
    <dataValidation type="list" allowBlank="1" showInputMessage="1" showErrorMessage="1" sqref="T2:T6" xr:uid="{234A3EA0-2359-4001-83DC-CDC06353D55A}">
      <formula1>"National, Regional, City, Community"</formula1>
    </dataValidation>
    <dataValidation type="list" allowBlank="1" showInputMessage="1" showErrorMessage="1" sqref="L2:L6" xr:uid="{365E0436-268A-4FBF-9089-323153D45B59}">
      <formula1>"Non-VF, VF"</formula1>
    </dataValidation>
    <dataValidation type="list" allowBlank="1" showInputMessage="1" showErrorMessage="1" sqref="R2:R6" xr:uid="{4345ECCA-3A24-4E73-A419-A5F56FC36C0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6" xr:uid="{8464C760-A471-4CD8-8F0E-BB7B7C03DD01}">
      <formula1>"Solar, Wind, Bioenergy, Hydro, Geothermal, Waste, Some Sources, Other, Unknown"</formula1>
    </dataValidation>
  </dataValidations>
  <hyperlinks>
    <hyperlink ref="C2" r:id="rId1" xr:uid="{BCF1FA7F-6FAB-4AA7-82C9-EAC4ADFB1EC1}"/>
    <hyperlink ref="C6" r:id="rId2" xr:uid="{8B33A449-8DA1-4326-9F07-90399BE32091}"/>
    <hyperlink ref="C7" r:id="rId3" xr:uid="{27510256-B123-4876-B8C8-4AF16F303776}"/>
    <hyperlink ref="C8" r:id="rId4" xr:uid="{ED8E7761-7756-4677-9D10-F2410908E92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98A6108-D16D-4236-935C-46B1C15C9AB9}">
          <x14:formula1>
            <xm:f>'Beneficiary Categories'!$A$2:$A$16</xm:f>
          </x14:formula1>
          <xm:sqref>E7:E9</xm:sqref>
        </x14:dataValidation>
        <x14:dataValidation type="list" allowBlank="1" showInputMessage="1" showErrorMessage="1" xr:uid="{CF895944-338E-4EAB-9DAB-426F4AEF0C25}">
          <x14:formula1>
            <xm:f>'Beneficiary Categories'!$A$2:$A$22</xm:f>
          </x14:formula1>
          <xm:sqref>E2:E6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H5" workbookViewId="0">
      <selection activeCell="H5" sqref="H5"/>
    </sheetView>
  </sheetViews>
  <sheetFormatPr defaultRowHeight="15"/>
  <cols>
    <col min="2" max="2" width="50.85546875" customWidth="1"/>
    <col min="3" max="3" width="20.710937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4" t="s">
        <v>9</v>
      </c>
    </row>
    <row r="2" spans="1:10">
      <c r="A2">
        <v>120474</v>
      </c>
      <c r="B2" t="s">
        <v>21</v>
      </c>
      <c r="C2" s="2" t="s">
        <v>22</v>
      </c>
      <c r="D2">
        <v>662997</v>
      </c>
      <c r="E2" s="3"/>
      <c r="F2" s="3"/>
      <c r="G2" s="3"/>
      <c r="H2" s="3"/>
      <c r="I2" s="5"/>
    </row>
    <row r="3" spans="1:10" ht="60.75">
      <c r="C3" s="2"/>
      <c r="E3" s="3" t="s">
        <v>23</v>
      </c>
      <c r="F3" s="3" t="s">
        <v>24</v>
      </c>
      <c r="G3" s="3">
        <v>0</v>
      </c>
      <c r="H3" s="3">
        <v>3451</v>
      </c>
      <c r="I3" s="5" t="s">
        <v>25</v>
      </c>
      <c r="J3" t="s">
        <v>26</v>
      </c>
    </row>
    <row r="4" spans="1:10">
      <c r="C4" s="2"/>
      <c r="E4" s="3"/>
      <c r="F4" s="3" t="s">
        <v>55</v>
      </c>
      <c r="G4" s="3">
        <v>0</v>
      </c>
      <c r="H4" s="6">
        <v>2.5000000000000001E-2</v>
      </c>
      <c r="I4" s="5" t="s">
        <v>31</v>
      </c>
    </row>
    <row r="5" spans="1:10" ht="76.5">
      <c r="C5" s="2"/>
      <c r="E5" s="3" t="s">
        <v>29</v>
      </c>
      <c r="F5" s="3" t="s">
        <v>33</v>
      </c>
      <c r="G5" s="3">
        <v>0</v>
      </c>
      <c r="H5" s="6">
        <v>1</v>
      </c>
      <c r="I5" s="5" t="s">
        <v>34</v>
      </c>
      <c r="J5" t="s">
        <v>26</v>
      </c>
    </row>
    <row r="6" spans="1:10" ht="60.75">
      <c r="C6" s="2"/>
      <c r="E6" s="3" t="s">
        <v>29</v>
      </c>
      <c r="F6" s="3" t="s">
        <v>33</v>
      </c>
      <c r="G6" s="3">
        <v>0</v>
      </c>
      <c r="H6" s="6">
        <v>0</v>
      </c>
      <c r="I6" s="5" t="s">
        <v>35</v>
      </c>
      <c r="J6" t="s">
        <v>26</v>
      </c>
    </row>
    <row r="7" spans="1:10">
      <c r="C7" s="2"/>
      <c r="E7" s="3"/>
      <c r="F7" s="3"/>
      <c r="G7" s="3"/>
      <c r="H7" s="6"/>
      <c r="I7" s="5"/>
    </row>
    <row r="8" spans="1:10">
      <c r="A8">
        <v>121913</v>
      </c>
      <c r="B8" t="s">
        <v>36</v>
      </c>
      <c r="C8" s="2" t="s">
        <v>37</v>
      </c>
      <c r="D8">
        <v>2348907</v>
      </c>
      <c r="E8" s="3"/>
      <c r="F8" s="3"/>
      <c r="G8" s="3"/>
      <c r="H8" s="3"/>
      <c r="I8" s="3"/>
    </row>
    <row r="9" spans="1:10" ht="198">
      <c r="E9" t="s">
        <v>50</v>
      </c>
      <c r="F9" t="s">
        <v>33</v>
      </c>
      <c r="G9">
        <v>0</v>
      </c>
      <c r="H9">
        <v>1878</v>
      </c>
      <c r="I9" s="7" t="s">
        <v>56</v>
      </c>
      <c r="J9" t="s">
        <v>41</v>
      </c>
    </row>
    <row r="11" spans="1:10">
      <c r="B11" s="8" t="s">
        <v>57</v>
      </c>
      <c r="I11" t="s">
        <v>58</v>
      </c>
    </row>
    <row r="12" spans="1:10">
      <c r="I12" t="s">
        <v>59</v>
      </c>
    </row>
  </sheetData>
  <hyperlinks>
    <hyperlink ref="C2" r:id="rId1" xr:uid="{00000000-0004-0000-0000-000000000000}"/>
    <hyperlink ref="C8" r:id="rId2"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8" workbookViewId="0"/>
  </sheetViews>
  <sheetFormatPr defaultRowHeight="15"/>
  <cols>
    <col min="1" max="2" width="52.7109375" customWidth="1"/>
  </cols>
  <sheetData>
    <row r="1" spans="1:2">
      <c r="A1" s="30" t="s">
        <v>4</v>
      </c>
      <c r="B1" s="30" t="s">
        <v>5</v>
      </c>
    </row>
    <row r="2" spans="1:2" ht="45.75">
      <c r="A2" s="58" t="s">
        <v>38</v>
      </c>
      <c r="B2" s="31" t="s">
        <v>60</v>
      </c>
    </row>
    <row r="3" spans="1:2">
      <c r="A3" s="58" t="s">
        <v>29</v>
      </c>
      <c r="B3" s="31" t="s">
        <v>61</v>
      </c>
    </row>
    <row r="4" spans="1:2" ht="30.75">
      <c r="A4" s="58" t="s">
        <v>62</v>
      </c>
      <c r="B4" s="31" t="s">
        <v>63</v>
      </c>
    </row>
    <row r="5" spans="1:2" ht="30.75">
      <c r="A5" s="58" t="s">
        <v>64</v>
      </c>
      <c r="B5" s="31" t="s">
        <v>65</v>
      </c>
    </row>
    <row r="6" spans="1:2" ht="91.5">
      <c r="A6" s="58" t="s">
        <v>66</v>
      </c>
      <c r="B6" s="31" t="s">
        <v>67</v>
      </c>
    </row>
    <row r="7" spans="1:2" ht="45.75">
      <c r="A7" s="58" t="s">
        <v>68</v>
      </c>
      <c r="B7" s="31" t="s">
        <v>69</v>
      </c>
    </row>
    <row r="8" spans="1:2" ht="45.75">
      <c r="A8" s="58" t="s">
        <v>50</v>
      </c>
      <c r="B8" s="31" t="s">
        <v>70</v>
      </c>
    </row>
    <row r="9" spans="1:2" ht="45.75">
      <c r="A9" s="58" t="s">
        <v>23</v>
      </c>
      <c r="B9" s="31" t="s">
        <v>71</v>
      </c>
    </row>
    <row r="10" spans="1:2" ht="30.75">
      <c r="A10" s="58" t="s">
        <v>72</v>
      </c>
      <c r="B10" s="59" t="s">
        <v>73</v>
      </c>
    </row>
    <row r="11" spans="1:2" ht="30.75">
      <c r="A11" s="58" t="s">
        <v>74</v>
      </c>
      <c r="B11" s="59" t="s">
        <v>75</v>
      </c>
    </row>
    <row r="12" spans="1:2" ht="45.75">
      <c r="A12" s="58" t="s">
        <v>76</v>
      </c>
      <c r="B12" s="31" t="s">
        <v>77</v>
      </c>
    </row>
    <row r="13" spans="1:2" ht="30.75">
      <c r="A13" s="58" t="s">
        <v>78</v>
      </c>
      <c r="B13" s="59" t="s">
        <v>79</v>
      </c>
    </row>
    <row r="14" spans="1:2">
      <c r="A14" s="58" t="s">
        <v>80</v>
      </c>
      <c r="B14" s="59" t="s">
        <v>81</v>
      </c>
    </row>
    <row r="15" spans="1:2" ht="30.75">
      <c r="A15" s="58" t="s">
        <v>82</v>
      </c>
      <c r="B15" s="59" t="s">
        <v>83</v>
      </c>
    </row>
    <row r="16" spans="1:2" ht="30.75">
      <c r="A16" s="58" t="s">
        <v>84</v>
      </c>
      <c r="B16" s="59" t="s">
        <v>85</v>
      </c>
    </row>
    <row r="17" spans="1:2" ht="30.75">
      <c r="A17" s="58" t="s">
        <v>86</v>
      </c>
      <c r="B17" s="31" t="s">
        <v>87</v>
      </c>
    </row>
    <row r="18" spans="1:2" ht="30.75">
      <c r="A18" s="58" t="s">
        <v>88</v>
      </c>
      <c r="B18" s="59" t="s">
        <v>89</v>
      </c>
    </row>
    <row r="19" spans="1:2" ht="76.5">
      <c r="A19" s="58" t="s">
        <v>90</v>
      </c>
      <c r="B19" s="59" t="s">
        <v>91</v>
      </c>
    </row>
    <row r="20" spans="1:2" ht="30.75">
      <c r="A20" s="58" t="s">
        <v>92</v>
      </c>
      <c r="B20" s="59" t="s">
        <v>93</v>
      </c>
    </row>
    <row r="21" spans="1:2" ht="45.75">
      <c r="A21" s="58" t="s">
        <v>19</v>
      </c>
      <c r="B21" s="60" t="s">
        <v>94</v>
      </c>
    </row>
    <row r="22" spans="1:2" ht="30.75">
      <c r="A22" s="58" t="s">
        <v>95</v>
      </c>
      <c r="B22" s="59"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husam tubail</DisplayName>
        <AccountId>1291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9886F3-EB6C-43FA-9635-0D0DA7FCA5AE}"/>
</file>

<file path=customXml/itemProps2.xml><?xml version="1.0" encoding="utf-8"?>
<ds:datastoreItem xmlns:ds="http://schemas.openxmlformats.org/officeDocument/2006/customXml" ds:itemID="{FF9E8F40-0A61-46B5-8E3A-48A6B829201F}"/>
</file>

<file path=customXml/itemProps3.xml><?xml version="1.0" encoding="utf-8"?>
<ds:datastoreItem xmlns:ds="http://schemas.openxmlformats.org/officeDocument/2006/customXml" ds:itemID="{513F1AFC-0A52-4C1B-87DF-0307E386F4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