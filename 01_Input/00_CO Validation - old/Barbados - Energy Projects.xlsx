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05"/>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246" documentId="11_50C454EF0A35DC52638F7CEA590B6D3279D01C9B" xr6:coauthVersionLast="47" xr6:coauthVersionMax="47" xr10:uidLastSave="{E1837C17-2361-4594-8DA9-2E7962EFDE9F}"/>
  <bookViews>
    <workbookView xWindow="57480" yWindow="-120" windowWidth="29040" windowHeight="15720" firstSheet="3" xr2:uid="{00000000-000D-0000-FFFF-FFFF00000000}"/>
  </bookViews>
  <sheets>
    <sheet name="Projects (3)" sheetId="4" r:id="rId1"/>
    <sheet name="Projects (2)" sheetId="3" state="hidden" r:id="rId2"/>
    <sheet name="Projects" sheetId="1" state="hidden" r:id="rId3"/>
    <sheet name="Beneficiary Categories" sheetId="2" r:id="rId4"/>
  </sheets>
  <definedNames>
    <definedName name="_ftn1" localSheetId="2">Projects!#REF!</definedName>
    <definedName name="_ftn1" localSheetId="1">'Projects (2)'!#REF!</definedName>
    <definedName name="_ftn1" localSheetId="0">'Projects (3)'!#REF!</definedName>
    <definedName name="_ftnref1" localSheetId="2">Projects!#REF!</definedName>
    <definedName name="_ftnref1" localSheetId="1">'Projects (2)'!#REF!</definedName>
    <definedName name="_ftnref1" localSheetId="0">'Projects (3)'!#REF!</definedName>
    <definedName name="_Hlk67767877" localSheetId="2">Projects!#REF!</definedName>
    <definedName name="_Hlk67767877" localSheetId="1">'Projects (2)'!#REF!</definedName>
    <definedName name="_Hlk67767877" localSheetId="0">'Projects (3)'!#REF!</definedName>
    <definedName name="_Hlk70841980" localSheetId="2">Projects!#REF!</definedName>
    <definedName name="_Hlk70841980" localSheetId="1">'Projects (2)'!#REF!</definedName>
    <definedName name="_Hlk70841980" localSheetId="0">'Projects (3)'!#REF!</definedName>
    <definedName name="_Hlk86863133" localSheetId="2">Projects!#REF!</definedName>
    <definedName name="_Hlk86863133" localSheetId="1">'Projects (2)'!#REF!</definedName>
    <definedName name="_Hlk86863133" localSheetId="0">'Projects (3)'!#REF!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4" l="1"/>
  <c r="K4" i="3"/>
</calcChain>
</file>

<file path=xl/sharedStrings.xml><?xml version="1.0" encoding="utf-8"?>
<sst xmlns="http://schemas.openxmlformats.org/spreadsheetml/2006/main" count="157" uniqueCount="91">
  <si>
    <t>Project ID</t>
  </si>
  <si>
    <t>Title</t>
  </si>
  <si>
    <t>Link</t>
  </si>
  <si>
    <t>Country</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</si>
  <si>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</si>
  <si>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</si>
  <si>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</si>
  <si>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</si>
  <si>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</si>
  <si>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</si>
  <si>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</si>
  <si>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</si>
  <si>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</si>
  <si>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</si>
  <si>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</si>
  <si>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</si>
  <si>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</si>
  <si>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</si>
  <si>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</si>
  <si>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</si>
  <si>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</si>
  <si>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</si>
  <si>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SMARTER - Bioenergy in Barbados</t>
  </si>
  <si>
    <t>PIMS+</t>
  </si>
  <si>
    <t>Barbados</t>
  </si>
  <si>
    <t>GHG Emissions Reduction</t>
  </si>
  <si>
    <t>1)	 Greenhouse gas (GHG) emissions mitigated</t>
  </si>
  <si>
    <t>[6.2]: Lifetime direct GHG emission reduction (ER): 215,593 tCO2.  Indirect GHG ER: 329,311 tCO2
Sub-indicators (related to direct ER):
[6.3] Lifetime energy production: 4,120,114 GJ
[6.4]:  Installed RE power capacity: 1.61 MW.</t>
  </si>
  <si>
    <t>GEF</t>
  </si>
  <si>
    <t>VF</t>
  </si>
  <si>
    <t>Accelerating just energy transition</t>
  </si>
  <si>
    <t>Energy (MW added)</t>
  </si>
  <si>
    <t xml:space="preserve">
[GEF core indicator 6 and sub-indicators]
(units of measure: GJ, MW, tCO2)</t>
  </si>
  <si>
    <t xml:space="preserve">Installed 10 MW utility-scale PV and 59.8 MW distributed solar PV (2021). No installed bioenergy yet </t>
  </si>
  <si>
    <t>Bioenergy</t>
  </si>
  <si>
    <t>Capacity Building Training</t>
  </si>
  <si>
    <t>2)	Number of direct beneficiaries disaggregated by gender as co-benefit of GEF investment  *
[GEF core indicator 11]
(unit of measure: number of people)</t>
  </si>
  <si>
    <t>Total of 766 direct beneficiaries (266 women),
(see Annex H) due to direct job creation (196, of which 67 women) and recipients of SMARTER training (570, of which 200 women, 35%)</t>
  </si>
  <si>
    <t>3) Well-indicated status of bioenergy in 100% RE fuel and electricity planning. (unit of measure: binary 1/0)</t>
  </si>
  <si>
    <t>Bioenergy share is zero. IRRP aims at 92 GJ (6%) of biomass in 100% RE power.  Renewable fuels (non-electricity) not defined in detail</t>
  </si>
  <si>
    <t>MEB-approved BNEP action plan with updated energy indicators (incl. share of RE in total energy supply and electricity; share of types of biomass in total energy and in electricity)</t>
  </si>
  <si>
    <t>Renewable Energy</t>
  </si>
  <si>
    <t>National Strategy</t>
  </si>
  <si>
    <t>National</t>
  </si>
  <si>
    <t>Category</t>
  </si>
  <si>
    <t>GHG</t>
  </si>
  <si>
    <t>Close the gap on energy access</t>
  </si>
  <si>
    <t>Capacity Training</t>
  </si>
  <si>
    <t>zero</t>
  </si>
  <si>
    <t>Objective Indicator</t>
  </si>
  <si>
    <t>End of Project Target</t>
  </si>
  <si>
    <t>1)	 Greenhouse gas (GHG) emissions mitigated
[GEF core indicator 6 and sub-indicators]
(units of measure: GJ, MW, tCO2)</t>
  </si>
  <si>
    <t>Electricity Access</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</si>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</sst>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1"/>
      <name val="Calibri"/>
      <scheme val="minor"/>
    </font>
    <font>
      <b/>
      <sz val="11"/>
      <color theme="1"/>
      <name val="Calibri"/>
      <family val="2"/>
      <scheme val="minor"/>
    </font>
    <font>
      <sz val="11"/>
      <color rgb="FF000000"/>
      <name val="Calibri"/>
      <charset val="1"/>
    </font>
    <font>
      <b/>
      <sz val="11"/>
      <color theme="1"/>
      <name val="Calibri"/>
      <scheme val="minor"/>
    </font>
    <font>
      <sz val="11"/>
      <color rgb="FF000000"/>
      <name val="Calibri"/>
      <scheme val="minor"/>
    </font>
  </fonts>
  <fills count="3">
    <fill>
      <patternFill patternType="none"/>
    </fill>
    <fill>
      <patternFill patternType="gray125"/>
    </fill>
    <fill>
      <patternFill patternType="solid">
        <fgColor rgb="FFFFC000"/>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rgb="FF000000"/>
      </left>
      <right/>
      <top style="thin">
        <color rgb="FF000000"/>
      </top>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9">
    <xf numFmtId="0" fontId="0" fillId="0" borderId="0" xfId="0"/>
    <xf numFmtId="0" fontId="0" fillId="0" borderId="0" xfId="0" applyAlignment="1">
      <alignment horizontal="left" vertical="center" wrapText="1"/>
    </xf>
    <xf numFmtId="0" fontId="0" fillId="0" borderId="0" xfId="0" applyAlignment="1">
      <alignment vertical="center"/>
    </xf>
    <xf numFmtId="0" fontId="0" fillId="0" borderId="0" xfId="0" applyAlignment="1">
      <alignment horizontal="left" vertical="center"/>
    </xf>
    <xf numFmtId="0" fontId="2" fillId="0" borderId="2" xfId="0" applyFont="1" applyBorder="1" applyAlignment="1">
      <alignment horizontal="center" vertical="top"/>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xf numFmtId="0" fontId="0" fillId="0" borderId="1" xfId="0" applyBorder="1" applyAlignment="1">
      <alignment vertical="center"/>
    </xf>
    <xf numFmtId="0" fontId="0" fillId="0" borderId="1" xfId="0" applyBorder="1"/>
    <xf numFmtId="0" fontId="0" fillId="0" borderId="1" xfId="0" applyBorder="1" applyAlignment="1">
      <alignment horizontal="left" vertical="center" wrapText="1"/>
    </xf>
    <xf numFmtId="0" fontId="0" fillId="0" borderId="1" xfId="0" applyBorder="1" applyAlignment="1">
      <alignment horizontal="center" vertical="center" wrapText="1"/>
    </xf>
    <xf numFmtId="3" fontId="3" fillId="0" borderId="0" xfId="0" applyNumberFormat="1" applyFont="1"/>
    <xf numFmtId="0" fontId="2" fillId="2" borderId="4" xfId="0" applyFont="1" applyFill="1" applyBorder="1"/>
    <xf numFmtId="0" fontId="2" fillId="0" borderId="0" xfId="0" applyFont="1"/>
    <xf numFmtId="0" fontId="2" fillId="0" borderId="5" xfId="0" applyFont="1" applyBorder="1" applyAlignment="1">
      <alignment horizontal="center" vertical="center" wrapText="1"/>
    </xf>
    <xf numFmtId="0" fontId="0" fillId="0" borderId="5" xfId="0" applyBorder="1" applyAlignment="1">
      <alignment vertical="center"/>
    </xf>
    <xf numFmtId="0" fontId="2" fillId="0" borderId="6" xfId="0" applyFont="1" applyBorder="1" applyAlignment="1">
      <alignment horizontal="center" vertical="center"/>
    </xf>
    <xf numFmtId="0" fontId="0" fillId="0" borderId="7" xfId="0" applyBorder="1" applyAlignment="1">
      <alignment horizontal="left" vertical="center" wrapText="1"/>
    </xf>
    <xf numFmtId="0" fontId="0" fillId="0" borderId="7" xfId="0" applyBorder="1" applyAlignment="1">
      <alignment horizontal="center" vertical="center" wrapText="1"/>
    </xf>
    <xf numFmtId="0" fontId="2" fillId="0" borderId="8" xfId="0" applyFont="1" applyBorder="1" applyAlignment="1">
      <alignment horizontal="center" vertical="top"/>
    </xf>
    <xf numFmtId="0" fontId="0" fillId="0" borderId="9" xfId="0" applyBorder="1" applyAlignment="1">
      <alignment horizontal="left" vertical="center" wrapText="1"/>
    </xf>
    <xf numFmtId="0" fontId="0" fillId="0" borderId="9" xfId="0" applyBorder="1" applyAlignment="1">
      <alignment vertical="center"/>
    </xf>
    <xf numFmtId="0" fontId="2" fillId="2" borderId="5" xfId="0" applyFont="1" applyFill="1" applyBorder="1"/>
    <xf numFmtId="0" fontId="0" fillId="0" borderId="5" xfId="0" applyBorder="1"/>
    <xf numFmtId="0" fontId="2" fillId="0" borderId="10" xfId="0" applyFont="1" applyBorder="1"/>
    <xf numFmtId="0" fontId="0" fillId="0" borderId="7" xfId="0" applyBorder="1" applyAlignment="1">
      <alignment vertical="center"/>
    </xf>
    <xf numFmtId="9" fontId="0" fillId="0" borderId="5" xfId="0" applyNumberFormat="1" applyBorder="1"/>
    <xf numFmtId="0" fontId="0" fillId="0" borderId="5" xfId="0" applyBorder="1" applyAlignment="1">
      <alignment horizontal="center" vertical="center"/>
    </xf>
    <xf numFmtId="0" fontId="0" fillId="0" borderId="5" xfId="0" applyBorder="1" applyAlignment="1">
      <alignment horizontal="center" vertical="center" wrapText="1"/>
    </xf>
    <xf numFmtId="3" fontId="3" fillId="0" borderId="5" xfId="0" applyNumberFormat="1" applyFont="1" applyBorder="1" applyAlignment="1">
      <alignment horizontal="center" vertical="center"/>
    </xf>
    <xf numFmtId="0" fontId="0" fillId="0" borderId="6" xfId="0" applyBorder="1" applyAlignment="1">
      <alignment vertical="center"/>
    </xf>
    <xf numFmtId="0" fontId="0" fillId="0" borderId="11" xfId="0" applyBorder="1" applyAlignment="1">
      <alignment vertical="center"/>
    </xf>
    <xf numFmtId="0" fontId="0" fillId="0" borderId="8" xfId="0" applyBorder="1" applyAlignment="1">
      <alignment vertical="center"/>
    </xf>
    <xf numFmtId="0" fontId="0" fillId="0" borderId="12" xfId="0" applyBorder="1" applyAlignment="1">
      <alignment vertical="center"/>
    </xf>
    <xf numFmtId="0" fontId="0" fillId="0" borderId="13" xfId="0" applyBorder="1" applyAlignment="1">
      <alignment vertical="center"/>
    </xf>
    <xf numFmtId="0" fontId="0" fillId="0" borderId="14" xfId="0" applyBorder="1" applyAlignment="1">
      <alignment vertical="center"/>
    </xf>
    <xf numFmtId="0" fontId="0" fillId="0" borderId="15" xfId="0" applyBorder="1" applyAlignment="1">
      <alignment vertical="center"/>
    </xf>
    <xf numFmtId="0" fontId="0" fillId="0" borderId="16" xfId="0" applyBorder="1" applyAlignment="1">
      <alignment vertical="center"/>
    </xf>
    <xf numFmtId="0" fontId="2" fillId="0" borderId="5" xfId="0" applyFont="1" applyBorder="1" applyAlignment="1">
      <alignment horizontal="center"/>
    </xf>
    <xf numFmtId="0" fontId="4" fillId="0" borderId="5" xfId="0" applyFont="1" applyBorder="1" applyAlignment="1">
      <alignment horizontal="center" vertical="top" wrapText="1"/>
    </xf>
    <xf numFmtId="0" fontId="5" fillId="0" borderId="5" xfId="0" applyFont="1" applyBorder="1" applyAlignment="1">
      <alignment wrapText="1"/>
    </xf>
    <xf numFmtId="0" fontId="2" fillId="0" borderId="3" xfId="0" applyFont="1" applyBorder="1" applyAlignment="1">
      <alignment horizontal="center"/>
    </xf>
    <xf numFmtId="0" fontId="2" fillId="0" borderId="10" xfId="0" applyFont="1" applyBorder="1" applyAlignment="1">
      <alignment horizontal="center"/>
    </xf>
    <xf numFmtId="0" fontId="0" fillId="0" borderId="17" xfId="0" applyBorder="1" applyAlignment="1">
      <alignment horizontal="center" vertical="center"/>
    </xf>
    <xf numFmtId="0" fontId="0" fillId="0" borderId="18" xfId="0" applyBorder="1" applyAlignment="1">
      <alignment horizontal="center" vertical="center" wrapText="1"/>
    </xf>
    <xf numFmtId="0" fontId="1" fillId="0" borderId="5" xfId="0" applyFont="1" applyBorder="1" applyAlignment="1">
      <alignment horizontal="left" vertical="center" wrapText="1"/>
    </xf>
    <xf numFmtId="0" fontId="1" fillId="0" borderId="5" xfId="0" applyFont="1" applyBorder="1" applyAlignment="1">
      <alignment wrapText="1"/>
    </xf>
    <xf numFmtId="0" fontId="1" fillId="0" borderId="5"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F762A-DED3-4138-9A71-4F78F9235918}">
  <dimension ref="A1:V30"/>
  <sheetViews>
    <sheetView showGridLines="0" tabSelected="1" workbookViewId="0">
      <pane xSplit="1" ySplit="1" topLeftCell="B2" activePane="bottomRight" state="frozen"/>
      <selection pane="bottomRight" activeCell="E4" sqref="E4"/>
      <selection pane="bottomLeft"/>
      <selection pane="topRight"/>
    </sheetView>
  </sheetViews>
  <sheetFormatPr defaultRowHeight="15"/>
  <cols>
    <col min="2" max="2" width="31.42578125" bestFit="1" customWidth="1"/>
    <col min="3" max="4" width="20.7109375" customWidth="1"/>
    <col min="5" max="5" width="12.140625" bestFit="1" customWidth="1"/>
    <col min="6" max="6" width="20.7109375" style="2" customWidth="1"/>
    <col min="7" max="8" width="33.140625" style="3" customWidth="1"/>
    <col min="9" max="9" width="33.140625" style="1" customWidth="1"/>
    <col min="10" max="10" width="32.7109375" customWidth="1"/>
    <col min="12" max="12" width="16.28515625" customWidth="1"/>
    <col min="13" max="14" width="11.85546875" customWidth="1"/>
    <col min="15" max="15" width="22.140625" customWidth="1"/>
    <col min="16" max="17" width="23" customWidth="1"/>
    <col min="18" max="18" width="24.28515625" customWidth="1"/>
    <col min="19" max="19" width="20.7109375" customWidth="1"/>
    <col min="20" max="20" width="11.28515625" bestFit="1" customWidth="1"/>
    <col min="21" max="21" width="30.28515625" bestFit="1" customWidth="1"/>
    <col min="22" max="22" width="16.7109375" bestFit="1" customWidth="1"/>
  </cols>
  <sheetData>
    <row r="1" spans="1:22" ht="15" customHeight="1">
      <c r="A1" s="4" t="s">
        <v>0</v>
      </c>
      <c r="B1" s="4" t="s">
        <v>1</v>
      </c>
      <c r="C1" s="4" t="s">
        <v>2</v>
      </c>
      <c r="D1" s="4" t="s">
        <v>3</v>
      </c>
      <c r="E1" s="4" t="s">
        <v>4</v>
      </c>
      <c r="F1" s="5" t="s">
        <v>5</v>
      </c>
      <c r="G1" s="5" t="s">
        <v>6</v>
      </c>
      <c r="H1" s="17" t="s">
        <v>7</v>
      </c>
      <c r="I1" s="15" t="s">
        <v>8</v>
      </c>
      <c r="J1" s="20" t="s">
        <v>9</v>
      </c>
      <c r="K1" s="25" t="s">
        <v>10</v>
      </c>
      <c r="L1" s="23" t="s">
        <v>11</v>
      </c>
      <c r="M1" s="39" t="s">
        <v>12</v>
      </c>
      <c r="N1" s="42" t="s">
        <v>13</v>
      </c>
      <c r="O1" s="39" t="s">
        <v>14</v>
      </c>
      <c r="P1" s="39" t="s">
        <v>15</v>
      </c>
      <c r="Q1" s="42" t="s">
        <v>16</v>
      </c>
      <c r="R1" s="42" t="s">
        <v>17</v>
      </c>
      <c r="S1" s="43" t="s">
        <v>18</v>
      </c>
      <c r="T1" s="7" t="s">
        <v>19</v>
      </c>
      <c r="U1" s="43" t="s">
        <v>20</v>
      </c>
      <c r="V1" s="7" t="s">
        <v>21</v>
      </c>
    </row>
    <row r="2" spans="1:22" s="2" customFormat="1" ht="121.5" customHeight="1">
      <c r="A2" s="8">
        <v>6451</v>
      </c>
      <c r="B2" s="8" t="s">
        <v>22</v>
      </c>
      <c r="C2" s="8" t="s">
        <v>23</v>
      </c>
      <c r="D2" s="8" t="s">
        <v>24</v>
      </c>
      <c r="E2" s="8">
        <v>1593836</v>
      </c>
      <c r="F2" s="2" t="s">
        <v>25</v>
      </c>
      <c r="G2" s="10" t="s">
        <v>26</v>
      </c>
      <c r="H2" s="18"/>
      <c r="I2" s="30">
        <v>215593</v>
      </c>
      <c r="J2" s="21" t="s">
        <v>27</v>
      </c>
      <c r="K2" s="26" t="s">
        <v>28</v>
      </c>
      <c r="L2" s="16"/>
      <c r="M2" s="44" t="s">
        <v>29</v>
      </c>
      <c r="N2" s="28"/>
      <c r="O2" s="45" t="s">
        <v>30</v>
      </c>
      <c r="P2" s="28"/>
      <c r="Q2" s="28"/>
      <c r="R2" s="28"/>
      <c r="S2" s="28"/>
      <c r="T2" s="16"/>
      <c r="U2" s="28"/>
      <c r="V2" s="16"/>
    </row>
    <row r="3" spans="1:22" s="2" customFormat="1" ht="121.5" customHeight="1">
      <c r="A3" s="31"/>
      <c r="B3" s="32"/>
      <c r="C3" s="32"/>
      <c r="D3" s="32"/>
      <c r="E3" s="33"/>
      <c r="F3" s="8" t="s">
        <v>31</v>
      </c>
      <c r="G3" s="10" t="s">
        <v>32</v>
      </c>
      <c r="H3" s="18" t="s">
        <v>33</v>
      </c>
      <c r="I3" s="28">
        <v>1.61</v>
      </c>
      <c r="J3" s="22"/>
      <c r="K3" s="26"/>
      <c r="L3" s="16"/>
      <c r="M3" s="44"/>
      <c r="N3" s="28"/>
      <c r="O3" s="45" t="s">
        <v>30</v>
      </c>
      <c r="P3" s="28"/>
      <c r="Q3" s="28"/>
      <c r="R3" s="28"/>
      <c r="S3" s="28"/>
      <c r="T3" s="16" t="s">
        <v>34</v>
      </c>
      <c r="U3" s="28"/>
      <c r="V3" s="16"/>
    </row>
    <row r="4" spans="1:22" ht="121.5" customHeight="1">
      <c r="A4" s="34"/>
      <c r="B4" s="2"/>
      <c r="C4" s="2"/>
      <c r="D4" s="2"/>
      <c r="E4" s="35"/>
      <c r="F4" s="8" t="s">
        <v>35</v>
      </c>
      <c r="G4" s="10" t="s">
        <v>36</v>
      </c>
      <c r="H4" s="19">
        <v>0</v>
      </c>
      <c r="I4" s="29">
        <v>766</v>
      </c>
      <c r="J4" s="21" t="s">
        <v>37</v>
      </c>
      <c r="K4" s="26"/>
      <c r="L4" s="27">
        <f>266/766</f>
        <v>0.3472584856396867</v>
      </c>
      <c r="M4" s="44"/>
      <c r="N4" s="28"/>
      <c r="O4" s="45" t="s">
        <v>30</v>
      </c>
      <c r="P4" s="28"/>
      <c r="Q4" s="28"/>
      <c r="R4" s="28"/>
      <c r="S4" s="28"/>
      <c r="T4" s="16"/>
      <c r="U4" s="28"/>
      <c r="V4" s="16"/>
    </row>
    <row r="5" spans="1:22" ht="121.5" customHeight="1">
      <c r="A5" s="36"/>
      <c r="B5" s="37"/>
      <c r="C5" s="37"/>
      <c r="D5" s="37"/>
      <c r="E5" s="38"/>
      <c r="F5" s="8" t="s">
        <v>20</v>
      </c>
      <c r="G5" s="10" t="s">
        <v>38</v>
      </c>
      <c r="H5" s="18" t="s">
        <v>39</v>
      </c>
      <c r="I5" s="29"/>
      <c r="J5" s="21" t="s">
        <v>40</v>
      </c>
      <c r="K5" s="26"/>
      <c r="L5" s="24"/>
      <c r="M5" s="44"/>
      <c r="N5" s="28"/>
      <c r="O5" s="45" t="s">
        <v>30</v>
      </c>
      <c r="P5" s="28" t="s">
        <v>41</v>
      </c>
      <c r="Q5" s="28"/>
      <c r="R5" s="28" t="s">
        <v>42</v>
      </c>
      <c r="S5" s="28" t="s">
        <v>41</v>
      </c>
      <c r="T5" s="16"/>
      <c r="U5" s="28" t="s">
        <v>43</v>
      </c>
      <c r="V5" s="16"/>
    </row>
    <row r="6" spans="1:22" ht="121.5" customHeight="1">
      <c r="G6" s="1"/>
      <c r="H6" s="1"/>
    </row>
    <row r="7" spans="1:22" ht="121.5" customHeight="1">
      <c r="G7" s="1"/>
      <c r="H7" s="1"/>
    </row>
    <row r="8" spans="1:22" ht="121.5" customHeight="1">
      <c r="G8" s="1"/>
      <c r="H8" s="1"/>
    </row>
    <row r="9" spans="1:22" ht="121.5" customHeight="1">
      <c r="G9" s="1"/>
      <c r="H9" s="1"/>
    </row>
    <row r="10" spans="1:22" ht="121.5" customHeight="1">
      <c r="G10" s="1"/>
      <c r="H10" s="1"/>
    </row>
    <row r="11" spans="1:22" ht="121.5" customHeight="1">
      <c r="G11" s="1"/>
      <c r="H11" s="1"/>
    </row>
    <row r="12" spans="1:22" ht="121.5" customHeight="1">
      <c r="G12" s="1"/>
      <c r="H12" s="1"/>
    </row>
    <row r="13" spans="1:22" ht="121.5" customHeight="1">
      <c r="G13" s="1"/>
      <c r="H13" s="1"/>
    </row>
    <row r="14" spans="1:22" ht="121.5" customHeight="1">
      <c r="G14" s="1"/>
      <c r="H14" s="1"/>
    </row>
    <row r="15" spans="1:22" ht="121.5" customHeight="1">
      <c r="G15" s="1"/>
      <c r="H15" s="1"/>
    </row>
    <row r="16" spans="1:22" ht="121.5" customHeight="1">
      <c r="G16" s="1"/>
      <c r="H16" s="1"/>
    </row>
    <row r="17" spans="7:8" ht="121.5" customHeight="1">
      <c r="G17" s="1"/>
      <c r="H17" s="1"/>
    </row>
    <row r="18" spans="7:8" ht="121.5" customHeight="1">
      <c r="G18" s="1"/>
      <c r="H18" s="1"/>
    </row>
    <row r="19" spans="7:8" ht="121.5" customHeight="1">
      <c r="G19" s="1"/>
      <c r="H19" s="1"/>
    </row>
    <row r="20" spans="7:8" ht="121.5" customHeight="1">
      <c r="G20" s="1"/>
      <c r="H20" s="1"/>
    </row>
    <row r="21" spans="7:8" ht="121.5" customHeight="1">
      <c r="G21" s="1"/>
      <c r="H21" s="1"/>
    </row>
    <row r="22" spans="7:8" ht="121.5" customHeight="1">
      <c r="G22" s="1"/>
      <c r="H22" s="1"/>
    </row>
    <row r="23" spans="7:8" ht="121.5" customHeight="1">
      <c r="G23" s="1"/>
      <c r="H23" s="1"/>
    </row>
    <row r="24" spans="7:8" ht="121.5" customHeight="1">
      <c r="G24" s="1"/>
      <c r="H24" s="1"/>
    </row>
    <row r="25" spans="7:8" ht="121.5" customHeight="1">
      <c r="G25" s="1"/>
      <c r="H25" s="1"/>
    </row>
    <row r="26" spans="7:8" ht="121.5" customHeight="1">
      <c r="G26" s="1"/>
      <c r="H26" s="1"/>
    </row>
    <row r="27" spans="7:8">
      <c r="G27" s="1"/>
      <c r="H27" s="1"/>
    </row>
    <row r="28" spans="7:8">
      <c r="G28" s="1"/>
      <c r="H28" s="1"/>
    </row>
    <row r="29" spans="7:8">
      <c r="G29" s="1"/>
      <c r="H29" s="1"/>
    </row>
    <row r="30" spans="7:8">
      <c r="G30" s="1"/>
      <c r="H30" s="1"/>
    </row>
  </sheetData>
  <dataValidations count="10">
    <dataValidation type="list" allowBlank="1" showInputMessage="1" showErrorMessage="1" sqref="R2:R5 S6:S34" xr:uid="{5D6840D0-F92E-4F14-A78F-02521D359DF7}">
      <formula1>"NDC Support, National Strategy, Legal Framework,Incentives and Support, Government Capacity-Building, Carbon Pricing and Monitoring, Financing Model, Business Model"</formula1>
    </dataValidation>
    <dataValidation type="list" allowBlank="1" showInputMessage="1" showErrorMessage="1" sqref="Q2:Q5 R6:R28" xr:uid="{1B2D4179-B05D-443C-9055-E91294BA3D3C}">
      <formula1>"AMP, PUDC, Solar4Health, Action Opportunities, Italy UNDP Energy Partnership"</formula1>
    </dataValidation>
    <dataValidation type="list" allowBlank="1" showInputMessage="1" showErrorMessage="1" sqref="P6:Q29" xr:uid="{ED37DEB0-9F18-4E25-9B45-06E368888AB8}">
      <formula1>"Electricity Access, Energy Efficiency, Clean Cooking, Renewable Energy"</formula1>
    </dataValidation>
    <dataValidation type="list" allowBlank="1" showInputMessage="1" showErrorMessage="1" sqref="P2:P5" xr:uid="{A4DDFB08-5C89-421A-91B2-478D0B9F1F03}">
      <formula1>"Electricity Access, Energy Efficiency, Clean Cooking, Renewable Energy, Overall"</formula1>
    </dataValidation>
    <dataValidation type="list" allowBlank="1" showInputMessage="1" showErrorMessage="1" sqref="O2:O29" xr:uid="{FBD016C4-28CE-45DE-A3B2-C0DF2AEDD52A}">
      <formula1>"Accelerating just energy transition, Close the gap on energy access, Scale up energy finance"</formula1>
    </dataValidation>
    <dataValidation type="list" allowBlank="1" showInputMessage="1" showErrorMessage="1" sqref="M2:M5" xr:uid="{F31F5CF4-710F-49F1-A311-227E5B179886}">
      <formula1>"Non-VF, VF"</formula1>
    </dataValidation>
    <dataValidation type="list" allowBlank="1" showInputMessage="1" showErrorMessage="1" sqref="N2:N5" xr:uid="{977A8B95-2DEF-43E8-8AE9-3699E92A198B}">
      <formula1>"Finance, Gender, Efficiency, Just, Health"</formula1>
    </dataValidation>
    <dataValidation type="list" allowBlank="1" showInputMessage="1" showErrorMessage="1" sqref="U2:U5" xr:uid="{41CA1891-0C93-4EAD-85B3-6DFCD36ED449}">
      <formula1>"National, Regional, City, Community"</formula1>
    </dataValidation>
    <dataValidation type="list" allowBlank="1" showInputMessage="1" showErrorMessage="1" sqref="T2:T5" xr:uid="{97BDA1D5-E64C-4EE8-9BB9-C34AFF902532}">
      <formula1>"Solar, Wind, Bioenergy, Hydro, Geothermal, Waste, Other, Unknown"</formula1>
    </dataValidation>
    <dataValidation type="list" allowBlank="1" showInputMessage="1" showErrorMessage="1" sqref="S2:S5" xr:uid="{29A33F72-815A-4FEE-86B2-8851863BC02A}">
      <formula1>"Electricity Access, Energy Efficiency, Renewable Energy, Infrastructure,  Transport, Digital &amp; Data, Clean Cooking, Decarbonization, Hydrogen, Off-Grid, On-Grid, Research &amp; Innovation, Grant &amp; Investment"</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8D3B3216-FA39-45A5-BC66-77B788C9E18C}">
          <x14:formula1>
            <xm:f>'Beneficiary Categories'!$A$2:$A$22</xm:f>
          </x14:formula1>
          <xm:sqref>F2:F5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575C4-53E9-44C9-B1C9-C4A64E25CF22}">
  <dimension ref="A1:Q30"/>
  <sheetViews>
    <sheetView workbookViewId="0">
      <selection activeCell="H1" sqref="H1:H5"/>
    </sheetView>
  </sheetViews>
  <sheetFormatPr defaultRowHeight="15"/>
  <cols>
    <col min="2" max="3" width="20.7109375" customWidth="1"/>
    <col min="5" max="5" width="20.7109375" style="2" customWidth="1"/>
    <col min="6" max="7" width="33.140625" style="3" customWidth="1"/>
    <col min="8" max="8" width="33.140625" style="1" customWidth="1"/>
    <col min="9" max="9" width="32.7109375" customWidth="1"/>
    <col min="11" max="11" width="16.28515625" customWidth="1"/>
    <col min="12" max="12" width="11.85546875" customWidth="1"/>
    <col min="13" max="13" width="22.140625" customWidth="1"/>
    <col min="14" max="14" width="23" customWidth="1"/>
    <col min="15" max="15" width="24.28515625" customWidth="1"/>
    <col min="16" max="16" width="20.7109375" customWidth="1"/>
    <col min="17" max="17" width="19.42578125" customWidth="1"/>
  </cols>
  <sheetData>
    <row r="1" spans="1:17" ht="15" customHeight="1">
      <c r="A1" s="4" t="s">
        <v>0</v>
      </c>
      <c r="B1" s="4" t="s">
        <v>1</v>
      </c>
      <c r="C1" s="4" t="s">
        <v>2</v>
      </c>
      <c r="D1" s="4" t="s">
        <v>4</v>
      </c>
      <c r="E1" s="5" t="s">
        <v>5</v>
      </c>
      <c r="F1" s="5" t="s">
        <v>6</v>
      </c>
      <c r="G1" s="5" t="s">
        <v>7</v>
      </c>
      <c r="H1" s="6" t="s">
        <v>8</v>
      </c>
      <c r="I1" s="4" t="s">
        <v>9</v>
      </c>
      <c r="J1" s="7" t="s">
        <v>10</v>
      </c>
      <c r="K1" s="13" t="s">
        <v>11</v>
      </c>
      <c r="L1" s="13" t="s">
        <v>44</v>
      </c>
      <c r="M1" s="14" t="s">
        <v>14</v>
      </c>
      <c r="N1" s="14" t="s">
        <v>15</v>
      </c>
      <c r="O1" s="14" t="s">
        <v>16</v>
      </c>
      <c r="P1" s="14" t="s">
        <v>17</v>
      </c>
      <c r="Q1" s="14" t="s">
        <v>18</v>
      </c>
    </row>
    <row r="2" spans="1:17" s="2" customFormat="1" ht="121.5" customHeight="1">
      <c r="A2" s="8">
        <v>6451</v>
      </c>
      <c r="B2" s="8" t="s">
        <v>22</v>
      </c>
      <c r="C2" s="8" t="s">
        <v>23</v>
      </c>
      <c r="D2" s="8">
        <v>1593836</v>
      </c>
      <c r="E2" s="8" t="s">
        <v>45</v>
      </c>
      <c r="F2" s="10" t="s">
        <v>26</v>
      </c>
      <c r="G2" s="10" t="s">
        <v>33</v>
      </c>
      <c r="H2" s="12">
        <v>215593</v>
      </c>
      <c r="I2" s="10" t="s">
        <v>27</v>
      </c>
      <c r="J2" s="8" t="s">
        <v>28</v>
      </c>
      <c r="L2" s="2" t="s">
        <v>29</v>
      </c>
      <c r="M2" t="s">
        <v>46</v>
      </c>
      <c r="N2" t="s">
        <v>41</v>
      </c>
      <c r="O2"/>
      <c r="P2"/>
      <c r="Q2"/>
    </row>
    <row r="3" spans="1:17" s="2" customFormat="1" ht="121.5" customHeight="1">
      <c r="A3" s="8"/>
      <c r="B3" s="8"/>
      <c r="C3" s="8"/>
      <c r="D3" s="8"/>
      <c r="E3" s="8" t="s">
        <v>31</v>
      </c>
      <c r="F3" s="10" t="s">
        <v>32</v>
      </c>
      <c r="G3" s="10"/>
      <c r="H3" s="2">
        <v>1.61</v>
      </c>
      <c r="I3" s="8"/>
      <c r="J3" s="8"/>
      <c r="M3"/>
      <c r="N3"/>
      <c r="O3"/>
      <c r="P3"/>
      <c r="Q3"/>
    </row>
    <row r="4" spans="1:17" ht="121.5" customHeight="1">
      <c r="A4" s="8"/>
      <c r="B4" s="8"/>
      <c r="C4" s="8"/>
      <c r="D4" s="8"/>
      <c r="E4" s="8" t="s">
        <v>47</v>
      </c>
      <c r="F4" s="10" t="s">
        <v>36</v>
      </c>
      <c r="G4" s="11" t="s">
        <v>48</v>
      </c>
      <c r="H4" s="1">
        <v>766</v>
      </c>
      <c r="I4" s="10" t="s">
        <v>37</v>
      </c>
      <c r="J4" s="8"/>
      <c r="K4">
        <f>266/766</f>
        <v>0.3472584856396867</v>
      </c>
    </row>
    <row r="5" spans="1:17" ht="121.5" customHeight="1">
      <c r="A5" s="8"/>
      <c r="B5" s="8"/>
      <c r="C5" s="8"/>
      <c r="D5" s="8"/>
      <c r="E5" s="8" t="s">
        <v>20</v>
      </c>
      <c r="F5" s="10" t="s">
        <v>38</v>
      </c>
      <c r="G5" s="10" t="s">
        <v>39</v>
      </c>
      <c r="I5" s="10" t="s">
        <v>40</v>
      </c>
      <c r="J5" s="8"/>
    </row>
    <row r="6" spans="1:17" ht="121.5" customHeight="1">
      <c r="F6" s="1"/>
      <c r="G6" s="1"/>
    </row>
    <row r="7" spans="1:17" ht="121.5" customHeight="1">
      <c r="F7" s="1"/>
      <c r="G7" s="1"/>
    </row>
    <row r="8" spans="1:17" ht="121.5" customHeight="1">
      <c r="F8" s="1"/>
      <c r="G8" s="1"/>
    </row>
    <row r="9" spans="1:17" ht="121.5" customHeight="1">
      <c r="F9" s="1"/>
      <c r="G9" s="1"/>
    </row>
    <row r="10" spans="1:17" ht="121.5" customHeight="1">
      <c r="F10" s="1"/>
      <c r="G10" s="1"/>
    </row>
    <row r="11" spans="1:17" ht="121.5" customHeight="1">
      <c r="F11" s="1"/>
      <c r="G11" s="1"/>
    </row>
    <row r="12" spans="1:17" ht="121.5" customHeight="1">
      <c r="F12" s="1"/>
      <c r="G12" s="1"/>
    </row>
    <row r="13" spans="1:17" ht="121.5" customHeight="1">
      <c r="F13" s="1"/>
      <c r="G13" s="1"/>
    </row>
    <row r="14" spans="1:17" ht="121.5" customHeight="1">
      <c r="F14" s="1"/>
      <c r="G14" s="1"/>
    </row>
    <row r="15" spans="1:17" ht="121.5" customHeight="1">
      <c r="F15" s="1"/>
      <c r="G15" s="1"/>
    </row>
    <row r="16" spans="1:17" ht="121.5" customHeight="1">
      <c r="F16" s="1"/>
      <c r="G16" s="1"/>
    </row>
    <row r="17" spans="6:7" ht="121.5" customHeight="1">
      <c r="F17" s="1"/>
      <c r="G17" s="1"/>
    </row>
    <row r="18" spans="6:7" ht="121.5" customHeight="1">
      <c r="F18" s="1"/>
      <c r="G18" s="1"/>
    </row>
    <row r="19" spans="6:7" ht="121.5" customHeight="1">
      <c r="F19" s="1"/>
      <c r="G19" s="1"/>
    </row>
    <row r="20" spans="6:7" ht="121.5" customHeight="1">
      <c r="F20" s="1"/>
      <c r="G20" s="1"/>
    </row>
    <row r="21" spans="6:7" ht="121.5" customHeight="1">
      <c r="F21" s="1"/>
      <c r="G21" s="1"/>
    </row>
    <row r="22" spans="6:7" ht="121.5" customHeight="1">
      <c r="F22" s="1"/>
      <c r="G22" s="1"/>
    </row>
    <row r="23" spans="6:7" ht="121.5" customHeight="1">
      <c r="F23" s="1"/>
      <c r="G23" s="1"/>
    </row>
    <row r="24" spans="6:7" ht="121.5" customHeight="1">
      <c r="F24" s="1"/>
      <c r="G24" s="1"/>
    </row>
    <row r="25" spans="6:7" ht="121.5" customHeight="1">
      <c r="F25" s="1"/>
      <c r="G25" s="1"/>
    </row>
    <row r="26" spans="6:7" ht="121.5" customHeight="1">
      <c r="F26" s="1"/>
      <c r="G26" s="1"/>
    </row>
    <row r="27" spans="6:7">
      <c r="F27" s="1"/>
      <c r="G27" s="1"/>
    </row>
    <row r="28" spans="6:7">
      <c r="F28" s="1"/>
      <c r="G28" s="1"/>
    </row>
    <row r="29" spans="6:7">
      <c r="F29" s="1"/>
      <c r="G29" s="1"/>
    </row>
    <row r="30" spans="6:7">
      <c r="F30" s="1"/>
      <c r="G30" s="1"/>
    </row>
  </sheetData>
  <dataValidations count="5">
    <dataValidation type="list" allowBlank="1" showInputMessage="1" showErrorMessage="1" sqref="M2:M29" xr:uid="{17F339F6-9066-4C15-B093-104D6F988BB5}">
      <formula1>"Accelerating just energy transition, Close the gap on energy access, Scale up energy finance"</formula1>
    </dataValidation>
    <dataValidation type="list" allowBlank="1" showInputMessage="1" showErrorMessage="1" sqref="N2:N29" xr:uid="{E09A7A01-C59E-449C-BA51-62DC8691947F}">
      <formula1>"Electricity Access, Energy Efficiency, Clean Cooking, Renewable Energy"</formula1>
    </dataValidation>
    <dataValidation type="list" allowBlank="1" showInputMessage="1" showErrorMessage="1" sqref="O2:O28" xr:uid="{77B079CF-8997-47AE-BC5A-84A29127E119}">
      <formula1>"AMP, PUDC, Solar4Health, Action Opportunities, Italy UNDP Energy Partnership"</formula1>
    </dataValidation>
    <dataValidation type="list" allowBlank="1" showInputMessage="1" showErrorMessage="1" sqref="P2:P34" xr:uid="{48142E0C-54B2-4296-87A8-D68F8A46CDCC}">
      <formula1>"NDC Support, National Strategy, Legal Framework,Incentives and Support, Government Capacity-Building, Carbon Pricing and Monitoring, Financing Model, Business Model"</formula1>
    </dataValidation>
    <dataValidation type="list" allowBlank="1" showInputMessage="1" showErrorMessage="1" sqref="Q2:Q40" xr:uid="{9F2547E8-38EB-46E5-94D3-E5FE9BB7D1D5}">
      <formula1>"Electricity Access, Energy Efficiency, Renewable EnergyEnergy Infrastructure,   Transport, Digital &amp; Data, Clean Cooking, Decarbonization, Hydrogen, Off-Grid, On-Grid"</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43BCE0D4-A39A-4842-9508-4E603DFB0E42}">
          <x14:formula1>
            <xm:f>'Beneficiary Categories'!$A$2:$A$16</xm:f>
          </x14:formula1>
          <xm:sqref>E3:E5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
  <sheetViews>
    <sheetView workbookViewId="0">
      <selection activeCell="J1" sqref="J1"/>
    </sheetView>
  </sheetViews>
  <sheetFormatPr defaultRowHeight="14.45"/>
  <cols>
    <col min="2" max="3" width="20.7109375" customWidth="1"/>
    <col min="5" max="5" width="20.7109375" style="2" customWidth="1"/>
    <col min="6" max="7" width="33.140625" style="3" customWidth="1"/>
    <col min="8" max="8" width="33.140625" style="1" customWidth="1"/>
    <col min="9" max="9" width="32.7109375" customWidth="1"/>
  </cols>
  <sheetData>
    <row r="1" spans="1:10" ht="15" customHeight="1">
      <c r="A1" s="4" t="s">
        <v>0</v>
      </c>
      <c r="B1" s="4" t="s">
        <v>1</v>
      </c>
      <c r="C1" s="4" t="s">
        <v>2</v>
      </c>
      <c r="D1" s="4" t="s">
        <v>4</v>
      </c>
      <c r="E1" s="5" t="s">
        <v>5</v>
      </c>
      <c r="F1" s="5" t="s">
        <v>49</v>
      </c>
      <c r="G1" s="5" t="s">
        <v>7</v>
      </c>
      <c r="H1" s="6" t="s">
        <v>50</v>
      </c>
      <c r="I1" s="4" t="s">
        <v>9</v>
      </c>
      <c r="J1" s="7" t="s">
        <v>10</v>
      </c>
    </row>
    <row r="2" spans="1:10" s="2" customFormat="1" ht="121.5" customHeight="1">
      <c r="A2" s="8">
        <v>6451</v>
      </c>
      <c r="B2" s="8" t="s">
        <v>22</v>
      </c>
      <c r="C2" s="8" t="s">
        <v>23</v>
      </c>
      <c r="D2" s="8">
        <v>1593836</v>
      </c>
      <c r="E2" s="8" t="s">
        <v>31</v>
      </c>
      <c r="F2" s="10" t="s">
        <v>51</v>
      </c>
      <c r="G2" s="10" t="s">
        <v>33</v>
      </c>
      <c r="H2" s="10" t="s">
        <v>27</v>
      </c>
      <c r="I2" s="8"/>
      <c r="J2" s="8" t="s">
        <v>28</v>
      </c>
    </row>
    <row r="3" spans="1:10" ht="121.5" customHeight="1">
      <c r="A3" s="9"/>
      <c r="B3" s="9"/>
      <c r="C3" s="9"/>
      <c r="D3" s="9"/>
      <c r="E3" s="8" t="s">
        <v>47</v>
      </c>
      <c r="F3" s="10" t="s">
        <v>36</v>
      </c>
      <c r="G3" s="11" t="s">
        <v>48</v>
      </c>
      <c r="H3" s="10" t="s">
        <v>37</v>
      </c>
      <c r="I3" s="9"/>
      <c r="J3" s="8" t="s">
        <v>28</v>
      </c>
    </row>
    <row r="4" spans="1:10" ht="121.5" customHeight="1">
      <c r="A4" s="9"/>
      <c r="B4" s="9"/>
      <c r="C4" s="9"/>
      <c r="D4" s="9"/>
      <c r="E4" s="8" t="s">
        <v>20</v>
      </c>
      <c r="F4" s="10" t="s">
        <v>38</v>
      </c>
      <c r="G4" s="10" t="s">
        <v>39</v>
      </c>
      <c r="H4" s="10" t="s">
        <v>40</v>
      </c>
      <c r="I4" s="9"/>
      <c r="J4" s="8" t="s">
        <v>28</v>
      </c>
    </row>
    <row r="5" spans="1:10" ht="121.5" customHeight="1">
      <c r="F5" s="1"/>
      <c r="G5" s="1"/>
    </row>
    <row r="6" spans="1:10" ht="121.5" customHeight="1">
      <c r="F6" s="1"/>
      <c r="G6" s="1"/>
    </row>
    <row r="7" spans="1:10" ht="121.5" customHeight="1">
      <c r="F7" s="1"/>
      <c r="G7" s="1"/>
    </row>
    <row r="8" spans="1:10" ht="121.5" customHeight="1">
      <c r="F8" s="1"/>
      <c r="G8" s="1"/>
    </row>
    <row r="9" spans="1:10" ht="121.5" customHeight="1">
      <c r="F9" s="1"/>
      <c r="G9" s="1"/>
    </row>
    <row r="10" spans="1:10" ht="121.5" customHeight="1">
      <c r="F10" s="1"/>
      <c r="G10" s="1"/>
    </row>
    <row r="11" spans="1:10" ht="121.5" customHeight="1">
      <c r="F11" s="1"/>
      <c r="G11" s="1"/>
    </row>
    <row r="12" spans="1:10" ht="121.5" customHeight="1">
      <c r="F12" s="1"/>
      <c r="G12" s="1"/>
    </row>
    <row r="13" spans="1:10" ht="121.5" customHeight="1">
      <c r="F13" s="1"/>
      <c r="G13" s="1"/>
    </row>
    <row r="14" spans="1:10" ht="121.5" customHeight="1">
      <c r="F14" s="1"/>
      <c r="G14" s="1"/>
    </row>
    <row r="15" spans="1:10" ht="121.5" customHeight="1">
      <c r="F15" s="1"/>
      <c r="G15" s="1"/>
    </row>
    <row r="16" spans="1:10" ht="121.5" customHeight="1">
      <c r="F16" s="1"/>
      <c r="G16" s="1"/>
    </row>
    <row r="17" spans="6:7" ht="121.5" customHeight="1">
      <c r="F17" s="1"/>
      <c r="G17" s="1"/>
    </row>
    <row r="18" spans="6:7" ht="121.5" customHeight="1">
      <c r="F18" s="1"/>
      <c r="G18" s="1"/>
    </row>
    <row r="19" spans="6:7" ht="121.5" customHeight="1">
      <c r="F19" s="1"/>
      <c r="G19" s="1"/>
    </row>
    <row r="20" spans="6:7" ht="121.5" customHeight="1">
      <c r="F20" s="1"/>
      <c r="G20" s="1"/>
    </row>
    <row r="21" spans="6:7" ht="121.5" customHeight="1">
      <c r="F21" s="1"/>
      <c r="G21" s="1"/>
    </row>
    <row r="22" spans="6:7" ht="121.5" customHeight="1">
      <c r="F22" s="1"/>
      <c r="G22" s="1"/>
    </row>
    <row r="23" spans="6:7" ht="121.5" customHeight="1">
      <c r="F23" s="1"/>
      <c r="G23" s="1"/>
    </row>
    <row r="24" spans="6:7" ht="121.5" customHeight="1">
      <c r="F24" s="1"/>
      <c r="G24" s="1"/>
    </row>
    <row r="25" spans="6:7" ht="121.5" customHeight="1">
      <c r="F25" s="1"/>
      <c r="G25" s="1"/>
    </row>
    <row r="26" spans="6:7">
      <c r="F26" s="1"/>
      <c r="G26" s="1"/>
    </row>
    <row r="27" spans="6:7">
      <c r="F27" s="1"/>
      <c r="G27" s="1"/>
    </row>
    <row r="28" spans="6:7">
      <c r="F28" s="1"/>
      <c r="G28" s="1"/>
    </row>
    <row r="29" spans="6:7">
      <c r="F29" s="1"/>
      <c r="G29" s="1"/>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A13" sqref="A13"/>
    </sheetView>
  </sheetViews>
  <sheetFormatPr defaultRowHeight="15" customHeight="1"/>
  <cols>
    <col min="1" max="2" width="52.7109375" customWidth="1"/>
  </cols>
  <sheetData>
    <row r="1" spans="1:2">
      <c r="A1" s="40" t="s">
        <v>5</v>
      </c>
      <c r="B1" s="40" t="s">
        <v>6</v>
      </c>
    </row>
    <row r="2" spans="1:2" ht="45.75">
      <c r="A2" s="46" t="s">
        <v>52</v>
      </c>
      <c r="B2" s="41" t="s">
        <v>53</v>
      </c>
    </row>
    <row r="3" spans="1:2">
      <c r="A3" s="46" t="s">
        <v>31</v>
      </c>
      <c r="B3" s="41" t="s">
        <v>54</v>
      </c>
    </row>
    <row r="4" spans="1:2" ht="30.75">
      <c r="A4" s="46" t="s">
        <v>55</v>
      </c>
      <c r="B4" s="41" t="s">
        <v>56</v>
      </c>
    </row>
    <row r="5" spans="1:2" ht="30.75">
      <c r="A5" s="46" t="s">
        <v>57</v>
      </c>
      <c r="B5" s="41" t="s">
        <v>58</v>
      </c>
    </row>
    <row r="6" spans="1:2" ht="91.5">
      <c r="A6" s="46" t="s">
        <v>59</v>
      </c>
      <c r="B6" s="41" t="s">
        <v>60</v>
      </c>
    </row>
    <row r="7" spans="1:2" ht="45.75">
      <c r="A7" s="46" t="s">
        <v>61</v>
      </c>
      <c r="B7" s="41" t="s">
        <v>62</v>
      </c>
    </row>
    <row r="8" spans="1:2" ht="45.75">
      <c r="A8" s="46" t="s">
        <v>63</v>
      </c>
      <c r="B8" s="41" t="s">
        <v>64</v>
      </c>
    </row>
    <row r="9" spans="1:2" ht="45.75">
      <c r="A9" s="46" t="s">
        <v>65</v>
      </c>
      <c r="B9" s="41" t="s">
        <v>66</v>
      </c>
    </row>
    <row r="10" spans="1:2" ht="30.75">
      <c r="A10" s="46" t="s">
        <v>67</v>
      </c>
      <c r="B10" s="47" t="s">
        <v>68</v>
      </c>
    </row>
    <row r="11" spans="1:2" ht="30.75">
      <c r="A11" s="46" t="s">
        <v>69</v>
      </c>
      <c r="B11" s="47" t="s">
        <v>70</v>
      </c>
    </row>
    <row r="12" spans="1:2" ht="45.75">
      <c r="A12" s="46" t="s">
        <v>71</v>
      </c>
      <c r="B12" s="41" t="s">
        <v>72</v>
      </c>
    </row>
    <row r="13" spans="1:2" ht="30.75">
      <c r="A13" s="46" t="s">
        <v>73</v>
      </c>
      <c r="B13" s="47" t="s">
        <v>74</v>
      </c>
    </row>
    <row r="14" spans="1:2">
      <c r="A14" s="46" t="s">
        <v>75</v>
      </c>
      <c r="B14" s="47" t="s">
        <v>76</v>
      </c>
    </row>
    <row r="15" spans="1:2" ht="30.75">
      <c r="A15" s="46" t="s">
        <v>77</v>
      </c>
      <c r="B15" s="47" t="s">
        <v>78</v>
      </c>
    </row>
    <row r="16" spans="1:2" ht="30.75">
      <c r="A16" s="46" t="s">
        <v>79</v>
      </c>
      <c r="B16" s="47" t="s">
        <v>80</v>
      </c>
    </row>
    <row r="17" spans="1:2" ht="30.75">
      <c r="A17" s="46" t="s">
        <v>35</v>
      </c>
      <c r="B17" s="41" t="s">
        <v>81</v>
      </c>
    </row>
    <row r="18" spans="1:2" ht="30.75">
      <c r="A18" s="46" t="s">
        <v>82</v>
      </c>
      <c r="B18" s="47" t="s">
        <v>83</v>
      </c>
    </row>
    <row r="19" spans="1:2" ht="76.5">
      <c r="A19" s="46" t="s">
        <v>84</v>
      </c>
      <c r="B19" s="47" t="s">
        <v>85</v>
      </c>
    </row>
    <row r="20" spans="1:2" ht="30.75">
      <c r="A20" s="46" t="s">
        <v>86</v>
      </c>
      <c r="B20" s="47" t="s">
        <v>87</v>
      </c>
    </row>
    <row r="21" spans="1:2" ht="45.75">
      <c r="A21" s="46" t="s">
        <v>20</v>
      </c>
      <c r="B21" s="48" t="s">
        <v>88</v>
      </c>
    </row>
    <row r="22" spans="1:2" ht="30.75">
      <c r="A22" s="46" t="s">
        <v>89</v>
      </c>
      <c r="B22" s="47" t="s">
        <v>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3359E9-7449-48A9-8720-95B79D3380A8}"/>
</file>

<file path=customXml/itemProps2.xml><?xml version="1.0" encoding="utf-8"?>
<ds:datastoreItem xmlns:ds="http://schemas.openxmlformats.org/officeDocument/2006/customXml" ds:itemID="{F09D3EDE-6258-4798-8B72-155C438891FC}"/>
</file>

<file path=customXml/itemProps3.xml><?xml version="1.0" encoding="utf-8"?>
<ds:datastoreItem xmlns:ds="http://schemas.openxmlformats.org/officeDocument/2006/customXml" ds:itemID="{8FDB4A28-5C93-4D80-B20C-9E81E38E762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Folashade Jaiyeola</cp:lastModifiedBy>
  <cp:revision/>
  <dcterms:created xsi:type="dcterms:W3CDTF">2023-05-05T09:33:41Z</dcterms:created>
  <dcterms:modified xsi:type="dcterms:W3CDTF">2025-02-11T17:45:34Z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