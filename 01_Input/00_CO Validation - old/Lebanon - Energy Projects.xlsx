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87" documentId="11_E58CCD86D1F8A99D98ABBAEECE8F2A93CC89B156" xr6:coauthVersionLast="47" xr6:coauthVersionMax="47" xr10:uidLastSave="{BC5753D0-F8DF-DD4B-915A-45ADE3DF4038}"/>
  <bookViews>
    <workbookView xWindow="240" yWindow="500" windowWidth="29660" windowHeight="165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4" l="1"/>
  <c r="AF2" i="4"/>
  <c r="T2" i="3"/>
  <c r="T3" i="3"/>
</calcChain>
</file>

<file path=xl/sharedStrings.xml><?xml version="1.0" encoding="utf-8"?>
<sst xmlns="http://schemas.openxmlformats.org/spreadsheetml/2006/main" count="197" uniqueCount="97">
  <si>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</si>
  <si>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</si>
  <si>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</si>
  <si>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</si>
  <si>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</si>
  <si>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</si>
  <si>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</si>
  <si>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</si>
  <si>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</si>
  <si>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</si>
  <si>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</si>
  <si>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</si>
  <si>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</si>
  <si>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</si>
  <si>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</si>
  <si>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</si>
  <si>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</si>
  <si>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</si>
  <si>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</si>
  <si>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</si>
  <si>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</si>
  <si>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</si>
  <si>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Sustainable Energy Programme</t>
  </si>
  <si>
    <t>http://open.undp.org/projects/00120029</t>
  </si>
  <si>
    <t>Entrepreneurship Training</t>
  </si>
  <si>
    <t>Number of professionals &amp; stakeholders trained</t>
  </si>
  <si>
    <t>EU</t>
  </si>
  <si>
    <t>Non-VF</t>
  </si>
  <si>
    <t>Accelerating just energy transition</t>
  </si>
  <si>
    <t>Energy Efficiency</t>
  </si>
  <si>
    <t>Tier 1</t>
  </si>
  <si>
    <t xml:space="preserve">Project 120029 seems like it doesn't have enough beneficiaries specified. The budget is over $15M, but only 230 people were listed for a training. 
1.Can you please provide more information on the outputs of this project?
2. Can you please share the ammount of budget related to energy activities ? </t>
  </si>
  <si>
    <t>For the category related to entrepreneurship training, it is indeed only 230 persons that were trained but the budget for that activity was approximately $100,000 out of the total $15 million. There are other outputs of the project that you can check in the output results in the link which includes the various activities implemented within this project each year and include the installation of solar energy systems in industries, army barracks and others. Project documents send by email</t>
  </si>
  <si>
    <t>Direct additional employment (person months)</t>
  </si>
  <si>
    <t>Impact Indicators</t>
  </si>
  <si>
    <t>https://undp-my.sharepoint.com/:w:/g/personal/jihan_seoud_undp_org/ET_rZwCiM-NCubONnZ9oetsBcO5MJ4JrobTG48wgaYch_g?e=e5JUmD&amp;CID=3183E6F2-6D67-4323-BE6D-31996EA2705E</t>
  </si>
  <si>
    <t>Lebanon Sustainable Low-emission Transport Systems</t>
  </si>
  <si>
    <t xml:space="preserve">https://co.pims.undp.org/project-attachment/index?projectId=6468 
https://www.thegef.org/projects-operations/projects/10358 </t>
  </si>
  <si>
    <t>Transportation and E-mobility Services</t>
  </si>
  <si>
    <t>Outcome Indicator 1: # direct project beneficiaries disaggregated by gender (individual people</t>
  </si>
  <si>
    <t>https://www.thegef.org/projects-operations/projects/10358</t>
  </si>
  <si>
    <t>GEF</t>
  </si>
  <si>
    <t>VF</t>
  </si>
  <si>
    <t>Close the gap on energy access</t>
  </si>
  <si>
    <t>https://undp-my.sharepoint.com/:w:/g/personal/jihan_seoud_undp_org/EdCRFNHka59Ehd5I0eDb-_QBSD3Y7vTufR-j-ioHEuPD1w?e=ZAeRLg&amp;CID=9D014957-FFDB-4849-84F1-EC9AA031D3D1</t>
  </si>
  <si>
    <t>Improving energy security and promoting the transition to sustainable energy in Lebanon</t>
  </si>
  <si>
    <t>https://undp.lightning.force.com/lightning/r/Project__c/a386N000005LkApQAK/view</t>
  </si>
  <si>
    <t>Health Services</t>
  </si>
  <si>
    <t>Indicator 1.1.2 Energy saved from RE &amp; EE interventions per year (MWh)</t>
  </si>
  <si>
    <t>KfW</t>
  </si>
  <si>
    <t>yes</t>
  </si>
  <si>
    <t>EU Support to Lebanon's Green Agenda - Sustainable Energy</t>
  </si>
  <si>
    <t>https://undp.lightning.force.com/lightning/r/Project__c/a386N000005LZYGQA4/view</t>
  </si>
  <si>
    <t>Education Services</t>
  </si>
  <si>
    <t xml:space="preserve">Tons of annual fossil fuel imports reduced </t>
  </si>
  <si>
    <t>Category</t>
  </si>
  <si>
    <t>Comments</t>
  </si>
  <si>
    <t>Energy Percent</t>
  </si>
  <si>
    <t>http://open.undp.org/projects/00120030</t>
  </si>
  <si>
    <t>Other Energy Services</t>
  </si>
  <si>
    <t>PIMS+
https://www.thegef.org/projects-operations/projects/10358</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</si>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</sst>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409]* #,##0.00_);_([$$-409]* \(#,##0.00\);_([$$-409]*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b/>
      <sz val="11"/>
      <color rgb="FFFF0000"/>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sz val="11"/>
      <color rgb="FFFF0000"/>
      <name val="Calibri"/>
      <family val="2"/>
      <scheme val="minor"/>
    </font>
    <font>
      <sz val="11"/>
      <color rgb="FF0D0D0D"/>
      <name val="Calibri"/>
      <family val="2"/>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3">
    <xf numFmtId="0" fontId="0" fillId="0" borderId="0"/>
    <xf numFmtId="0" fontId="5" fillId="0" borderId="0" applyNumberFormat="0" applyFill="0" applyBorder="0" applyAlignment="0" applyProtection="0"/>
    <xf numFmtId="41" fontId="1" fillId="0" borderId="0" applyFont="0" applyFill="0" applyBorder="0" applyAlignment="0" applyProtection="0"/>
  </cellStyleXfs>
  <cellXfs count="60">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3" fillId="2" borderId="0" xfId="1" applyFont="1" applyFill="1" applyAlignment="1" applyProtection="1"/>
    <xf numFmtId="0" fontId="0" fillId="0" borderId="0" xfId="0" applyAlignment="1">
      <alignment wrapText="1"/>
    </xf>
    <xf numFmtId="0" fontId="4" fillId="0" borderId="0" xfId="0" applyFont="1" applyAlignment="1">
      <alignment wrapText="1"/>
    </xf>
    <xf numFmtId="0" fontId="0" fillId="0" borderId="0" xfId="0" applyAlignment="1">
      <alignment horizontal="center" wrapText="1"/>
    </xf>
    <xf numFmtId="0" fontId="5" fillId="0" borderId="0" xfId="1"/>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Font="1" applyBorder="1" applyAlignment="1" applyProtection="1"/>
    <xf numFmtId="0" fontId="0" fillId="2" borderId="2" xfId="0" applyFill="1" applyBorder="1"/>
    <xf numFmtId="0" fontId="0" fillId="0" borderId="2" xfId="0" applyBorder="1" applyAlignment="1">
      <alignment wrapText="1"/>
    </xf>
    <xf numFmtId="0" fontId="3" fillId="2" borderId="2" xfId="1" applyFont="1" applyFill="1" applyBorder="1" applyAlignment="1" applyProtection="1"/>
    <xf numFmtId="0" fontId="0" fillId="0" borderId="2" xfId="0" applyBorder="1" applyAlignment="1">
      <alignment vertical="center"/>
    </xf>
    <xf numFmtId="0" fontId="0" fillId="2" borderId="2" xfId="0" applyFill="1" applyBorder="1" applyAlignment="1">
      <alignment vertical="center"/>
    </xf>
    <xf numFmtId="0" fontId="2" fillId="0" borderId="3" xfId="0" applyFont="1" applyBorder="1"/>
    <xf numFmtId="0" fontId="0" fillId="0" borderId="3" xfId="0" applyBorder="1"/>
    <xf numFmtId="0" fontId="2" fillId="0" borderId="4" xfId="0" applyFont="1" applyBorder="1"/>
    <xf numFmtId="0" fontId="0" fillId="0" borderId="4" xfId="0" applyBorder="1"/>
    <xf numFmtId="0" fontId="3" fillId="0" borderId="2" xfId="1" applyFont="1" applyFill="1" applyBorder="1" applyAlignment="1" applyProtection="1"/>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5" xfId="0" applyBorder="1"/>
    <xf numFmtId="0" fontId="0" fillId="0" borderId="5" xfId="0" applyBorder="1" applyAlignment="1">
      <alignment wrapText="1"/>
    </xf>
    <xf numFmtId="0" fontId="0" fillId="0" borderId="5" xfId="0" applyBorder="1" applyAlignment="1">
      <alignment vertical="center"/>
    </xf>
    <xf numFmtId="0" fontId="3" fillId="0" borderId="5" xfId="1" applyFont="1" applyFill="1" applyBorder="1" applyAlignment="1" applyProtection="1"/>
    <xf numFmtId="0" fontId="0" fillId="0" borderId="6"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wrapText="1"/>
    </xf>
    <xf numFmtId="0" fontId="0" fillId="3" borderId="2" xfId="0" applyFill="1" applyBorder="1" applyAlignment="1">
      <alignment wrapText="1"/>
    </xf>
    <xf numFmtId="0" fontId="8" fillId="3" borderId="2" xfId="0" applyFont="1" applyFill="1" applyBorder="1" applyAlignment="1">
      <alignment wrapText="1"/>
    </xf>
    <xf numFmtId="0" fontId="5" fillId="3" borderId="2" xfId="1" applyFill="1" applyBorder="1" applyAlignment="1">
      <alignment wrapText="1"/>
    </xf>
    <xf numFmtId="0" fontId="2" fillId="0" borderId="6" xfId="0" applyFont="1" applyBorder="1"/>
    <xf numFmtId="0" fontId="0" fillId="0" borderId="3" xfId="0" applyBorder="1" applyAlignment="1">
      <alignment vertical="center"/>
    </xf>
    <xf numFmtId="0" fontId="0" fillId="0" borderId="6" xfId="0" applyBorder="1" applyAlignment="1">
      <alignment vertical="center"/>
    </xf>
    <xf numFmtId="0" fontId="0" fillId="3" borderId="3" xfId="0" applyFill="1" applyBorder="1" applyAlignment="1">
      <alignment wrapText="1"/>
    </xf>
    <xf numFmtId="164" fontId="2" fillId="0" borderId="2" xfId="0" applyNumberFormat="1" applyFont="1" applyBorder="1" applyAlignment="1">
      <alignment horizontal="center" vertical="top"/>
    </xf>
    <xf numFmtId="164" fontId="0" fillId="0" borderId="2" xfId="0" applyNumberFormat="1" applyBorder="1"/>
    <xf numFmtId="164" fontId="0" fillId="0" borderId="5" xfId="0" applyNumberFormat="1" applyBorder="1" applyAlignment="1">
      <alignment vertical="center"/>
    </xf>
    <xf numFmtId="164" fontId="0" fillId="3" borderId="2" xfId="0" applyNumberFormat="1" applyFill="1" applyBorder="1" applyAlignment="1">
      <alignment wrapText="1"/>
    </xf>
    <xf numFmtId="164" fontId="0" fillId="0" borderId="0" xfId="0" applyNumberFormat="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41" fontId="0" fillId="0" borderId="2" xfId="2" applyFont="1" applyBorder="1"/>
    <xf numFmtId="41" fontId="0" fillId="0" borderId="5" xfId="2" applyFont="1" applyBorder="1"/>
    <xf numFmtId="41" fontId="0" fillId="3" borderId="5" xfId="2" applyFont="1" applyFill="1" applyBorder="1"/>
    <xf numFmtId="41" fontId="9" fillId="3" borderId="1" xfId="2" applyFont="1" applyFill="1" applyBorder="1" applyAlignment="1">
      <alignment wrapText="1"/>
    </xf>
    <xf numFmtId="0" fontId="0" fillId="0" borderId="5" xfId="0" applyBorder="1" applyAlignment="1">
      <alignment vertical="center" wrapText="1"/>
    </xf>
  </cellXfs>
  <cellStyles count="3">
    <cellStyle name="Comma [0]" xfId="2" builtinId="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dp-my.sharepoint.com/:w:/g/personal/jihan_seoud_undp_org/ET_rZwCiM-NCubONnZ9oetsBcO5MJ4JrobTG48wgaYch_g?e=e5JUmD&amp;CID=3183E6F2-6D67-4323-BE6D-31996EA2705E" TargetMode="External"/><Relationship Id="rId2" Type="http://schemas.openxmlformats.org/officeDocument/2006/relationships/hyperlink" Target="https://www.thegef.org/projects-operations/projects/10358" TargetMode="External"/><Relationship Id="rId1" Type="http://schemas.openxmlformats.org/officeDocument/2006/relationships/hyperlink" Target="http://open.undp.org/projects/00120029" TargetMode="External"/><Relationship Id="rId6" Type="http://schemas.openxmlformats.org/officeDocument/2006/relationships/hyperlink" Target="https://undp.lightning.force.com/lightning/r/Project__c/a386N000005LZYGQA4/view" TargetMode="External"/><Relationship Id="rId5" Type="http://schemas.openxmlformats.org/officeDocument/2006/relationships/hyperlink" Target="https://undp.lightning.force.com/lightning/r/Project__c/a386N000005LkApQAK/view" TargetMode="External"/><Relationship Id="rId4" Type="http://schemas.openxmlformats.org/officeDocument/2006/relationships/hyperlink" Target="https://undp-my.sharepoint.com/:w:/g/personal/jihan_seoud_undp_org/EdCRFNHka59Ehd5I0eDb-_QBSD3Y7vTufR-j-ioHEuPD1w?e=ZAeRLg&amp;CID=9D014957-FFDB-4849-84F1-EC9AA031D3D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20029" TargetMode="External"/><Relationship Id="rId2" Type="http://schemas.openxmlformats.org/officeDocument/2006/relationships/hyperlink" Target="https://www.thegef.org/projects-operations/projects/10358" TargetMode="External"/><Relationship Id="rId1" Type="http://schemas.openxmlformats.org/officeDocument/2006/relationships/hyperlink" Target="http://open.undp.org/projects/0012002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20029" TargetMode="External"/><Relationship Id="rId2" Type="http://schemas.openxmlformats.org/officeDocument/2006/relationships/hyperlink" Target="https://www.thegef.org/projects-operations/projects/10358" TargetMode="External"/><Relationship Id="rId1" Type="http://schemas.openxmlformats.org/officeDocument/2006/relationships/hyperlink" Target="http://open.undp.org/projects/00120029" TargetMode="External"/><Relationship Id="rId5" Type="http://schemas.openxmlformats.org/officeDocument/2006/relationships/hyperlink" Target="https://undp-my.sharepoint.com/:w:/g/personal/jihan_seoud_undp_org/EdCRFNHka59Ehd5I0eDb-_QBSD3Y7vTufR-j-ioHEuPD1w?e=ZAeRLg&amp;CID=9D014957-FFDB-4849-84F1-EC9AA031D3D1" TargetMode="External"/><Relationship Id="rId4" Type="http://schemas.openxmlformats.org/officeDocument/2006/relationships/hyperlink" Target="https://undp-my.sharepoint.com/:w:/g/personal/jihan_seoud_undp_org/ET_rZwCiM-NCubONnZ9oetsBcO5MJ4JrobTG48wgaYch_g?e=e5JUmD&amp;CID=3183E6F2-6D67-4323-BE6D-31996EA270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AFDE-6F63-4D88-A387-95E5177A221F}">
  <dimension ref="A1:AI11"/>
  <sheetViews>
    <sheetView tabSelected="1" workbookViewId="0">
      <selection activeCell="F12" sqref="F12"/>
    </sheetView>
  </sheetViews>
  <sheetFormatPr baseColWidth="10" defaultColWidth="8.83203125" defaultRowHeight="15" x14ac:dyDescent="0.2"/>
  <cols>
    <col min="2" max="2" width="50.83203125" customWidth="1"/>
    <col min="3" max="3" width="42.6640625" customWidth="1"/>
    <col min="4" max="4" width="17.33203125" style="51" customWidth="1"/>
    <col min="5" max="5" width="36.33203125" customWidth="1"/>
    <col min="6" max="6" width="57.83203125" customWidth="1"/>
    <col min="7" max="8" width="12.6640625" customWidth="1"/>
    <col min="9" max="9" width="26.6640625" customWidth="1"/>
    <col min="11" max="11" width="18" bestFit="1" customWidth="1"/>
    <col min="12" max="12" width="12.83203125" bestFit="1" customWidth="1"/>
    <col min="14" max="14" width="14.5" bestFit="1" customWidth="1"/>
    <col min="15" max="15" width="14.83203125" bestFit="1" customWidth="1"/>
    <col min="17" max="17" width="16.5" bestFit="1" customWidth="1"/>
    <col min="18" max="18" width="18.1640625" bestFit="1" customWidth="1"/>
    <col min="19" max="19" width="11.33203125" bestFit="1" customWidth="1"/>
    <col min="20" max="20" width="30.33203125" bestFit="1" customWidth="1"/>
    <col min="21" max="21" width="16.6640625" bestFit="1" customWidth="1"/>
    <col min="22" max="22" width="16.6640625" customWidth="1"/>
    <col min="34" max="34" width="56.5" customWidth="1"/>
    <col min="35" max="35" width="67" customWidth="1"/>
  </cols>
  <sheetData>
    <row r="1" spans="1:35" x14ac:dyDescent="0.2">
      <c r="A1" s="11" t="s">
        <v>0</v>
      </c>
      <c r="B1" s="11" t="s">
        <v>1</v>
      </c>
      <c r="C1" s="11" t="s">
        <v>2</v>
      </c>
      <c r="D1" s="47" t="s">
        <v>3</v>
      </c>
      <c r="E1" s="11" t="s">
        <v>4</v>
      </c>
      <c r="F1" s="11" t="s">
        <v>5</v>
      </c>
      <c r="G1" s="11" t="s">
        <v>6</v>
      </c>
      <c r="H1" s="11" t="s">
        <v>7</v>
      </c>
      <c r="I1" s="11" t="s">
        <v>8</v>
      </c>
      <c r="J1" s="10" t="s">
        <v>9</v>
      </c>
      <c r="K1" s="10" t="s">
        <v>10</v>
      </c>
      <c r="L1" s="27" t="s">
        <v>11</v>
      </c>
      <c r="M1" s="28" t="s">
        <v>12</v>
      </c>
      <c r="N1" s="27" t="s">
        <v>13</v>
      </c>
      <c r="O1" s="27" t="s">
        <v>14</v>
      </c>
      <c r="P1" s="28" t="s">
        <v>15</v>
      </c>
      <c r="Q1" s="28" t="s">
        <v>16</v>
      </c>
      <c r="R1" s="29" t="s">
        <v>17</v>
      </c>
      <c r="S1" s="30" t="s">
        <v>18</v>
      </c>
      <c r="T1" s="29" t="s">
        <v>19</v>
      </c>
      <c r="U1" s="43" t="s">
        <v>20</v>
      </c>
      <c r="V1" s="10" t="s">
        <v>21</v>
      </c>
    </row>
    <row r="2" spans="1:35" ht="112" x14ac:dyDescent="0.2">
      <c r="A2" s="12">
        <v>120029</v>
      </c>
      <c r="B2" s="12" t="s">
        <v>22</v>
      </c>
      <c r="C2" s="23" t="s">
        <v>23</v>
      </c>
      <c r="D2" s="48">
        <v>15436128</v>
      </c>
      <c r="E2" s="12" t="s">
        <v>24</v>
      </c>
      <c r="F2" s="12" t="s">
        <v>25</v>
      </c>
      <c r="G2" s="12">
        <v>0</v>
      </c>
      <c r="H2" s="55">
        <v>230</v>
      </c>
      <c r="I2" s="12"/>
      <c r="J2" s="12" t="s">
        <v>26</v>
      </c>
      <c r="K2" s="12"/>
      <c r="L2" s="31" t="s">
        <v>27</v>
      </c>
      <c r="M2" s="24"/>
      <c r="N2" s="32" t="s">
        <v>28</v>
      </c>
      <c r="O2" s="24"/>
      <c r="P2" s="24"/>
      <c r="Q2" s="24"/>
      <c r="R2" s="24"/>
      <c r="S2" s="17"/>
      <c r="T2" s="24"/>
      <c r="U2" s="44"/>
      <c r="V2" s="17"/>
      <c r="X2" s="12" t="s">
        <v>27</v>
      </c>
      <c r="Y2" s="12"/>
      <c r="Z2" s="22" t="s">
        <v>28</v>
      </c>
      <c r="AA2" s="12" t="s">
        <v>29</v>
      </c>
      <c r="AB2" s="24" t="s">
        <v>30</v>
      </c>
      <c r="AC2" s="12"/>
      <c r="AD2" s="12"/>
      <c r="AE2" s="12"/>
      <c r="AF2" s="12">
        <f>1/150</f>
        <v>6.6666666666666671E-3</v>
      </c>
      <c r="AH2" s="6" t="s">
        <v>31</v>
      </c>
      <c r="AI2" s="7" t="s">
        <v>32</v>
      </c>
    </row>
    <row r="3" spans="1:35" ht="32" x14ac:dyDescent="0.2">
      <c r="A3" s="12"/>
      <c r="B3" s="12"/>
      <c r="C3" s="23"/>
      <c r="D3" s="48"/>
      <c r="E3" s="12" t="s">
        <v>24</v>
      </c>
      <c r="F3" s="12" t="s">
        <v>33</v>
      </c>
      <c r="G3" s="12">
        <v>0</v>
      </c>
      <c r="H3" s="55">
        <v>582</v>
      </c>
      <c r="I3" s="12" t="s">
        <v>34</v>
      </c>
      <c r="J3" s="12" t="s">
        <v>26</v>
      </c>
      <c r="K3" s="12"/>
      <c r="L3" s="31" t="s">
        <v>27</v>
      </c>
      <c r="M3" s="24"/>
      <c r="N3" s="32" t="s">
        <v>28</v>
      </c>
      <c r="O3" s="24"/>
      <c r="P3" s="24"/>
      <c r="Q3" s="24"/>
      <c r="R3" s="24"/>
      <c r="S3" s="17"/>
      <c r="T3" s="24"/>
      <c r="U3" s="44"/>
      <c r="V3" s="17"/>
      <c r="X3" s="12" t="s">
        <v>27</v>
      </c>
      <c r="Y3" s="12"/>
      <c r="Z3" s="22" t="s">
        <v>28</v>
      </c>
      <c r="AA3" s="12" t="s">
        <v>29</v>
      </c>
      <c r="AB3" s="12"/>
      <c r="AC3" s="12"/>
      <c r="AD3" s="12"/>
      <c r="AE3" s="12"/>
      <c r="AF3" s="12">
        <f>1/150</f>
        <v>6.6666666666666671E-3</v>
      </c>
      <c r="AI3" s="8" t="s">
        <v>35</v>
      </c>
    </row>
    <row r="4" spans="1:35" ht="64" x14ac:dyDescent="0.2">
      <c r="A4" s="33">
        <v>6468</v>
      </c>
      <c r="B4" s="33" t="s">
        <v>36</v>
      </c>
      <c r="C4" s="34" t="s">
        <v>37</v>
      </c>
      <c r="D4" s="49">
        <v>3552968</v>
      </c>
      <c r="E4" t="s">
        <v>38</v>
      </c>
      <c r="F4" s="59" t="s">
        <v>39</v>
      </c>
      <c r="G4" s="33">
        <v>0</v>
      </c>
      <c r="H4" s="56">
        <v>1417000</v>
      </c>
      <c r="I4" s="36" t="s">
        <v>40</v>
      </c>
      <c r="J4" s="33" t="s">
        <v>41</v>
      </c>
      <c r="K4" s="33"/>
      <c r="L4" s="37" t="s">
        <v>42</v>
      </c>
      <c r="M4" s="38"/>
      <c r="N4" s="39" t="s">
        <v>43</v>
      </c>
      <c r="O4" s="38"/>
      <c r="P4" s="38"/>
      <c r="Q4" s="38"/>
      <c r="R4" s="38"/>
      <c r="S4" s="35"/>
      <c r="T4" s="38"/>
      <c r="U4" s="45"/>
      <c r="V4" s="17"/>
      <c r="X4" s="12" t="s">
        <v>42</v>
      </c>
      <c r="Y4" s="12"/>
      <c r="Z4" s="22" t="s">
        <v>28</v>
      </c>
      <c r="AA4" s="12" t="s">
        <v>29</v>
      </c>
      <c r="AB4" s="12"/>
      <c r="AC4" s="12"/>
      <c r="AD4" s="12"/>
      <c r="AE4" s="12"/>
      <c r="AF4" s="12"/>
      <c r="AI4" s="8" t="s">
        <v>44</v>
      </c>
    </row>
    <row r="5" spans="1:35" s="5" customFormat="1" ht="32" x14ac:dyDescent="0.2">
      <c r="A5" s="40">
        <v>1001708</v>
      </c>
      <c r="B5" s="41" t="s">
        <v>45</v>
      </c>
      <c r="C5" s="42" t="s">
        <v>46</v>
      </c>
      <c r="D5" s="50">
        <v>24321900</v>
      </c>
      <c r="E5" s="40" t="s">
        <v>47</v>
      </c>
      <c r="F5" s="40" t="s">
        <v>48</v>
      </c>
      <c r="G5" s="40"/>
      <c r="H5" s="57">
        <v>8550</v>
      </c>
      <c r="I5" s="40"/>
      <c r="J5" s="40" t="s">
        <v>49</v>
      </c>
      <c r="K5" s="40"/>
      <c r="L5" s="40" t="s">
        <v>27</v>
      </c>
      <c r="M5" s="40"/>
      <c r="N5" s="39" t="s">
        <v>43</v>
      </c>
      <c r="O5" s="40"/>
      <c r="P5" s="40"/>
      <c r="Q5" s="40"/>
      <c r="R5" s="40"/>
      <c r="S5" s="40"/>
      <c r="T5" s="40"/>
      <c r="U5" s="46"/>
      <c r="V5" s="40" t="s">
        <v>50</v>
      </c>
    </row>
    <row r="6" spans="1:35" s="5" customFormat="1" ht="32" x14ac:dyDescent="0.2">
      <c r="A6" s="40">
        <v>1001256</v>
      </c>
      <c r="B6" s="41" t="s">
        <v>51</v>
      </c>
      <c r="C6" s="42" t="s">
        <v>52</v>
      </c>
      <c r="D6" s="50">
        <v>20293291</v>
      </c>
      <c r="E6" s="40" t="s">
        <v>53</v>
      </c>
      <c r="F6" s="40" t="s">
        <v>54</v>
      </c>
      <c r="G6" s="40"/>
      <c r="H6" s="58">
        <v>4900</v>
      </c>
      <c r="I6" s="40"/>
      <c r="J6" s="40" t="s">
        <v>26</v>
      </c>
      <c r="K6" s="40"/>
      <c r="L6" s="40" t="s">
        <v>27</v>
      </c>
      <c r="M6" s="40"/>
      <c r="N6" s="39" t="s">
        <v>43</v>
      </c>
      <c r="O6" s="40"/>
      <c r="P6" s="40"/>
      <c r="Q6" s="40"/>
      <c r="R6" s="40"/>
      <c r="S6" s="40"/>
      <c r="T6" s="40"/>
      <c r="U6" s="46"/>
      <c r="V6" s="40" t="s">
        <v>50</v>
      </c>
    </row>
    <row r="7" spans="1:35" x14ac:dyDescent="0.2">
      <c r="B7" s="6"/>
      <c r="C7" s="7"/>
    </row>
    <row r="8" spans="1:35" x14ac:dyDescent="0.2">
      <c r="B8" s="6"/>
      <c r="C8" s="7"/>
    </row>
    <row r="10" spans="1:35" ht="22.5" customHeight="1" x14ac:dyDescent="0.2"/>
    <row r="11" spans="1:35" ht="22.5" customHeight="1" x14ac:dyDescent="0.2"/>
  </sheetData>
  <dataValidations count="12">
    <dataValidation type="list" allowBlank="1" showInputMessage="1" showErrorMessage="1" sqref="AE2:AE4" xr:uid="{4E0D6537-D318-45E9-8899-DB3F3ED156CB}">
      <formula1>"Electricity Access, Energy Efficiency, Renewable EnergyEnergy Infrastructure,   Transport, Digital &amp; Data, Clean Cooking, Decarbonization, Hydrogen, Off-Grid, On-Grid"</formula1>
    </dataValidation>
    <dataValidation type="list" allowBlank="1" showInputMessage="1" showErrorMessage="1" sqref="AD2:AD4 Q2:Q4" xr:uid="{66639771-110E-4BDF-9FEF-A873AB088AD6}">
      <formula1>"NDC Support, National Strategy, Legal Framework,Incentives and Support, Government Capacity-Building, Carbon Pricing and Monitoring, Financing Model, Business Model"</formula1>
    </dataValidation>
    <dataValidation type="list" allowBlank="1" showInputMessage="1" showErrorMessage="1" sqref="AC2:AC4 P2:P4" xr:uid="{2DFDAAFB-4C47-4139-A10D-E7E1FE9B65D1}">
      <formula1>"AMP, PUDC, Solar4Health, Action Opportunities, Italy UNDP Energy Partnership"</formula1>
    </dataValidation>
    <dataValidation type="list" allowBlank="1" showInputMessage="1" showErrorMessage="1" sqref="AA2:AA4 AB3:AB4" xr:uid="{0A6BBB00-B118-44F2-8734-611C266010E4}">
      <formula1>"Electricity Access, Energy Efficiency, Clean Cooking, Renewable Energy"</formula1>
    </dataValidation>
    <dataValidation type="list" allowBlank="1" showInputMessage="1" showErrorMessage="1" sqref="Z2:Z4 N2:N6" xr:uid="{98DED1D3-C866-440D-B760-AE1AFFD2DF8C}">
      <formula1>"Accelerating just energy transition, Close the gap on energy access, Scale up energy finance"</formula1>
    </dataValidation>
    <dataValidation type="list" allowBlank="1" showInputMessage="1" showErrorMessage="1" sqref="AB2" xr:uid="{1504E1B0-25CD-4378-A6E5-13DF7FAD8C5D}">
      <formula1>"Tier 1, Tier 2, Tier 3"</formula1>
    </dataValidation>
    <dataValidation type="list" allowBlank="1" showInputMessage="1" showErrorMessage="1" sqref="O2:O4" xr:uid="{166F7364-517F-455B-93B4-7C52772AF977}">
      <formula1>"Electricity Access, Energy Efficiency, Clean Cooking, Renewable Energy, Overall"</formula1>
    </dataValidation>
    <dataValidation type="list" allowBlank="1" showInputMessage="1" showErrorMessage="1" sqref="L2:L4" xr:uid="{E6ACF445-1FB2-462E-B54F-F6BFB5F10A79}">
      <formula1>"Non-VF, VF"</formula1>
    </dataValidation>
    <dataValidation type="list" allowBlank="1" showInputMessage="1" showErrorMessage="1" sqref="M2:M4" xr:uid="{C813E077-04E4-4298-A2B7-95413E34C688}">
      <formula1>"Finance, Gender, Efficiency, Just, Health"</formula1>
    </dataValidation>
    <dataValidation type="list" allowBlank="1" showInputMessage="1" showErrorMessage="1" sqref="T2:T4" xr:uid="{03668084-3BFC-4CEC-860C-5E406E76E79C}">
      <formula1>"National, Regional, City, Community"</formula1>
    </dataValidation>
    <dataValidation type="list" allowBlank="1" showInputMessage="1" showErrorMessage="1" sqref="R2:R4" xr:uid="{6C159968-EA5B-4CE1-BD22-1E3BBBC9C0B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9771CFBA-6D9D-4D18-809C-F84A814F4618}">
      <formula1>"Solar, Wind, Bioenergy, Hydro, Geothermal, Waste, Some Sources, Other, Unknown"</formula1>
    </dataValidation>
  </dataValidations>
  <hyperlinks>
    <hyperlink ref="C2" r:id="rId1" xr:uid="{AA2F52B4-843B-4690-B336-1A34D99CE12C}"/>
    <hyperlink ref="I4" r:id="rId2" xr:uid="{2EAC40B1-E0AA-4E7E-94CB-B0D1B4D7F1AF}"/>
    <hyperlink ref="AI3" r:id="rId3" xr:uid="{17B66FC9-8096-4F9B-9CD3-34FE1BE02B84}"/>
    <hyperlink ref="AI4" r:id="rId4" xr:uid="{4EEC8538-1C8F-4AE1-A7EF-4F055EE49FEC}"/>
    <hyperlink ref="C5" r:id="rId5" xr:uid="{0817A7CF-552A-4967-B2EA-142317F24853}"/>
    <hyperlink ref="C6" r:id="rId6" xr:uid="{D1D98451-A183-40F3-961C-4EE89FFEE88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82623D0-F463-4808-98D8-E0AA03A6CA0F}">
          <x14:formula1>
            <xm:f>'Beneficiary Categories'!$A$2:$A$16</xm:f>
          </x14:formula1>
          <xm:sqref>E5:E10</xm:sqref>
        </x14:dataValidation>
        <x14:dataValidation type="list" allowBlank="1" showInputMessage="1" showErrorMessage="1" xr:uid="{FA32511C-C40E-4429-9F50-D086E2A59EB0}">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5A8F-5674-4E64-8962-62E791AD1E13}">
  <dimension ref="A1:T8"/>
  <sheetViews>
    <sheetView workbookViewId="0">
      <selection activeCell="E11" sqref="E11"/>
    </sheetView>
  </sheetViews>
  <sheetFormatPr baseColWidth="10" defaultColWidth="8.83203125" defaultRowHeight="15" x14ac:dyDescent="0.2"/>
  <cols>
    <col min="2" max="2" width="50.83203125" customWidth="1"/>
    <col min="3" max="3" width="34.83203125" customWidth="1"/>
    <col min="4" max="4" width="17.33203125" customWidth="1"/>
    <col min="5" max="5" width="49.83203125" customWidth="1"/>
    <col min="6" max="6" width="57.83203125" customWidth="1"/>
    <col min="7" max="8" width="12.6640625" customWidth="1"/>
    <col min="9" max="9" width="32.6640625" customWidth="1"/>
    <col min="13" max="13" width="26" customWidth="1"/>
  </cols>
  <sheetData>
    <row r="1" spans="1:20" x14ac:dyDescent="0.2">
      <c r="A1" s="11" t="s">
        <v>0</v>
      </c>
      <c r="B1" s="11" t="s">
        <v>1</v>
      </c>
      <c r="C1" s="11" t="s">
        <v>2</v>
      </c>
      <c r="D1" s="11" t="s">
        <v>3</v>
      </c>
      <c r="E1" s="11" t="s">
        <v>4</v>
      </c>
      <c r="F1" s="11" t="s">
        <v>5</v>
      </c>
      <c r="G1" s="11" t="s">
        <v>6</v>
      </c>
      <c r="H1" s="11" t="s">
        <v>7</v>
      </c>
      <c r="I1" s="11" t="s">
        <v>8</v>
      </c>
      <c r="J1" s="10" t="s">
        <v>9</v>
      </c>
      <c r="K1" s="10" t="s">
        <v>10</v>
      </c>
      <c r="L1" s="10" t="s">
        <v>55</v>
      </c>
      <c r="M1" s="19" t="s">
        <v>56</v>
      </c>
      <c r="N1" s="10" t="s">
        <v>12</v>
      </c>
      <c r="O1" s="21" t="s">
        <v>13</v>
      </c>
      <c r="P1" s="10" t="s">
        <v>14</v>
      </c>
      <c r="Q1" s="10" t="s">
        <v>15</v>
      </c>
      <c r="R1" s="10" t="s">
        <v>16</v>
      </c>
      <c r="S1" s="10" t="s">
        <v>17</v>
      </c>
      <c r="T1" s="12" t="s">
        <v>57</v>
      </c>
    </row>
    <row r="2" spans="1:20" ht="26.25" customHeight="1" x14ac:dyDescent="0.2">
      <c r="A2" s="12">
        <v>120029</v>
      </c>
      <c r="B2" s="12" t="s">
        <v>22</v>
      </c>
      <c r="C2" s="13" t="s">
        <v>23</v>
      </c>
      <c r="D2" s="12">
        <v>15436128</v>
      </c>
      <c r="E2" s="14" t="s">
        <v>24</v>
      </c>
      <c r="F2" s="14" t="s">
        <v>25</v>
      </c>
      <c r="G2" s="14">
        <v>0</v>
      </c>
      <c r="H2" s="14">
        <v>230</v>
      </c>
      <c r="I2" s="14"/>
      <c r="J2" s="12" t="s">
        <v>26</v>
      </c>
      <c r="K2" s="12"/>
      <c r="L2" s="12" t="s">
        <v>27</v>
      </c>
      <c r="M2" s="20"/>
      <c r="N2" s="12"/>
      <c r="O2" s="22" t="s">
        <v>28</v>
      </c>
      <c r="P2" s="12" t="s">
        <v>29</v>
      </c>
      <c r="Q2" s="12"/>
      <c r="R2" s="12"/>
      <c r="S2" s="12"/>
      <c r="T2" s="12">
        <f>1/150</f>
        <v>6.6666666666666671E-3</v>
      </c>
    </row>
    <row r="3" spans="1:20" ht="26.25" customHeight="1" x14ac:dyDescent="0.2">
      <c r="A3" s="12">
        <v>120029</v>
      </c>
      <c r="B3" s="12" t="s">
        <v>22</v>
      </c>
      <c r="C3" s="13" t="s">
        <v>58</v>
      </c>
      <c r="D3" s="12">
        <v>15436128</v>
      </c>
      <c r="E3" s="14" t="s">
        <v>59</v>
      </c>
      <c r="F3" s="14" t="s">
        <v>33</v>
      </c>
      <c r="G3" s="14">
        <v>0</v>
      </c>
      <c r="H3" s="14">
        <v>582</v>
      </c>
      <c r="I3" s="14" t="s">
        <v>34</v>
      </c>
      <c r="J3" s="12" t="s">
        <v>26</v>
      </c>
      <c r="K3" s="12"/>
      <c r="L3" s="12" t="s">
        <v>27</v>
      </c>
      <c r="M3" s="20"/>
      <c r="N3" s="12"/>
      <c r="O3" s="22" t="s">
        <v>28</v>
      </c>
      <c r="P3" s="12" t="s">
        <v>29</v>
      </c>
      <c r="Q3" s="12"/>
      <c r="R3" s="12"/>
      <c r="S3" s="12"/>
      <c r="T3" s="12">
        <f>1/150</f>
        <v>6.6666666666666671E-3</v>
      </c>
    </row>
    <row r="4" spans="1:20" ht="48" x14ac:dyDescent="0.2">
      <c r="A4" s="12">
        <v>6468</v>
      </c>
      <c r="B4" s="12" t="s">
        <v>36</v>
      </c>
      <c r="C4" s="15" t="s">
        <v>60</v>
      </c>
      <c r="D4" s="17">
        <v>3552968</v>
      </c>
      <c r="E4" s="18" t="s">
        <v>59</v>
      </c>
      <c r="F4" s="18" t="s">
        <v>39</v>
      </c>
      <c r="G4" s="14">
        <v>0</v>
      </c>
      <c r="H4" s="14">
        <v>1417000</v>
      </c>
      <c r="I4" s="16" t="s">
        <v>40</v>
      </c>
      <c r="J4" s="12" t="s">
        <v>41</v>
      </c>
      <c r="K4" s="12"/>
      <c r="L4" s="12" t="s">
        <v>42</v>
      </c>
      <c r="M4" s="20"/>
      <c r="N4" s="12"/>
      <c r="O4" s="22" t="s">
        <v>28</v>
      </c>
      <c r="P4" s="12" t="s">
        <v>29</v>
      </c>
      <c r="Q4" s="12"/>
      <c r="R4" s="12"/>
      <c r="S4" s="12"/>
      <c r="T4" s="12"/>
    </row>
    <row r="6" spans="1:20" x14ac:dyDescent="0.2">
      <c r="B6" s="6"/>
      <c r="C6" s="7"/>
    </row>
    <row r="7" spans="1:20" x14ac:dyDescent="0.2">
      <c r="C7" s="8"/>
    </row>
    <row r="8" spans="1:20" x14ac:dyDescent="0.2">
      <c r="C8" s="8"/>
    </row>
  </sheetData>
  <dataValidations count="5">
    <dataValidation type="list" allowBlank="1" showInputMessage="1" showErrorMessage="1" sqref="O2:O4" xr:uid="{19AAAA50-E29C-481E-B1B8-3EB69C7F6B54}">
      <formula1>"Accelerating just energy transition, Close the gap on energy access, Scale up energy finance"</formula1>
    </dataValidation>
    <dataValidation type="list" allowBlank="1" showInputMessage="1" showErrorMessage="1" sqref="P2:P4" xr:uid="{6E7F61EE-2B51-42CD-9F0F-2AB26DF92721}">
      <formula1>"Electricity Access, Energy Efficiency, Clean Cooking, Renewable Energy"</formula1>
    </dataValidation>
    <dataValidation type="list" allowBlank="1" showInputMessage="1" showErrorMessage="1" sqref="Q2:Q4" xr:uid="{E2D33698-3674-4CEF-AAA0-C354434273FC}">
      <formula1>"AMP, PUDC, Solar4Health, Action Opportunities, Italy UNDP Energy Partnership"</formula1>
    </dataValidation>
    <dataValidation type="list" allowBlank="1" showInputMessage="1" showErrorMessage="1" sqref="R2:R4" xr:uid="{99D61770-4732-41A9-BC0A-4FB20A2A8423}">
      <formula1>"NDC Support, National Strategy, Legal Framework,Incentives and Support, Government Capacity-Building, Carbon Pricing and Monitoring, Financing Model, Business Model"</formula1>
    </dataValidation>
    <dataValidation type="list" allowBlank="1" showInputMessage="1" showErrorMessage="1" sqref="S2:S4" xr:uid="{CE47DBE5-C9E0-4CEA-A237-894274608033}">
      <formula1>"Electricity Access, Energy Efficiency, Renewable EnergyEnergy Infrastructure,   Transport, Digital &amp; Data, Clean Cooking, Decarbonization, Hydrogen, Off-Grid, On-Grid"</formula1>
    </dataValidation>
  </dataValidations>
  <hyperlinks>
    <hyperlink ref="C2" r:id="rId1" xr:uid="{EEBBC859-F9B3-4E2F-8A6D-CA239E5E1509}"/>
    <hyperlink ref="I4" r:id="rId2" xr:uid="{16CE6F0B-18C2-448D-8D8E-F1D6C82EFA7B}"/>
    <hyperlink ref="C3" r:id="rId3" xr:uid="{77AA2F00-C433-48E6-A759-FF76AFC6CBA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5C09F71-E26F-45B2-A453-D30F2773665B}">
          <x14:formula1>
            <xm:f>'Beneficiary Categories'!$A$2:$A$16</xm:f>
          </x14:formula1>
          <xm:sqref>E2:E8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workbookViewId="0">
      <selection activeCell="B6" sqref="B6:C8"/>
    </sheetView>
  </sheetViews>
  <sheetFormatPr baseColWidth="10" defaultColWidth="8.83203125" defaultRowHeight="15" x14ac:dyDescent="0.2"/>
  <cols>
    <col min="2" max="2" width="50.83203125" customWidth="1"/>
    <col min="3" max="3" width="34.83203125" customWidth="1"/>
    <col min="4" max="4" width="17.33203125" customWidth="1"/>
    <col min="5" max="5" width="49.83203125" customWidth="1"/>
    <col min="6" max="6" width="57.83203125" customWidth="1"/>
    <col min="7" max="8" width="12.6640625" customWidth="1"/>
    <col min="9" max="9" width="32.6640625" customWidth="1"/>
  </cols>
  <sheetData>
    <row r="1" spans="1:13" x14ac:dyDescent="0.2">
      <c r="A1" s="1" t="s">
        <v>0</v>
      </c>
      <c r="B1" s="1" t="s">
        <v>1</v>
      </c>
      <c r="C1" s="1" t="s">
        <v>2</v>
      </c>
      <c r="D1" s="1" t="s">
        <v>3</v>
      </c>
      <c r="E1" s="1" t="s">
        <v>4</v>
      </c>
      <c r="F1" s="1" t="s">
        <v>5</v>
      </c>
      <c r="G1" s="1" t="s">
        <v>6</v>
      </c>
      <c r="H1" s="1" t="s">
        <v>7</v>
      </c>
      <c r="I1" s="1" t="s">
        <v>8</v>
      </c>
      <c r="J1" s="9" t="s">
        <v>9</v>
      </c>
      <c r="K1" s="10" t="s">
        <v>10</v>
      </c>
      <c r="L1" s="10" t="s">
        <v>55</v>
      </c>
      <c r="M1" s="10" t="s">
        <v>56</v>
      </c>
    </row>
    <row r="2" spans="1:13" ht="26.25" customHeight="1" x14ac:dyDescent="0.2">
      <c r="A2">
        <v>120029</v>
      </c>
      <c r="B2" t="s">
        <v>22</v>
      </c>
      <c r="C2" s="2" t="s">
        <v>23</v>
      </c>
      <c r="D2">
        <v>15436128</v>
      </c>
      <c r="E2" s="3" t="s">
        <v>24</v>
      </c>
      <c r="F2" s="3" t="s">
        <v>25</v>
      </c>
      <c r="G2" s="3">
        <v>0</v>
      </c>
      <c r="H2" s="3">
        <v>230</v>
      </c>
      <c r="I2" s="3"/>
      <c r="J2" t="s">
        <v>26</v>
      </c>
    </row>
    <row r="3" spans="1:13" ht="26.25" customHeight="1" x14ac:dyDescent="0.2">
      <c r="A3">
        <v>120029</v>
      </c>
      <c r="B3" t="s">
        <v>22</v>
      </c>
      <c r="C3" s="2" t="s">
        <v>58</v>
      </c>
      <c r="D3">
        <v>15436128</v>
      </c>
      <c r="E3" s="3" t="s">
        <v>59</v>
      </c>
      <c r="F3" s="3" t="s">
        <v>33</v>
      </c>
      <c r="G3" s="3">
        <v>0</v>
      </c>
      <c r="H3" s="3">
        <v>6989</v>
      </c>
      <c r="I3" s="3" t="s">
        <v>34</v>
      </c>
      <c r="J3" t="s">
        <v>26</v>
      </c>
    </row>
    <row r="4" spans="1:13" ht="48" x14ac:dyDescent="0.2">
      <c r="A4">
        <v>6468</v>
      </c>
      <c r="B4" t="s">
        <v>36</v>
      </c>
      <c r="C4" s="5" t="s">
        <v>60</v>
      </c>
      <c r="D4">
        <v>3552968</v>
      </c>
      <c r="E4" s="3" t="s">
        <v>59</v>
      </c>
      <c r="F4" s="3" t="s">
        <v>39</v>
      </c>
      <c r="G4" s="3">
        <v>0</v>
      </c>
      <c r="H4" s="3">
        <v>1417000</v>
      </c>
      <c r="I4" s="4" t="s">
        <v>40</v>
      </c>
      <c r="J4" t="s">
        <v>41</v>
      </c>
    </row>
    <row r="6" spans="1:13" ht="192" x14ac:dyDescent="0.2">
      <c r="B6" s="6" t="s">
        <v>31</v>
      </c>
      <c r="C6" s="7" t="s">
        <v>32</v>
      </c>
    </row>
    <row r="7" spans="1:13" x14ac:dyDescent="0.2">
      <c r="C7" s="8" t="s">
        <v>35</v>
      </c>
    </row>
    <row r="8" spans="1:13" x14ac:dyDescent="0.2">
      <c r="C8" s="8" t="s">
        <v>44</v>
      </c>
    </row>
  </sheetData>
  <hyperlinks>
    <hyperlink ref="C2" r:id="rId1" xr:uid="{00000000-0004-0000-0000-000000000000}"/>
    <hyperlink ref="I4" r:id="rId2" xr:uid="{F2BAA475-0345-4B26-B4AD-2F52398A4AAF}"/>
    <hyperlink ref="C3" r:id="rId3" xr:uid="{AB30EDA5-FD96-40AE-BFE5-BED52FB50069}"/>
    <hyperlink ref="C7" r:id="rId4" xr:uid="{912C8A71-DEF7-4323-9DA0-C0DBE4D03B08}"/>
    <hyperlink ref="C8" r:id="rId5" xr:uid="{8E367468-AFB0-4F9C-98AA-30DE0E75C7D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6" workbookViewId="0"/>
  </sheetViews>
  <sheetFormatPr baseColWidth="10" defaultColWidth="8.83203125" defaultRowHeight="15" x14ac:dyDescent="0.2"/>
  <cols>
    <col min="1" max="2" width="52.6640625" customWidth="1"/>
  </cols>
  <sheetData>
    <row r="1" spans="1:2" ht="16" x14ac:dyDescent="0.2">
      <c r="A1" s="25" t="s">
        <v>4</v>
      </c>
      <c r="B1" s="25" t="s">
        <v>5</v>
      </c>
    </row>
    <row r="2" spans="1:2" ht="32" x14ac:dyDescent="0.2">
      <c r="A2" s="52" t="s">
        <v>61</v>
      </c>
      <c r="B2" s="26" t="s">
        <v>62</v>
      </c>
    </row>
    <row r="3" spans="1:2" ht="16" x14ac:dyDescent="0.2">
      <c r="A3" s="52" t="s">
        <v>63</v>
      </c>
      <c r="B3" s="26" t="s">
        <v>64</v>
      </c>
    </row>
    <row r="4" spans="1:2" ht="32" x14ac:dyDescent="0.2">
      <c r="A4" s="52" t="s">
        <v>65</v>
      </c>
      <c r="B4" s="26" t="s">
        <v>66</v>
      </c>
    </row>
    <row r="5" spans="1:2" ht="32" x14ac:dyDescent="0.2">
      <c r="A5" s="52" t="s">
        <v>67</v>
      </c>
      <c r="B5" s="26" t="s">
        <v>68</v>
      </c>
    </row>
    <row r="6" spans="1:2" ht="96" x14ac:dyDescent="0.2">
      <c r="A6" s="52" t="s">
        <v>69</v>
      </c>
      <c r="B6" s="26" t="s">
        <v>70</v>
      </c>
    </row>
    <row r="7" spans="1:2" ht="48" x14ac:dyDescent="0.2">
      <c r="A7" s="52" t="s">
        <v>47</v>
      </c>
      <c r="B7" s="26" t="s">
        <v>71</v>
      </c>
    </row>
    <row r="8" spans="1:2" ht="32" x14ac:dyDescent="0.2">
      <c r="A8" s="52" t="s">
        <v>72</v>
      </c>
      <c r="B8" s="26" t="s">
        <v>73</v>
      </c>
    </row>
    <row r="9" spans="1:2" ht="32" x14ac:dyDescent="0.2">
      <c r="A9" s="52" t="s">
        <v>53</v>
      </c>
      <c r="B9" s="26" t="s">
        <v>74</v>
      </c>
    </row>
    <row r="10" spans="1:2" ht="32" x14ac:dyDescent="0.2">
      <c r="A10" s="52" t="s">
        <v>38</v>
      </c>
      <c r="B10" s="53" t="s">
        <v>75</v>
      </c>
    </row>
    <row r="11" spans="1:2" ht="32" x14ac:dyDescent="0.2">
      <c r="A11" s="52" t="s">
        <v>76</v>
      </c>
      <c r="B11" s="53" t="s">
        <v>77</v>
      </c>
    </row>
    <row r="12" spans="1:2" ht="48" x14ac:dyDescent="0.2">
      <c r="A12" s="52" t="s">
        <v>78</v>
      </c>
      <c r="B12" s="26" t="s">
        <v>79</v>
      </c>
    </row>
    <row r="13" spans="1:2" ht="16" x14ac:dyDescent="0.2">
      <c r="A13" s="52" t="s">
        <v>59</v>
      </c>
      <c r="B13" s="53" t="s">
        <v>80</v>
      </c>
    </row>
    <row r="14" spans="1:2" ht="16" x14ac:dyDescent="0.2">
      <c r="A14" s="52" t="s">
        <v>81</v>
      </c>
      <c r="B14" s="53" t="s">
        <v>82</v>
      </c>
    </row>
    <row r="15" spans="1:2" ht="32" x14ac:dyDescent="0.2">
      <c r="A15" s="52" t="s">
        <v>83</v>
      </c>
      <c r="B15" s="53" t="s">
        <v>84</v>
      </c>
    </row>
    <row r="16" spans="1:2" ht="32" x14ac:dyDescent="0.2">
      <c r="A16" s="52" t="s">
        <v>85</v>
      </c>
      <c r="B16" s="53" t="s">
        <v>86</v>
      </c>
    </row>
    <row r="17" spans="1:2" ht="32" x14ac:dyDescent="0.2">
      <c r="A17" s="52" t="s">
        <v>87</v>
      </c>
      <c r="B17" s="26" t="s">
        <v>88</v>
      </c>
    </row>
    <row r="18" spans="1:2" ht="32" x14ac:dyDescent="0.2">
      <c r="A18" s="52" t="s">
        <v>24</v>
      </c>
      <c r="B18" s="53" t="s">
        <v>89</v>
      </c>
    </row>
    <row r="19" spans="1:2" ht="64" x14ac:dyDescent="0.2">
      <c r="A19" s="52" t="s">
        <v>90</v>
      </c>
      <c r="B19" s="53" t="s">
        <v>91</v>
      </c>
    </row>
    <row r="20" spans="1:2" ht="16" x14ac:dyDescent="0.2">
      <c r="A20" s="52" t="s">
        <v>92</v>
      </c>
      <c r="B20" s="53" t="s">
        <v>93</v>
      </c>
    </row>
    <row r="21" spans="1:2" ht="32" x14ac:dyDescent="0.2">
      <c r="A21" s="52" t="s">
        <v>19</v>
      </c>
      <c r="B21" s="54" t="s">
        <v>94</v>
      </c>
    </row>
    <row r="22" spans="1:2" ht="16" x14ac:dyDescent="0.2">
      <c r="A22" s="52" t="s">
        <v>95</v>
      </c>
      <c r="B22" s="53"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E64E8E5F-C8E7-4C28-8243-29D38066A2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C42F2C-D499-4DA1-B1C0-0B28657E6654}">
  <ds:schemaRefs>
    <ds:schemaRef ds:uri="http://schemas.microsoft.com/sharepoint/v3/contenttype/forms"/>
  </ds:schemaRefs>
</ds:datastoreItem>
</file>

<file path=customXml/itemProps3.xml><?xml version="1.0" encoding="utf-8"?>
<ds:datastoreItem xmlns:ds="http://schemas.openxmlformats.org/officeDocument/2006/customXml" ds:itemID="{AB9A6AAA-5019-4869-8830-05E12A6F7AC3}">
  <ds:schemaRefs>
    <ds:schemaRef ds:uri="http://schemas.microsoft.com/office/2006/documentManagement/types"/>
    <ds:schemaRef ds:uri="http://schemas.microsoft.com/office/infopath/2007/PartnerControls"/>
    <ds:schemaRef ds:uri="http://purl.org/dc/elements/1.1/"/>
    <ds:schemaRef ds:uri="fb9e4d32-074f-4c04-81ef-e811753dfd59"/>
    <ds:schemaRef ds:uri="http://schemas.openxmlformats.org/package/2006/metadata/core-properties"/>
    <ds:schemaRef ds:uri="http://purl.org/dc/dcmitype/"/>
    <ds:schemaRef ds:uri="http://schemas.microsoft.com/office/2006/metadata/properties"/>
    <ds:schemaRef ds:uri="720239d0-7d3a-4257-bb40-a2a3b1409bb2"/>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Noritaka Hara</cp:lastModifiedBy>
  <cp:revision/>
  <dcterms:created xsi:type="dcterms:W3CDTF">2023-05-05T09:33:41Z</dcterms:created>
  <dcterms:modified xsi:type="dcterms:W3CDTF">2024-11-21T00:32:53Z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