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346" documentId="11_DB14EBA813C8E1A198C364D9C05A2767096DB940" xr6:coauthVersionLast="47" xr6:coauthVersionMax="47" xr10:uidLastSave="{D3CA1BC5-99DC-491E-87CC-48EFA30C1260}"/>
  <bookViews>
    <workbookView xWindow="-28920" yWindow="-120"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tc={63ABDC95-5535-4262-8AAF-F395B669EBEE}</author>
    <author>tc={18DFF971-7FC1-45CC-86C5-8907B613AFEA}</author>
    <author>tc={DAE79BC5-FA91-4311-9744-59C84DBF39E3}</author>
    <author>tc={823F019A-123B-43A1-88C5-8CE743F4FB28}</author>
    <author>tc={58236605-817A-442A-9439-54E32EC13B9D}</author>
    <author>tc={6213FCAD-3B9D-450D-BF89-2A7FBAC1E2DA}</author>
    <author>tc={B8461E28-60F0-426F-B3AA-EA785F09E783}</author>
    <author>tc={4165CBDA-4C72-4382-B676-FA32A874D406}</author>
    <author>tc={92A10744-4B88-4208-8970-904B118F7C75}</author>
    <author>tc={EE7D86B8-81D0-493F-96DA-0B2CBF2109BE}</author>
    <author>tc={FE54E324-BDD1-4D42-AF47-A290FF86D110}</author>
    <author>tc={56F81C8E-3446-4023-9E47-94B65F357000}</author>
    <author>tc={EE1F702D-A940-43B0-B58E-945FF0E3C741}</author>
  </authors>
  <commentList>
    <comment ref="P2" authorId="0" shapeId="0" xr:uid="{63ABDC95-5535-4262-8AAF-F395B669EBEE}">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S2" authorId="1" shapeId="0" xr:uid="{18DFF971-7FC1-45CC-86C5-8907B613AFEA}">
      <text>
        <t>[Threaded comment]
Your version of Excel allows you to read this threaded comment; however, any edits to it will get removed if the file is opened in a newer version of Excel. Learn more: https://go.microsoft.com/fwlink/?linkid=870924
Comment:
    Solar + Hydro</t>
      </text>
    </comment>
    <comment ref="P3" authorId="2" shapeId="0" xr:uid="{DAE79BC5-FA91-4311-9744-59C84DBF39E3}">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S3" authorId="3" shapeId="0" xr:uid="{823F019A-123B-43A1-88C5-8CE743F4FB28}">
      <text>
        <t>[Threaded comment]
Your version of Excel allows you to read this threaded comment; however, any edits to it will get removed if the file is opened in a newer version of Excel. Learn more: https://go.microsoft.com/fwlink/?linkid=870924
Comment:
    Solar + Hydro</t>
      </text>
    </comment>
    <comment ref="P5" authorId="4" shapeId="0" xr:uid="{58236605-817A-442A-9439-54E32EC13B9D}">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S5" authorId="5" shapeId="0" xr:uid="{6213FCAD-3B9D-450D-BF89-2A7FBAC1E2DA}">
      <text>
        <t>[Threaded comment]
Your version of Excel allows you to read this threaded comment; however, any edits to it will get removed if the file is opened in a newer version of Excel. Learn more: https://go.microsoft.com/fwlink/?linkid=870924
Comment:
    Solar + Hydro</t>
      </text>
    </comment>
    <comment ref="P6" authorId="6" shapeId="0" xr:uid="{B8461E28-60F0-426F-B3AA-EA785F09E783}">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S6" authorId="7" shapeId="0" xr:uid="{4165CBDA-4C72-4382-B676-FA32A874D406}">
      <text>
        <t>[Threaded comment]
Your version of Excel allows you to read this threaded comment; however, any edits to it will get removed if the file is opened in a newer version of Excel. Learn more: https://go.microsoft.com/fwlink/?linkid=870924
Comment:
    Solar + Hydro</t>
      </text>
    </comment>
    <comment ref="P7" authorId="8" shapeId="0" xr:uid="{92A10744-4B88-4208-8970-904B118F7C75}">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S7" authorId="9" shapeId="0" xr:uid="{EE7D86B8-81D0-493F-96DA-0B2CBF2109BE}">
      <text>
        <t>[Threaded comment]
Your version of Excel allows you to read this threaded comment; however, any edits to it will get removed if the file is opened in a newer version of Excel. Learn more: https://go.microsoft.com/fwlink/?linkid=870924
Comment:
    Solar + Hydro</t>
      </text>
    </comment>
    <comment ref="P8" authorId="10" shapeId="0" xr:uid="{FE54E324-BDD1-4D42-AF47-A290FF86D110}">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 ref="S8" authorId="11" shapeId="0" xr:uid="{56F81C8E-3446-4023-9E47-94B65F357000}">
      <text>
        <t>[Threaded comment]
Your version of Excel allows you to read this threaded comment; however, any edits to it will get removed if the file is opened in a newer version of Excel. Learn more: https://go.microsoft.com/fwlink/?linkid=870924
Comment:
    Solar + Hydro</t>
      </text>
    </comment>
    <comment ref="P9" authorId="12" shapeId="0" xr:uid="{EE1F702D-A940-43B0-B58E-945FF0E3C741}">
      <text>
        <t>[Threaded comment]
Your version of Excel allows you to read this threaded comment; however, any edits to it will get removed if the file is opened in a newer version of Excel. Learn more: https://go.microsoft.com/fwlink/?linkid=870924
Comment:
    Our interventions do not appear in these categories mentioned.</t>
      </text>
    </comment>
  </commentList>
</comments>
</file>

<file path=xl/sharedStrings.xml><?xml version="1.0" encoding="utf-8"?>
<sst xmlns="http://schemas.openxmlformats.org/spreadsheetml/2006/main" count="264" uniqueCount="109">
  <si>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</si>
  <si>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</si>
  <si>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</si>
  <si>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</si>
  <si>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</si>
  <si>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</si>
  <si>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</si>
  <si>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</si>
  <si>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</si>
  <si>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</si>
  <si>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</si>
  <si>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</si>
  <si>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</si>
  <si>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</si>
  <si>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</si>
  <si>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</si>
  <si>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</si>
  <si>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</si>
  <si>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</si>
  <si>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</si>
  <si>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</si>
  <si>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Programme Environnement et Gest. Durable du Capital Nat</t>
  </si>
  <si>
    <t>http://open.undp.org/projects/00107168</t>
  </si>
  <si>
    <t>Electricity Access</t>
  </si>
  <si>
    <t>Number of people, who gained access to clean,
affordable and sustainable energy</t>
  </si>
  <si>
    <t>This project should be completed this year.</t>
  </si>
  <si>
    <t>UNDP</t>
  </si>
  <si>
    <t>Non-VF</t>
  </si>
  <si>
    <t>Efficiency</t>
  </si>
  <si>
    <t>Close the gap on energy access</t>
  </si>
  <si>
    <t>Government Capacity-Building</t>
  </si>
  <si>
    <t>Off-Grid</t>
  </si>
  <si>
    <t>Some Sources</t>
  </si>
  <si>
    <t>Community</t>
  </si>
  <si>
    <t>Energy (MW added)</t>
  </si>
  <si>
    <t>Increase in installed renewable energy
capacity per technology:
• Solar
• Hydro</t>
  </si>
  <si>
    <t>Solar: 122 kW  Hydro: 94 kW</t>
  </si>
  <si>
    <t xml:space="preserve">
UNDP</t>
  </si>
  <si>
    <t>Renewable Energy</t>
  </si>
  <si>
    <t>Solar</t>
  </si>
  <si>
    <t>Hydro</t>
  </si>
  <si>
    <t>Water Services</t>
  </si>
  <si>
    <t>Number of people with access to water (water supply supplied by electricity from the mini hydroelectric power station)</t>
  </si>
  <si>
    <t>National Strategy</t>
  </si>
  <si>
    <t>Number of policies or strategies developed or revised</t>
  </si>
  <si>
    <t>Development of the National Rural Electrification Plan (PNER)</t>
  </si>
  <si>
    <t>Incentives and Support</t>
  </si>
  <si>
    <t>National</t>
  </si>
  <si>
    <t>Health Services</t>
  </si>
  <si>
    <t>Number of beneficiaries of health facilities with access to electricity</t>
  </si>
  <si>
    <t>2 health center. Assumed 500 people per health center</t>
  </si>
  <si>
    <t>Health</t>
  </si>
  <si>
    <t>Education Services</t>
  </si>
  <si>
    <t>Number of beneficiaries of schools with access to electricity</t>
  </si>
  <si>
    <t>2 schools. Assumed 200 students per school</t>
  </si>
  <si>
    <t>Gestion Intégrée des Ressources Naturelles</t>
  </si>
  <si>
    <t>https://open.undp.org/projects/00107166</t>
  </si>
  <si>
    <t>Clean Cooking</t>
  </si>
  <si>
    <t>Percentage of households in project EVs with an improved cook stove, and number of improved kilns</t>
  </si>
  <si>
    <t>At least 1,000 banco cookstove are used in the ecovillage, and 4,000 improved stoves in the surrounding urban areas.
At least 50 kilns are disseminated within the BF landscaper.
At least 10 solar kits are used in the ecovillages.
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</si>
  <si>
    <t>GEF
UNDP</t>
  </si>
  <si>
    <t>VF</t>
  </si>
  <si>
    <t>Other</t>
  </si>
  <si>
    <t>Category</t>
  </si>
  <si>
    <t>Accelerating just energy transition</t>
  </si>
  <si>
    <t>Increase (in kilowatt) in installed renewable energy
capacity per technology:
• Solar
• Hydro</t>
  </si>
  <si>
    <t>• Solar: 0 kWc
• Hydro: 0 kW</t>
  </si>
  <si>
    <t>• Solar: 122 kWc
• Hydro: 94 kW</t>
  </si>
  <si>
    <t>The National Rural Electrification Plan (PNER) has been drawn up</t>
  </si>
  <si>
    <t>Number of health facilities with access to electricity</t>
  </si>
  <si>
    <t>Number of schools with access to electricity</t>
  </si>
  <si>
    <t xml:space="preserve">At least 1,000 banco cookstove are used in the ecovillage, and 4,000 improved stoves in the surrounding urban areas.
At least 50 kilns are disseminated within the BF landscaper.
At least 10 solar kits are used in the ecovillages.
</t>
  </si>
  <si>
    <t>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</si>
  <si>
    <t>Can you confirm project 107166's outputs? The budget seems very high for the specified target. Is energy only a small component of the project?</t>
  </si>
  <si>
    <t>For the Ecovillage component the budget isUSD 3,539,224.
Yes energy is not well taken into account, the total amount related to energy related activities (solar kits and improved stove) is less thanUSD 100,000.</t>
  </si>
  <si>
    <t>Number of people, disaggregated by sex, who gain access to clean electricity (direct access to electricity, lighting, cooling, etc.) </t>
  </si>
  <si>
    <t>Number of MW installed capacity</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</si>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</sst>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u/>
      <sz val="11"/>
      <color theme="10"/>
      <name val="Calibri"/>
      <family val="2"/>
      <scheme val="minor"/>
    </font>
    <font>
      <sz val="11"/>
      <color rgb="FFED7D31"/>
      <name val="Calibri"/>
      <family val="2"/>
      <scheme val="minor"/>
    </font>
    <font>
      <sz val="11"/>
      <color rgb="FF000000"/>
      <name val="Calibri"/>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63">
    <xf numFmtId="0" fontId="0" fillId="0" borderId="0" xfId="0"/>
    <xf numFmtId="0" fontId="2" fillId="0" borderId="1" xfId="0" applyFont="1" applyBorder="1" applyAlignment="1">
      <alignment horizontal="center" vertical="top"/>
    </xf>
    <xf numFmtId="0" fontId="2" fillId="0" borderId="0" xfId="0" applyFont="1"/>
    <xf numFmtId="0" fontId="0" fillId="0" borderId="0" xfId="0" applyAlignment="1">
      <alignment vertical="center"/>
    </xf>
    <xf numFmtId="0" fontId="0" fillId="0" borderId="0" xfId="0" applyAlignment="1">
      <alignment vertical="center" wrapText="1"/>
    </xf>
    <xf numFmtId="3" fontId="0" fillId="0" borderId="0" xfId="0" applyNumberFormat="1" applyAlignment="1">
      <alignment vertical="center"/>
    </xf>
    <xf numFmtId="0" fontId="3" fillId="0" borderId="0" xfId="1" applyAlignment="1" applyProtection="1">
      <alignment vertical="center"/>
    </xf>
    <xf numFmtId="0" fontId="0" fillId="2" borderId="0" xfId="0" applyFill="1" applyAlignment="1">
      <alignment vertical="center"/>
    </xf>
    <xf numFmtId="0" fontId="0" fillId="2" borderId="0" xfId="0" applyFill="1" applyAlignment="1">
      <alignment vertical="center" wrapText="1"/>
    </xf>
    <xf numFmtId="0" fontId="2" fillId="0" borderId="1" xfId="0" applyFont="1" applyBorder="1" applyAlignment="1">
      <alignment horizontal="center" vertical="center"/>
    </xf>
    <xf numFmtId="3" fontId="0" fillId="2" borderId="0" xfId="0" applyNumberFormat="1" applyFill="1" applyAlignment="1">
      <alignment horizontal="center" vertical="center"/>
    </xf>
    <xf numFmtId="0" fontId="0" fillId="0" borderId="0" xfId="0" applyAlignment="1">
      <alignment horizontal="center" vertical="center" wrapText="1"/>
    </xf>
    <xf numFmtId="3" fontId="0" fillId="0" borderId="0" xfId="0" applyNumberFormat="1" applyAlignment="1">
      <alignment horizontal="center" vertical="center" wrapText="1"/>
    </xf>
    <xf numFmtId="0" fontId="5" fillId="0" borderId="0" xfId="0" applyFont="1"/>
    <xf numFmtId="0" fontId="4" fillId="0" borderId="0" xfId="1" applyFont="1" applyAlignment="1" applyProtection="1">
      <alignment vertical="center" wrapText="1"/>
    </xf>
    <xf numFmtId="0" fontId="0" fillId="0" borderId="0" xfId="0" applyAlignment="1">
      <alignment wrapText="1"/>
    </xf>
    <xf numFmtId="0" fontId="0" fillId="3" borderId="2" xfId="0" applyFill="1" applyBorder="1" applyAlignment="1">
      <alignment vertical="center" wrapText="1"/>
    </xf>
    <xf numFmtId="0" fontId="0" fillId="3" borderId="0" xfId="0" applyFill="1" applyAlignment="1">
      <alignment vertical="center"/>
    </xf>
    <xf numFmtId="0" fontId="0" fillId="3" borderId="0" xfId="0" applyFill="1"/>
    <xf numFmtId="0" fontId="0" fillId="3" borderId="2" xfId="0" applyFill="1" applyBorder="1" applyAlignment="1">
      <alignment horizontal="center" vertical="center" wrapText="1"/>
    </xf>
    <xf numFmtId="3" fontId="0" fillId="3" borderId="2" xfId="0" applyNumberFormat="1" applyFill="1" applyBorder="1" applyAlignment="1">
      <alignment horizontal="center" vertical="center" wrapText="1"/>
    </xf>
    <xf numFmtId="0" fontId="2" fillId="0" borderId="3" xfId="0" applyFont="1" applyBorder="1" applyAlignment="1">
      <alignment horizontal="center" vertical="center"/>
    </xf>
    <xf numFmtId="0" fontId="2" fillId="0" borderId="3" xfId="0" applyFont="1" applyBorder="1" applyAlignment="1">
      <alignment vertical="center"/>
    </xf>
    <xf numFmtId="0" fontId="0" fillId="0" borderId="3" xfId="0" applyBorder="1" applyAlignment="1">
      <alignment vertical="center"/>
    </xf>
    <xf numFmtId="0" fontId="6" fillId="3" borderId="2" xfId="0" applyFont="1" applyFill="1" applyBorder="1" applyAlignment="1">
      <alignment vertical="center" wrapText="1"/>
    </xf>
    <xf numFmtId="0" fontId="0" fillId="3" borderId="4" xfId="0" applyFill="1" applyBorder="1" applyAlignment="1">
      <alignment vertical="center" wrapText="1"/>
    </xf>
    <xf numFmtId="0" fontId="0" fillId="3" borderId="5" xfId="0" applyFill="1" applyBorder="1" applyAlignment="1">
      <alignment vertical="center" wrapText="1"/>
    </xf>
    <xf numFmtId="0" fontId="4" fillId="3" borderId="5" xfId="1" applyFont="1" applyFill="1" applyBorder="1" applyAlignment="1" applyProtection="1">
      <alignment vertical="center" wrapText="1"/>
    </xf>
    <xf numFmtId="3" fontId="0" fillId="3" borderId="5" xfId="0" applyNumberFormat="1" applyFill="1" applyBorder="1" applyAlignment="1">
      <alignment vertical="center" wrapText="1"/>
    </xf>
    <xf numFmtId="0" fontId="0" fillId="3" borderId="3" xfId="0" applyFill="1" applyBorder="1" applyAlignment="1">
      <alignment vertical="center" wrapText="1"/>
    </xf>
    <xf numFmtId="0" fontId="0" fillId="3" borderId="6" xfId="0" applyFill="1" applyBorder="1" applyAlignment="1">
      <alignment vertical="center" wrapText="1"/>
    </xf>
    <xf numFmtId="0" fontId="0" fillId="3" borderId="7" xfId="0" applyFill="1" applyBorder="1" applyAlignment="1">
      <alignment vertical="center" wrapText="1"/>
    </xf>
    <xf numFmtId="0" fontId="0" fillId="3" borderId="8" xfId="0" applyFill="1" applyBorder="1" applyAlignment="1">
      <alignment vertical="center" wrapText="1"/>
    </xf>
    <xf numFmtId="0" fontId="0" fillId="3" borderId="9" xfId="0" applyFill="1" applyBorder="1" applyAlignment="1">
      <alignment vertical="center" wrapText="1"/>
    </xf>
    <xf numFmtId="0" fontId="3" fillId="3" borderId="7" xfId="1" applyFill="1" applyBorder="1" applyAlignment="1" applyProtection="1">
      <alignment vertical="center" wrapText="1"/>
    </xf>
    <xf numFmtId="0" fontId="0" fillId="0" borderId="7" xfId="0" applyBorder="1" applyAlignment="1">
      <alignment vertical="center" wrapText="1"/>
    </xf>
    <xf numFmtId="0" fontId="3" fillId="0" borderId="7" xfId="1" applyFill="1" applyBorder="1" applyAlignment="1" applyProtection="1">
      <alignment vertical="center" wrapText="1"/>
    </xf>
    <xf numFmtId="0" fontId="0" fillId="0" borderId="4" xfId="0" applyBorder="1" applyAlignment="1">
      <alignment vertical="center" wrapText="1"/>
    </xf>
    <xf numFmtId="0" fontId="0" fillId="0" borderId="2" xfId="0" applyBorder="1" applyAlignment="1">
      <alignment vertical="center" wrapText="1"/>
    </xf>
    <xf numFmtId="3" fontId="0" fillId="0" borderId="2" xfId="0" applyNumberFormat="1" applyBorder="1" applyAlignment="1">
      <alignment horizontal="center" vertical="center" wrapText="1"/>
    </xf>
    <xf numFmtId="0" fontId="0" fillId="0" borderId="2" xfId="0" applyBorder="1" applyAlignment="1">
      <alignment horizontal="center" vertical="center"/>
    </xf>
    <xf numFmtId="0" fontId="0" fillId="0" borderId="8" xfId="0" applyBorder="1" applyAlignment="1">
      <alignment vertical="center" wrapText="1"/>
    </xf>
    <xf numFmtId="0" fontId="6" fillId="0" borderId="2" xfId="0" applyFont="1" applyBorder="1" applyAlignment="1">
      <alignment vertical="center" wrapText="1"/>
    </xf>
    <xf numFmtId="0" fontId="0" fillId="0" borderId="2" xfId="0" applyBorder="1" applyAlignment="1">
      <alignment horizontal="center" vertical="center" wrapText="1"/>
    </xf>
    <xf numFmtId="0" fontId="0" fillId="0" borderId="9" xfId="0" applyBorder="1" applyAlignment="1">
      <alignment vertical="center" wrapText="1"/>
    </xf>
    <xf numFmtId="0" fontId="0" fillId="0" borderId="5" xfId="0" applyBorder="1" applyAlignment="1">
      <alignment vertical="center" wrapText="1"/>
    </xf>
    <xf numFmtId="0" fontId="4" fillId="0" borderId="5" xfId="1" applyFont="1" applyFill="1" applyBorder="1" applyAlignment="1" applyProtection="1">
      <alignment vertical="center" wrapText="1"/>
    </xf>
    <xf numFmtId="3" fontId="0" fillId="0" borderId="5" xfId="0" applyNumberFormat="1" applyBorder="1" applyAlignment="1">
      <alignment vertical="center" wrapText="1"/>
    </xf>
    <xf numFmtId="0" fontId="7" fillId="0" borderId="2" xfId="0" applyFont="1" applyBorder="1" applyAlignment="1">
      <alignment horizontal="center" vertical="top" wrapText="1"/>
    </xf>
    <xf numFmtId="0" fontId="8"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7" xfId="0" applyFont="1" applyBorder="1" applyAlignment="1">
      <alignment horizontal="center"/>
    </xf>
    <xf numFmtId="0" fontId="2" fillId="0" borderId="3" xfId="0" applyFont="1" applyBorder="1"/>
    <xf numFmtId="0" fontId="0" fillId="0" borderId="10" xfId="0" applyBorder="1" applyAlignment="1">
      <alignment horizontal="center" vertical="center"/>
    </xf>
    <xf numFmtId="0" fontId="0" fillId="0" borderId="4" xfId="0" applyBorder="1" applyAlignment="1">
      <alignment horizontal="center" vertical="center" wrapText="1"/>
    </xf>
    <xf numFmtId="0" fontId="0" fillId="0" borderId="2" xfId="0" applyBorder="1" applyAlignment="1">
      <alignment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madou kalidou Diallo" id="{B51CC0FE-2D1C-4559-B28B-94FBD6E1498D}" userId="S::mamadou.kalidou.diallo@undp.org::75919d50-3241-41ff-865e-e84b7a00c60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2" dT="2024-07-26T16:32:56.13" personId="{B51CC0FE-2D1C-4559-B28B-94FBD6E1498D}" id="{63ABDC95-5535-4262-8AAF-F395B669EBEE}">
    <text>Our interventions do not appear in these categories mentioned.</text>
  </threadedComment>
  <threadedComment ref="S2" dT="2024-07-26T16:24:24.99" personId="{B51CC0FE-2D1C-4559-B28B-94FBD6E1498D}" id="{18DFF971-7FC1-45CC-86C5-8907B613AFEA}">
    <text>Solar + Hydro</text>
  </threadedComment>
  <threadedComment ref="P3" dT="2024-07-26T16:33:03.67" personId="{B51CC0FE-2D1C-4559-B28B-94FBD6E1498D}" id="{DAE79BC5-FA91-4311-9744-59C84DBF39E3}">
    <text>Our interventions do not appear in these categories mentioned.</text>
  </threadedComment>
  <threadedComment ref="S3" dT="2024-07-26T16:24:54.13" personId="{B51CC0FE-2D1C-4559-B28B-94FBD6E1498D}" id="{823F019A-123B-43A1-88C5-8CE743F4FB28}">
    <text>Solar + Hydro</text>
  </threadedComment>
  <threadedComment ref="P5" dT="2024-07-26T16:33:10.59" personId="{B51CC0FE-2D1C-4559-B28B-94FBD6E1498D}" id="{58236605-817A-442A-9439-54E32EC13B9D}">
    <text>Our interventions do not appear in these categories mentioned.</text>
  </threadedComment>
  <threadedComment ref="S5" dT="2024-07-26T16:25:07.54" personId="{B51CC0FE-2D1C-4559-B28B-94FBD6E1498D}" id="{6213FCAD-3B9D-450D-BF89-2A7FBAC1E2DA}">
    <text>Solar + Hydro</text>
  </threadedComment>
  <threadedComment ref="P6" dT="2024-07-26T16:33:20.35" personId="{B51CC0FE-2D1C-4559-B28B-94FBD6E1498D}" id="{B8461E28-60F0-426F-B3AA-EA785F09E783}">
    <text>Our interventions do not appear in these categories mentioned.</text>
  </threadedComment>
  <threadedComment ref="S6" dT="2024-07-26T16:25:17.69" personId="{B51CC0FE-2D1C-4559-B28B-94FBD6E1498D}" id="{4165CBDA-4C72-4382-B676-FA32A874D406}">
    <text>Solar + Hydro</text>
  </threadedComment>
  <threadedComment ref="P7" dT="2024-07-26T16:33:29.06" personId="{B51CC0FE-2D1C-4559-B28B-94FBD6E1498D}" id="{92A10744-4B88-4208-8970-904B118F7C75}">
    <text>Our interventions do not appear in these categories mentioned.</text>
  </threadedComment>
  <threadedComment ref="S7" dT="2024-07-26T16:25:34.38" personId="{B51CC0FE-2D1C-4559-B28B-94FBD6E1498D}" id="{EE7D86B8-81D0-493F-96DA-0B2CBF2109BE}">
    <text>Solar + Hydro</text>
  </threadedComment>
  <threadedComment ref="P8" dT="2024-07-26T16:33:36.04" personId="{B51CC0FE-2D1C-4559-B28B-94FBD6E1498D}" id="{FE54E324-BDD1-4D42-AF47-A290FF86D110}">
    <text>Our interventions do not appear in these categories mentioned.</text>
  </threadedComment>
  <threadedComment ref="S8" dT="2024-07-26T16:25:45.44" personId="{B51CC0FE-2D1C-4559-B28B-94FBD6E1498D}" id="{56F81C8E-3446-4023-9E47-94B65F357000}">
    <text>Solar + Hydro</text>
  </threadedComment>
  <threadedComment ref="P9" dT="2024-07-26T16:33:46.64" personId="{B51CC0FE-2D1C-4559-B28B-94FBD6E1498D}" id="{EE1F702D-A940-43B0-B58E-945FF0E3C741}">
    <text>Our interventions do not appear in these categories mentioned.</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open.undp.org/projects/00107166" TargetMode="External"/><Relationship Id="rId1" Type="http://schemas.openxmlformats.org/officeDocument/2006/relationships/hyperlink" Target="http://open.undp.org/projects/00107168"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hyperlink" Target="https://open.undp.org/projects/00107166" TargetMode="External"/><Relationship Id="rId1" Type="http://schemas.openxmlformats.org/officeDocument/2006/relationships/hyperlink" Target="http://open.undp.org/projects/00107168"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open.undp.org/projects/00107166" TargetMode="External"/><Relationship Id="rId1" Type="http://schemas.openxmlformats.org/officeDocument/2006/relationships/hyperlink" Target="http://open.undp.org/projects/0010716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96A3-57E1-4652-B097-1ABA80C02A81}">
  <dimension ref="A1:U12"/>
  <sheetViews>
    <sheetView tabSelected="1" workbookViewId="0">
      <selection activeCell="E7" sqref="E7:U7"/>
    </sheetView>
  </sheetViews>
  <sheetFormatPr defaultRowHeight="15" x14ac:dyDescent="0.25"/>
  <cols>
    <col min="2" max="3" width="20.7109375" customWidth="1"/>
    <col min="4" max="4" width="9.85546875" bestFit="1" customWidth="1"/>
    <col min="5" max="6" width="20.7109375" customWidth="1"/>
    <col min="7" max="7" width="12.7109375" customWidth="1"/>
    <col min="8" max="8" width="20.140625" style="3" customWidth="1"/>
    <col min="9" max="9" width="50.85546875" customWidth="1"/>
    <col min="14" max="14" width="14.42578125" bestFit="1" customWidth="1"/>
    <col min="15" max="15" width="17.5703125" bestFit="1" customWidth="1"/>
    <col min="16" max="16" width="11.140625" customWidth="1"/>
    <col min="17" max="17" width="21.5703125" bestFit="1" customWidth="1"/>
    <col min="18" max="18" width="18.140625" bestFit="1" customWidth="1"/>
    <col min="19" max="19" width="13.42578125" bestFit="1" customWidth="1"/>
    <col min="20" max="20" width="30.28515625" bestFit="1" customWidth="1"/>
    <col min="21" max="21" width="16.7109375" bestFit="1" customWidth="1"/>
  </cols>
  <sheetData>
    <row r="1" spans="1:21" x14ac:dyDescent="0.25">
      <c r="A1" s="21" t="s">
        <v>0</v>
      </c>
      <c r="B1" s="21" t="s">
        <v>1</v>
      </c>
      <c r="C1" s="21" t="s">
        <v>2</v>
      </c>
      <c r="D1" s="21" t="s">
        <v>3</v>
      </c>
      <c r="E1" s="21" t="s">
        <v>4</v>
      </c>
      <c r="F1" s="21" t="s">
        <v>5</v>
      </c>
      <c r="G1" s="21" t="s">
        <v>6</v>
      </c>
      <c r="H1" s="21" t="s">
        <v>7</v>
      </c>
      <c r="I1" s="21" t="s">
        <v>8</v>
      </c>
      <c r="J1" s="22" t="s">
        <v>9</v>
      </c>
      <c r="K1" s="22" t="s">
        <v>10</v>
      </c>
      <c r="L1" s="50" t="s">
        <v>11</v>
      </c>
      <c r="M1" s="51" t="s">
        <v>12</v>
      </c>
      <c r="N1" s="50" t="s">
        <v>13</v>
      </c>
      <c r="O1" s="50" t="s">
        <v>14</v>
      </c>
      <c r="P1" s="51" t="s">
        <v>15</v>
      </c>
      <c r="Q1" s="51" t="s">
        <v>16</v>
      </c>
      <c r="R1" s="52" t="s">
        <v>17</v>
      </c>
      <c r="S1" s="53" t="s">
        <v>18</v>
      </c>
      <c r="T1" s="52" t="s">
        <v>19</v>
      </c>
      <c r="U1" s="53" t="s">
        <v>20</v>
      </c>
    </row>
    <row r="2" spans="1:21" s="3" customFormat="1" ht="75" x14ac:dyDescent="0.25">
      <c r="A2" s="35">
        <v>107168</v>
      </c>
      <c r="B2" s="35" t="s">
        <v>21</v>
      </c>
      <c r="C2" s="36" t="s">
        <v>22</v>
      </c>
      <c r="D2" s="60">
        <v>5628899</v>
      </c>
      <c r="E2" s="37" t="s">
        <v>23</v>
      </c>
      <c r="F2" s="38" t="s">
        <v>24</v>
      </c>
      <c r="G2" s="39">
        <v>7263</v>
      </c>
      <c r="H2" s="39">
        <v>12263</v>
      </c>
      <c r="I2" s="38" t="s">
        <v>25</v>
      </c>
      <c r="J2" s="38" t="s">
        <v>26</v>
      </c>
      <c r="K2" s="38">
        <v>52</v>
      </c>
      <c r="L2" s="54" t="s">
        <v>27</v>
      </c>
      <c r="M2" s="40" t="s">
        <v>28</v>
      </c>
      <c r="N2" s="55" t="s">
        <v>29</v>
      </c>
      <c r="O2" s="40" t="s">
        <v>23</v>
      </c>
      <c r="P2" s="40"/>
      <c r="Q2" s="40" t="s">
        <v>30</v>
      </c>
      <c r="R2" s="40" t="s">
        <v>31</v>
      </c>
      <c r="S2" s="56" t="s">
        <v>32</v>
      </c>
      <c r="T2" s="40" t="s">
        <v>33</v>
      </c>
      <c r="U2" s="56"/>
    </row>
    <row r="3" spans="1:21" ht="90" x14ac:dyDescent="0.25">
      <c r="A3" s="41"/>
      <c r="B3" s="41"/>
      <c r="C3" s="41"/>
      <c r="D3" s="61"/>
      <c r="E3" s="37" t="s">
        <v>34</v>
      </c>
      <c r="F3" s="38" t="s">
        <v>35</v>
      </c>
      <c r="G3" s="38">
        <v>0</v>
      </c>
      <c r="H3" s="38">
        <v>0.122</v>
      </c>
      <c r="I3" s="42" t="s">
        <v>36</v>
      </c>
      <c r="J3" s="38" t="s">
        <v>37</v>
      </c>
      <c r="K3" s="38">
        <v>52</v>
      </c>
      <c r="L3" s="54" t="s">
        <v>27</v>
      </c>
      <c r="M3" s="40" t="s">
        <v>28</v>
      </c>
      <c r="N3" s="55" t="s">
        <v>29</v>
      </c>
      <c r="O3" s="40" t="s">
        <v>38</v>
      </c>
      <c r="P3" s="40"/>
      <c r="Q3" s="40" t="s">
        <v>30</v>
      </c>
      <c r="R3" s="40" t="s">
        <v>31</v>
      </c>
      <c r="S3" s="56" t="s">
        <v>39</v>
      </c>
      <c r="T3" s="40" t="s">
        <v>33</v>
      </c>
      <c r="U3" s="56"/>
    </row>
    <row r="4" spans="1:21" x14ac:dyDescent="0.25">
      <c r="A4" s="41"/>
      <c r="B4" s="41"/>
      <c r="C4" s="41"/>
      <c r="D4" s="61"/>
      <c r="E4" s="37" t="s">
        <v>34</v>
      </c>
      <c r="F4" s="38"/>
      <c r="G4" s="38"/>
      <c r="H4" s="38">
        <v>9.4E-2</v>
      </c>
      <c r="I4" s="42"/>
      <c r="J4" s="38"/>
      <c r="K4" s="38"/>
      <c r="L4" s="54"/>
      <c r="M4" s="40"/>
      <c r="N4" s="55"/>
      <c r="O4" s="40"/>
      <c r="P4" s="40"/>
      <c r="Q4" s="40"/>
      <c r="R4" s="40"/>
      <c r="S4" s="56" t="s">
        <v>40</v>
      </c>
      <c r="T4" s="40"/>
      <c r="U4" s="56"/>
    </row>
    <row r="5" spans="1:21" ht="105" x14ac:dyDescent="0.25">
      <c r="A5" s="41"/>
      <c r="B5" s="41"/>
      <c r="C5" s="41"/>
      <c r="D5" s="61"/>
      <c r="E5" s="37" t="s">
        <v>41</v>
      </c>
      <c r="F5" s="38" t="s">
        <v>42</v>
      </c>
      <c r="G5" s="43">
        <v>0</v>
      </c>
      <c r="H5" s="39">
        <v>1000</v>
      </c>
      <c r="I5" s="42"/>
      <c r="J5" s="38" t="s">
        <v>37</v>
      </c>
      <c r="K5" s="38">
        <v>52</v>
      </c>
      <c r="L5" s="54" t="s">
        <v>27</v>
      </c>
      <c r="M5" s="40" t="s">
        <v>28</v>
      </c>
      <c r="N5" s="55" t="s">
        <v>29</v>
      </c>
      <c r="O5" s="40" t="s">
        <v>23</v>
      </c>
      <c r="P5" s="40"/>
      <c r="Q5" s="40" t="s">
        <v>43</v>
      </c>
      <c r="R5" s="40" t="s">
        <v>31</v>
      </c>
      <c r="S5" s="56" t="s">
        <v>32</v>
      </c>
      <c r="T5" s="40" t="s">
        <v>33</v>
      </c>
      <c r="U5" s="56"/>
    </row>
    <row r="6" spans="1:21" ht="45" x14ac:dyDescent="0.25">
      <c r="A6" s="41"/>
      <c r="B6" s="41"/>
      <c r="C6" s="41"/>
      <c r="D6" s="61"/>
      <c r="E6" s="37" t="s">
        <v>19</v>
      </c>
      <c r="F6" s="38" t="s">
        <v>44</v>
      </c>
      <c r="G6" s="43">
        <v>1</v>
      </c>
      <c r="H6" s="39">
        <v>2</v>
      </c>
      <c r="I6" s="42" t="s">
        <v>45</v>
      </c>
      <c r="J6" s="38" t="s">
        <v>26</v>
      </c>
      <c r="K6" s="38">
        <v>52</v>
      </c>
      <c r="L6" s="54" t="s">
        <v>27</v>
      </c>
      <c r="M6" s="40" t="s">
        <v>28</v>
      </c>
      <c r="N6" s="55" t="s">
        <v>29</v>
      </c>
      <c r="O6" s="40" t="s">
        <v>23</v>
      </c>
      <c r="P6" s="40"/>
      <c r="Q6" s="40" t="s">
        <v>46</v>
      </c>
      <c r="R6" s="40" t="s">
        <v>31</v>
      </c>
      <c r="S6" s="56" t="s">
        <v>32</v>
      </c>
      <c r="T6" s="40" t="s">
        <v>47</v>
      </c>
      <c r="U6" s="56"/>
    </row>
    <row r="7" spans="1:21" ht="60" x14ac:dyDescent="0.25">
      <c r="A7" s="41"/>
      <c r="B7" s="41"/>
      <c r="C7" s="41"/>
      <c r="D7" s="61"/>
      <c r="E7" s="37" t="s">
        <v>48</v>
      </c>
      <c r="F7" s="38" t="s">
        <v>49</v>
      </c>
      <c r="G7" s="43">
        <v>0</v>
      </c>
      <c r="H7" s="38">
        <v>1000</v>
      </c>
      <c r="I7" s="39" t="s">
        <v>50</v>
      </c>
      <c r="J7" s="38" t="s">
        <v>26</v>
      </c>
      <c r="K7" s="38">
        <v>52</v>
      </c>
      <c r="L7" s="54" t="s">
        <v>27</v>
      </c>
      <c r="M7" s="40" t="s">
        <v>51</v>
      </c>
      <c r="N7" s="55" t="s">
        <v>29</v>
      </c>
      <c r="O7" s="40" t="s">
        <v>23</v>
      </c>
      <c r="P7" s="40"/>
      <c r="Q7" s="40" t="s">
        <v>30</v>
      </c>
      <c r="R7" s="40" t="s">
        <v>31</v>
      </c>
      <c r="S7" s="56" t="s">
        <v>32</v>
      </c>
      <c r="T7" s="40" t="s">
        <v>33</v>
      </c>
      <c r="U7" s="56"/>
    </row>
    <row r="8" spans="1:21" ht="60" x14ac:dyDescent="0.25">
      <c r="A8" s="44"/>
      <c r="B8" s="44"/>
      <c r="C8" s="44"/>
      <c r="D8" s="62"/>
      <c r="E8" s="37" t="s">
        <v>52</v>
      </c>
      <c r="F8" s="38" t="s">
        <v>53</v>
      </c>
      <c r="G8" s="43">
        <v>0</v>
      </c>
      <c r="H8" s="38">
        <v>400</v>
      </c>
      <c r="I8" s="39" t="s">
        <v>54</v>
      </c>
      <c r="J8" s="38" t="s">
        <v>26</v>
      </c>
      <c r="K8" s="38">
        <v>52</v>
      </c>
      <c r="L8" s="54" t="s">
        <v>27</v>
      </c>
      <c r="M8" s="40" t="s">
        <v>28</v>
      </c>
      <c r="N8" s="55" t="s">
        <v>29</v>
      </c>
      <c r="O8" s="40" t="s">
        <v>23</v>
      </c>
      <c r="P8" s="40"/>
      <c r="Q8" s="40" t="s">
        <v>30</v>
      </c>
      <c r="R8" s="40" t="s">
        <v>31</v>
      </c>
      <c r="S8" s="56" t="s">
        <v>32</v>
      </c>
      <c r="T8" s="40" t="s">
        <v>33</v>
      </c>
      <c r="U8" s="56"/>
    </row>
    <row r="9" spans="1:21" ht="270" x14ac:dyDescent="0.25">
      <c r="A9" s="45">
        <v>107166</v>
      </c>
      <c r="B9" s="45" t="s">
        <v>55</v>
      </c>
      <c r="C9" s="46" t="s">
        <v>56</v>
      </c>
      <c r="D9" s="47">
        <v>7460274</v>
      </c>
      <c r="E9" s="38" t="s">
        <v>57</v>
      </c>
      <c r="F9" s="38" t="s">
        <v>58</v>
      </c>
      <c r="G9" s="38">
        <v>0</v>
      </c>
      <c r="H9" s="38">
        <v>5500</v>
      </c>
      <c r="I9" s="38" t="s">
        <v>59</v>
      </c>
      <c r="J9" s="38" t="s">
        <v>60</v>
      </c>
      <c r="K9" s="38">
        <v>51</v>
      </c>
      <c r="L9" s="54" t="s">
        <v>61</v>
      </c>
      <c r="M9" s="40" t="s">
        <v>51</v>
      </c>
      <c r="N9" s="55" t="s">
        <v>29</v>
      </c>
      <c r="O9" s="40" t="s">
        <v>57</v>
      </c>
      <c r="P9" s="40"/>
      <c r="Q9" s="40" t="s">
        <v>30</v>
      </c>
      <c r="R9" s="40" t="s">
        <v>57</v>
      </c>
      <c r="S9" s="56" t="s">
        <v>62</v>
      </c>
      <c r="T9" s="40" t="s">
        <v>33</v>
      </c>
      <c r="U9" s="56"/>
    </row>
    <row r="11" spans="1:21" x14ac:dyDescent="0.25">
      <c r="B11" s="13"/>
    </row>
    <row r="12" spans="1:21" x14ac:dyDescent="0.25">
      <c r="B12" s="15"/>
    </row>
  </sheetData>
  <mergeCells count="1">
    <mergeCell ref="D2:D8"/>
  </mergeCells>
  <dataValidations count="9">
    <dataValidation type="list" allowBlank="1" showInputMessage="1" showErrorMessage="1" sqref="Q2:Q9" xr:uid="{F222DF8F-A110-459A-BD19-135C47E8BCBD}">
      <formula1>"NDC Support, National Strategy, Legal Framework,Incentives and Support, Government Capacity-Building, Carbon Pricing and Monitoring, Financing Model, Business Model"</formula1>
    </dataValidation>
    <dataValidation type="list" allowBlank="1" showInputMessage="1" showErrorMessage="1" sqref="P2:P9" xr:uid="{0146E532-4A1E-404E-9387-62758E925E8D}">
      <formula1>"AMP, PUDC, Solar4Health, Action Opportunities, Italy UNDP Energy Partnership"</formula1>
    </dataValidation>
    <dataValidation type="list" allowBlank="1" showInputMessage="1" showErrorMessage="1" sqref="N2:N9" xr:uid="{6C2EC87A-5A22-4690-A70B-A905ACB838D4}">
      <formula1>"Accelerating just energy transition, Close the gap on energy access, Scale up energy finance"</formula1>
    </dataValidation>
    <dataValidation type="list" allowBlank="1" showInputMessage="1" showErrorMessage="1" sqref="O2:O9" xr:uid="{4A2FA89E-329A-4790-A886-866A39703C3C}">
      <formula1>"Electricity Access, Energy Efficiency, Clean Cooking, Renewable Energy, Overall"</formula1>
    </dataValidation>
    <dataValidation type="list" allowBlank="1" showInputMessage="1" showErrorMessage="1" sqref="L2:L9" xr:uid="{DF830120-261E-4D1D-8731-DEDB1CE4E1EB}">
      <formula1>"Non-VF, VF"</formula1>
    </dataValidation>
    <dataValidation type="list" allowBlank="1" showInputMessage="1" showErrorMessage="1" sqref="M2:M9" xr:uid="{B31C133A-96FD-4B2B-835F-D98C8DA2DD17}">
      <formula1>"Finance, Gender, Efficiency, Just, Health"</formula1>
    </dataValidation>
    <dataValidation type="list" allowBlank="1" showInputMessage="1" showErrorMessage="1" sqref="T2:T9" xr:uid="{AA770657-2EA9-4A8D-B39C-77196AB11084}">
      <formula1>"National, Regional, City, Community"</formula1>
    </dataValidation>
    <dataValidation type="list" allowBlank="1" showInputMessage="1" showErrorMessage="1" sqref="S2:S9" xr:uid="{A459A881-2C6C-4ECC-98E9-5D3168374541}">
      <formula1>"Solar, Wind, Bioenergy, Hydro, Geothermal, Waste, Some Sources, Other, Unknown"</formula1>
    </dataValidation>
    <dataValidation type="list" allowBlank="1" showInputMessage="1" showErrorMessage="1" sqref="R2:R9" xr:uid="{A0D3F06F-4A24-4F28-9061-5052AD669C25}">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2F79CCCB-3508-4F00-9F3F-D7B4DC6177BE}"/>
    <hyperlink ref="C9" r:id="rId2" xr:uid="{F0B692A3-6613-49E3-BAA3-273B3713C0C9}"/>
  </hyperlinks>
  <pageMargins left="0.7" right="0.7" top="0.75" bottom="0.75" header="0.3" footer="0.3"/>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73903981-F602-4016-B2CB-2FA50CBC769B}">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DCAF1-B3AD-4B99-9DBD-CB602273CC0C}">
  <dimension ref="A1:R11"/>
  <sheetViews>
    <sheetView workbookViewId="0">
      <selection activeCell="H3" sqref="H3"/>
    </sheetView>
  </sheetViews>
  <sheetFormatPr defaultRowHeight="15" x14ac:dyDescent="0.25"/>
  <cols>
    <col min="2" max="3" width="20.7109375" customWidth="1"/>
    <col min="4" max="4" width="9.85546875" bestFit="1" customWidth="1"/>
    <col min="5" max="6" width="20.7109375" customWidth="1"/>
    <col min="7" max="7" width="12.7109375" customWidth="1"/>
    <col min="8" max="8" width="20.140625" style="3" customWidth="1"/>
    <col min="9" max="9" width="50.85546875" customWidth="1"/>
    <col min="14" max="14" width="11.42578125" customWidth="1"/>
    <col min="15" max="15" width="11.140625" customWidth="1"/>
    <col min="17" max="17" width="10.5703125" customWidth="1"/>
  </cols>
  <sheetData>
    <row r="1" spans="1:18" x14ac:dyDescent="0.25">
      <c r="A1" s="21" t="s">
        <v>0</v>
      </c>
      <c r="B1" s="21" t="s">
        <v>1</v>
      </c>
      <c r="C1" s="21" t="s">
        <v>2</v>
      </c>
      <c r="D1" s="21" t="s">
        <v>3</v>
      </c>
      <c r="E1" s="21" t="s">
        <v>4</v>
      </c>
      <c r="F1" s="21" t="s">
        <v>5</v>
      </c>
      <c r="G1" s="21" t="s">
        <v>6</v>
      </c>
      <c r="H1" s="21" t="s">
        <v>7</v>
      </c>
      <c r="I1" s="21" t="s">
        <v>8</v>
      </c>
      <c r="J1" s="22" t="s">
        <v>9</v>
      </c>
      <c r="K1" s="22" t="s">
        <v>10</v>
      </c>
      <c r="L1" s="22" t="s">
        <v>63</v>
      </c>
      <c r="M1" s="23" t="s">
        <v>12</v>
      </c>
      <c r="N1" s="22" t="s">
        <v>13</v>
      </c>
      <c r="O1" s="22" t="s">
        <v>14</v>
      </c>
      <c r="P1" s="22" t="s">
        <v>15</v>
      </c>
      <c r="Q1" s="22" t="s">
        <v>16</v>
      </c>
      <c r="R1" s="22" t="s">
        <v>17</v>
      </c>
    </row>
    <row r="2" spans="1:18" s="17" customFormat="1" ht="75" x14ac:dyDescent="0.25">
      <c r="A2" s="31">
        <v>107168</v>
      </c>
      <c r="B2" s="31" t="s">
        <v>21</v>
      </c>
      <c r="C2" s="34" t="s">
        <v>22</v>
      </c>
      <c r="D2" s="29">
        <v>5628899</v>
      </c>
      <c r="E2" s="25" t="s">
        <v>23</v>
      </c>
      <c r="F2" s="16" t="s">
        <v>24</v>
      </c>
      <c r="G2" s="20">
        <v>7263</v>
      </c>
      <c r="H2" s="20">
        <v>12263</v>
      </c>
      <c r="I2" s="16" t="s">
        <v>25</v>
      </c>
      <c r="J2" s="16" t="s">
        <v>26</v>
      </c>
      <c r="K2" s="16"/>
      <c r="L2" s="16" t="s">
        <v>27</v>
      </c>
      <c r="M2" s="16"/>
      <c r="N2" s="16" t="s">
        <v>64</v>
      </c>
      <c r="O2" s="16" t="s">
        <v>23</v>
      </c>
      <c r="P2" s="16"/>
      <c r="Q2" s="16"/>
      <c r="R2" s="16"/>
    </row>
    <row r="3" spans="1:18" s="18" customFormat="1" ht="90" x14ac:dyDescent="0.25">
      <c r="A3" s="32"/>
      <c r="B3" s="32"/>
      <c r="C3" s="32"/>
      <c r="D3" s="30"/>
      <c r="E3" s="25" t="s">
        <v>34</v>
      </c>
      <c r="F3" s="16" t="s">
        <v>35</v>
      </c>
      <c r="G3" s="16">
        <v>0</v>
      </c>
      <c r="H3" s="16">
        <v>0.216</v>
      </c>
      <c r="I3" s="24" t="s">
        <v>36</v>
      </c>
      <c r="J3" s="16" t="s">
        <v>37</v>
      </c>
      <c r="K3" s="16"/>
      <c r="L3" s="16" t="s">
        <v>27</v>
      </c>
      <c r="M3" s="16"/>
      <c r="N3" s="16" t="s">
        <v>29</v>
      </c>
      <c r="O3" s="16" t="s">
        <v>38</v>
      </c>
      <c r="P3" s="16"/>
      <c r="Q3" s="16"/>
      <c r="R3" s="16"/>
    </row>
    <row r="4" spans="1:18" s="18" customFormat="1" ht="105" x14ac:dyDescent="0.25">
      <c r="A4" s="32"/>
      <c r="B4" s="32"/>
      <c r="C4" s="32"/>
      <c r="D4" s="30"/>
      <c r="E4" s="25" t="s">
        <v>41</v>
      </c>
      <c r="F4" s="16" t="s">
        <v>42</v>
      </c>
      <c r="G4" s="19">
        <v>0</v>
      </c>
      <c r="H4" s="20">
        <v>1000</v>
      </c>
      <c r="I4" s="24"/>
      <c r="J4" s="16" t="s">
        <v>37</v>
      </c>
      <c r="K4" s="16"/>
      <c r="L4" s="16" t="s">
        <v>27</v>
      </c>
      <c r="M4" s="16"/>
      <c r="N4" s="16" t="s">
        <v>64</v>
      </c>
      <c r="O4" s="16" t="s">
        <v>23</v>
      </c>
      <c r="P4" s="16"/>
      <c r="Q4" s="16"/>
      <c r="R4" s="16"/>
    </row>
    <row r="5" spans="1:18" s="18" customFormat="1" ht="60" x14ac:dyDescent="0.25">
      <c r="A5" s="32"/>
      <c r="B5" s="32"/>
      <c r="C5" s="32"/>
      <c r="D5" s="30"/>
      <c r="E5" s="25" t="s">
        <v>19</v>
      </c>
      <c r="F5" s="16" t="s">
        <v>44</v>
      </c>
      <c r="G5" s="19">
        <v>1</v>
      </c>
      <c r="H5" s="20">
        <v>2</v>
      </c>
      <c r="I5" s="24"/>
      <c r="J5" s="16" t="s">
        <v>26</v>
      </c>
      <c r="K5" s="16"/>
      <c r="L5" s="16" t="s">
        <v>27</v>
      </c>
      <c r="M5" s="16"/>
      <c r="N5" s="16" t="s">
        <v>64</v>
      </c>
      <c r="O5" s="16" t="s">
        <v>23</v>
      </c>
      <c r="P5" s="16"/>
      <c r="Q5" s="16" t="s">
        <v>46</v>
      </c>
      <c r="R5" s="16" t="s">
        <v>23</v>
      </c>
    </row>
    <row r="6" spans="1:18" s="18" customFormat="1" ht="60" x14ac:dyDescent="0.25">
      <c r="A6" s="32"/>
      <c r="B6" s="32"/>
      <c r="C6" s="32"/>
      <c r="D6" s="30"/>
      <c r="E6" s="25" t="s">
        <v>48</v>
      </c>
      <c r="F6" s="16" t="s">
        <v>49</v>
      </c>
      <c r="G6" s="19">
        <v>0</v>
      </c>
      <c r="H6" s="16">
        <v>1000</v>
      </c>
      <c r="I6" s="20" t="s">
        <v>50</v>
      </c>
      <c r="J6" s="16" t="s">
        <v>26</v>
      </c>
      <c r="K6" s="16"/>
      <c r="L6" s="16" t="s">
        <v>27</v>
      </c>
      <c r="M6" s="16"/>
      <c r="N6" s="16"/>
      <c r="O6" s="16"/>
      <c r="P6" s="16"/>
      <c r="Q6" s="16"/>
      <c r="R6" s="16"/>
    </row>
    <row r="7" spans="1:18" s="18" customFormat="1" ht="60" x14ac:dyDescent="0.25">
      <c r="A7" s="33"/>
      <c r="B7" s="33"/>
      <c r="C7" s="33"/>
      <c r="D7" s="26"/>
      <c r="E7" s="25" t="s">
        <v>52</v>
      </c>
      <c r="F7" s="16" t="s">
        <v>53</v>
      </c>
      <c r="G7" s="19">
        <v>0</v>
      </c>
      <c r="H7" s="16">
        <v>400</v>
      </c>
      <c r="I7" s="20" t="s">
        <v>54</v>
      </c>
      <c r="J7" s="16" t="s">
        <v>26</v>
      </c>
      <c r="K7" s="16"/>
      <c r="L7" s="16" t="s">
        <v>27</v>
      </c>
      <c r="M7" s="16"/>
      <c r="N7" s="16"/>
      <c r="O7" s="16"/>
      <c r="P7" s="16"/>
      <c r="Q7" s="16"/>
      <c r="R7" s="16"/>
    </row>
    <row r="8" spans="1:18" s="18" customFormat="1" ht="270" x14ac:dyDescent="0.25">
      <c r="A8" s="26">
        <v>107166</v>
      </c>
      <c r="B8" s="26" t="s">
        <v>55</v>
      </c>
      <c r="C8" s="27" t="s">
        <v>56</v>
      </c>
      <c r="D8" s="28">
        <v>7460274</v>
      </c>
      <c r="E8" s="16" t="s">
        <v>57</v>
      </c>
      <c r="F8" s="16" t="s">
        <v>58</v>
      </c>
      <c r="G8" s="16">
        <v>0</v>
      </c>
      <c r="H8" s="16">
        <v>5500</v>
      </c>
      <c r="I8" s="16" t="s">
        <v>59</v>
      </c>
      <c r="J8" s="16" t="s">
        <v>60</v>
      </c>
      <c r="K8" s="16"/>
      <c r="L8" s="19" t="s">
        <v>61</v>
      </c>
      <c r="M8" s="16"/>
      <c r="N8" s="16" t="s">
        <v>64</v>
      </c>
      <c r="O8" s="16" t="s">
        <v>57</v>
      </c>
      <c r="P8" s="16"/>
      <c r="Q8" s="16"/>
      <c r="R8" s="16"/>
    </row>
    <row r="10" spans="1:18" x14ac:dyDescent="0.25">
      <c r="B10" s="13"/>
    </row>
    <row r="11" spans="1:18" x14ac:dyDescent="0.25">
      <c r="B11" s="15"/>
    </row>
  </sheetData>
  <dataValidations count="5">
    <dataValidation type="list" allowBlank="1" showInputMessage="1" showErrorMessage="1" sqref="N2:N8" xr:uid="{06A2954F-33FE-4D47-A01F-585A797054E4}">
      <formula1>"Accelerating just energy transition, Close the gap on energy access, Scale up energy finance"</formula1>
    </dataValidation>
    <dataValidation type="list" allowBlank="1" showInputMessage="1" showErrorMessage="1" sqref="O2:O8" xr:uid="{7BD5EE73-01D2-4F80-BAE5-74B737811042}">
      <formula1>"Electricity Access, Energy Efficiency, Clean Cooking, Renewable Energy"</formula1>
    </dataValidation>
    <dataValidation type="list" allowBlank="1" showInputMessage="1" showErrorMessage="1" sqref="P2:P8" xr:uid="{279A75A1-DE5F-444D-8E37-19BC50A5A9CF}">
      <formula1>"AMP, PUDC, Solar4Health, Action Opportunities, Italy UNDP Energy Partnership"</formula1>
    </dataValidation>
    <dataValidation type="list" allowBlank="1" showInputMessage="1" showErrorMessage="1" sqref="Q2:Q8" xr:uid="{3233F83C-836B-4F92-9BE6-08AAD03CD8D7}">
      <formula1>"NDC Support, National Strategy, Legal Framework,Incentives and Support, Government Capacity-Building, Carbon Pricing and Monitoring, Financing Model, Business Model"</formula1>
    </dataValidation>
    <dataValidation type="list" allowBlank="1" showInputMessage="1" showErrorMessage="1" sqref="R2:R8" xr:uid="{4F17223A-4ECD-4138-827A-B434599FB9B2}">
      <formula1>"Electricity Access, Energy Efficiency, Renewable EnergyEnergy Infrastructure,   Transport, Digital &amp; Data, Clean Cooking, Decarbonization, Hydrogen, Off-Grid, On-Grid"</formula1>
    </dataValidation>
  </dataValidations>
  <hyperlinks>
    <hyperlink ref="C2" r:id="rId1" xr:uid="{FF4BA2FA-58E8-4CC7-857F-3C669D61B010}"/>
    <hyperlink ref="C8" r:id="rId2" xr:uid="{091F298D-9CAB-4495-869F-717E8693B24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CA543D9-2E43-4384-8574-FCB565078C2D}">
          <x14:formula1>
            <xm:f>'Beneficiary Categories'!$A$2:$A$16</xm:f>
          </x14:formula1>
          <xm:sqref>E2:E8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
  <sheetViews>
    <sheetView topLeftCell="B1" workbookViewId="0">
      <selection activeCell="B10" sqref="B10"/>
    </sheetView>
  </sheetViews>
  <sheetFormatPr defaultRowHeight="15" x14ac:dyDescent="0.25"/>
  <cols>
    <col min="2" max="3" width="20.7109375" customWidth="1"/>
    <col min="4" max="4" width="9.85546875" bestFit="1" customWidth="1"/>
    <col min="5" max="6" width="20.7109375" customWidth="1"/>
    <col min="7" max="7" width="12.7109375" customWidth="1"/>
    <col min="8" max="8" width="20.140625" style="3" customWidth="1"/>
    <col min="9" max="9" width="32.7109375" customWidth="1"/>
  </cols>
  <sheetData>
    <row r="1" spans="1:10" x14ac:dyDescent="0.25">
      <c r="A1" s="1" t="s">
        <v>0</v>
      </c>
      <c r="B1" s="1" t="s">
        <v>1</v>
      </c>
      <c r="C1" s="1" t="s">
        <v>2</v>
      </c>
      <c r="D1" s="1" t="s">
        <v>3</v>
      </c>
      <c r="E1" s="1" t="s">
        <v>4</v>
      </c>
      <c r="F1" s="1" t="s">
        <v>5</v>
      </c>
      <c r="G1" s="1" t="s">
        <v>6</v>
      </c>
      <c r="H1" s="9" t="s">
        <v>7</v>
      </c>
      <c r="I1" s="1" t="s">
        <v>8</v>
      </c>
      <c r="J1" s="2" t="s">
        <v>9</v>
      </c>
    </row>
    <row r="2" spans="1:10" s="3" customFormat="1" ht="75" x14ac:dyDescent="0.25">
      <c r="A2" s="3">
        <v>107168</v>
      </c>
      <c r="B2" s="3" t="s">
        <v>21</v>
      </c>
      <c r="C2" s="6" t="s">
        <v>22</v>
      </c>
      <c r="D2" s="3">
        <v>5628899</v>
      </c>
      <c r="E2" s="7" t="s">
        <v>23</v>
      </c>
      <c r="F2" s="8" t="s">
        <v>24</v>
      </c>
      <c r="G2" s="10">
        <v>7263</v>
      </c>
      <c r="H2" s="10">
        <v>12263</v>
      </c>
      <c r="I2" s="8" t="s">
        <v>25</v>
      </c>
      <c r="J2" s="3" t="s">
        <v>26</v>
      </c>
    </row>
    <row r="3" spans="1:10" ht="105" x14ac:dyDescent="0.25">
      <c r="A3" s="3">
        <v>107168</v>
      </c>
      <c r="E3" s="3" t="s">
        <v>34</v>
      </c>
      <c r="F3" s="4" t="s">
        <v>65</v>
      </c>
      <c r="G3" s="4" t="s">
        <v>66</v>
      </c>
      <c r="H3" s="4" t="s">
        <v>67</v>
      </c>
      <c r="J3" s="4" t="s">
        <v>37</v>
      </c>
    </row>
    <row r="4" spans="1:10" ht="105" x14ac:dyDescent="0.25">
      <c r="A4" s="3">
        <v>107168</v>
      </c>
      <c r="E4" s="3" t="s">
        <v>41</v>
      </c>
      <c r="F4" s="4" t="s">
        <v>42</v>
      </c>
      <c r="G4" s="11">
        <v>0</v>
      </c>
      <c r="H4" s="12">
        <v>1000</v>
      </c>
      <c r="J4" s="4" t="s">
        <v>37</v>
      </c>
    </row>
    <row r="5" spans="1:10" ht="45" x14ac:dyDescent="0.25">
      <c r="A5" s="3">
        <v>107168</v>
      </c>
      <c r="E5" s="4" t="s">
        <v>19</v>
      </c>
      <c r="F5" s="4" t="s">
        <v>44</v>
      </c>
      <c r="G5" s="11">
        <v>1</v>
      </c>
      <c r="H5" s="12">
        <v>2</v>
      </c>
      <c r="I5" s="4" t="s">
        <v>68</v>
      </c>
      <c r="J5" s="4" t="s">
        <v>26</v>
      </c>
    </row>
    <row r="6" spans="1:10" ht="45" x14ac:dyDescent="0.25">
      <c r="A6" s="3">
        <v>107168</v>
      </c>
      <c r="E6" s="4" t="s">
        <v>48</v>
      </c>
      <c r="F6" s="4" t="s">
        <v>69</v>
      </c>
      <c r="G6" s="11">
        <v>0</v>
      </c>
      <c r="H6" s="12">
        <v>2</v>
      </c>
      <c r="I6" s="4"/>
      <c r="J6" s="4" t="s">
        <v>26</v>
      </c>
    </row>
    <row r="7" spans="1:10" ht="45" x14ac:dyDescent="0.25">
      <c r="A7" s="3">
        <v>107168</v>
      </c>
      <c r="E7" s="4" t="s">
        <v>52</v>
      </c>
      <c r="F7" s="4" t="s">
        <v>70</v>
      </c>
      <c r="G7" s="11">
        <v>0</v>
      </c>
      <c r="H7" s="12">
        <v>2</v>
      </c>
      <c r="I7" s="4"/>
      <c r="J7" s="4" t="s">
        <v>26</v>
      </c>
    </row>
    <row r="8" spans="1:10" ht="225" x14ac:dyDescent="0.25">
      <c r="A8" s="3">
        <v>107166</v>
      </c>
      <c r="B8" s="4" t="s">
        <v>55</v>
      </c>
      <c r="C8" s="14" t="s">
        <v>56</v>
      </c>
      <c r="D8" s="5">
        <v>7460274</v>
      </c>
      <c r="E8" s="3" t="s">
        <v>57</v>
      </c>
      <c r="F8" s="4" t="s">
        <v>58</v>
      </c>
      <c r="G8" s="3">
        <v>0</v>
      </c>
      <c r="H8" s="4" t="s">
        <v>71</v>
      </c>
      <c r="I8" s="4" t="s">
        <v>72</v>
      </c>
      <c r="J8" s="4" t="s">
        <v>60</v>
      </c>
    </row>
    <row r="10" spans="1:10" x14ac:dyDescent="0.25">
      <c r="B10" s="13" t="s">
        <v>73</v>
      </c>
    </row>
    <row r="11" spans="1:10" ht="180" x14ac:dyDescent="0.25">
      <c r="B11" s="15" t="s">
        <v>74</v>
      </c>
    </row>
  </sheetData>
  <hyperlinks>
    <hyperlink ref="C2" r:id="rId1" xr:uid="{00000000-0004-0000-0000-000000000000}"/>
    <hyperlink ref="C8" r:id="rId2" xr:uid="{5366D584-FECC-4AE3-82FF-F170E18512A7}"/>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17" workbookViewId="0">
      <selection activeCell="B21" sqref="B21"/>
    </sheetView>
  </sheetViews>
  <sheetFormatPr defaultRowHeight="15" x14ac:dyDescent="0.25"/>
  <cols>
    <col min="1" max="2" width="52.7109375" customWidth="1"/>
  </cols>
  <sheetData>
    <row r="1" spans="1:2" x14ac:dyDescent="0.25">
      <c r="A1" s="48" t="s">
        <v>4</v>
      </c>
      <c r="B1" s="48" t="s">
        <v>5</v>
      </c>
    </row>
    <row r="2" spans="1:2" ht="45" x14ac:dyDescent="0.25">
      <c r="A2" s="57" t="s">
        <v>23</v>
      </c>
      <c r="B2" s="49" t="s">
        <v>75</v>
      </c>
    </row>
    <row r="3" spans="1:2" x14ac:dyDescent="0.25">
      <c r="A3" s="57" t="s">
        <v>34</v>
      </c>
      <c r="B3" s="49" t="s">
        <v>76</v>
      </c>
    </row>
    <row r="4" spans="1:2" ht="45" x14ac:dyDescent="0.25">
      <c r="A4" s="57" t="s">
        <v>57</v>
      </c>
      <c r="B4" s="49" t="s">
        <v>77</v>
      </c>
    </row>
    <row r="5" spans="1:2" ht="30" x14ac:dyDescent="0.25">
      <c r="A5" s="57" t="s">
        <v>78</v>
      </c>
      <c r="B5" s="49" t="s">
        <v>79</v>
      </c>
    </row>
    <row r="6" spans="1:2" ht="90" x14ac:dyDescent="0.25">
      <c r="A6" s="57" t="s">
        <v>80</v>
      </c>
      <c r="B6" s="49" t="s">
        <v>81</v>
      </c>
    </row>
    <row r="7" spans="1:2" ht="45" x14ac:dyDescent="0.25">
      <c r="A7" s="57" t="s">
        <v>48</v>
      </c>
      <c r="B7" s="49" t="s">
        <v>82</v>
      </c>
    </row>
    <row r="8" spans="1:2" ht="45" x14ac:dyDescent="0.25">
      <c r="A8" s="57" t="s">
        <v>41</v>
      </c>
      <c r="B8" s="49" t="s">
        <v>83</v>
      </c>
    </row>
    <row r="9" spans="1:2" ht="45" x14ac:dyDescent="0.25">
      <c r="A9" s="57" t="s">
        <v>52</v>
      </c>
      <c r="B9" s="49" t="s">
        <v>84</v>
      </c>
    </row>
    <row r="10" spans="1:2" ht="45" x14ac:dyDescent="0.25">
      <c r="A10" s="57" t="s">
        <v>85</v>
      </c>
      <c r="B10" s="58" t="s">
        <v>86</v>
      </c>
    </row>
    <row r="11" spans="1:2" ht="30" x14ac:dyDescent="0.25">
      <c r="A11" s="57" t="s">
        <v>87</v>
      </c>
      <c r="B11" s="58" t="s">
        <v>88</v>
      </c>
    </row>
    <row r="12" spans="1:2" ht="45" x14ac:dyDescent="0.25">
      <c r="A12" s="57" t="s">
        <v>89</v>
      </c>
      <c r="B12" s="49" t="s">
        <v>90</v>
      </c>
    </row>
    <row r="13" spans="1:2" ht="30" x14ac:dyDescent="0.25">
      <c r="A13" s="57" t="s">
        <v>91</v>
      </c>
      <c r="B13" s="58" t="s">
        <v>92</v>
      </c>
    </row>
    <row r="14" spans="1:2" x14ac:dyDescent="0.25">
      <c r="A14" s="57" t="s">
        <v>93</v>
      </c>
      <c r="B14" s="58" t="s">
        <v>94</v>
      </c>
    </row>
    <row r="15" spans="1:2" ht="30" x14ac:dyDescent="0.25">
      <c r="A15" s="57" t="s">
        <v>95</v>
      </c>
      <c r="B15" s="58" t="s">
        <v>96</v>
      </c>
    </row>
    <row r="16" spans="1:2" ht="30" x14ac:dyDescent="0.25">
      <c r="A16" s="57" t="s">
        <v>97</v>
      </c>
      <c r="B16" s="58" t="s">
        <v>98</v>
      </c>
    </row>
    <row r="17" spans="1:2" ht="30" x14ac:dyDescent="0.25">
      <c r="A17" s="57" t="s">
        <v>99</v>
      </c>
      <c r="B17" s="49" t="s">
        <v>100</v>
      </c>
    </row>
    <row r="18" spans="1:2" ht="30" x14ac:dyDescent="0.25">
      <c r="A18" s="57" t="s">
        <v>101</v>
      </c>
      <c r="B18" s="58" t="s">
        <v>102</v>
      </c>
    </row>
    <row r="19" spans="1:2" ht="75" x14ac:dyDescent="0.25">
      <c r="A19" s="57" t="s">
        <v>103</v>
      </c>
      <c r="B19" s="58" t="s">
        <v>104</v>
      </c>
    </row>
    <row r="20" spans="1:2" ht="30" x14ac:dyDescent="0.25">
      <c r="A20" s="57" t="s">
        <v>105</v>
      </c>
      <c r="B20" s="58" t="s">
        <v>106</v>
      </c>
    </row>
    <row r="21" spans="1:2" ht="45" x14ac:dyDescent="0.25">
      <c r="A21" s="57" t="s">
        <v>19</v>
      </c>
      <c r="B21" s="59" t="s">
        <v>107</v>
      </c>
    </row>
    <row r="22" spans="1:2" ht="30" x14ac:dyDescent="0.25">
      <c r="A22" s="57" t="s">
        <v>62</v>
      </c>
      <c r="B22" s="58" t="s">
        <v>108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Mamadou Cire Camara</DisplayName>
        <AccountId>1384</AccountId>
        <AccountType/>
      </UserInfo>
      <UserInfo>
        <DisplayName>Mamadou kalidou Diallo</DisplayName>
        <AccountId>1382</AccountId>
        <AccountType/>
      </UserInfo>
      <UserInfo>
        <DisplayName>Luc Gregoire</DisplayName>
        <AccountId>1897</AccountId>
        <AccountType/>
      </UserInfo>
      <UserInfo>
        <DisplayName>Riad Meddeb</DisplayName>
        <AccountId>9</AccountId>
        <AccountType/>
      </UserInfo>
      <UserInfo>
        <DisplayName>Charles Nyandiga</DisplayName>
        <AccountId>94</AccountId>
        <AccountType/>
      </UserInfo>
      <UserInfo>
        <DisplayName>Fungai Matura</DisplayName>
        <AccountId>1028</AccountId>
        <AccountType/>
      </UserInfo>
      <UserInfo>
        <DisplayName>Benjamin Keller</DisplayName>
        <AccountId>1227</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6A08CBA0-AC7B-4CC0-B087-BE830FB19E23}">
  <ds:schemaRefs>
    <ds:schemaRef ds:uri="http://schemas.microsoft.com/sharepoint/v3/contenttype/forms"/>
  </ds:schemaRefs>
</ds:datastoreItem>
</file>

<file path=customXml/itemProps2.xml><?xml version="1.0" encoding="utf-8"?>
<ds:datastoreItem xmlns:ds="http://schemas.openxmlformats.org/officeDocument/2006/customXml" ds:itemID="{B4F77565-43A3-4571-B474-86AB12E87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0239d0-7d3a-4257-bb40-a2a3b1409bb2"/>
    <ds:schemaRef ds:uri="fb9e4d32-074f-4c04-81ef-e811753df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9B97FC-AB32-4A3A-8E52-BB2502D353DC}">
  <ds:schemaRefs>
    <ds:schemaRef ds:uri="http://purl.org/dc/elements/1.1/"/>
    <ds:schemaRef ds:uri="http://schemas.microsoft.com/office/2006/metadata/properties"/>
    <ds:schemaRef ds:uri="fb9e4d32-074f-4c04-81ef-e811753dfd59"/>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720239d0-7d3a-4257-bb40-a2a3b1409bb2"/>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 (3)</vt:lpstr>
      <vt:lpstr>Projects (2)</vt:lpstr>
      <vt:lpstr>Projects</vt:lpstr>
      <vt:lpstr>Beneficiary 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Jordan Fast</cp:lastModifiedBy>
  <cp:revision/>
  <dcterms:created xsi:type="dcterms:W3CDTF">2023-05-05T09:33:40Z</dcterms:created>
  <dcterms:modified xsi:type="dcterms:W3CDTF">2025-03-03T18:47:36Z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