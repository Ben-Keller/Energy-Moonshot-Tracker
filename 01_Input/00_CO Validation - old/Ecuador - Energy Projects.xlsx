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30"/>
  <workbookPr defaultThemeVersion="124226"/>
  <xr:revisionPtr revIDLastSave="266" documentId="11_FB3469804638EB8E24A26D1E302D9370C52B19E2" xr6:coauthVersionLast="47" xr6:coauthVersionMax="47" xr10:uidLastSave="{84F5AA4E-826C-4B29-966D-3E1B83B41CDE}"/>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<sst xmlns="http://schemas.openxmlformats.org/spreadsheetml/2006/main" count="233" uniqueCount="127">
  <si>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</si>
  <si>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</si>
  <si>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</si>
  <si>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</si>
  <si>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</si>
  <si>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</si>
  <si>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</si>
  <si>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</si>
  <si>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</si>
  <si>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</si>
  <si>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</si>
  <si>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</si>
  <si>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</si>
  <si>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</si>
  <si>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</si>
  <si>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</si>
  <si>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</si>
  <si>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</si>
  <si>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</si>
  <si>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</si>
  <si>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</si>
  <si>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</si>
  <si>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Fortalecimiento institucional CENACE</t>
  </si>
  <si>
    <t>https://open.undp.org/projects/00146913</t>
  </si>
  <si>
    <t>Capacity Building Training</t>
  </si>
  <si>
    <t>Number of officers with strengthen capacities in energy and related topics</t>
  </si>
  <si>
    <t>455 CENACE officers have receivied different specialized trainings in energy and related topics to strenghthen their technical capacities</t>
  </si>
  <si>
    <t>Government</t>
  </si>
  <si>
    <t>Non-VF</t>
  </si>
  <si>
    <t>Accelerating just energy transition</t>
  </si>
  <si>
    <t>Government Capacity-Building</t>
  </si>
  <si>
    <t>Fortalecimiento a la gestión ambiental: Estrategia de Electromovilidad de la Empresa Eléctrica Quito (EEQ)</t>
  </si>
  <si>
    <t>https://open.undp.org/projects/00110105</t>
  </si>
  <si>
    <t>Participative construction of the Strategic Plan for Electric Vehicles and Electric Buses</t>
  </si>
  <si>
    <t xml:space="preserve">The construction of the Strategic Plan includes:
- Electric Vehicles and Buses grow scenario
- 10 years scenario for electric mobility
- Identifiying the capacities and necesities of the EEQ according to the growing demand 
</t>
  </si>
  <si>
    <t>Close the gap on energy access</t>
  </si>
  <si>
    <t>Renewable Energy</t>
  </si>
  <si>
    <t>National Strategy</t>
  </si>
  <si>
    <t>Transport</t>
  </si>
  <si>
    <t>National</t>
  </si>
  <si>
    <t>Management Model for the commercialization of electricity for Vehicles and Buses</t>
  </si>
  <si>
    <t>3 Management Models:
- Public commercialization
- PPA
- Private commercialization</t>
  </si>
  <si>
    <t>Goverment</t>
  </si>
  <si>
    <t>Financing Model</t>
  </si>
  <si>
    <t>Capacity building for electric mobility in the EEQ</t>
  </si>
  <si>
    <t>Building capacities in the electric mobility theme with experts throug an event</t>
  </si>
  <si>
    <t>Green Recovery</t>
  </si>
  <si>
    <t>https://open.undp.org/projects/00137302</t>
  </si>
  <si>
    <t>Number of indirect people, disaggregated by sex, supported by policy and regulatory framework development on clean, affordable, and sustainable energy access</t>
  </si>
  <si>
    <t>The task involves producing a document containing information regarding subsidies in the electrical sector, including the cost to the central government. This document will enable decision-makers to make informed decisions regarding whether the electric rate needs to be revised.</t>
  </si>
  <si>
    <t>Climate Promise, BMZ</t>
  </si>
  <si>
    <t>Efficiency</t>
  </si>
  <si>
    <t>Electricity Access</t>
  </si>
  <si>
    <t>ACCESS: Accelerating Access to Low Carbon Urban Mobility Solutions through Digitalization</t>
  </si>
  <si>
    <t>https://open.undp.org/projects/01002264</t>
  </si>
  <si>
    <t>Market Intervention</t>
  </si>
  <si>
    <t>Number of pilots that receive support (financial, technical, formal inclusion into long-term policies and projects) from authorities for full implementation</t>
  </si>
  <si>
    <t>Target of 3 pilots supported by 2029</t>
  </si>
  <si>
    <t>Transportation and E-mobility Services</t>
  </si>
  <si>
    <t>Number of gender-responsive transport digitalisation pilot projects implemented in project cities.</t>
  </si>
  <si>
    <t>Number of private sector engagements in pilot implementation</t>
  </si>
  <si>
    <t>Target of 3 pilots implemented by 2029</t>
  </si>
  <si>
    <t>Number of Subnational transport plans and policies that address digitalisation and/or inclusive, low carbon mobility</t>
  </si>
  <si>
    <t>Target of 3 plans and policies by 2029</t>
  </si>
  <si>
    <t>Number of National policies, guidance documents, regulations, financial commitments, or similar with explicit mention of gender-responsive digitalisation and/or inclusive, low carbon mobility</t>
  </si>
  <si>
    <t>Target of 6 national policies and documents by 2028</t>
  </si>
  <si>
    <t>Number of DRA developed and implemented by national governments that adopt policy frameworks or make other commitments to strengthen low carbon mobility aided by gender-responsive digitalization.</t>
  </si>
  <si>
    <t>Target of  6 DRA developed by 2029</t>
  </si>
  <si>
    <t>Number of new or enhanced tools delivered to stakeholders in Latin America (in Spanish or Portuguese) to improve knowledge and skills for low carbon transport aided by gender-responsive digitalization.</t>
  </si>
  <si>
    <t>Target of 4 tools delivered by 2029</t>
  </si>
  <si>
    <t>Number of cities, states, national governments, private sector industries, and other stakeholder groups who regularly participate (&gt;50% attendance) in project capacity building activities.</t>
  </si>
  <si>
    <t>Target of 6 cities, states and national governments participating</t>
  </si>
  <si>
    <t>Number of communities of practice established in Latin America (in Spanish) with a focus on implementation of gender-responsive transport digitalisation</t>
  </si>
  <si>
    <t>Target of 1 community of practice established</t>
  </si>
  <si>
    <t>Category</t>
  </si>
  <si>
    <t>Comments</t>
  </si>
  <si>
    <t>Impact Tier</t>
  </si>
  <si>
    <t>Capacity Training</t>
  </si>
  <si>
    <t>30 CENACE officers have receivied different specialized trainings in energy and related topics to strenghthen their technical capacities</t>
  </si>
  <si>
    <t>Fortalecimiento a la gestión ambiental</t>
  </si>
  <si>
    <t>estimate indirect for this project</t>
  </si>
  <si>
    <t>Tier 1</t>
  </si>
  <si>
    <t>Incentives and Support</t>
  </si>
  <si>
    <t>Eficiencia energética y calidad ambiental</t>
  </si>
  <si>
    <t>http://open.undp.org/projects/00117181</t>
  </si>
  <si>
    <t>Project operationally closed</t>
  </si>
  <si>
    <t>Other Energy Services</t>
  </si>
  <si>
    <t>n/a</t>
  </si>
  <si>
    <t>Number of Electric Vehicles and Buses Strategic Plan: 1</t>
  </si>
  <si>
    <t>Number of Management Models: 3</t>
  </si>
  <si>
    <t>Number of training events regarding electric mobility: 1</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</si>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</sst>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3" formatCode="_(* #,##0.00_);_(* \(#,##0.00\);_(* &quot;-&quot;??_);_(@_)"/>
  </numFmts>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theme="1"/>
      <name val="Calibri"/>
      <scheme val="minor"/>
    </font>
    <font>
      <sz val="11"/>
      <color rgb="FF000000"/>
      <name val="Calibri"/>
      <scheme val="minor"/>
    </font>
    <font>
      <sz val="11"/>
      <color rgb="FF000000"/>
      <name val="Calibri"/>
      <charset val="1"/>
    </font>
    <font>
      <u/>
      <sz val="11"/>
      <color theme="10"/>
      <name val="Calibri"/>
      <family val="2"/>
      <scheme val="minor"/>
    </font>
  </fonts>
  <fills count="5">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3" fillId="0" borderId="0" applyNumberFormat="0" applyFill="0" applyBorder="0" applyAlignment="0" applyProtection="0">
      <alignment vertical="top"/>
      <protection locked="0"/>
    </xf>
    <xf numFmtId="0" fontId="7" fillId="0" borderId="0" applyNumberFormat="0" applyFill="0" applyBorder="0" applyAlignment="0" applyProtection="0"/>
  </cellStyleXfs>
  <cellXfs count="47">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0" fillId="0" borderId="0" xfId="0" applyAlignment="1">
      <alignment vertical="top"/>
    </xf>
    <xf numFmtId="0" fontId="3" fillId="0" borderId="0" xfId="1" applyAlignment="1" applyProtection="1">
      <alignment vertical="top"/>
    </xf>
    <xf numFmtId="43" fontId="0" fillId="0" borderId="0" xfId="0" applyNumberFormat="1" applyAlignment="1">
      <alignment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wrapText="1"/>
    </xf>
    <xf numFmtId="0" fontId="2" fillId="0" borderId="0" xfId="0" applyFont="1"/>
    <xf numFmtId="0" fontId="0" fillId="3" borderId="0" xfId="0" applyFill="1"/>
    <xf numFmtId="0" fontId="0" fillId="0" borderId="2" xfId="0" applyBorder="1" applyAlignment="1">
      <alignment horizontal="center" vertical="center" wrapText="1"/>
    </xf>
    <xf numFmtId="0" fontId="3" fillId="0" borderId="2" xfId="1" applyBorder="1" applyAlignment="1" applyProtection="1">
      <alignment horizontal="center" vertical="center" wrapText="1"/>
    </xf>
    <xf numFmtId="8" fontId="0" fillId="0" borderId="2" xfId="0" applyNumberForma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3" fillId="0" borderId="2" xfId="1" applyBorder="1" applyAlignment="1" applyProtection="1">
      <alignment vertical="center" wrapText="1"/>
    </xf>
    <xf numFmtId="43" fontId="0" fillId="0" borderId="2" xfId="0" applyNumberFormat="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0" borderId="2" xfId="0" applyFont="1" applyBorder="1" applyAlignment="1">
      <alignment horizontal="center" vertical="center"/>
    </xf>
    <xf numFmtId="0" fontId="3" fillId="0" borderId="2" xfId="1" applyFill="1" applyBorder="1" applyAlignment="1" applyProtection="1">
      <alignment vertical="center" wrapText="1"/>
    </xf>
    <xf numFmtId="0" fontId="0" fillId="0" borderId="2" xfId="0" applyBorder="1" applyAlignment="1">
      <alignment horizontal="center" vertical="center"/>
    </xf>
    <xf numFmtId="0" fontId="3" fillId="0" borderId="2" xfId="1" applyFill="1" applyBorder="1" applyAlignment="1" applyProtection="1">
      <alignment horizontal="center" vertical="center" wrapText="1"/>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6" fillId="0" borderId="0" xfId="0" applyFont="1"/>
    <xf numFmtId="0" fontId="0" fillId="0" borderId="0" xfId="0" applyAlignment="1">
      <alignment horizontal="center" vertical="center"/>
    </xf>
    <xf numFmtId="0" fontId="0" fillId="3" borderId="0" xfId="0" applyFill="1" applyAlignment="1">
      <alignment horizontal="center" vertical="center"/>
    </xf>
    <xf numFmtId="0" fontId="2"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1" applyAlignment="1" applyProtection="1">
      <alignment horizontal="center" vertical="center" wrapText="1"/>
    </xf>
    <xf numFmtId="8" fontId="0" fillId="0" borderId="0" xfId="0" applyNumberFormat="1" applyAlignment="1">
      <alignment horizontal="center" vertical="center" wrapText="1"/>
    </xf>
    <xf numFmtId="0" fontId="7" fillId="0" borderId="2" xfId="2" applyBorder="1" applyAlignment="1" applyProtection="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37302" TargetMode="External"/><Relationship Id="rId2" Type="http://schemas.openxmlformats.org/officeDocument/2006/relationships/hyperlink" Target="https://open.undp.org/projects/00110105" TargetMode="External"/><Relationship Id="rId1" Type="http://schemas.openxmlformats.org/officeDocument/2006/relationships/hyperlink" Target="https://open.undp.org/projects/00146913" TargetMode="External"/><Relationship Id="rId4" Type="http://schemas.openxmlformats.org/officeDocument/2006/relationships/hyperlink" Target="https://open.undp.org/projects/01002264"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10105" TargetMode="External"/><Relationship Id="rId1" Type="http://schemas.openxmlformats.org/officeDocument/2006/relationships/hyperlink" Target="https://open.undp.org/projects/0014691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open.undp.org/projects/00110105" TargetMode="External"/><Relationship Id="rId2" Type="http://schemas.openxmlformats.org/officeDocument/2006/relationships/hyperlink" Target="https://open.undp.org/projects/00146913" TargetMode="External"/><Relationship Id="rId1" Type="http://schemas.openxmlformats.org/officeDocument/2006/relationships/hyperlink" Target="http://open.undp.org/projects/001171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F9BB-9D1E-44DE-8095-D447314BD2D8}">
  <dimension ref="A1:V15"/>
  <sheetViews>
    <sheetView tabSelected="1" topLeftCell="A4" workbookViewId="0">
      <selection activeCell="D8" sqref="D8"/>
    </sheetView>
  </sheetViews>
  <sheetFormatPr defaultRowHeight="15"/>
  <cols>
    <col min="2" max="2" width="41" customWidth="1"/>
    <col min="3" max="3" width="20.7109375" customWidth="1"/>
    <col min="4" max="4" width="12.42578125" bestFit="1" customWidth="1"/>
    <col min="5" max="6" width="20.7109375" customWidth="1"/>
    <col min="7" max="8" width="12.7109375" customWidth="1"/>
    <col min="9" max="9" width="47" customWidth="1"/>
    <col min="12" max="12" width="12.85546875" bestFit="1" customWidth="1"/>
    <col min="13" max="13" width="11.42578125" customWidth="1"/>
    <col min="14" max="14" width="14.42578125" bestFit="1" customWidth="1"/>
    <col min="15" max="15" width="21.28515625" customWidth="1"/>
    <col min="16" max="16" width="11.1406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9.140625" style="36"/>
  </cols>
  <sheetData>
    <row r="1" spans="1:22" ht="45.75">
      <c r="A1" s="15" t="s">
        <v>0</v>
      </c>
      <c r="B1" s="15" t="s">
        <v>1</v>
      </c>
      <c r="C1" s="15" t="s">
        <v>2</v>
      </c>
      <c r="D1" s="15" t="s">
        <v>3</v>
      </c>
      <c r="E1" s="15" t="s">
        <v>4</v>
      </c>
      <c r="F1" s="15" t="s">
        <v>5</v>
      </c>
      <c r="G1" s="15" t="s">
        <v>6</v>
      </c>
      <c r="H1" s="15" t="s">
        <v>7</v>
      </c>
      <c r="I1" s="15" t="s">
        <v>8</v>
      </c>
      <c r="J1" s="16" t="s">
        <v>9</v>
      </c>
      <c r="K1" s="16" t="s">
        <v>10</v>
      </c>
      <c r="L1" s="28" t="s">
        <v>11</v>
      </c>
      <c r="M1" s="29" t="s">
        <v>12</v>
      </c>
      <c r="N1" s="28" t="s">
        <v>13</v>
      </c>
      <c r="O1" s="28" t="s">
        <v>14</v>
      </c>
      <c r="P1" s="29" t="s">
        <v>15</v>
      </c>
      <c r="Q1" s="29" t="s">
        <v>16</v>
      </c>
      <c r="R1" s="30" t="s">
        <v>17</v>
      </c>
      <c r="S1" s="31" t="s">
        <v>18</v>
      </c>
      <c r="T1" s="30" t="s">
        <v>19</v>
      </c>
      <c r="U1" s="31" t="s">
        <v>20</v>
      </c>
      <c r="V1" s="38" t="s">
        <v>21</v>
      </c>
    </row>
    <row r="2" spans="1:22" ht="60.75">
      <c r="A2" s="17">
        <v>146913</v>
      </c>
      <c r="B2" s="17" t="s">
        <v>22</v>
      </c>
      <c r="C2" s="18" t="s">
        <v>23</v>
      </c>
      <c r="D2" s="19">
        <v>200000</v>
      </c>
      <c r="E2" s="17" t="s">
        <v>24</v>
      </c>
      <c r="F2" s="17" t="s">
        <v>25</v>
      </c>
      <c r="G2" s="12">
        <v>0</v>
      </c>
      <c r="H2" s="17">
        <v>160</v>
      </c>
      <c r="I2" s="17" t="s">
        <v>26</v>
      </c>
      <c r="J2" s="17" t="s">
        <v>27</v>
      </c>
      <c r="K2" s="17">
        <v>30</v>
      </c>
      <c r="L2" s="32" t="s">
        <v>28</v>
      </c>
      <c r="M2" s="24"/>
      <c r="N2" s="33" t="s">
        <v>29</v>
      </c>
      <c r="O2" s="24"/>
      <c r="P2" s="24"/>
      <c r="Q2" s="24" t="s">
        <v>30</v>
      </c>
      <c r="R2" s="24"/>
      <c r="S2" s="34"/>
      <c r="T2" s="24"/>
      <c r="U2" s="34"/>
    </row>
    <row r="3" spans="1:22" s="11" customFormat="1" ht="91.5">
      <c r="A3" s="12">
        <v>110105</v>
      </c>
      <c r="B3" s="12" t="s">
        <v>31</v>
      </c>
      <c r="C3" s="13" t="s">
        <v>32</v>
      </c>
      <c r="D3" s="14">
        <v>439879</v>
      </c>
      <c r="E3" s="20" t="s">
        <v>19</v>
      </c>
      <c r="F3" s="20" t="s">
        <v>33</v>
      </c>
      <c r="G3" s="20"/>
      <c r="H3" s="20"/>
      <c r="I3" s="20" t="s">
        <v>34</v>
      </c>
      <c r="J3" s="20" t="s">
        <v>27</v>
      </c>
      <c r="K3" s="20"/>
      <c r="L3" s="32" t="s">
        <v>28</v>
      </c>
      <c r="M3" s="24"/>
      <c r="N3" s="33" t="s">
        <v>35</v>
      </c>
      <c r="O3" s="24" t="s">
        <v>36</v>
      </c>
      <c r="P3" s="24"/>
      <c r="Q3" s="24" t="s">
        <v>37</v>
      </c>
      <c r="R3" s="24" t="s">
        <v>38</v>
      </c>
      <c r="S3" s="34"/>
      <c r="T3" s="24" t="s">
        <v>39</v>
      </c>
      <c r="U3" s="34"/>
      <c r="V3" s="37">
        <v>110105</v>
      </c>
    </row>
    <row r="4" spans="1:22" s="11" customFormat="1" ht="76.5">
      <c r="A4" s="12"/>
      <c r="B4" s="12"/>
      <c r="C4" s="13"/>
      <c r="D4" s="14"/>
      <c r="E4" s="20" t="s">
        <v>19</v>
      </c>
      <c r="F4" s="20" t="s">
        <v>40</v>
      </c>
      <c r="G4" s="20"/>
      <c r="H4" s="20"/>
      <c r="I4" s="20" t="s">
        <v>41</v>
      </c>
      <c r="J4" s="20" t="s">
        <v>42</v>
      </c>
      <c r="K4" s="20"/>
      <c r="L4" s="32" t="s">
        <v>28</v>
      </c>
      <c r="M4" s="24"/>
      <c r="N4" s="33" t="s">
        <v>35</v>
      </c>
      <c r="O4" s="24" t="s">
        <v>36</v>
      </c>
      <c r="P4" s="24"/>
      <c r="Q4" s="24" t="s">
        <v>43</v>
      </c>
      <c r="R4" s="24" t="s">
        <v>38</v>
      </c>
      <c r="S4" s="34"/>
      <c r="T4" s="24" t="s">
        <v>39</v>
      </c>
      <c r="U4" s="34"/>
      <c r="V4" s="37"/>
    </row>
    <row r="5" spans="1:22" s="11" customFormat="1" ht="45.75">
      <c r="A5" s="12"/>
      <c r="B5" s="12"/>
      <c r="C5" s="13"/>
      <c r="D5" s="14"/>
      <c r="E5" s="21" t="s">
        <v>24</v>
      </c>
      <c r="F5" s="21" t="s">
        <v>44</v>
      </c>
      <c r="G5" s="21"/>
      <c r="H5" s="21"/>
      <c r="I5" s="20" t="s">
        <v>45</v>
      </c>
      <c r="J5" s="20" t="s">
        <v>42</v>
      </c>
      <c r="K5" s="20"/>
      <c r="L5" s="32" t="s">
        <v>28</v>
      </c>
      <c r="M5" s="24"/>
      <c r="N5" s="33" t="s">
        <v>35</v>
      </c>
      <c r="O5" s="24"/>
      <c r="P5" s="24"/>
      <c r="Q5" s="24"/>
      <c r="R5" s="24"/>
      <c r="S5" s="34"/>
      <c r="T5" s="24"/>
      <c r="U5" s="34"/>
      <c r="V5" s="37"/>
    </row>
    <row r="6" spans="1:22" s="4" customFormat="1" ht="137.25">
      <c r="A6" s="12">
        <v>127866</v>
      </c>
      <c r="B6" s="12" t="s">
        <v>46</v>
      </c>
      <c r="C6" s="43" t="s">
        <v>47</v>
      </c>
      <c r="D6" s="14">
        <v>15000</v>
      </c>
      <c r="E6" s="21" t="s">
        <v>19</v>
      </c>
      <c r="F6" s="21" t="s">
        <v>48</v>
      </c>
      <c r="G6" s="21">
        <v>0</v>
      </c>
      <c r="H6" s="21"/>
      <c r="I6" s="20" t="s">
        <v>49</v>
      </c>
      <c r="J6" s="20" t="s">
        <v>50</v>
      </c>
      <c r="K6" s="20"/>
      <c r="L6" s="32" t="s">
        <v>28</v>
      </c>
      <c r="M6" s="24" t="s">
        <v>51</v>
      </c>
      <c r="N6" s="33" t="s">
        <v>35</v>
      </c>
      <c r="O6" s="24" t="s">
        <v>52</v>
      </c>
      <c r="P6" s="24"/>
      <c r="Q6" s="24" t="s">
        <v>37</v>
      </c>
      <c r="R6" s="24" t="s">
        <v>52</v>
      </c>
      <c r="S6" s="34"/>
      <c r="T6" s="24"/>
      <c r="U6" s="34"/>
      <c r="V6" s="36"/>
    </row>
    <row r="7" spans="1:22" ht="121.5">
      <c r="A7" s="12">
        <v>1002264</v>
      </c>
      <c r="B7" s="12" t="s">
        <v>53</v>
      </c>
      <c r="C7" s="43" t="s">
        <v>54</v>
      </c>
      <c r="D7" s="14">
        <v>164409.53</v>
      </c>
      <c r="E7" s="21" t="s">
        <v>55</v>
      </c>
      <c r="F7" s="21" t="s">
        <v>56</v>
      </c>
      <c r="G7" s="21"/>
      <c r="H7" s="21"/>
      <c r="I7" s="20" t="s">
        <v>57</v>
      </c>
      <c r="J7" s="20"/>
      <c r="K7" s="20"/>
      <c r="L7" s="32"/>
      <c r="M7" s="24"/>
      <c r="N7" s="33"/>
      <c r="O7" s="24"/>
      <c r="P7" s="24"/>
      <c r="Q7" s="24"/>
      <c r="R7" s="24"/>
      <c r="S7" s="34"/>
      <c r="T7" s="24" t="s">
        <v>39</v>
      </c>
      <c r="U7" s="34"/>
    </row>
    <row r="8" spans="1:22" ht="76.5">
      <c r="A8" s="12"/>
      <c r="B8" s="12"/>
      <c r="C8" s="13"/>
      <c r="D8" s="14"/>
      <c r="E8" s="21" t="s">
        <v>58</v>
      </c>
      <c r="F8" s="21" t="s">
        <v>59</v>
      </c>
      <c r="G8" s="21"/>
      <c r="H8" s="21"/>
      <c r="I8" s="20" t="s">
        <v>57</v>
      </c>
      <c r="J8" s="20"/>
      <c r="K8" s="20"/>
      <c r="L8" s="32"/>
      <c r="M8" s="24"/>
      <c r="N8" s="33"/>
      <c r="O8" s="24"/>
      <c r="P8" s="24"/>
      <c r="Q8" s="24"/>
      <c r="R8" s="24"/>
      <c r="S8" s="34"/>
      <c r="T8" s="24"/>
      <c r="U8" s="34"/>
    </row>
    <row r="9" spans="1:22" ht="45.75">
      <c r="A9" s="12"/>
      <c r="B9" s="12"/>
      <c r="C9" s="13"/>
      <c r="D9" s="14"/>
      <c r="E9" s="21" t="s">
        <v>55</v>
      </c>
      <c r="F9" s="21" t="s">
        <v>60</v>
      </c>
      <c r="G9" s="21"/>
      <c r="H9" s="21"/>
      <c r="I9" s="20" t="s">
        <v>61</v>
      </c>
      <c r="J9" s="20"/>
      <c r="K9" s="20"/>
      <c r="L9" s="32"/>
      <c r="M9" s="24"/>
      <c r="N9" s="33"/>
      <c r="O9" s="24"/>
      <c r="P9" s="24"/>
      <c r="Q9" s="24"/>
      <c r="R9" s="24"/>
      <c r="S9" s="34"/>
      <c r="T9" s="24"/>
      <c r="U9" s="34"/>
    </row>
    <row r="10" spans="1:22" ht="91.5">
      <c r="A10" s="12"/>
      <c r="B10" s="12"/>
      <c r="C10" s="13"/>
      <c r="D10" s="14"/>
      <c r="E10" s="21" t="s">
        <v>58</v>
      </c>
      <c r="F10" s="21" t="s">
        <v>62</v>
      </c>
      <c r="G10" s="21"/>
      <c r="H10" s="21"/>
      <c r="I10" s="20" t="s">
        <v>63</v>
      </c>
      <c r="J10" s="20"/>
      <c r="K10" s="20"/>
      <c r="L10" s="32"/>
      <c r="M10" s="24"/>
      <c r="N10" s="33"/>
      <c r="O10" s="24"/>
      <c r="P10" s="24"/>
      <c r="Q10" s="24"/>
      <c r="R10" s="24"/>
      <c r="S10" s="34"/>
      <c r="T10" s="24"/>
      <c r="U10" s="34"/>
    </row>
    <row r="11" spans="1:22" ht="167.25">
      <c r="A11" s="12"/>
      <c r="B11" s="12"/>
      <c r="C11" s="13"/>
      <c r="D11" s="14"/>
      <c r="E11" s="21" t="s">
        <v>19</v>
      </c>
      <c r="F11" s="21" t="s">
        <v>64</v>
      </c>
      <c r="G11" s="21"/>
      <c r="H11" s="21"/>
      <c r="I11" s="20" t="s">
        <v>65</v>
      </c>
      <c r="J11" s="20"/>
      <c r="K11" s="20"/>
      <c r="L11" s="32"/>
      <c r="M11" s="24"/>
      <c r="N11" s="33"/>
      <c r="O11" s="24"/>
      <c r="P11" s="24"/>
      <c r="Q11" s="24"/>
      <c r="R11" s="24"/>
      <c r="S11" s="34"/>
      <c r="T11" s="24"/>
      <c r="U11" s="34"/>
    </row>
    <row r="12" spans="1:22" ht="167.25">
      <c r="A12" s="12"/>
      <c r="B12" s="12"/>
      <c r="C12" s="13"/>
      <c r="D12" s="14"/>
      <c r="E12" s="21" t="s">
        <v>19</v>
      </c>
      <c r="F12" s="21" t="s">
        <v>66</v>
      </c>
      <c r="G12" s="21"/>
      <c r="H12" s="21"/>
      <c r="I12" s="20" t="s">
        <v>67</v>
      </c>
      <c r="J12" s="20"/>
      <c r="K12" s="20"/>
      <c r="L12" s="32"/>
      <c r="M12" s="24"/>
      <c r="N12" s="33"/>
      <c r="O12" s="24"/>
      <c r="P12" s="24"/>
      <c r="Q12" s="24"/>
      <c r="R12" s="24"/>
      <c r="S12" s="34"/>
      <c r="T12" s="24"/>
      <c r="U12" s="34"/>
    </row>
    <row r="13" spans="1:22" ht="167.25">
      <c r="A13" s="12"/>
      <c r="B13" s="12"/>
      <c r="C13" s="13"/>
      <c r="D13" s="14"/>
      <c r="E13" s="21" t="s">
        <v>24</v>
      </c>
      <c r="F13" s="21" t="s">
        <v>68</v>
      </c>
      <c r="G13" s="21"/>
      <c r="H13" s="21"/>
      <c r="I13" s="20" t="s">
        <v>69</v>
      </c>
      <c r="J13" s="20"/>
      <c r="K13" s="20"/>
      <c r="L13" s="32"/>
      <c r="M13" s="24"/>
      <c r="N13" s="33"/>
      <c r="O13" s="24"/>
      <c r="P13" s="24"/>
      <c r="Q13" s="24"/>
      <c r="R13" s="24"/>
      <c r="S13" s="34"/>
      <c r="T13" s="24"/>
      <c r="U13" s="34"/>
    </row>
    <row r="14" spans="1:22" ht="152.25">
      <c r="A14" s="12"/>
      <c r="B14" s="12"/>
      <c r="C14" s="13"/>
      <c r="D14" s="14"/>
      <c r="E14" s="21" t="s">
        <v>24</v>
      </c>
      <c r="F14" s="21" t="s">
        <v>70</v>
      </c>
      <c r="G14" s="21"/>
      <c r="H14" s="21"/>
      <c r="I14" s="20" t="s">
        <v>71</v>
      </c>
      <c r="J14" s="20"/>
      <c r="K14" s="20"/>
      <c r="L14" s="32"/>
      <c r="M14" s="24"/>
      <c r="N14" s="33"/>
      <c r="O14" s="24"/>
      <c r="P14" s="24"/>
      <c r="Q14" s="24"/>
      <c r="R14" s="24"/>
      <c r="S14" s="34"/>
      <c r="T14" s="24"/>
      <c r="U14" s="34"/>
    </row>
    <row r="15" spans="1:22" ht="121.5">
      <c r="A15" s="12"/>
      <c r="B15" s="12"/>
      <c r="C15" s="13"/>
      <c r="D15" s="14"/>
      <c r="E15" s="21" t="s">
        <v>58</v>
      </c>
      <c r="F15" s="21" t="s">
        <v>72</v>
      </c>
      <c r="G15" s="21"/>
      <c r="H15" s="21"/>
      <c r="I15" s="20" t="s">
        <v>73</v>
      </c>
      <c r="J15" s="20"/>
      <c r="K15" s="20"/>
      <c r="L15" s="32"/>
      <c r="M15" s="24"/>
      <c r="N15" s="33"/>
      <c r="O15" s="24"/>
      <c r="P15" s="24"/>
      <c r="Q15" s="24"/>
      <c r="R15" s="24"/>
      <c r="S15" s="34"/>
      <c r="T15" s="24"/>
      <c r="U15" s="34"/>
    </row>
  </sheetData>
  <dataValidations count="9">
    <dataValidation type="list" allowBlank="1" showInputMessage="1" showErrorMessage="1" sqref="Q2:Q15" xr:uid="{E64386CE-5F7F-465F-AC5E-A9FB501FD10E}">
      <formula1>"NDC Support, National Strategy, Legal Framework,Incentives and Support, Government Capacity-Building, Carbon Pricing and Monitoring, Financing Model, Business Model"</formula1>
    </dataValidation>
    <dataValidation type="list" allowBlank="1" showInputMessage="1" showErrorMessage="1" sqref="P2:P15" xr:uid="{EDE7211B-150A-4F1F-B668-033171939DDA}">
      <formula1>"AMP, PUDC, Solar4Health, Action Opportunities, Italy UNDP Energy Partnership"</formula1>
    </dataValidation>
    <dataValidation type="list" allowBlank="1" showInputMessage="1" showErrorMessage="1" sqref="N2:N15" xr:uid="{B08A0CFE-596B-4FAA-B61C-75F500433D53}">
      <formula1>"Accelerating just energy transition, Close the gap on energy access, Scale up energy finance"</formula1>
    </dataValidation>
    <dataValidation type="list" allowBlank="1" showInputMessage="1" showErrorMessage="1" sqref="O2:O15" xr:uid="{2C06C826-CDDE-4C38-BB98-2476983A9BB0}">
      <formula1>"Electricity Access, Energy Efficiency, Clean Cooking, Renewable Energy, Overall"</formula1>
    </dataValidation>
    <dataValidation type="list" allowBlank="1" showInputMessage="1" showErrorMessage="1" sqref="L2:L15" xr:uid="{333F82E9-A9F9-4D7C-BACC-60CE242240CA}">
      <formula1>"Non-VF, VF"</formula1>
    </dataValidation>
    <dataValidation type="list" allowBlank="1" showInputMessage="1" showErrorMessage="1" sqref="M2:M15" xr:uid="{7F4F25B2-959E-4612-B71F-A98599025625}">
      <formula1>"Finance, Gender, Efficiency, Just, Health"</formula1>
    </dataValidation>
    <dataValidation type="list" allowBlank="1" showInputMessage="1" showErrorMessage="1" sqref="T2:T15" xr:uid="{2E7CF192-706A-4603-90B7-5CF81F895B03}">
      <formula1>"National, Regional, City, Community"</formula1>
    </dataValidation>
    <dataValidation type="list" allowBlank="1" showInputMessage="1" showErrorMessage="1" sqref="S2:S15" xr:uid="{7FCC9E44-29CB-4C50-9D7B-C24AF7D84147}">
      <formula1>"Solar, Wind, Bioenergy, Hydro, Geothermal, Waste, Other, Unknown"</formula1>
    </dataValidation>
    <dataValidation type="list" allowBlank="1" showInputMessage="1" showErrorMessage="1" sqref="R2:R15" xr:uid="{A7163CD8-A3E6-480B-B6B5-0CD6FBB272D8}">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2FA2AD7B-951A-4ED9-A09E-ED16290D2E2D}"/>
    <hyperlink ref="C3" r:id="rId2" xr:uid="{4A849A54-BF40-4F5B-B855-692776BFAAA0}"/>
    <hyperlink ref="C6" r:id="rId3" xr:uid="{BFA6D2F4-6312-4DE0-A68B-1ACD987F8B56}"/>
    <hyperlink ref="C7" r:id="rId4" xr:uid="{14D0EA95-5D64-476D-BD2B-55699EE49A0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8EB7652-4D59-45DF-8BFA-50BF9C0EDFF7}">
          <x14:formula1>
            <xm:f>'Beneficiary Categories'!$A$2:$A$22</xm:f>
          </x14:formula1>
          <xm:sqref>E2:E15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07A1-CC08-4529-B660-86E23435C190}">
  <dimension ref="A1:T6"/>
  <sheetViews>
    <sheetView topLeftCell="A4" workbookViewId="0">
      <selection activeCell="E6" sqref="E6"/>
    </sheetView>
  </sheetViews>
  <sheetFormatPr defaultRowHeight="15"/>
  <cols>
    <col min="2" max="2" width="41" customWidth="1"/>
    <col min="3" max="3" width="20.7109375" customWidth="1"/>
    <col min="4" max="4" width="12.42578125" bestFit="1" customWidth="1"/>
    <col min="5" max="6" width="20.7109375" customWidth="1"/>
    <col min="7" max="8" width="12.7109375" customWidth="1"/>
    <col min="9" max="9" width="47" customWidth="1"/>
    <col min="13" max="13" width="11.42578125" customWidth="1"/>
    <col min="15" max="15" width="21.28515625" customWidth="1"/>
    <col min="16" max="17" width="11.140625" customWidth="1"/>
    <col min="19" max="19" width="10.28515625" customWidth="1"/>
    <col min="20" max="20" width="10.85546875" customWidth="1"/>
  </cols>
  <sheetData>
    <row r="1" spans="1:20" ht="45.75">
      <c r="A1" s="15" t="s">
        <v>0</v>
      </c>
      <c r="B1" s="15" t="s">
        <v>1</v>
      </c>
      <c r="C1" s="15" t="s">
        <v>2</v>
      </c>
      <c r="D1" s="15" t="s">
        <v>3</v>
      </c>
      <c r="E1" s="15" t="s">
        <v>4</v>
      </c>
      <c r="F1" s="15" t="s">
        <v>5</v>
      </c>
      <c r="G1" s="15" t="s">
        <v>6</v>
      </c>
      <c r="H1" s="15" t="s">
        <v>7</v>
      </c>
      <c r="I1" s="15" t="s">
        <v>8</v>
      </c>
      <c r="J1" s="16" t="s">
        <v>9</v>
      </c>
      <c r="K1" s="16" t="s">
        <v>10</v>
      </c>
      <c r="L1" s="16" t="s">
        <v>74</v>
      </c>
      <c r="M1" s="16" t="s">
        <v>75</v>
      </c>
      <c r="N1" s="17"/>
      <c r="O1" s="16" t="s">
        <v>13</v>
      </c>
      <c r="P1" s="16" t="s">
        <v>14</v>
      </c>
      <c r="Q1" s="22" t="s">
        <v>76</v>
      </c>
      <c r="R1" s="16" t="s">
        <v>15</v>
      </c>
      <c r="S1" s="16" t="s">
        <v>16</v>
      </c>
      <c r="T1" s="16" t="s">
        <v>17</v>
      </c>
    </row>
    <row r="2" spans="1:20" ht="60.75">
      <c r="A2" s="17">
        <v>133742</v>
      </c>
      <c r="B2" s="17" t="s">
        <v>22</v>
      </c>
      <c r="C2" s="23" t="s">
        <v>23</v>
      </c>
      <c r="D2" s="19">
        <v>200000</v>
      </c>
      <c r="E2" s="17" t="s">
        <v>77</v>
      </c>
      <c r="F2" s="17" t="s">
        <v>25</v>
      </c>
      <c r="G2" s="12">
        <v>0</v>
      </c>
      <c r="H2" s="17">
        <v>160</v>
      </c>
      <c r="I2" s="17" t="s">
        <v>78</v>
      </c>
      <c r="J2" s="17"/>
      <c r="K2" s="17"/>
      <c r="L2" s="17"/>
      <c r="M2" s="17"/>
      <c r="N2" s="17"/>
      <c r="O2" s="17" t="s">
        <v>29</v>
      </c>
      <c r="P2" s="17" t="s">
        <v>52</v>
      </c>
      <c r="Q2" s="24"/>
      <c r="R2" s="17"/>
      <c r="S2" s="17"/>
      <c r="T2" s="17"/>
    </row>
    <row r="3" spans="1:20" ht="91.5">
      <c r="A3" s="12">
        <v>110180</v>
      </c>
      <c r="B3" s="12" t="s">
        <v>79</v>
      </c>
      <c r="C3" s="25" t="s">
        <v>32</v>
      </c>
      <c r="D3" s="14">
        <v>439879</v>
      </c>
      <c r="E3" s="17" t="s">
        <v>19</v>
      </c>
      <c r="F3" s="17" t="s">
        <v>33</v>
      </c>
      <c r="G3" s="17"/>
      <c r="H3" s="17"/>
      <c r="I3" s="17" t="s">
        <v>34</v>
      </c>
      <c r="J3" s="17"/>
      <c r="K3" s="17"/>
      <c r="L3" s="17"/>
      <c r="M3" s="12" t="s">
        <v>80</v>
      </c>
      <c r="N3" s="17"/>
      <c r="O3" s="17" t="s">
        <v>29</v>
      </c>
      <c r="P3" s="17" t="s">
        <v>52</v>
      </c>
      <c r="Q3" s="24" t="s">
        <v>81</v>
      </c>
      <c r="R3" s="17"/>
      <c r="S3" s="17" t="s">
        <v>82</v>
      </c>
      <c r="T3" s="17" t="s">
        <v>38</v>
      </c>
    </row>
    <row r="4" spans="1:20" ht="76.5">
      <c r="A4" s="12"/>
      <c r="B4" s="12"/>
      <c r="C4" s="25"/>
      <c r="D4" s="14"/>
      <c r="E4" s="17" t="s">
        <v>19</v>
      </c>
      <c r="F4" s="17" t="s">
        <v>40</v>
      </c>
      <c r="G4" s="17"/>
      <c r="H4" s="17"/>
      <c r="I4" s="17" t="s">
        <v>41</v>
      </c>
      <c r="J4" s="17"/>
      <c r="K4" s="17"/>
      <c r="L4" s="17"/>
      <c r="M4" s="12"/>
      <c r="N4" s="17"/>
      <c r="O4" s="17"/>
      <c r="P4" s="17"/>
      <c r="Q4" s="24" t="s">
        <v>81</v>
      </c>
      <c r="R4" s="17"/>
      <c r="S4" s="17"/>
      <c r="T4" s="17"/>
    </row>
    <row r="5" spans="1:20" ht="45.75">
      <c r="A5" s="12"/>
      <c r="B5" s="12"/>
      <c r="C5" s="25"/>
      <c r="D5" s="14"/>
      <c r="E5" s="17" t="s">
        <v>77</v>
      </c>
      <c r="F5" s="17" t="s">
        <v>44</v>
      </c>
      <c r="G5" s="17"/>
      <c r="H5" s="17"/>
      <c r="I5" s="17" t="s">
        <v>45</v>
      </c>
      <c r="J5" s="17"/>
      <c r="K5" s="17"/>
      <c r="L5" s="17"/>
      <c r="M5" s="12"/>
      <c r="N5" s="17"/>
      <c r="O5" s="17"/>
      <c r="P5" s="17"/>
      <c r="Q5" s="24"/>
      <c r="R5" s="17"/>
      <c r="S5" s="17"/>
      <c r="T5" s="17"/>
    </row>
    <row r="6" spans="1:20" s="4" customFormat="1" ht="137.25">
      <c r="A6" s="35">
        <v>127866</v>
      </c>
      <c r="B6" s="12" t="s">
        <v>46</v>
      </c>
      <c r="C6" s="25"/>
      <c r="D6" s="14">
        <v>15000</v>
      </c>
      <c r="E6" s="17" t="s">
        <v>77</v>
      </c>
      <c r="F6" s="17" t="s">
        <v>48</v>
      </c>
      <c r="G6" s="17">
        <v>0</v>
      </c>
      <c r="H6" s="17"/>
      <c r="I6" s="17" t="s">
        <v>49</v>
      </c>
      <c r="J6" s="17" t="s">
        <v>50</v>
      </c>
      <c r="K6" s="17"/>
      <c r="L6" s="17"/>
      <c r="M6" s="12"/>
      <c r="N6" s="17"/>
      <c r="O6" s="17" t="s">
        <v>35</v>
      </c>
      <c r="P6" s="17" t="s">
        <v>52</v>
      </c>
      <c r="Q6" s="24"/>
      <c r="R6" s="17"/>
      <c r="S6" s="17" t="s">
        <v>37</v>
      </c>
      <c r="T6" s="17" t="s">
        <v>52</v>
      </c>
    </row>
  </sheetData>
  <dataValidations count="6">
    <dataValidation type="list" allowBlank="1" showInputMessage="1" showErrorMessage="1" sqref="O2:O6" xr:uid="{36D789C5-B00C-4E77-88EE-4E53E52EECF5}">
      <formula1>"Accelerating just energy transition, Close the gap on energy access, Scale up energy finance"</formula1>
    </dataValidation>
    <dataValidation type="list" allowBlank="1" showInputMessage="1" showErrorMessage="1" sqref="P2:P6" xr:uid="{885BD067-FD16-4470-BD50-81F4C89B80B8}">
      <formula1>"Electricity Access, Energy Efficiency, Clean Cooking, Renewable Energy"</formula1>
    </dataValidation>
    <dataValidation type="list" allowBlank="1" showInputMessage="1" showErrorMessage="1" sqref="R2:R6" xr:uid="{1191651C-4244-400A-8E60-DAB747FEA22F}">
      <formula1>"AMP, PUDC, Solar4Health, Action Opportunities, Italy UNDP Energy Partnership"</formula1>
    </dataValidation>
    <dataValidation type="list" allowBlank="1" showInputMessage="1" showErrorMessage="1" sqref="S2:S6" xr:uid="{10A2141B-674C-4D4C-9F6A-96B1E0660F9E}">
      <formula1>"NDC Support, National Strategy, Legal Framework,Incentives and Support, Government Capacity-Building, Carbon Pricing and Monitoring, Financing Model, Business Model"</formula1>
    </dataValidation>
    <dataValidation type="list" allowBlank="1" showInputMessage="1" showErrorMessage="1" sqref="T2:T6" xr:uid="{951E9D1B-7074-436C-BE12-CE5B423E784A}">
      <formula1>"Electricity Access, Energy Efficiency, Renewable EnergyEnergy Infrastructure,   Transport, Digital &amp; Data, Clean Cooking, Decarbonization, Hydrogen, Off-Grid, On-Grid"</formula1>
    </dataValidation>
    <dataValidation type="list" allowBlank="1" showInputMessage="1" showErrorMessage="1" sqref="Q2:Q6" xr:uid="{38DA16D7-C1E1-4647-B68A-D12D6D0E58BE}">
      <formula1>"Tier 1, Tier 2, Tier 3"</formula1>
    </dataValidation>
  </dataValidations>
  <hyperlinks>
    <hyperlink ref="C2" r:id="rId1" xr:uid="{9AF74AA2-7D7E-45A8-9099-6ED37D80236E}"/>
    <hyperlink ref="C3" r:id="rId2" xr:uid="{803113C5-854E-4F1E-84AD-1859CF760A9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73863BB-E8A0-424F-AA8F-4F3357D005B1}">
          <x14:formula1>
            <xm:f>'Beneficiary Categories'!$A$2:$A$16</xm:f>
          </x14:formula1>
          <xm:sqref>E2:E6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opLeftCell="A7" workbookViewId="0">
      <selection activeCell="A7" sqref="A7"/>
    </sheetView>
  </sheetViews>
  <sheetFormatPr defaultRowHeight="15"/>
  <cols>
    <col min="2" max="2" width="41" customWidth="1"/>
    <col min="3" max="3" width="20.7109375" customWidth="1"/>
    <col min="4" max="4" width="12.42578125" bestFit="1" customWidth="1"/>
    <col min="5" max="6" width="20.7109375" customWidth="1"/>
    <col min="7" max="8" width="12.7109375" customWidth="1"/>
    <col min="9" max="9" width="47" customWidth="1"/>
  </cols>
  <sheetData>
    <row r="1" spans="1:10">
      <c r="A1" s="1" t="s">
        <v>0</v>
      </c>
      <c r="B1" s="1" t="s">
        <v>1</v>
      </c>
      <c r="C1" s="1" t="s">
        <v>2</v>
      </c>
      <c r="D1" s="1" t="s">
        <v>3</v>
      </c>
      <c r="E1" s="1" t="s">
        <v>4</v>
      </c>
      <c r="F1" s="1" t="s">
        <v>5</v>
      </c>
      <c r="G1" s="1" t="s">
        <v>6</v>
      </c>
      <c r="H1" s="1" t="s">
        <v>7</v>
      </c>
      <c r="I1" s="1" t="s">
        <v>8</v>
      </c>
      <c r="J1" s="10" t="s">
        <v>9</v>
      </c>
    </row>
    <row r="2" spans="1:10">
      <c r="A2">
        <v>117181</v>
      </c>
      <c r="B2" t="s">
        <v>83</v>
      </c>
      <c r="C2" s="2" t="s">
        <v>84</v>
      </c>
      <c r="D2">
        <v>14473690</v>
      </c>
      <c r="E2" s="3"/>
      <c r="F2" s="3"/>
      <c r="G2" s="3"/>
      <c r="H2" s="3"/>
      <c r="I2" s="3" t="s">
        <v>85</v>
      </c>
    </row>
    <row r="3" spans="1:10" ht="60.75">
      <c r="A3" s="4">
        <v>133742</v>
      </c>
      <c r="B3" s="4" t="s">
        <v>22</v>
      </c>
      <c r="C3" s="5" t="s">
        <v>23</v>
      </c>
      <c r="D3" s="6">
        <v>200000</v>
      </c>
      <c r="E3" s="4" t="s">
        <v>77</v>
      </c>
      <c r="F3" s="7" t="s">
        <v>25</v>
      </c>
      <c r="G3" s="8">
        <v>0</v>
      </c>
      <c r="H3" s="7">
        <v>160</v>
      </c>
      <c r="I3" s="7" t="s">
        <v>78</v>
      </c>
    </row>
    <row r="4" spans="1:10" ht="91.5">
      <c r="A4" s="39">
        <v>110180</v>
      </c>
      <c r="B4" s="40" t="s">
        <v>79</v>
      </c>
      <c r="C4" s="41" t="s">
        <v>32</v>
      </c>
      <c r="D4" s="42">
        <v>439879</v>
      </c>
      <c r="E4" s="9" t="s">
        <v>86</v>
      </c>
      <c r="F4" s="9" t="s">
        <v>33</v>
      </c>
      <c r="G4" t="s">
        <v>87</v>
      </c>
      <c r="H4" s="9" t="s">
        <v>88</v>
      </c>
      <c r="I4" s="9" t="s">
        <v>34</v>
      </c>
    </row>
    <row r="5" spans="1:10" ht="76.5">
      <c r="A5" s="39"/>
      <c r="B5" s="40"/>
      <c r="C5" s="41"/>
      <c r="D5" s="42"/>
      <c r="E5" s="9" t="s">
        <v>86</v>
      </c>
      <c r="F5" s="9" t="s">
        <v>40</v>
      </c>
      <c r="G5" t="s">
        <v>87</v>
      </c>
      <c r="H5" s="9" t="s">
        <v>89</v>
      </c>
      <c r="I5" s="9" t="s">
        <v>41</v>
      </c>
    </row>
    <row r="6" spans="1:10" ht="91.5">
      <c r="A6" s="39"/>
      <c r="B6" s="40"/>
      <c r="C6" s="41"/>
      <c r="D6" s="42"/>
      <c r="E6" s="9" t="s">
        <v>86</v>
      </c>
      <c r="F6" s="9" t="s">
        <v>44</v>
      </c>
      <c r="G6" t="s">
        <v>87</v>
      </c>
      <c r="H6" s="9" t="s">
        <v>90</v>
      </c>
      <c r="I6" t="s">
        <v>45</v>
      </c>
    </row>
    <row r="7" spans="1:10" s="4" customFormat="1">
      <c r="C7" s="5"/>
      <c r="D7" s="6"/>
      <c r="F7" s="7"/>
      <c r="G7" s="8"/>
      <c r="H7" s="7"/>
      <c r="I7" s="7"/>
    </row>
  </sheetData>
  <mergeCells count="4">
    <mergeCell ref="A4:A6"/>
    <mergeCell ref="B4:B6"/>
    <mergeCell ref="C4:C6"/>
    <mergeCell ref="D4:D6"/>
  </mergeCells>
  <hyperlinks>
    <hyperlink ref="C2" r:id="rId1" xr:uid="{00000000-0004-0000-0000-000000000000}"/>
    <hyperlink ref="C3" r:id="rId2" xr:uid="{5BA088EA-88B7-4F1E-AD19-52AAD91A89F3}"/>
    <hyperlink ref="C4" r:id="rId3" xr:uid="{4F461361-6C99-4CEF-9B55-89A952A9704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7" workbookViewId="0">
      <selection activeCell="A13" sqref="A13"/>
    </sheetView>
  </sheetViews>
  <sheetFormatPr defaultRowHeight="15"/>
  <cols>
    <col min="1" max="2" width="52.7109375" customWidth="1"/>
  </cols>
  <sheetData>
    <row r="1" spans="1:2">
      <c r="A1" s="26" t="s">
        <v>4</v>
      </c>
      <c r="B1" s="26" t="s">
        <v>5</v>
      </c>
    </row>
    <row r="2" spans="1:2" ht="45.75">
      <c r="A2" s="44" t="s">
        <v>52</v>
      </c>
      <c r="B2" s="27" t="s">
        <v>91</v>
      </c>
    </row>
    <row r="3" spans="1:2">
      <c r="A3" s="44" t="s">
        <v>92</v>
      </c>
      <c r="B3" s="27" t="s">
        <v>93</v>
      </c>
    </row>
    <row r="4" spans="1:2" ht="30.75">
      <c r="A4" s="44" t="s">
        <v>94</v>
      </c>
      <c r="B4" s="27" t="s">
        <v>95</v>
      </c>
    </row>
    <row r="5" spans="1:2" ht="30.75">
      <c r="A5" s="44" t="s">
        <v>96</v>
      </c>
      <c r="B5" s="27" t="s">
        <v>97</v>
      </c>
    </row>
    <row r="6" spans="1:2" ht="91.5">
      <c r="A6" s="44" t="s">
        <v>98</v>
      </c>
      <c r="B6" s="27" t="s">
        <v>99</v>
      </c>
    </row>
    <row r="7" spans="1:2" ht="45.75">
      <c r="A7" s="44" t="s">
        <v>100</v>
      </c>
      <c r="B7" s="27" t="s">
        <v>101</v>
      </c>
    </row>
    <row r="8" spans="1:2" ht="45.75">
      <c r="A8" s="44" t="s">
        <v>102</v>
      </c>
      <c r="B8" s="27" t="s">
        <v>103</v>
      </c>
    </row>
    <row r="9" spans="1:2" ht="45.75">
      <c r="A9" s="44" t="s">
        <v>104</v>
      </c>
      <c r="B9" s="27" t="s">
        <v>105</v>
      </c>
    </row>
    <row r="10" spans="1:2" ht="30.75">
      <c r="A10" s="44" t="s">
        <v>58</v>
      </c>
      <c r="B10" s="45" t="s">
        <v>106</v>
      </c>
    </row>
    <row r="11" spans="1:2" ht="30.75">
      <c r="A11" s="44" t="s">
        <v>107</v>
      </c>
      <c r="B11" s="45" t="s">
        <v>108</v>
      </c>
    </row>
    <row r="12" spans="1:2" ht="45.75">
      <c r="A12" s="44" t="s">
        <v>109</v>
      </c>
      <c r="B12" s="27" t="s">
        <v>110</v>
      </c>
    </row>
    <row r="13" spans="1:2" ht="30.75">
      <c r="A13" s="44" t="s">
        <v>86</v>
      </c>
      <c r="B13" s="45" t="s">
        <v>111</v>
      </c>
    </row>
    <row r="14" spans="1:2">
      <c r="A14" s="44" t="s">
        <v>112</v>
      </c>
      <c r="B14" s="45" t="s">
        <v>113</v>
      </c>
    </row>
    <row r="15" spans="1:2" ht="30.75">
      <c r="A15" s="44" t="s">
        <v>114</v>
      </c>
      <c r="B15" s="45" t="s">
        <v>115</v>
      </c>
    </row>
    <row r="16" spans="1:2" ht="30.75">
      <c r="A16" s="44" t="s">
        <v>116</v>
      </c>
      <c r="B16" s="45" t="s">
        <v>117</v>
      </c>
    </row>
    <row r="17" spans="1:2" ht="30.75">
      <c r="A17" s="44" t="s">
        <v>24</v>
      </c>
      <c r="B17" s="27" t="s">
        <v>118</v>
      </c>
    </row>
    <row r="18" spans="1:2" ht="30.75">
      <c r="A18" s="44" t="s">
        <v>119</v>
      </c>
      <c r="B18" s="45" t="s">
        <v>120</v>
      </c>
    </row>
    <row r="19" spans="1:2" ht="76.5">
      <c r="A19" s="44" t="s">
        <v>55</v>
      </c>
      <c r="B19" s="45" t="s">
        <v>121</v>
      </c>
    </row>
    <row r="20" spans="1:2" ht="30.75">
      <c r="A20" s="44" t="s">
        <v>122</v>
      </c>
      <c r="B20" s="45" t="s">
        <v>123</v>
      </c>
    </row>
    <row r="21" spans="1:2" ht="45.75">
      <c r="A21" s="44" t="s">
        <v>19</v>
      </c>
      <c r="B21" s="46" t="s">
        <v>124</v>
      </c>
    </row>
    <row r="22" spans="1:2" ht="30.75">
      <c r="A22" s="44" t="s">
        <v>125</v>
      </c>
      <c r="B22" s="45" t="s">
        <v>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E510EE-E02A-453C-8B35-18B7264B6900}"/>
</file>

<file path=customXml/itemProps2.xml><?xml version="1.0" encoding="utf-8"?>
<ds:datastoreItem xmlns:ds="http://schemas.openxmlformats.org/officeDocument/2006/customXml" ds:itemID="{B0769C06-D476-48B8-9673-A86E557AF329}"/>
</file>

<file path=customXml/itemProps3.xml><?xml version="1.0" encoding="utf-8"?>
<ds:datastoreItem xmlns:ds="http://schemas.openxmlformats.org/officeDocument/2006/customXml" ds:itemID="{E9FC18F7-012A-4B28-90E8-2FC0E000C0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2025-05-05T06:39:18Z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