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xr:revisionPtr revIDLastSave="414" documentId="11_412410E29FA9995E88863C494F0F7FA0782933C0" xr6:coauthVersionLast="47" xr6:coauthVersionMax="47" xr10:uidLastSave="{D7535EDF-2883-4A8C-82E8-86EFFCB0B354}"/>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 l="1"/>
  <c r="K14" i="3"/>
</calcChain>
</file>

<file path=xl/sharedStrings.xml><?xml version="1.0" encoding="utf-8"?>
<sst xmlns="http://schemas.openxmlformats.org/spreadsheetml/2006/main" count="269" uniqueCount="110">
  <si>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</si>
  <si>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</si>
  <si>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</si>
  <si>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</si>
  <si>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</si>
  <si>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</si>
  <si>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</si>
  <si>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</si>
  <si>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</si>
  <si>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</si>
  <si>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</si>
  <si>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</si>
  <si>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</si>
  <si>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</si>
  <si>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</si>
  <si>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</si>
  <si>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</si>
  <si>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</si>
  <si>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</si>
  <si>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</si>
  <si>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</si>
  <si>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National child project under the GEF Africa Minigrids Program</t>
  </si>
  <si>
    <t>https://co.pims.undp.org/project/view?id=6658</t>
  </si>
  <si>
    <t>Electricity Access</t>
  </si>
  <si>
    <t>Number of direct beneficiaries benefitting from energy access via minigrids, disaggregated by gender and by customer segment (residential, social, commercial/productive use) as co-benefit of GEF investment</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</si>
  <si>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</si>
  <si>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GEF</t>
  </si>
  <si>
    <t>VF</t>
  </si>
  <si>
    <t>Close the gap on energy access</t>
  </si>
  <si>
    <t>Solar</t>
  </si>
  <si>
    <t>Benin Biomass Electricity Generation</t>
  </si>
  <si>
    <t>https://co.pims.undp.org/project/view?id=5115</t>
  </si>
  <si>
    <t>Energy (MW added)</t>
  </si>
  <si>
    <t>Number of MW of 
biomass power plants 
 built by the end of the 
project</t>
  </si>
  <si>
    <t>At least 4 MW of 
biomass power plants built by the end of the 
project. 24,498 MWh 
of electricity produced 
annually by the end of the 
of the project benefitting to 500 perons in terms of jobs creation (see below)</t>
  </si>
  <si>
    <t>Accelerating just energy transition</t>
  </si>
  <si>
    <t>Bioenergy</t>
  </si>
  <si>
    <t>Capacity Building Training</t>
  </si>
  <si>
    <t>Number of members of the government staff trained 
at the end of the project.</t>
  </si>
  <si>
    <t>30 members of the 
government staff trained with respect to the production of electricity through biomass gaseificating
at the end of the project.</t>
  </si>
  <si>
    <t>Other</t>
  </si>
  <si>
    <t xml:space="preserve">Number of jobs created 
in the gasifier/refrigerator sub-sector </t>
  </si>
  <si>
    <t xml:space="preserve">500 jobs are created 
in the gasifiers/refrigerator sub-sector (for minimum 500 persons) 
</t>
  </si>
  <si>
    <t>Benin NAPA LDCF 2</t>
  </si>
  <si>
    <t>https://co.pims.undp.org/project/view?id=4979</t>
  </si>
  <si>
    <t>Number of senior energy managers trained</t>
  </si>
  <si>
    <t>500 senior energy managers trained</t>
  </si>
  <si>
    <t>LDCF/GEF</t>
  </si>
  <si>
    <t>Number of operators trained on improved stoves</t>
  </si>
  <si>
    <t>500 operators (with 50% women) trained on improved stoves</t>
  </si>
  <si>
    <t>Clean Cooking</t>
  </si>
  <si>
    <t>Number of improved ovens built</t>
  </si>
  <si>
    <t>At least 100 improved ovens built benefiting to at least 100 persons (with 50% of women)</t>
  </si>
  <si>
    <t>Number of pressure cookers distributed</t>
  </si>
  <si>
    <t>1 000 pressure cookers distributed and benefiting to a least 1 000 persons (with 50% of women)</t>
  </si>
  <si>
    <t>Number of improved stoves distributed</t>
  </si>
  <si>
    <t xml:space="preserve">With 10 000 improved stoves distributed, it is at least 10 000 persons benefiting (with 50% women) of the clean cooking technology </t>
  </si>
  <si>
    <t>4979-2</t>
  </si>
  <si>
    <t>Benin NAPA LDCF 2 TRAC 2</t>
  </si>
  <si>
    <t>https://co.pims.undp.org/project/view?id=4979-2</t>
  </si>
  <si>
    <t>Number of people with direct access to cean, reliable and affordable energy and its co-benefits</t>
  </si>
  <si>
    <r>
      <rPr>
        <sz val="11"/>
        <color rgb="FF000000"/>
        <rFont val="Calibri"/>
        <scheme val="minor"/>
      </rPr>
      <t xml:space="preserve">Direct access of 50,000 people (including 26,000 women) to clean, reliable and affordable energy and its co-benefits.
</t>
    </r>
    <r>
      <rPr>
        <sz val="11"/>
        <color rgb="FFFF0000"/>
        <rFont val="Calibri"/>
        <scheme val="minor"/>
      </rPr>
      <t>TRAC 2: Access of vulnerable and neglected communities to sustainable and affordable energy through the promotion of Smart sustainable Energy Hubs</t>
    </r>
  </si>
  <si>
    <t>Category</t>
  </si>
  <si>
    <t>PIMS+</t>
  </si>
  <si>
    <t>AMP</t>
  </si>
  <si>
    <t>Renewable Energy</t>
  </si>
  <si>
    <t>Capacity Training</t>
  </si>
  <si>
    <t>Energy Infrastructure Services</t>
  </si>
  <si>
    <t xml:space="preserve">Number of hectares of riverbanks for hydropower reforested
</t>
  </si>
  <si>
    <t xml:space="preserve">Riverbanks likely to harbor selected hydroelectric facilities are effectively protected against erosion through reforestation (involving men, women and youth) </t>
  </si>
  <si>
    <t xml:space="preserve">Number of existing community parks of firewood resilient to climate change in areas identified as the most vulnerable </t>
  </si>
  <si>
    <t>10 parcs communautaires (en ajoutant à 600.000 ha) dans les forêts communales concernées, impliquant les hommes, les femmes et les jeunes, sont mis en place</t>
  </si>
  <si>
    <t>At least 200 activities generating income, involving each year at least 50% women and girls and 50% men and boys achieving activities alternative to forest resources exploitation</t>
  </si>
  <si>
    <t>TRAC 2: Access of vulnerable and neglected communities to sustainable and affordable energy through the promotion of Smart sustainable Energy Hubs</t>
  </si>
  <si>
    <t>Direct access of 50,000 people (including 26,000 women) to clean, reliable and affordable energy and its co-benefits.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</si>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</sst>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b/>
      <sz val="11"/>
      <color theme="1"/>
      <name val="Calibri"/>
      <scheme val="minor"/>
    </font>
    <font>
      <sz val="11"/>
      <color rgb="FF000000"/>
      <name val="Calibri"/>
      <scheme val="minor"/>
    </font>
    <font>
      <u/>
      <sz val="11"/>
      <color theme="10"/>
      <name val="Calibri"/>
      <family val="2"/>
      <scheme val="minor"/>
    </font>
    <font>
      <sz val="11"/>
      <color rgb="FFFF0000"/>
      <name val="Calibri"/>
      <scheme val="minor"/>
    </font>
  </fonts>
  <fills count="4">
    <fill>
      <patternFill patternType="none"/>
    </fill>
    <fill>
      <patternFill patternType="gray125"/>
    </fill>
    <fill>
      <patternFill patternType="solid">
        <fgColor rgb="FFFFE497"/>
        <bgColor indexed="64"/>
      </patternFill>
    </fill>
    <fill>
      <patternFill patternType="solid">
        <fgColor rgb="FFFFE69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2" fillId="0" borderId="1" xfId="0" applyFont="1" applyBorder="1" applyAlignment="1">
      <alignment horizontal="center" vertical="top"/>
    </xf>
    <xf numFmtId="0" fontId="0" fillId="2" borderId="0" xfId="0" applyFill="1"/>
    <xf numFmtId="0" fontId="0" fillId="2" borderId="0" xfId="0" applyFill="1" applyAlignment="1">
      <alignment wrapText="1"/>
    </xf>
    <xf numFmtId="0" fontId="3" fillId="3" borderId="0" xfId="0" applyFont="1" applyFill="1" applyAlignment="1">
      <alignment vertical="top" wrapText="1"/>
    </xf>
    <xf numFmtId="0" fontId="3" fillId="3" borderId="0" xfId="0" applyFont="1" applyFill="1" applyAlignment="1">
      <alignment wrapText="1"/>
    </xf>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xf>
    <xf numFmtId="0" fontId="0" fillId="0" borderId="0" xfId="0" applyAlignment="1">
      <alignment horizontal="left" vertical="top" wrapText="1"/>
    </xf>
    <xf numFmtId="0" fontId="0" fillId="3" borderId="0" xfId="0" applyFill="1" applyAlignment="1">
      <alignment vertical="top"/>
    </xf>
    <xf numFmtId="0" fontId="0" fillId="3" borderId="0" xfId="0" applyFill="1" applyAlignment="1">
      <alignment vertical="top" wrapText="1"/>
    </xf>
    <xf numFmtId="0" fontId="2" fillId="0" borderId="2" xfId="0" applyFont="1" applyBorder="1"/>
    <xf numFmtId="0" fontId="2" fillId="0" borderId="3" xfId="0" applyFont="1" applyBorder="1" applyAlignment="1">
      <alignment horizontal="center" vertical="top"/>
    </xf>
    <xf numFmtId="0" fontId="0" fillId="0" borderId="3" xfId="0" applyBorder="1"/>
    <xf numFmtId="0" fontId="0" fillId="2" borderId="3" xfId="0" applyFill="1" applyBorder="1" applyAlignment="1">
      <alignment vertical="top"/>
    </xf>
    <xf numFmtId="0" fontId="3" fillId="3" borderId="3" xfId="0" applyFont="1" applyFill="1" applyBorder="1" applyAlignment="1">
      <alignment wrapText="1"/>
    </xf>
    <xf numFmtId="0" fontId="0" fillId="0" borderId="3" xfId="0" applyBorder="1" applyAlignment="1">
      <alignment horizontal="center" vertical="center"/>
    </xf>
    <xf numFmtId="0" fontId="3" fillId="3" borderId="3" xfId="0" applyFont="1" applyFill="1" applyBorder="1" applyAlignment="1">
      <alignment vertical="top" wrapText="1"/>
    </xf>
    <xf numFmtId="0" fontId="0" fillId="2" borderId="3" xfId="0" applyFill="1" applyBorder="1" applyAlignment="1">
      <alignment wrapText="1"/>
    </xf>
    <xf numFmtId="0" fontId="0" fillId="2" borderId="3" xfId="0" applyFill="1" applyBorder="1" applyAlignment="1">
      <alignment vertical="top" wrapText="1"/>
    </xf>
    <xf numFmtId="0" fontId="0" fillId="0" borderId="3" xfId="0" applyBorder="1" applyAlignment="1">
      <alignment vertical="top"/>
    </xf>
    <xf numFmtId="0" fontId="0" fillId="3" borderId="3" xfId="0" applyFill="1" applyBorder="1" applyAlignment="1">
      <alignment vertical="top"/>
    </xf>
    <xf numFmtId="0" fontId="0" fillId="3" borderId="3" xfId="0" applyFill="1" applyBorder="1" applyAlignment="1">
      <alignment vertical="top" wrapText="1"/>
    </xf>
    <xf numFmtId="0" fontId="2" fillId="0" borderId="3" xfId="0" applyFont="1" applyBorder="1"/>
    <xf numFmtId="0" fontId="2" fillId="0" borderId="4" xfId="0" applyFont="1" applyBorder="1"/>
    <xf numFmtId="0" fontId="0" fillId="0" borderId="3" xfId="0" applyBorder="1" applyAlignment="1">
      <alignment vertical="center"/>
    </xf>
    <xf numFmtId="0" fontId="0" fillId="0" borderId="7" xfId="0" applyBorder="1" applyAlignment="1">
      <alignment vertical="center"/>
    </xf>
    <xf numFmtId="0" fontId="0" fillId="0" borderId="5" xfId="0" applyBorder="1" applyAlignment="1">
      <alignment vertical="center"/>
    </xf>
    <xf numFmtId="0" fontId="0" fillId="2" borderId="6" xfId="0" applyFill="1" applyBorder="1" applyAlignment="1">
      <alignment horizontal="center" vertical="top"/>
    </xf>
    <xf numFmtId="0" fontId="0" fillId="2" borderId="6" xfId="0" applyFill="1" applyBorder="1" applyAlignment="1">
      <alignment horizontal="center" vertical="top" wrapText="1"/>
    </xf>
    <xf numFmtId="0" fontId="0" fillId="2" borderId="6" xfId="0" applyFill="1" applyBorder="1" applyAlignment="1">
      <alignment horizontal="center" wrapText="1"/>
    </xf>
    <xf numFmtId="0" fontId="0" fillId="0" borderId="8" xfId="0" applyBorder="1"/>
    <xf numFmtId="0" fontId="0" fillId="0" borderId="4" xfId="0" applyBorder="1" applyAlignment="1">
      <alignment vertical="center"/>
    </xf>
    <xf numFmtId="0" fontId="0" fillId="0" borderId="9" xfId="0" applyBorder="1" applyAlignment="1">
      <alignment horizontal="left" vertical="top" wrapText="1"/>
    </xf>
    <xf numFmtId="9" fontId="0" fillId="0" borderId="5" xfId="0" applyNumberFormat="1" applyBorder="1"/>
    <xf numFmtId="9" fontId="0" fillId="0" borderId="3" xfId="0" applyNumberFormat="1" applyBorder="1"/>
    <xf numFmtId="0" fontId="0" fillId="0" borderId="6" xfId="0" applyBorder="1" applyAlignment="1">
      <alignment vertical="center"/>
    </xf>
    <xf numFmtId="0" fontId="0" fillId="0" borderId="0" xfId="0" applyAlignment="1">
      <alignment vertical="center"/>
    </xf>
    <xf numFmtId="0" fontId="0" fillId="2" borderId="9" xfId="0" applyFill="1" applyBorder="1" applyAlignment="1">
      <alignment vertical="top"/>
    </xf>
    <xf numFmtId="0" fontId="0" fillId="2" borderId="10" xfId="0" applyFill="1" applyBorder="1" applyAlignment="1">
      <alignment horizontal="center" vertical="top"/>
    </xf>
    <xf numFmtId="0" fontId="0" fillId="0" borderId="8" xfId="0" applyBorder="1" applyAlignment="1">
      <alignment vertical="center"/>
    </xf>
    <xf numFmtId="0" fontId="0" fillId="0" borderId="5" xfId="0" applyBorder="1" applyAlignment="1">
      <alignment vertical="top"/>
    </xf>
    <xf numFmtId="0" fontId="0" fillId="0" borderId="12" xfId="0" applyBorder="1" applyAlignment="1">
      <alignment vertical="center"/>
    </xf>
    <xf numFmtId="0" fontId="0" fillId="0" borderId="13" xfId="0" applyBorder="1" applyAlignment="1">
      <alignment vertical="center"/>
    </xf>
    <xf numFmtId="0" fontId="0" fillId="0" borderId="10"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2" xfId="0" applyBorder="1" applyAlignment="1">
      <alignment vertical="center"/>
    </xf>
    <xf numFmtId="0" fontId="0" fillId="0" borderId="11" xfId="0" applyBorder="1" applyAlignment="1">
      <alignment vertical="center"/>
    </xf>
    <xf numFmtId="0" fontId="0" fillId="0" borderId="6" xfId="0" applyBorder="1" applyAlignment="1">
      <alignment vertical="center" wrapText="1"/>
    </xf>
    <xf numFmtId="0" fontId="0" fillId="0" borderId="13" xfId="0" applyBorder="1" applyAlignment="1">
      <alignment vertical="center" wrapText="1"/>
    </xf>
    <xf numFmtId="0" fontId="0" fillId="0" borderId="2" xfId="0" applyBorder="1" applyAlignment="1">
      <alignment vertical="center" wrapText="1"/>
    </xf>
    <xf numFmtId="0" fontId="2" fillId="0" borderId="3" xfId="0" applyFont="1" applyBorder="1" applyAlignment="1">
      <alignment horizontal="center"/>
    </xf>
    <xf numFmtId="0" fontId="0" fillId="0" borderId="3" xfId="0" applyBorder="1" applyAlignment="1">
      <alignment horizontal="center" vertical="center" wrapText="1"/>
    </xf>
    <xf numFmtId="0" fontId="4" fillId="0" borderId="3" xfId="0" applyFont="1" applyBorder="1" applyAlignment="1">
      <alignment horizontal="center" vertical="top" wrapText="1"/>
    </xf>
    <xf numFmtId="0" fontId="5" fillId="0" borderId="3" xfId="0" applyFont="1" applyBorder="1" applyAlignment="1">
      <alignment wrapText="1"/>
    </xf>
    <xf numFmtId="0" fontId="2" fillId="0" borderId="6" xfId="0" applyFont="1" applyBorder="1" applyAlignment="1">
      <alignment horizontal="center"/>
    </xf>
    <xf numFmtId="0" fontId="2" fillId="0" borderId="12" xfId="0" applyFont="1" applyBorder="1" applyAlignment="1">
      <alignment horizontal="center"/>
    </xf>
    <xf numFmtId="0" fontId="2" fillId="0" borderId="6" xfId="0" applyFont="1" applyBorder="1"/>
    <xf numFmtId="0" fontId="0" fillId="0" borderId="4"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left" vertical="top"/>
    </xf>
    <xf numFmtId="0" fontId="0" fillId="2" borderId="6" xfId="0" applyFill="1" applyBorder="1" applyAlignment="1">
      <alignment horizontal="left" vertical="top" wrapText="1"/>
    </xf>
    <xf numFmtId="0" fontId="0" fillId="2" borderId="6" xfId="0" applyFill="1" applyBorder="1" applyAlignment="1">
      <alignment horizontal="right" vertical="top"/>
    </xf>
    <xf numFmtId="0" fontId="6" fillId="0" borderId="7" xfId="1" applyBorder="1" applyAlignment="1">
      <alignment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6" fillId="0" borderId="6" xfId="1" applyBorder="1" applyAlignment="1">
      <alignment vertical="center"/>
    </xf>
    <xf numFmtId="0" fontId="6" fillId="0" borderId="0" xfId="1"/>
    <xf numFmtId="0" fontId="1" fillId="3" borderId="3" xfId="0" applyFont="1" applyFill="1" applyBorder="1" applyAlignment="1">
      <alignment vertical="top" wrapText="1"/>
    </xf>
    <xf numFmtId="0" fontId="6" fillId="0" borderId="0" xfId="1" applyAlignment="1">
      <alignment horizontal="left" vertical="center"/>
    </xf>
    <xf numFmtId="0" fontId="6" fillId="0" borderId="3" xfId="1" applyBorder="1" applyAlignment="1">
      <alignment horizontal="center"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view?id=4979-2" TargetMode="External"/><Relationship Id="rId2" Type="http://schemas.openxmlformats.org/officeDocument/2006/relationships/hyperlink" Target="https://co.pims.undp.org/project/view?id=5115" TargetMode="External"/><Relationship Id="rId1" Type="http://schemas.openxmlformats.org/officeDocument/2006/relationships/hyperlink" Target="https://co.pims.undp.org/project/view?id=4979" TargetMode="External"/><Relationship Id="rId4" Type="http://schemas.openxmlformats.org/officeDocument/2006/relationships/hyperlink" Target="https://co.pims.undp.org/project/view?id=66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757D-7601-4334-87E7-1D22985336BC}">
  <dimension ref="A1:U12"/>
  <sheetViews>
    <sheetView tabSelected="1" workbookViewId="0">
      <pane xSplit="1" ySplit="1" topLeftCell="F2" activePane="bottomRight" state="frozen"/>
      <selection pane="bottomRight" activeCell="J3" sqref="J3"/>
      <selection pane="bottomLeft"/>
      <selection pane="topRight"/>
    </sheetView>
  </sheetViews>
  <sheetFormatPr defaultRowHeight="15"/>
  <cols>
    <col min="2" max="2" width="46" customWidth="1"/>
    <col min="3" max="3" width="20.7109375" customWidth="1"/>
    <col min="5" max="5" width="33.85546875" customWidth="1"/>
    <col min="6" max="6" width="20.7109375" customWidth="1"/>
    <col min="7" max="8" width="12.7109375" customWidth="1"/>
    <col min="9" max="9" width="32.7109375" customWidth="1"/>
    <col min="11" max="11" width="18" bestFit="1" customWidth="1"/>
    <col min="12" max="12" width="12.85546875" bestFit="1" customWidth="1"/>
    <col min="14" max="14" width="18.42578125" customWidth="1"/>
    <col min="15" max="16" width="20.28515625" customWidth="1"/>
    <col min="17" max="17" width="16.5703125" bestFit="1" customWidth="1"/>
    <col min="18" max="18" width="17.85546875" customWidth="1"/>
    <col min="19" max="19" width="11.28515625" bestFit="1" customWidth="1"/>
    <col min="20" max="20" width="30.28515625" bestFit="1" customWidth="1"/>
    <col min="21" max="21" width="16.7109375" bestFit="1" customWidth="1"/>
  </cols>
  <sheetData>
    <row r="1" spans="1:21">
      <c r="A1" s="13" t="s">
        <v>0</v>
      </c>
      <c r="B1" s="13" t="s">
        <v>1</v>
      </c>
      <c r="C1" s="13" t="s">
        <v>2</v>
      </c>
      <c r="D1" s="13" t="s">
        <v>3</v>
      </c>
      <c r="E1" s="13" t="s">
        <v>4</v>
      </c>
      <c r="F1" s="13" t="s">
        <v>5</v>
      </c>
      <c r="G1" s="13" t="s">
        <v>6</v>
      </c>
      <c r="H1" s="13" t="s">
        <v>7</v>
      </c>
      <c r="I1" s="13" t="s">
        <v>8</v>
      </c>
      <c r="J1" s="25" t="s">
        <v>9</v>
      </c>
      <c r="K1" s="24" t="s">
        <v>10</v>
      </c>
      <c r="L1" s="53" t="s">
        <v>11</v>
      </c>
      <c r="M1" s="57" t="s">
        <v>12</v>
      </c>
      <c r="N1" s="53" t="s">
        <v>13</v>
      </c>
      <c r="O1" s="53" t="s">
        <v>14</v>
      </c>
      <c r="P1" s="57" t="s">
        <v>15</v>
      </c>
      <c r="Q1" s="57" t="s">
        <v>16</v>
      </c>
      <c r="R1" s="58" t="s">
        <v>17</v>
      </c>
      <c r="S1" s="59" t="s">
        <v>18</v>
      </c>
      <c r="T1" s="58" t="s">
        <v>19</v>
      </c>
      <c r="U1" s="59" t="s">
        <v>20</v>
      </c>
    </row>
    <row r="2" spans="1:21" ht="198">
      <c r="A2" s="17">
        <v>6658</v>
      </c>
      <c r="B2" s="54" t="s">
        <v>21</v>
      </c>
      <c r="C2" s="76" t="s">
        <v>22</v>
      </c>
      <c r="D2" s="17">
        <v>1326147</v>
      </c>
      <c r="E2" s="15" t="s">
        <v>23</v>
      </c>
      <c r="F2" s="16" t="s">
        <v>24</v>
      </c>
      <c r="G2" s="15">
        <v>0</v>
      </c>
      <c r="H2" s="15">
        <v>12152</v>
      </c>
      <c r="I2" s="16" t="s">
        <v>25</v>
      </c>
      <c r="J2" s="14" t="s">
        <v>26</v>
      </c>
      <c r="K2" s="35">
        <v>0.5</v>
      </c>
      <c r="L2" s="60" t="s">
        <v>27</v>
      </c>
      <c r="M2" s="17"/>
      <c r="N2" s="61" t="s">
        <v>28</v>
      </c>
      <c r="O2" s="17"/>
      <c r="P2" s="17"/>
      <c r="Q2" s="17"/>
      <c r="R2" s="17"/>
      <c r="S2" s="26" t="s">
        <v>29</v>
      </c>
      <c r="T2" s="17"/>
      <c r="U2" s="26"/>
    </row>
    <row r="3" spans="1:21" ht="144" customHeight="1">
      <c r="A3" s="37">
        <v>5115</v>
      </c>
      <c r="B3" s="50" t="s">
        <v>30</v>
      </c>
      <c r="C3" s="72" t="s">
        <v>31</v>
      </c>
      <c r="D3" s="37">
        <v>3872602</v>
      </c>
      <c r="E3" s="15" t="s">
        <v>32</v>
      </c>
      <c r="F3" s="18" t="s">
        <v>33</v>
      </c>
      <c r="G3" s="15">
        <v>0</v>
      </c>
      <c r="H3" s="15">
        <v>4</v>
      </c>
      <c r="I3" s="18" t="s">
        <v>34</v>
      </c>
      <c r="J3" s="26" t="s">
        <v>26</v>
      </c>
      <c r="K3" s="14"/>
      <c r="L3" s="60" t="s">
        <v>27</v>
      </c>
      <c r="M3" s="17"/>
      <c r="N3" s="61" t="s">
        <v>35</v>
      </c>
      <c r="O3" s="17"/>
      <c r="P3" s="17"/>
      <c r="Q3" s="17"/>
      <c r="R3" s="17"/>
      <c r="S3" s="26" t="s">
        <v>36</v>
      </c>
      <c r="T3" s="17"/>
      <c r="U3" s="26"/>
    </row>
    <row r="4" spans="1:21" ht="96.75" customHeight="1">
      <c r="A4" s="43"/>
      <c r="B4" s="51"/>
      <c r="C4" s="44"/>
      <c r="D4" s="45"/>
      <c r="E4" s="39" t="s">
        <v>37</v>
      </c>
      <c r="F4" s="18" t="s">
        <v>38</v>
      </c>
      <c r="G4" s="15">
        <v>0</v>
      </c>
      <c r="H4" s="15">
        <v>30</v>
      </c>
      <c r="I4" s="18" t="s">
        <v>39</v>
      </c>
      <c r="J4" s="26" t="s">
        <v>26</v>
      </c>
      <c r="K4" s="14"/>
      <c r="L4" s="60" t="s">
        <v>27</v>
      </c>
      <c r="M4" s="17"/>
      <c r="N4" s="61" t="s">
        <v>35</v>
      </c>
      <c r="O4" s="17"/>
      <c r="P4" s="17"/>
      <c r="Q4" s="17"/>
      <c r="R4" s="17"/>
      <c r="S4" s="26"/>
      <c r="T4" s="17"/>
      <c r="U4" s="26"/>
    </row>
    <row r="5" spans="1:21" ht="72" customHeight="1">
      <c r="A5" s="41"/>
      <c r="B5" s="52"/>
      <c r="C5" s="48"/>
      <c r="D5" s="49"/>
      <c r="E5" s="39" t="s">
        <v>40</v>
      </c>
      <c r="F5" s="19" t="s">
        <v>41</v>
      </c>
      <c r="G5" s="15">
        <v>0</v>
      </c>
      <c r="H5" s="15">
        <v>500</v>
      </c>
      <c r="I5" s="19" t="s">
        <v>42</v>
      </c>
      <c r="J5" s="26" t="s">
        <v>26</v>
      </c>
      <c r="K5" s="14"/>
      <c r="L5" s="60" t="s">
        <v>27</v>
      </c>
      <c r="M5" s="17"/>
      <c r="N5" s="61" t="s">
        <v>35</v>
      </c>
      <c r="O5" s="17"/>
      <c r="P5" s="17"/>
      <c r="Q5" s="17"/>
      <c r="R5" s="17"/>
      <c r="S5" s="26"/>
      <c r="T5" s="17"/>
      <c r="U5" s="26"/>
    </row>
    <row r="6" spans="1:21" ht="57.75" customHeight="1">
      <c r="A6" s="27">
        <v>4979</v>
      </c>
      <c r="B6" s="27" t="s">
        <v>43</v>
      </c>
      <c r="C6" s="65" t="s">
        <v>44</v>
      </c>
      <c r="D6" s="27">
        <v>8000000</v>
      </c>
      <c r="E6" s="39" t="s">
        <v>37</v>
      </c>
      <c r="F6" s="20" t="s">
        <v>45</v>
      </c>
      <c r="G6" s="15">
        <v>0</v>
      </c>
      <c r="H6" s="15">
        <v>500</v>
      </c>
      <c r="I6" s="20" t="s">
        <v>46</v>
      </c>
      <c r="J6" s="14" t="s">
        <v>47</v>
      </c>
      <c r="K6" s="14"/>
      <c r="L6" s="60" t="s">
        <v>27</v>
      </c>
      <c r="M6" s="17"/>
      <c r="N6" s="61" t="s">
        <v>35</v>
      </c>
      <c r="O6" s="17"/>
      <c r="P6" s="17"/>
      <c r="Q6" s="17"/>
      <c r="R6" s="17"/>
      <c r="S6" s="26"/>
      <c r="T6" s="17"/>
      <c r="U6" s="26"/>
    </row>
    <row r="7" spans="1:21" ht="48.75" customHeight="1">
      <c r="A7" s="43"/>
      <c r="B7" s="44"/>
      <c r="C7" s="44"/>
      <c r="D7" s="45"/>
      <c r="E7" s="39" t="s">
        <v>37</v>
      </c>
      <c r="F7" s="19" t="s">
        <v>48</v>
      </c>
      <c r="G7" s="15">
        <v>0</v>
      </c>
      <c r="H7" s="15">
        <v>500</v>
      </c>
      <c r="I7" s="20" t="s">
        <v>49</v>
      </c>
      <c r="J7" s="14" t="s">
        <v>47</v>
      </c>
      <c r="K7" s="36">
        <v>0.5</v>
      </c>
      <c r="L7" s="60" t="s">
        <v>27</v>
      </c>
      <c r="M7" s="17"/>
      <c r="N7" s="61" t="s">
        <v>35</v>
      </c>
      <c r="O7" s="17"/>
      <c r="P7" s="17"/>
      <c r="Q7" s="17"/>
      <c r="R7" s="17"/>
      <c r="S7" s="26"/>
      <c r="T7" s="17"/>
      <c r="U7" s="26"/>
    </row>
    <row r="8" spans="1:21" ht="51" customHeight="1">
      <c r="A8" s="46"/>
      <c r="B8" s="38"/>
      <c r="C8" s="38"/>
      <c r="D8" s="47"/>
      <c r="E8" s="39" t="s">
        <v>50</v>
      </c>
      <c r="F8" s="20" t="s">
        <v>51</v>
      </c>
      <c r="G8" s="15">
        <v>0</v>
      </c>
      <c r="H8" s="15">
        <v>100</v>
      </c>
      <c r="I8" s="20" t="s">
        <v>52</v>
      </c>
      <c r="J8" s="14" t="s">
        <v>47</v>
      </c>
      <c r="K8" s="36">
        <v>0.5</v>
      </c>
      <c r="L8" s="60" t="s">
        <v>27</v>
      </c>
      <c r="M8" s="17"/>
      <c r="N8" s="61" t="s">
        <v>35</v>
      </c>
      <c r="O8" s="17"/>
      <c r="P8" s="17"/>
      <c r="Q8" s="17"/>
      <c r="R8" s="17"/>
      <c r="S8" s="26"/>
      <c r="T8" s="17"/>
      <c r="U8" s="26"/>
    </row>
    <row r="9" spans="1:21" ht="50.25" customHeight="1">
      <c r="A9" s="46"/>
      <c r="B9" s="38"/>
      <c r="C9" s="38"/>
      <c r="D9" s="47"/>
      <c r="E9" s="39" t="s">
        <v>50</v>
      </c>
      <c r="F9" s="20" t="s">
        <v>53</v>
      </c>
      <c r="G9" s="15">
        <v>0</v>
      </c>
      <c r="H9" s="15">
        <v>1000</v>
      </c>
      <c r="I9" s="19" t="s">
        <v>54</v>
      </c>
      <c r="J9" s="14" t="s">
        <v>47</v>
      </c>
      <c r="K9" s="36">
        <v>0.5</v>
      </c>
      <c r="L9" s="60" t="s">
        <v>27</v>
      </c>
      <c r="M9" s="17"/>
      <c r="N9" s="61" t="s">
        <v>35</v>
      </c>
      <c r="O9" s="17"/>
      <c r="P9" s="17"/>
      <c r="Q9" s="17"/>
      <c r="R9" s="17"/>
      <c r="S9" s="26"/>
      <c r="T9" s="17"/>
      <c r="U9" s="26"/>
    </row>
    <row r="10" spans="1:21" ht="80.25" customHeight="1">
      <c r="A10" s="41"/>
      <c r="B10" s="48"/>
      <c r="C10" s="48"/>
      <c r="D10" s="49"/>
      <c r="E10" s="40" t="s">
        <v>50</v>
      </c>
      <c r="F10" s="30" t="s">
        <v>55</v>
      </c>
      <c r="G10" s="29">
        <v>0</v>
      </c>
      <c r="H10" s="29">
        <v>10000</v>
      </c>
      <c r="I10" s="31" t="s">
        <v>56</v>
      </c>
      <c r="J10" s="14" t="s">
        <v>47</v>
      </c>
      <c r="K10" s="36">
        <v>0.5</v>
      </c>
      <c r="L10" s="60" t="s">
        <v>27</v>
      </c>
      <c r="M10" s="17"/>
      <c r="N10" s="61" t="s">
        <v>35</v>
      </c>
      <c r="O10" s="17"/>
      <c r="P10" s="17"/>
      <c r="Q10" s="17"/>
      <c r="R10" s="17"/>
      <c r="S10" s="26"/>
      <c r="T10" s="17"/>
      <c r="U10" s="26"/>
    </row>
    <row r="11" spans="1:21" ht="125.25" customHeight="1">
      <c r="A11" s="41" t="s">
        <v>57</v>
      </c>
      <c r="B11" s="28" t="s">
        <v>58</v>
      </c>
      <c r="C11" s="75" t="s">
        <v>59</v>
      </c>
      <c r="D11" s="42">
        <v>1400000</v>
      </c>
      <c r="E11" s="22" t="s">
        <v>23</v>
      </c>
      <c r="F11" s="23" t="s">
        <v>60</v>
      </c>
      <c r="G11" s="22">
        <v>0</v>
      </c>
      <c r="H11" s="22">
        <v>50000</v>
      </c>
      <c r="I11" s="74" t="s">
        <v>61</v>
      </c>
      <c r="J11" s="14" t="s">
        <v>47</v>
      </c>
      <c r="K11" s="14">
        <f>26000/50000</f>
        <v>0.52</v>
      </c>
      <c r="L11" s="60" t="s">
        <v>27</v>
      </c>
      <c r="M11" s="17"/>
      <c r="N11" s="61" t="s">
        <v>28</v>
      </c>
      <c r="O11" s="17"/>
      <c r="P11" s="17"/>
      <c r="Q11" s="17"/>
      <c r="R11" s="17"/>
      <c r="S11" s="26" t="s">
        <v>40</v>
      </c>
      <c r="T11" s="17"/>
      <c r="U11" s="26"/>
    </row>
    <row r="12" spans="1:21">
      <c r="C12" s="73"/>
    </row>
  </sheetData>
  <dataValidations count="9">
    <dataValidation type="list" allowBlank="1" showInputMessage="1" showErrorMessage="1" sqref="Q2:Q11" xr:uid="{D209F5FC-AF38-4354-B70C-1FD06A241959}">
      <formula1>"NDC Support, National Strategy, Legal Framework,Incentives and Support, Government Capacity-Building, Carbon Pricing and Monitoring, Financing Model, Business Model"</formula1>
    </dataValidation>
    <dataValidation type="list" allowBlank="1" showInputMessage="1" showErrorMessage="1" sqref="O2:O11" xr:uid="{55A5942B-E5CC-445E-908A-1C5B19C0C4B2}">
      <formula1>"Electricity Access, Energy Efficiency, Clean Cooking, Renewable Energy, Overall"</formula1>
    </dataValidation>
    <dataValidation type="list" allowBlank="1" showInputMessage="1" showErrorMessage="1" sqref="P2:P11" xr:uid="{070A93F9-368A-49C4-8307-28455EF6EB11}">
      <formula1>"AMP, PUDC, Solar4Health, Action Opportunities, Italy UNDP Energy Partnership"</formula1>
    </dataValidation>
    <dataValidation type="list" allowBlank="1" showInputMessage="1" showErrorMessage="1" sqref="L2:L11" xr:uid="{448F3931-493F-4709-8033-86499E1AE5C8}">
      <formula1>"Non-VF, VF"</formula1>
    </dataValidation>
    <dataValidation type="list" allowBlank="1" showInputMessage="1" showErrorMessage="1" sqref="M2:M11" xr:uid="{FFEB1751-B710-44AC-8D7D-26F7FA27A862}">
      <formula1>"Finance, Gender, Efficiency, Just, Health"</formula1>
    </dataValidation>
    <dataValidation type="list" allowBlank="1" showInputMessage="1" showErrorMessage="1" sqref="T2:T11" xr:uid="{01924587-B55C-4E3B-8098-5D9D424208D4}">
      <formula1>"National, Regional, City, Community"</formula1>
    </dataValidation>
    <dataValidation type="list" allowBlank="1" showInputMessage="1" showErrorMessage="1" sqref="S2:S11" xr:uid="{890F5561-1C99-4AFE-AD9E-17CEB05CBF26}">
      <formula1>"Solar, Wind, Bioenergy, Hydro, Geothermal, Waste, Other, Unknown"</formula1>
    </dataValidation>
    <dataValidation type="list" allowBlank="1" showInputMessage="1" showErrorMessage="1" sqref="N2:N12" xr:uid="{A51099B3-A760-4F46-857B-D71C2AEAD9C8}">
      <formula1>"Accelerating just energy transition, Close the gap on energy access, Scale up energy finance"</formula1>
    </dataValidation>
    <dataValidation type="list" allowBlank="1" showInputMessage="1" showErrorMessage="1" sqref="R2:R11" xr:uid="{A75BAAA4-B46E-4D28-987E-63A9E25A6343}">
      <formula1>"Electricity Access, Energy Efficiency, Renewable Energy, Infrastructure,  Transport, Digital &amp; Data, Clean Cooking, Decarbonization, Hydrogen, Off-Grid, On-Grid, Research &amp; Innovation, Grant &amp; Investment"</formula1>
    </dataValidation>
  </dataValidations>
  <hyperlinks>
    <hyperlink ref="C6" r:id="rId1" xr:uid="{E4E2F754-714C-4807-BB7D-677F9D937CC2}"/>
    <hyperlink ref="C3" r:id="rId2" xr:uid="{768B4717-D92B-4EA2-AC0F-88F3088069A8}"/>
    <hyperlink ref="C11" r:id="rId3" xr:uid="{5D854DF8-D2F6-4AE0-8156-B797FDB4FCA1}"/>
    <hyperlink ref="C2" r:id="rId4" xr:uid="{5FCB6476-69B8-48A6-AE20-6B41DBBF06A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58C9CD-956E-43AD-A513-1EB93AB71DEB}">
          <x14:formula1>
            <xm:f>'Beneficiary Categories'!$A$2:$A$22</xm:f>
          </x14:formula1>
          <xm:sqref>E2:E11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B637-4110-4F5A-ADB8-6647A2040AA2}">
  <dimension ref="A1:R19"/>
  <sheetViews>
    <sheetView topLeftCell="F13" workbookViewId="0">
      <selection activeCell="B1" sqref="B1"/>
    </sheetView>
  </sheetViews>
  <sheetFormatPr defaultRowHeight="15"/>
  <cols>
    <col min="2" max="2" width="46" customWidth="1"/>
    <col min="3" max="3" width="20.7109375" customWidth="1"/>
    <col min="5" max="5" width="27" customWidth="1"/>
    <col min="6" max="6" width="23.7109375" customWidth="1"/>
    <col min="7" max="8" width="12.7109375" customWidth="1"/>
    <col min="9" max="9" width="40.5703125" customWidth="1"/>
    <col min="14" max="14" width="18.42578125" customWidth="1"/>
    <col min="15" max="15" width="20.28515625" customWidth="1"/>
    <col min="17" max="17" width="17.85546875" customWidth="1"/>
    <col min="18" max="18" width="24.7109375" customWidth="1"/>
  </cols>
  <sheetData>
    <row r="1" spans="1:18">
      <c r="A1" s="13" t="s">
        <v>0</v>
      </c>
      <c r="B1" s="13" t="s">
        <v>1</v>
      </c>
      <c r="C1" s="13" t="s">
        <v>2</v>
      </c>
      <c r="D1" s="13" t="s">
        <v>3</v>
      </c>
      <c r="E1" s="13" t="s">
        <v>4</v>
      </c>
      <c r="F1" s="13" t="s">
        <v>5</v>
      </c>
      <c r="G1" s="13" t="s">
        <v>6</v>
      </c>
      <c r="H1" s="13" t="s">
        <v>7</v>
      </c>
      <c r="I1" s="13" t="s">
        <v>8</v>
      </c>
      <c r="J1" s="25" t="s">
        <v>9</v>
      </c>
      <c r="K1" s="24" t="s">
        <v>10</v>
      </c>
      <c r="L1" s="25" t="s">
        <v>62</v>
      </c>
      <c r="M1" s="24" t="s">
        <v>12</v>
      </c>
      <c r="N1" s="24" t="s">
        <v>13</v>
      </c>
      <c r="O1" s="24" t="s">
        <v>14</v>
      </c>
      <c r="P1" s="24" t="s">
        <v>15</v>
      </c>
      <c r="Q1" s="24" t="s">
        <v>16</v>
      </c>
      <c r="R1" s="24" t="s">
        <v>17</v>
      </c>
    </row>
    <row r="2" spans="1:18" ht="198">
      <c r="A2" s="17">
        <v>6658</v>
      </c>
      <c r="B2" s="17" t="s">
        <v>21</v>
      </c>
      <c r="C2" s="17" t="s">
        <v>63</v>
      </c>
      <c r="D2" s="17">
        <v>1326147</v>
      </c>
      <c r="E2" s="15" t="s">
        <v>23</v>
      </c>
      <c r="F2" s="16" t="s">
        <v>24</v>
      </c>
      <c r="G2" s="15">
        <v>0</v>
      </c>
      <c r="H2" s="15">
        <v>12152</v>
      </c>
      <c r="I2" s="16" t="s">
        <v>25</v>
      </c>
      <c r="J2" s="14"/>
      <c r="K2" s="35"/>
      <c r="L2" s="32" t="s">
        <v>27</v>
      </c>
      <c r="M2" s="14"/>
      <c r="N2" s="14" t="s">
        <v>35</v>
      </c>
      <c r="O2" s="14" t="s">
        <v>23</v>
      </c>
      <c r="P2" s="14" t="s">
        <v>64</v>
      </c>
      <c r="Q2" s="14"/>
      <c r="R2" s="14"/>
    </row>
    <row r="3" spans="1:18" ht="127.5" customHeight="1">
      <c r="A3" s="66">
        <v>5115</v>
      </c>
      <c r="B3" s="67" t="s">
        <v>30</v>
      </c>
      <c r="C3" s="66" t="s">
        <v>63</v>
      </c>
      <c r="D3" s="66">
        <v>3872602</v>
      </c>
      <c r="E3" s="15" t="s">
        <v>32</v>
      </c>
      <c r="F3" s="18" t="s">
        <v>33</v>
      </c>
      <c r="G3" s="15">
        <v>0</v>
      </c>
      <c r="H3" s="15">
        <v>4</v>
      </c>
      <c r="I3" s="18" t="s">
        <v>34</v>
      </c>
      <c r="J3" s="14"/>
      <c r="K3" s="14"/>
      <c r="L3" s="32" t="s">
        <v>27</v>
      </c>
      <c r="M3" s="14"/>
      <c r="N3" s="14" t="s">
        <v>28</v>
      </c>
      <c r="O3" s="14" t="s">
        <v>65</v>
      </c>
      <c r="P3" s="14"/>
      <c r="Q3" s="14"/>
      <c r="R3" s="14"/>
    </row>
    <row r="4" spans="1:18" ht="96.75" customHeight="1">
      <c r="A4" s="66"/>
      <c r="B4" s="67"/>
      <c r="C4" s="66"/>
      <c r="D4" s="66"/>
      <c r="E4" s="15" t="s">
        <v>66</v>
      </c>
      <c r="F4" s="18" t="s">
        <v>38</v>
      </c>
      <c r="G4" s="15">
        <v>0</v>
      </c>
      <c r="H4" s="15">
        <v>30</v>
      </c>
      <c r="I4" s="18" t="s">
        <v>39</v>
      </c>
      <c r="J4" s="14"/>
      <c r="K4" s="14"/>
      <c r="L4" s="32" t="s">
        <v>27</v>
      </c>
      <c r="M4" s="14"/>
      <c r="N4" s="14"/>
      <c r="O4" s="14"/>
      <c r="P4" s="14"/>
      <c r="Q4" s="14"/>
      <c r="R4" s="14"/>
    </row>
    <row r="5" spans="1:18" ht="72" customHeight="1">
      <c r="A5" s="66"/>
      <c r="B5" s="67"/>
      <c r="C5" s="66"/>
      <c r="D5" s="66"/>
      <c r="E5" s="15" t="s">
        <v>40</v>
      </c>
      <c r="F5" s="19" t="s">
        <v>41</v>
      </c>
      <c r="G5" s="15">
        <v>0</v>
      </c>
      <c r="H5" s="15">
        <v>500</v>
      </c>
      <c r="I5" s="19" t="s">
        <v>42</v>
      </c>
      <c r="J5" s="14"/>
      <c r="K5" s="14"/>
      <c r="L5" s="32" t="s">
        <v>27</v>
      </c>
      <c r="M5" s="14"/>
      <c r="N5" s="14"/>
      <c r="O5" s="14"/>
      <c r="P5" s="14"/>
      <c r="Q5" s="14"/>
      <c r="R5" s="14"/>
    </row>
    <row r="6" spans="1:18" ht="57.75" customHeight="1">
      <c r="A6" s="68">
        <v>4979</v>
      </c>
      <c r="B6" s="68" t="s">
        <v>43</v>
      </c>
      <c r="C6" s="66" t="s">
        <v>63</v>
      </c>
      <c r="D6" s="66">
        <v>8000000</v>
      </c>
      <c r="E6" s="15" t="s">
        <v>66</v>
      </c>
      <c r="F6" s="20" t="s">
        <v>45</v>
      </c>
      <c r="G6" s="15">
        <v>0</v>
      </c>
      <c r="H6" s="15">
        <v>500</v>
      </c>
      <c r="I6" s="20" t="s">
        <v>46</v>
      </c>
      <c r="J6" s="14"/>
      <c r="K6" s="14"/>
      <c r="L6" s="32" t="s">
        <v>27</v>
      </c>
      <c r="M6" s="14"/>
      <c r="N6" s="14" t="s">
        <v>35</v>
      </c>
      <c r="O6" s="14" t="s">
        <v>50</v>
      </c>
      <c r="P6" s="14"/>
      <c r="Q6" s="14"/>
      <c r="R6" s="14"/>
    </row>
    <row r="7" spans="1:18" ht="48.75" customHeight="1">
      <c r="A7" s="69"/>
      <c r="B7" s="69"/>
      <c r="C7" s="66"/>
      <c r="D7" s="66"/>
      <c r="E7" s="15" t="s">
        <v>66</v>
      </c>
      <c r="F7" s="19" t="s">
        <v>48</v>
      </c>
      <c r="G7" s="15">
        <v>0</v>
      </c>
      <c r="H7" s="15">
        <v>500</v>
      </c>
      <c r="I7" s="20" t="s">
        <v>49</v>
      </c>
      <c r="J7" s="14"/>
      <c r="K7" s="36"/>
      <c r="L7" s="32" t="s">
        <v>27</v>
      </c>
      <c r="M7" s="14"/>
      <c r="N7" s="14"/>
      <c r="O7" s="14"/>
      <c r="P7" s="14"/>
      <c r="Q7" s="14"/>
      <c r="R7" s="14"/>
    </row>
    <row r="8" spans="1:18" ht="48.75" customHeight="1">
      <c r="A8" s="69"/>
      <c r="B8" s="69"/>
      <c r="C8" s="66"/>
      <c r="D8" s="66"/>
      <c r="E8" s="15" t="s">
        <v>67</v>
      </c>
      <c r="F8" s="19" t="s">
        <v>68</v>
      </c>
      <c r="G8" s="15">
        <v>0</v>
      </c>
      <c r="H8" s="15">
        <v>20</v>
      </c>
      <c r="I8" s="20" t="s">
        <v>69</v>
      </c>
      <c r="J8" s="14"/>
      <c r="K8" s="36"/>
      <c r="L8" s="32"/>
      <c r="M8" s="14"/>
      <c r="N8" s="14"/>
      <c r="O8" s="14"/>
      <c r="P8" s="14"/>
      <c r="Q8" s="14"/>
      <c r="R8" s="14"/>
    </row>
    <row r="9" spans="1:18" ht="48.75" customHeight="1">
      <c r="A9" s="69"/>
      <c r="B9" s="69"/>
      <c r="C9" s="66"/>
      <c r="D9" s="66"/>
      <c r="E9" s="15" t="s">
        <v>67</v>
      </c>
      <c r="F9" s="19" t="s">
        <v>70</v>
      </c>
      <c r="G9" s="15">
        <v>0</v>
      </c>
      <c r="H9" s="15">
        <v>750</v>
      </c>
      <c r="I9" s="20" t="s">
        <v>71</v>
      </c>
      <c r="J9" s="14"/>
      <c r="K9" s="36"/>
      <c r="L9" s="32"/>
      <c r="M9" s="14"/>
      <c r="N9" s="14"/>
      <c r="O9" s="14"/>
      <c r="P9" s="14"/>
      <c r="Q9" s="14"/>
      <c r="R9" s="14"/>
    </row>
    <row r="10" spans="1:18" ht="69" customHeight="1">
      <c r="A10" s="69"/>
      <c r="B10" s="69"/>
      <c r="C10" s="66"/>
      <c r="D10" s="66"/>
      <c r="E10" s="15" t="s">
        <v>67</v>
      </c>
      <c r="F10" s="15" t="s">
        <v>23</v>
      </c>
      <c r="G10" s="15">
        <v>0</v>
      </c>
      <c r="H10" s="15">
        <v>200</v>
      </c>
      <c r="I10" s="20" t="s">
        <v>72</v>
      </c>
      <c r="J10" s="14"/>
      <c r="K10" s="36"/>
      <c r="L10" s="32"/>
      <c r="M10" s="14"/>
      <c r="N10" s="14"/>
      <c r="O10" s="14"/>
      <c r="P10" s="14"/>
      <c r="Q10" s="14"/>
      <c r="R10" s="14"/>
    </row>
    <row r="11" spans="1:18" ht="40.5" customHeight="1">
      <c r="A11" s="69"/>
      <c r="B11" s="69"/>
      <c r="C11" s="66"/>
      <c r="D11" s="66"/>
      <c r="E11" s="15" t="s">
        <v>50</v>
      </c>
      <c r="F11" s="20" t="s">
        <v>51</v>
      </c>
      <c r="G11" s="15">
        <v>0</v>
      </c>
      <c r="H11" s="15">
        <v>100</v>
      </c>
      <c r="I11" s="20" t="s">
        <v>52</v>
      </c>
      <c r="J11" s="14"/>
      <c r="K11" s="36"/>
      <c r="L11" s="32" t="s">
        <v>27</v>
      </c>
      <c r="M11" s="14"/>
      <c r="N11" s="14"/>
      <c r="O11" s="14"/>
      <c r="P11" s="14"/>
      <c r="Q11" s="14"/>
      <c r="R11" s="14"/>
    </row>
    <row r="12" spans="1:18" ht="50.25" customHeight="1">
      <c r="A12" s="69"/>
      <c r="B12" s="69"/>
      <c r="C12" s="66"/>
      <c r="D12" s="66"/>
      <c r="E12" s="15" t="s">
        <v>50</v>
      </c>
      <c r="F12" s="20" t="s">
        <v>53</v>
      </c>
      <c r="G12" s="15">
        <v>0</v>
      </c>
      <c r="H12" s="15">
        <v>1000</v>
      </c>
      <c r="I12" s="19" t="s">
        <v>54</v>
      </c>
      <c r="J12" s="14"/>
      <c r="K12" s="36"/>
      <c r="L12" s="32" t="s">
        <v>27</v>
      </c>
      <c r="M12" s="14"/>
      <c r="N12" s="14"/>
      <c r="O12" s="14"/>
      <c r="P12" s="14"/>
      <c r="Q12" s="14"/>
      <c r="R12" s="14"/>
    </row>
    <row r="13" spans="1:18" ht="63.75" customHeight="1">
      <c r="A13" s="69"/>
      <c r="B13" s="69"/>
      <c r="C13" s="66"/>
      <c r="D13" s="66"/>
      <c r="E13" s="62" t="s">
        <v>50</v>
      </c>
      <c r="F13" s="30" t="s">
        <v>55</v>
      </c>
      <c r="G13" s="29">
        <v>0</v>
      </c>
      <c r="H13" s="64">
        <v>10000</v>
      </c>
      <c r="I13" s="63" t="s">
        <v>56</v>
      </c>
      <c r="J13" s="14"/>
      <c r="K13" s="36"/>
      <c r="L13" s="32" t="s">
        <v>27</v>
      </c>
      <c r="M13" s="14"/>
      <c r="N13" s="14"/>
      <c r="O13" s="14"/>
      <c r="P13" s="14"/>
      <c r="Q13" s="14"/>
      <c r="R13" s="14"/>
    </row>
    <row r="14" spans="1:18" ht="125.25" customHeight="1">
      <c r="A14" s="33" t="s">
        <v>57</v>
      </c>
      <c r="B14" s="26" t="s">
        <v>58</v>
      </c>
      <c r="C14" s="34" t="s">
        <v>73</v>
      </c>
      <c r="D14" s="21">
        <v>1400000</v>
      </c>
      <c r="E14" s="22" t="s">
        <v>23</v>
      </c>
      <c r="F14" s="23" t="s">
        <v>60</v>
      </c>
      <c r="G14" s="22">
        <v>0</v>
      </c>
      <c r="H14" s="22">
        <v>50000</v>
      </c>
      <c r="I14" s="23" t="s">
        <v>74</v>
      </c>
      <c r="J14" s="14"/>
      <c r="K14" s="14">
        <f>26000/50000</f>
        <v>0.52</v>
      </c>
      <c r="L14" s="32" t="s">
        <v>27</v>
      </c>
      <c r="M14" s="14"/>
      <c r="N14" s="14" t="s">
        <v>28</v>
      </c>
      <c r="O14" s="14" t="s">
        <v>23</v>
      </c>
      <c r="P14" s="14"/>
      <c r="Q14" s="14"/>
      <c r="R14" s="14"/>
    </row>
    <row r="15" spans="1:18">
      <c r="B15" s="27"/>
    </row>
    <row r="16" spans="1:18">
      <c r="B16" s="27"/>
    </row>
    <row r="17" spans="2:2">
      <c r="B17" s="27"/>
    </row>
    <row r="18" spans="2:2">
      <c r="B18" s="27"/>
    </row>
    <row r="19" spans="2:2">
      <c r="B19" s="28"/>
    </row>
  </sheetData>
  <mergeCells count="8">
    <mergeCell ref="A3:A5"/>
    <mergeCell ref="B3:B5"/>
    <mergeCell ref="C3:C5"/>
    <mergeCell ref="D3:D5"/>
    <mergeCell ref="C6:C13"/>
    <mergeCell ref="D6:D13"/>
    <mergeCell ref="B6:B13"/>
    <mergeCell ref="A6:A13"/>
  </mergeCells>
  <dataValidations count="5">
    <dataValidation type="list" allowBlank="1" showInputMessage="1" showErrorMessage="1" sqref="Q2" xr:uid="{2F0E8AEA-4367-4740-A52D-3DBDF959C6F2}">
      <formula1>"NDC Support, National Strategy, Legal Framework,Incentives and Support, Government Capacity-Building, Carbon Pricing and Monitoring, Financing Model, Business Model"</formula1>
    </dataValidation>
    <dataValidation type="list" allowBlank="1" showInputMessage="1" showErrorMessage="1" sqref="R2" xr:uid="{433379C9-3857-4101-AA33-2F4F7F8176DB}">
      <formula1>"Electricity Access, Energy Efficiency, Renewable EnergyEnergy Infrastructure,   Transport, Digital &amp; Data, Clean Cooking, Decarbonization, Hydrogen, Off-Grid, On-Grid"</formula1>
    </dataValidation>
    <dataValidation type="list" allowBlank="1" showInputMessage="1" showErrorMessage="1" sqref="N2:N20" xr:uid="{BC9BDD66-013D-472C-89C2-D8FB20B29207}">
      <formula1>"Accelerating just energy transition, Close the gap on energy access, Scale up energy finance"</formula1>
    </dataValidation>
    <dataValidation type="list" allowBlank="1" showInputMessage="1" showErrorMessage="1" sqref="O2:O17" xr:uid="{86D716BF-C025-4CC6-A389-CEA587338B63}">
      <formula1>"Electricity Access, Energy Efficiency, Clean Cooking, Renewable Energy"</formula1>
    </dataValidation>
    <dataValidation type="list" allowBlank="1" showInputMessage="1" showErrorMessage="1" sqref="P2:P18" xr:uid="{697C1AD6-D218-4177-A966-B21CCE8AC041}">
      <formula1>"AMP, PUDC, Solar4Health, Action Opportunities, Italy UNDP Energy Partnership"</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4C5E18-1F7A-443C-97B4-D10139445A89}">
          <x14:formula1>
            <xm:f>'Beneficiary Categories'!$A$2:$A$16</xm:f>
          </x14:formula1>
          <xm:sqref>E2:E19 F10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opLeftCell="K1" workbookViewId="0">
      <selection activeCell="K1" sqref="K1:M1"/>
    </sheetView>
  </sheetViews>
  <sheetFormatPr defaultRowHeight="15"/>
  <cols>
    <col min="2" max="3" width="20.7109375" customWidth="1"/>
    <col min="5" max="6" width="20.7109375" customWidth="1"/>
    <col min="7" max="8" width="12.7109375" customWidth="1"/>
    <col min="9" max="9" width="32.7109375" customWidth="1"/>
  </cols>
  <sheetData>
    <row r="1" spans="1:12">
      <c r="A1" s="1" t="s">
        <v>0</v>
      </c>
      <c r="B1" s="1" t="s">
        <v>1</v>
      </c>
      <c r="C1" s="1" t="s">
        <v>2</v>
      </c>
      <c r="D1" s="1" t="s">
        <v>3</v>
      </c>
      <c r="E1" s="1" t="s">
        <v>4</v>
      </c>
      <c r="F1" s="1" t="s">
        <v>5</v>
      </c>
      <c r="G1" s="1" t="s">
        <v>6</v>
      </c>
      <c r="H1" s="1" t="s">
        <v>7</v>
      </c>
      <c r="I1" s="1" t="s">
        <v>8</v>
      </c>
      <c r="J1" s="12" t="s">
        <v>9</v>
      </c>
      <c r="K1" s="12"/>
      <c r="L1" s="12"/>
    </row>
    <row r="2" spans="1:12" ht="198">
      <c r="A2">
        <v>6658</v>
      </c>
      <c r="B2" t="s">
        <v>21</v>
      </c>
      <c r="C2" t="s">
        <v>63</v>
      </c>
      <c r="D2">
        <v>1326147</v>
      </c>
      <c r="E2" s="6" t="s">
        <v>23</v>
      </c>
      <c r="F2" s="5" t="s">
        <v>24</v>
      </c>
      <c r="G2" s="6">
        <v>0</v>
      </c>
      <c r="H2" s="6">
        <v>12152</v>
      </c>
      <c r="I2" s="5" t="s">
        <v>25</v>
      </c>
    </row>
    <row r="3" spans="1:12" ht="144" customHeight="1">
      <c r="A3" s="71">
        <v>5115</v>
      </c>
      <c r="B3" s="70" t="s">
        <v>30</v>
      </c>
      <c r="C3" s="71" t="s">
        <v>63</v>
      </c>
      <c r="D3" s="71">
        <v>3872602</v>
      </c>
      <c r="E3" s="6" t="s">
        <v>32</v>
      </c>
      <c r="F3" s="4" t="s">
        <v>33</v>
      </c>
      <c r="G3" s="6">
        <v>0</v>
      </c>
      <c r="H3" s="6">
        <v>4</v>
      </c>
      <c r="I3" s="4" t="s">
        <v>34</v>
      </c>
    </row>
    <row r="4" spans="1:12" ht="96.75" customHeight="1">
      <c r="A4" s="71"/>
      <c r="B4" s="70"/>
      <c r="C4" s="71"/>
      <c r="D4" s="71"/>
      <c r="E4" s="6" t="s">
        <v>66</v>
      </c>
      <c r="F4" s="4" t="s">
        <v>38</v>
      </c>
      <c r="G4" s="6">
        <v>0</v>
      </c>
      <c r="H4" s="6">
        <v>30</v>
      </c>
      <c r="I4" s="4" t="s">
        <v>39</v>
      </c>
    </row>
    <row r="5" spans="1:12" ht="72" customHeight="1">
      <c r="A5" s="71"/>
      <c r="B5" s="70"/>
      <c r="C5" s="71"/>
      <c r="D5" s="71"/>
      <c r="E5" s="6" t="s">
        <v>40</v>
      </c>
      <c r="F5" s="3" t="s">
        <v>41</v>
      </c>
      <c r="G5" s="6">
        <v>0</v>
      </c>
      <c r="H5" s="6">
        <v>500</v>
      </c>
      <c r="I5" s="3" t="s">
        <v>42</v>
      </c>
    </row>
    <row r="6" spans="1:12" ht="57.75" customHeight="1">
      <c r="A6" s="71">
        <v>4979</v>
      </c>
      <c r="B6" s="71" t="s">
        <v>43</v>
      </c>
      <c r="C6" s="71" t="s">
        <v>63</v>
      </c>
      <c r="D6" s="71">
        <v>8000000</v>
      </c>
      <c r="E6" s="6" t="s">
        <v>66</v>
      </c>
      <c r="F6" s="7" t="s">
        <v>45</v>
      </c>
      <c r="G6" s="6">
        <v>0</v>
      </c>
      <c r="H6" s="6">
        <v>500</v>
      </c>
      <c r="I6" s="7" t="s">
        <v>46</v>
      </c>
    </row>
    <row r="7" spans="1:12" ht="48.75" customHeight="1">
      <c r="A7" s="71"/>
      <c r="B7" s="71"/>
      <c r="C7" s="71"/>
      <c r="D7" s="71"/>
      <c r="E7" s="6" t="s">
        <v>66</v>
      </c>
      <c r="F7" s="3" t="s">
        <v>48</v>
      </c>
      <c r="G7" s="6">
        <v>0</v>
      </c>
      <c r="H7" s="6">
        <v>500</v>
      </c>
      <c r="I7" s="7" t="s">
        <v>49</v>
      </c>
    </row>
    <row r="8" spans="1:12" ht="51" customHeight="1">
      <c r="A8" s="71"/>
      <c r="B8" s="71"/>
      <c r="C8" s="71"/>
      <c r="D8" s="71"/>
      <c r="E8" s="6" t="s">
        <v>50</v>
      </c>
      <c r="F8" s="7" t="s">
        <v>51</v>
      </c>
      <c r="G8" s="6">
        <v>0</v>
      </c>
      <c r="H8" s="6">
        <v>100</v>
      </c>
      <c r="I8" s="7" t="s">
        <v>52</v>
      </c>
    </row>
    <row r="9" spans="1:12" ht="50.25" customHeight="1">
      <c r="A9" s="71"/>
      <c r="B9" s="71"/>
      <c r="C9" s="71"/>
      <c r="D9" s="71"/>
      <c r="E9" s="6" t="s">
        <v>50</v>
      </c>
      <c r="F9" s="7" t="s">
        <v>53</v>
      </c>
      <c r="G9" s="6">
        <v>0</v>
      </c>
      <c r="H9" s="6">
        <v>1000</v>
      </c>
      <c r="I9" s="3" t="s">
        <v>54</v>
      </c>
    </row>
    <row r="10" spans="1:12" ht="80.25" customHeight="1">
      <c r="A10" s="71"/>
      <c r="B10" s="71"/>
      <c r="C10" s="71"/>
      <c r="D10" s="71"/>
      <c r="E10" s="6" t="s">
        <v>50</v>
      </c>
      <c r="F10" s="7" t="s">
        <v>55</v>
      </c>
      <c r="G10" s="6">
        <v>0</v>
      </c>
      <c r="H10" s="6">
        <v>10000</v>
      </c>
      <c r="I10" s="3" t="s">
        <v>56</v>
      </c>
    </row>
    <row r="11" spans="1:12">
      <c r="A11" s="71"/>
      <c r="B11" s="71"/>
      <c r="C11" s="71"/>
      <c r="D11" s="71"/>
      <c r="E11" s="6"/>
      <c r="F11" s="2"/>
      <c r="G11" s="2"/>
      <c r="H11" s="2"/>
      <c r="I11" s="2"/>
    </row>
    <row r="12" spans="1:12" ht="125.25" customHeight="1">
      <c r="A12" s="71"/>
      <c r="B12" s="71"/>
      <c r="C12" s="9" t="s">
        <v>73</v>
      </c>
      <c r="D12" s="8">
        <v>1400000</v>
      </c>
      <c r="E12" s="10" t="s">
        <v>23</v>
      </c>
      <c r="F12" s="11" t="s">
        <v>60</v>
      </c>
      <c r="G12" s="10">
        <v>0</v>
      </c>
      <c r="H12" s="10">
        <v>50000</v>
      </c>
      <c r="I12" s="11" t="s">
        <v>74</v>
      </c>
    </row>
  </sheetData>
  <mergeCells count="8">
    <mergeCell ref="B3:B5"/>
    <mergeCell ref="C3:C5"/>
    <mergeCell ref="A3:A5"/>
    <mergeCell ref="D3:D5"/>
    <mergeCell ref="C6:C11"/>
    <mergeCell ref="D6:D11"/>
    <mergeCell ref="A6:A12"/>
    <mergeCell ref="B6:B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B8" workbookViewId="0">
      <selection activeCell="B8" sqref="B8"/>
    </sheetView>
  </sheetViews>
  <sheetFormatPr defaultRowHeight="15"/>
  <cols>
    <col min="1" max="2" width="52.7109375" customWidth="1"/>
  </cols>
  <sheetData>
    <row r="1" spans="1:2">
      <c r="A1" s="55" t="s">
        <v>4</v>
      </c>
      <c r="B1" s="55" t="s">
        <v>5</v>
      </c>
    </row>
    <row r="2" spans="1:2" ht="45.75">
      <c r="A2" s="77" t="s">
        <v>23</v>
      </c>
      <c r="B2" s="56" t="s">
        <v>75</v>
      </c>
    </row>
    <row r="3" spans="1:2">
      <c r="A3" s="77" t="s">
        <v>32</v>
      </c>
      <c r="B3" s="56" t="s">
        <v>76</v>
      </c>
    </row>
    <row r="4" spans="1:2" ht="30.75">
      <c r="A4" s="77" t="s">
        <v>50</v>
      </c>
      <c r="B4" s="56" t="s">
        <v>77</v>
      </c>
    </row>
    <row r="5" spans="1:2" ht="30.75">
      <c r="A5" s="77" t="s">
        <v>78</v>
      </c>
      <c r="B5" s="56" t="s">
        <v>79</v>
      </c>
    </row>
    <row r="6" spans="1:2" ht="91.5">
      <c r="A6" s="77" t="s">
        <v>80</v>
      </c>
      <c r="B6" s="56" t="s">
        <v>81</v>
      </c>
    </row>
    <row r="7" spans="1:2" ht="45.75">
      <c r="A7" s="77" t="s">
        <v>82</v>
      </c>
      <c r="B7" s="56" t="s">
        <v>83</v>
      </c>
    </row>
    <row r="8" spans="1:2" ht="45.75">
      <c r="A8" s="77" t="s">
        <v>84</v>
      </c>
      <c r="B8" s="56" t="s">
        <v>85</v>
      </c>
    </row>
    <row r="9" spans="1:2" ht="45.75">
      <c r="A9" s="77" t="s">
        <v>86</v>
      </c>
      <c r="B9" s="56" t="s">
        <v>87</v>
      </c>
    </row>
    <row r="10" spans="1:2" ht="30.75">
      <c r="A10" s="77" t="s">
        <v>88</v>
      </c>
      <c r="B10" s="78" t="s">
        <v>89</v>
      </c>
    </row>
    <row r="11" spans="1:2" ht="30.75">
      <c r="A11" s="77" t="s">
        <v>90</v>
      </c>
      <c r="B11" s="78" t="s">
        <v>91</v>
      </c>
    </row>
    <row r="12" spans="1:2" ht="45.75">
      <c r="A12" s="77" t="s">
        <v>67</v>
      </c>
      <c r="B12" s="56" t="s">
        <v>92</v>
      </c>
    </row>
    <row r="13" spans="1:2" ht="30.75">
      <c r="A13" s="77" t="s">
        <v>93</v>
      </c>
      <c r="B13" s="78" t="s">
        <v>94</v>
      </c>
    </row>
    <row r="14" spans="1:2">
      <c r="A14" s="77" t="s">
        <v>95</v>
      </c>
      <c r="B14" s="78" t="s">
        <v>96</v>
      </c>
    </row>
    <row r="15" spans="1:2" ht="30.75">
      <c r="A15" s="77" t="s">
        <v>97</v>
      </c>
      <c r="B15" s="78" t="s">
        <v>98</v>
      </c>
    </row>
    <row r="16" spans="1:2" ht="30.75">
      <c r="A16" s="77" t="s">
        <v>99</v>
      </c>
      <c r="B16" s="78" t="s">
        <v>100</v>
      </c>
    </row>
    <row r="17" spans="1:2" ht="30.75">
      <c r="A17" s="77" t="s">
        <v>37</v>
      </c>
      <c r="B17" s="56" t="s">
        <v>101</v>
      </c>
    </row>
    <row r="18" spans="1:2" ht="30.75">
      <c r="A18" s="77" t="s">
        <v>102</v>
      </c>
      <c r="B18" s="78" t="s">
        <v>103</v>
      </c>
    </row>
    <row r="19" spans="1:2" ht="76.5">
      <c r="A19" s="77" t="s">
        <v>104</v>
      </c>
      <c r="B19" s="78" t="s">
        <v>105</v>
      </c>
    </row>
    <row r="20" spans="1:2" ht="30.75">
      <c r="A20" s="77" t="s">
        <v>106</v>
      </c>
      <c r="B20" s="78" t="s">
        <v>107</v>
      </c>
    </row>
    <row r="21" spans="1:2" ht="45.75">
      <c r="A21" s="77" t="s">
        <v>19</v>
      </c>
      <c r="B21" s="79" t="s">
        <v>108</v>
      </c>
    </row>
    <row r="22" spans="1:2" ht="30.75">
      <c r="A22" s="77" t="s">
        <v>40</v>
      </c>
      <c r="B22" s="78"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Elena Vargas</DisplayName>
        <AccountId>1681</AccountId>
        <AccountType/>
      </UserInfo>
      <UserInfo>
        <DisplayName>Jose Herman Wabo</DisplayName>
        <AccountId>2558</AccountId>
        <AccountType/>
      </UserInfo>
      <UserInfo>
        <DisplayName>Katyna Argueta</DisplayName>
        <AccountId>1077</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5510E30D-9B98-4CA3-85C2-2BB24B4358BC}"/>
</file>

<file path=customXml/itemProps2.xml><?xml version="1.0" encoding="utf-8"?>
<ds:datastoreItem xmlns:ds="http://schemas.openxmlformats.org/officeDocument/2006/customXml" ds:itemID="{1809FC7E-99B3-4EF7-8031-3011A4FF9305}"/>
</file>

<file path=customXml/itemProps3.xml><?xml version="1.0" encoding="utf-8"?>
<ds:datastoreItem xmlns:ds="http://schemas.openxmlformats.org/officeDocument/2006/customXml" ds:itemID="{8D94C4FB-A79D-4D61-842D-C1C39DFB6A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2024-11-18T17:12:28Z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