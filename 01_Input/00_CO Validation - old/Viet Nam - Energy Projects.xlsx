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894" documentId="11_D8F61223F3A0F98994E878555E7F6C80D2E00C80" xr6:coauthVersionLast="47" xr6:coauthVersionMax="47" xr10:uidLastSave="{C287678E-1D17-42D8-B045-074D0D895237}"/>
  <bookViews>
    <workbookView xWindow="-120" yWindow="-120" windowWidth="29040" windowHeight="15840" xr2:uid="{00000000-000D-0000-FFFF-FFFF00000000}"/>
  </bookViews>
  <sheets>
    <sheet name="Projects (4)" sheetId="6" r:id="rId1"/>
    <sheet name="Projects (3)" sheetId="4" state="hidden" r:id="rId2"/>
    <sheet name="In-progress Projects 2024 " sheetId="5" state="hidden" r:id="rId3"/>
    <sheet name="Projects (2)" sheetId="3" state="hidden" r:id="rId4"/>
    <sheet name="Projects" sheetId="1" state="hidden" r:id="rId5"/>
    <sheet name="Beneficiary Categories"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5" l="1"/>
  <c r="E10" i="4"/>
  <c r="E10" i="3"/>
  <c r="E10" i="1"/>
  <c r="E4" i="1"/>
</calcChain>
</file>

<file path=xl/sharedStrings.xml><?xml version="1.0" encoding="utf-8"?>
<sst xmlns="http://schemas.openxmlformats.org/spreadsheetml/2006/main" count="694" uniqueCount="186">
  <si>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</si>
  <si>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</si>
  <si>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</si>
  <si>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</si>
  <si>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</si>
  <si>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</si>
  <si>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</si>
  <si>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</si>
  <si>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</si>
  <si>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</si>
  <si>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</si>
  <si>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</si>
  <si>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</si>
  <si>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</si>
  <si>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</si>
  <si>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</si>
  <si>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</si>
  <si>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</si>
  <si>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</si>
  <si>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</si>
  <si>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</si>
  <si>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 xml:space="preserve">Catalysing a Sustainable Shift towards E-mobility (March 2022-March 2023) </t>
  </si>
  <si>
    <t>https://www.undp.org/vietnam/projects/catalysing-sustainable-shift-towards-e-mobility</t>
  </si>
  <si>
    <t>GHG Emissions Reduction</t>
  </si>
  <si>
    <t xml:space="preserve">Tons of CO2 emissions avoided or reduced/year 
</t>
  </si>
  <si>
    <t>262 tCO2e/year from operation of 06 e-garbage truck and 185 e-motorycles</t>
  </si>
  <si>
    <t>Gov. of Japan</t>
  </si>
  <si>
    <t>Non-VF</t>
  </si>
  <si>
    <t>Accelerating just energy transition</t>
  </si>
  <si>
    <t>Energy Efficiency</t>
  </si>
  <si>
    <t>Capacity Training</t>
  </si>
  <si>
    <t>Number of people trained/educated/informed and engaged through technical transfers, policy dialogues, workshops, campaigns, and other efforts</t>
  </si>
  <si>
    <t xml:space="preserve">Result: Direct beneficiaries: 1,127; Indirect beneficiaries: 83,221
107 people attended national policy dialogues;
577 people attended techncial workshops 
1400 students got direct benefits and 30,100 indirect benefits from green transport debate; 
165 Govt officers, academic, private sectors participated in trainings;
 110 participant attended E-bike cycling: 
185 people borrowed loan to buy E-vehicle </t>
  </si>
  <si>
    <t>Policy and Regulatory Frameworks</t>
  </si>
  <si>
    <t xml:space="preserve">Number of development or sectoral policies/plans/budgets that integrate NDC targets or net-zero goals </t>
  </si>
  <si>
    <t>Results (08 supported policies)
- Action plan for green energy transition and reduction of carbon dioxide and methane emissions of transport sector (Decision No. 876.QD-TTg) in July 2022;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National standard on Swappable batteries of electric two-wheel vehicles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</si>
  <si>
    <t>Incentives and Support</t>
  </si>
  <si>
    <t>Transport</t>
  </si>
  <si>
    <t>Scaling up E-mobility and mechanisms for promoting investments in green projects in Viet Nam (March 2023 - March 2024</t>
  </si>
  <si>
    <t>Tonnes of CO2 emissions avoided or reduced/year</t>
  </si>
  <si>
    <t xml:space="preserve">55.6 ton of CO2e  from installed PV solar system 
Tobe updated, since the result will be calcultated from operation of provided/purchased electric vehicle </t>
  </si>
  <si>
    <t>Energy (MW added)</t>
  </si>
  <si>
    <t>Megawatts of renewable or low-emission energy capacity installed, generated or rehabilitated</t>
  </si>
  <si>
    <t>64 Mwh/year</t>
  </si>
  <si>
    <t>Close the gap on energy access</t>
  </si>
  <si>
    <t>Renewable Energy</t>
  </si>
  <si>
    <t>Electricity Access</t>
  </si>
  <si>
    <t>Number of beneficiaries with new access to green/sustainable energy</t>
  </si>
  <si>
    <t>570</t>
  </si>
  <si>
    <t>The project is still under the inception phase. So no result is available yet.</t>
  </si>
  <si>
    <t>Other Energy Services</t>
  </si>
  <si>
    <t>Number of beneficiaries green/sustainable jobs created</t>
  </si>
  <si>
    <t xml:space="preserve">228 green/sustainable jobs for people who accessed a loan from project to buy electric motorcycle for delivery or tourism services or drivers of electric garbage trucks
</t>
  </si>
  <si>
    <t>Number of people trained/educated/informed through technical transfers, dialogues, workshops, campaigns, and other efforts</t>
  </si>
  <si>
    <t xml:space="preserve">1292 people trained/educated/informed through technical transfers, dialogues, workshops, campaigns, and other efforts: 657 Male and 635 female  
</t>
  </si>
  <si>
    <t>Policy and Regulator Frameworks</t>
  </si>
  <si>
    <t>Number of development or sectoral policies/plans/budgets that integrate NDC targets or net-zero goals</t>
  </si>
  <si>
    <t xml:space="preserve">01 Technical development plan for Road transport 
02 National technical Standard on battery swapping for 2 wheel vehicle 
03 technical standard on electric vehicle 
01 Technical guideline for charging infrastructure of E-Bus 
01 Renewable energy policy 
02 Policy on tax and fees for emission of transport vehicle </t>
  </si>
  <si>
    <t>Medium Enterprises</t>
  </si>
  <si>
    <t># of firms</t>
  </si>
  <si>
    <t>06: Selex Motor, HEPCO, Gojex, Grab, Dat Bike, Binh Dinh Environment Joint Stock Company (and to be updated if any)</t>
  </si>
  <si>
    <t>Shifting Investment Flows 
Towards Green Transformation (SHIFT)</t>
  </si>
  <si>
    <t>N/A yet 
(Project will be implemented during June 2024 - June 2028)</t>
  </si>
  <si>
    <t>Tonnes of CO2 emissions avoided or reduced/year from two pilots project</t>
  </si>
  <si>
    <r>
      <rPr>
        <sz val="11"/>
        <color rgb="FF000000"/>
        <rFont val="Calibri"/>
        <scheme val="minor"/>
      </rPr>
      <t xml:space="preserve">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
</t>
    </r>
    <r>
      <rPr>
        <b/>
        <sz val="11"/>
        <color rgb="FFFF0000"/>
        <rFont val="Calibri"/>
        <scheme val="minor"/>
      </rPr>
      <t xml:space="preserve">Status:
- Grant Agreement expected to sign in Q2/2024
</t>
    </r>
    <r>
      <rPr>
        <sz val="11"/>
        <color rgb="FF000000"/>
        <rFont val="Calibri"/>
        <scheme val="minor"/>
      </rPr>
      <t>Planned date of attainment: 
- June 2028
Notes: 
- The SHIFT project will be implemented by six organizations.
- Other standard indicators to be calculated during first interim report.
Budget: EUR 3000000</t>
    </r>
  </si>
  <si>
    <t>BMWK/GIZ</t>
  </si>
  <si>
    <t>Scale up energy finance</t>
  </si>
  <si>
    <t>Decarbonization</t>
  </si>
  <si>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t>
  </si>
  <si>
    <t>Entrepreneurship Training</t>
  </si>
  <si>
    <t>Number of enterprises reached by SHIFT's information, dissemination, capacity building and/or technical support confirm they plan to invest in renewable energy, energy efficiency or other energy transition technologies</t>
  </si>
  <si>
    <t>Number of enterprises supported by SHIFT that have implemented technically and financially feasible pilot projects in RE, EE or other energy transition technologies</t>
  </si>
  <si>
    <t>Number of enterprises  that recieved direct financial and and technical supports from SHIFT to invest in RE, EE or other energy transition technologies</t>
  </si>
  <si>
    <t>Accelerating Private Sector Engagement in Climate Resilient and Low Emission Investment Opportunities in Viet Nam’s NDC</t>
  </si>
  <si>
    <t>Accelerating Private Sector Engagement in Climate-Resilient and Low-Emission Investment Opportunities in Viet Nam’s NDC 2019-2023 | United Nations Development Programme (undp.org)</t>
  </si>
  <si>
    <t xml:space="preserve">$2'201'100 </t>
  </si>
  <si>
    <t>Completed installation for 60kW in Binh Thuan for 2 Cooperatives/Small Businesses
02 Agriculture Cooperatives received 6.2x 2 solar-powered drying machines
Target: 72 kW</t>
  </si>
  <si>
    <t>Agricultural Services</t>
  </si>
  <si>
    <t>367ha</t>
  </si>
  <si>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</si>
  <si>
    <t>Small Enterprises</t>
  </si>
  <si>
    <t>03 Small businesses/cooperatives improved marketting and green labelling via e-commerce/online practices</t>
  </si>
  <si>
    <t>Capacity Building</t>
  </si>
  <si>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</si>
  <si>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</si>
  <si>
    <t>- Update Viet Nam NDC update 2022
- Develop Viet Nam NCCS 2022
- 01 completed proposal for direct lending modality for Small and Medium Enterprise Fund
- 01 Climate Business Index Platform
- 2 Agriculture supply chain and apps platform for green dragon fruits and green shrimp (on-going)
- 01 Sustainable and Low carbon Dragon Fruit Scheme draft for MARD</t>
  </si>
  <si>
    <t>NDC Support</t>
  </si>
  <si>
    <t>Supporting the Implementation of the Just Energy Transition Partnership (JETP) and Nationally Determined Contribution (NDC) in Viet Nam</t>
  </si>
  <si>
    <t>https://open.undp.org/projects/01000715</t>
  </si>
  <si>
    <t>NA</t>
  </si>
  <si>
    <t>The Just Energy Transition Partnership (JETP) is a long-term, ambitious partnership to support Viet Nam's low-emission and climate resilient development, as well as to support Viet Nam to accelerate the just transition and decarbonisation of the electricity system, and develop new economic opportunities to support Viet Nam's transition towards net zero future.
VN Power sector CO2 emissions to peak at 170 Mt in 2030 instead of 240 Mt in 2035.</t>
  </si>
  <si>
    <t>JETP implementation will support Vietnam on implementation of Power Development Plan 8 (PDP8) which aim to increate RE resource to at least 47% of electricity production in 2030.</t>
  </si>
  <si>
    <t xml:space="preserve">Policy reform </t>
  </si>
  <si>
    <t>Number of studies providing policy recommendations</t>
  </si>
  <si>
    <t xml:space="preserve">Research studies on policy and legal framework to overcome barriers to investment and enhance private sector investment in the energy transition will be included in the JETP-RMP are anticipated to be commissioned with focus on the subjects of (1) financial reforms; (2) coal phasing out (flexibility, repurposing and retirement); renewable energy development, including: (3) OSW power and (4) solar photovoltaics; (5) green hydrogen; (6) renewable energy manufacturing Industry; (7) grid development; (8) storage (battery and pumped hydro); (9) energy efficiency; (10) innovation and technology transfer; and (11) just/social transition. </t>
  </si>
  <si>
    <t xml:space="preserve">High level policy dialogues </t>
  </si>
  <si>
    <t>Number of high-level policy dialogues, stakeholders engagement and consultation meetings</t>
  </si>
  <si>
    <t>Project will provide support to the GOV on the organization of high-level policy dialogues, stakeholder engagement and consultation.</t>
  </si>
  <si>
    <t xml:space="preserve">There will be large number of people in Vietnam expected to increase awareness and capacity in the topic of energy transition through the JETP website, events organized within the framework of the project. </t>
  </si>
  <si>
    <t xml:space="preserve">Coal transition </t>
  </si>
  <si>
    <t>Number of CFPP conducted study on GHG inventory and emisison mitigation action plan</t>
  </si>
  <si>
    <t xml:space="preserve">JETP implementation will support to limit coal power capacity to 30.2 GW by 2030 from a projected 37 GW; 5 Coal-fired Power plants will receive support on developing GHG invesntory report and Emisison mitigation action plans. </t>
  </si>
  <si>
    <t>- Support Vietnam on development of NDC 3.0 
- Support the development of Domestic carbon market 
- Support the LULUCF sector on database development for GHG emission reduction potential and measurement of Carbon sequestration for Mangrove Forest. 
- Support GHG inventory for Coal-fired power plants and support Coal transition in Vietnam</t>
  </si>
  <si>
    <t xml:space="preserve">Catalysing a Sustainable Shift towards E-mobility (March 2022-March 2023) 
</t>
  </si>
  <si>
    <t>To be reported after 1 year of project completion</t>
  </si>
  <si>
    <t>Capacity Building Training</t>
  </si>
  <si>
    <r>
      <rPr>
        <b/>
        <sz val="11"/>
        <color rgb="FF000000"/>
        <rFont val="Calibri"/>
      </rPr>
      <t xml:space="preserve">Result:
</t>
    </r>
    <r>
      <rPr>
        <sz val="11"/>
        <color rgb="FF000000"/>
        <rFont val="Calibri"/>
      </rPr>
      <t>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r>
  </si>
  <si>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</si>
  <si>
    <t>National</t>
  </si>
  <si>
    <t>Scaling up E-mobility and mechanisms for promoting investments in green projects in Viet Nam (March 2023 - March 2024)</t>
  </si>
  <si>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</si>
  <si>
    <t>Unknown</t>
  </si>
  <si>
    <t>0</t>
  </si>
  <si>
    <t>Other</t>
  </si>
  <si>
    <t>N/A yet</t>
  </si>
  <si>
    <r>
      <rPr>
        <b/>
        <sz val="11"/>
        <color rgb="FF000000"/>
        <rFont val="Calibri"/>
      </rPr>
      <t xml:space="preserve">Status:
</t>
    </r>
    <r>
      <rPr>
        <sz val="11"/>
        <color rgb="FF000000"/>
        <rFont val="Calibri"/>
      </rPr>
      <t xml:space="preserve">- Preparation phase. Implementation Phase set to start in August 2023.
</t>
    </r>
    <r>
      <rPr>
        <b/>
        <sz val="11"/>
        <color rgb="FF000000"/>
        <rFont val="Calibri"/>
      </rPr>
      <t>Planned date of attainment:</t>
    </r>
    <r>
      <rPr>
        <sz val="11"/>
        <color rgb="FF000000"/>
        <rFont val="Calibri"/>
      </rPr>
      <t xml:space="preserve"> 
- January 2028
</t>
    </r>
    <r>
      <rPr>
        <b/>
        <sz val="11"/>
        <color rgb="FF000000"/>
        <rFont val="Calibri"/>
      </rPr>
      <t>Notes:</t>
    </r>
    <r>
      <rPr>
        <sz val="11"/>
        <color rgb="FF000000"/>
        <rFont val="Calibri"/>
      </rPr>
      <t xml:space="preserve"> 
- The SHIFT project will be implemented by six organizations.
- Other standard indicators to be calculated during first interim report.
</t>
    </r>
  </si>
  <si>
    <t xml:space="preserve">
 </t>
  </si>
  <si>
    <t>Under process for installation for solar rooftop for 13 agriculture cooperatives/small business models in Bac Lieu; 
Completed installation for 60MW in Binh Thuan for 2 Cooperatives/Small Businesses</t>
  </si>
  <si>
    <t>Solar</t>
  </si>
  <si>
    <t>Agriculture and Food System</t>
  </si>
  <si>
    <t xml:space="preserve"> 100  households, corresponding to 300 farmers benefitted from the project support to shrimp and dragron fruit models at two provinces Binh Thuan and Bac Lieu; and 1,000 turns of people at provincial, district and commune levels benefitted from project trainings </t>
  </si>
  <si>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</si>
  <si>
    <t>Category</t>
  </si>
  <si>
    <t>Comments</t>
  </si>
  <si>
    <t>00130633</t>
  </si>
  <si>
    <r>
      <rPr>
        <b/>
        <sz val="11"/>
        <color rgb="FFFF0000"/>
        <rFont val="Calibri"/>
      </rPr>
      <t xml:space="preserve">Result: </t>
    </r>
    <r>
      <rPr>
        <b/>
        <sz val="11"/>
        <color rgb="FF31869B"/>
        <rFont val="Calibri"/>
      </rPr>
      <t xml:space="preserve">Direct beneficiaries: 1,127; Indirect beneficiaries: 83,221
</t>
    </r>
    <r>
      <rPr>
        <sz val="11"/>
        <color rgb="FFFF0000"/>
        <rFont val="Calibri"/>
      </rPr>
      <t xml:space="preserve">107 people attended national policy dialogues;
</t>
    </r>
    <r>
      <rPr>
        <sz val="11"/>
        <color rgb="FF31869B"/>
        <rFont val="Calibri"/>
      </rPr>
      <t xml:space="preserve">577 people attended techncial workshops 
</t>
    </r>
    <r>
      <rPr>
        <sz val="11"/>
        <color rgb="FFFF0000"/>
        <rFont val="Calibri"/>
      </rPr>
      <t xml:space="preserve">1400 students got direct benefits and 30,100 indirect benefits from green transport debate; 
165 Govt officers, academic, private sectors participated in trainings;
 110 participant attended E-bike cycling: 
185 people borrowed loan to buy E-vehicle </t>
    </r>
  </si>
  <si>
    <r>
      <rPr>
        <sz val="11"/>
        <color rgb="FFFF0000"/>
        <rFont val="Calibri"/>
      </rPr>
      <t xml:space="preserve">Results (08 supported policies)
</t>
    </r>
    <r>
      <rPr>
        <sz val="11"/>
        <color rgb="FF31869B"/>
        <rFont val="Calibri"/>
      </rPr>
      <t xml:space="preserve">- Action plan for green energy transition and reduction of carbon dioxide and methane emissions of transport sector (Decision No. 876.QD-TTg) in July 2022;
</t>
    </r>
    <r>
      <rPr>
        <sz val="11"/>
        <color rgb="FFFF0000"/>
        <rFont val="Calibri"/>
      </rPr>
      <t>'-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t>
    </r>
    <r>
      <rPr>
        <sz val="11"/>
        <color rgb="FF31869B"/>
        <rFont val="Calibri"/>
      </rPr>
      <t xml:space="preserve"> National standard on Swappable batteries of electric two-wheel vehicles 
</t>
    </r>
    <r>
      <rPr>
        <sz val="11"/>
        <color rgb="FFFF0000"/>
        <rFont val="Calibri"/>
      </rPr>
      <t>'-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r>
  </si>
  <si>
    <t>should we add 6 as final results in the Target column? 
-&gt; Please feel free to revise. I myself think that we should have another column on Achievements.</t>
  </si>
  <si>
    <t>EUR 3000000</t>
  </si>
  <si>
    <r>
      <rPr>
        <b/>
        <sz val="11"/>
        <color rgb="FF000000"/>
        <rFont val="Calibri"/>
      </rPr>
      <t xml:space="preserve">Status:
</t>
    </r>
    <r>
      <rPr>
        <sz val="11"/>
        <color rgb="FF000000"/>
        <rFont val="Calibri"/>
      </rPr>
      <t xml:space="preserve">- Grant Agreement expected to sign in Q2/2024
</t>
    </r>
    <r>
      <rPr>
        <b/>
        <sz val="11"/>
        <color rgb="FF000000"/>
        <rFont val="Calibri"/>
      </rPr>
      <t>Planned date of attainment:</t>
    </r>
    <r>
      <rPr>
        <sz val="11"/>
        <color rgb="FF000000"/>
        <rFont val="Calibri"/>
      </rPr>
      <t xml:space="preserve"> 
- June 2028
</t>
    </r>
    <r>
      <rPr>
        <b/>
        <sz val="11"/>
        <color rgb="FF000000"/>
        <rFont val="Calibri"/>
      </rPr>
      <t>Notes:</t>
    </r>
    <r>
      <rPr>
        <sz val="11"/>
        <color rgb="FF000000"/>
        <rFont val="Calibri"/>
      </rPr>
      <t xml:space="preserve"> 
- The SHIFT project will be implemented by six organizations.
- Other standard indicators to be calculated during first interim report.
</t>
    </r>
  </si>
  <si>
    <t>72 kW</t>
  </si>
  <si>
    <t>Completed installation for 60kW in Binh Thuan for 2 Cooperatives/Small Businesses
02 Agriculture Cooperatives received 6.2x 2 solar-powered drying machines</t>
  </si>
  <si>
    <r>
      <rPr>
        <sz val="11"/>
        <color rgb="FFFF0000"/>
        <rFont val="Calibri"/>
      </rPr>
      <t xml:space="preserve">To the CO: Please confirm this output (100MW is a high value, relative to the total number of businesses)
</t>
    </r>
    <r>
      <rPr>
        <sz val="11"/>
        <color rgb="FF7030A0"/>
        <rFont val="Calibri"/>
      </rPr>
      <t>-&gt; Revised</t>
    </r>
    <r>
      <rPr>
        <sz val="11"/>
        <color rgb="FFFF0000"/>
        <rFont val="Calibri"/>
      </rPr>
      <t>.</t>
    </r>
  </si>
  <si>
    <r>
      <rPr>
        <sz val="10"/>
        <color rgb="FFFF0000"/>
        <rFont val="Helvetica Neue"/>
      </rPr>
      <t xml:space="preserve">to the CO: Please estimate number of beneficiaries.
</t>
    </r>
    <r>
      <rPr>
        <sz val="10"/>
        <color rgb="FF7030A0"/>
        <rFont val="Helvetica Neue"/>
      </rPr>
      <t>-&gt; Revised.</t>
    </r>
  </si>
  <si>
    <t>01000715</t>
  </si>
  <si>
    <t xml:space="preserve">VN Power sector CO2 emissions to peak at 170 Mt in 2030 instead of 240 Mt in 2035.
</t>
  </si>
  <si>
    <t>JETP implementation will support to limit coal power capacity to 30.2 GW by 2030 from a projected 37 GW</t>
  </si>
  <si>
    <r>
      <rPr>
        <b/>
        <sz val="11"/>
        <color rgb="FF000000"/>
        <rFont val="Calibri"/>
      </rPr>
      <t xml:space="preserve">Result:
</t>
    </r>
    <r>
      <rPr>
        <sz val="11"/>
        <color rgb="FF000000"/>
        <rFont val="Calibri"/>
      </rPr>
      <t xml:space="preserve">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t>
    </r>
  </si>
  <si>
    <t>50 kW</t>
  </si>
  <si>
    <t xml:space="preserve">Policy or Regulatory Framework and pilot activities </t>
  </si>
  <si>
    <t xml:space="preserve">Tons of CO2 emissions avoided or reduced 
</t>
  </si>
  <si>
    <t>50 tCO2/year</t>
  </si>
  <si>
    <t>350 direct beneficiaries</t>
  </si>
  <si>
    <t>Policy or Regulatory Framework and pilot activities</t>
  </si>
  <si>
    <t>Tonnes of CO2 emissions avoided or reduced</t>
  </si>
  <si>
    <t>45t/Year</t>
  </si>
  <si>
    <t>37,104 MWh by solar PV generation system</t>
  </si>
  <si>
    <t>570 direct beneficiaries</t>
  </si>
  <si>
    <t>Number of green/sustainable jobs created</t>
  </si>
  <si>
    <t>Access to Energy</t>
  </si>
  <si>
    <t xml:space="preserve">100 MW </t>
  </si>
  <si>
    <t>Productive Use of Energy</t>
  </si>
  <si>
    <t>Market Development</t>
  </si>
  <si>
    <t>1600 people</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</si>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</sst>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_(* #,##0_);_(* \(#,##0\);_(* &quot;-&quot;??_);_(@_)"/>
  </numFmts>
  <fonts count="37">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sz val="11"/>
      <color rgb="FF000000"/>
      <name val="Calibri"/>
      <family val="2"/>
      <scheme val="minor"/>
    </font>
    <font>
      <sz val="12"/>
      <color theme="1"/>
      <name val="Proxima Nova"/>
      <family val="1"/>
      <charset val="1"/>
    </font>
    <font>
      <u/>
      <sz val="10"/>
      <color theme="1"/>
      <name val="Arial"/>
      <family val="2"/>
      <charset val="1"/>
    </font>
    <font>
      <sz val="11"/>
      <color rgb="FF000000"/>
      <name val="Calibri"/>
      <charset val="1"/>
    </font>
    <font>
      <sz val="9"/>
      <color rgb="FF000000"/>
      <name val="Calibri"/>
      <family val="2"/>
      <charset val="1"/>
    </font>
    <font>
      <i/>
      <sz val="9"/>
      <color theme="1"/>
      <name val="Calibri"/>
      <family val="2"/>
      <charset val="1"/>
    </font>
    <font>
      <sz val="9"/>
      <color rgb="FF000000"/>
      <name val="Calibri"/>
    </font>
    <font>
      <b/>
      <sz val="11"/>
      <color rgb="FF000000"/>
      <name val="Calibri"/>
    </font>
    <font>
      <sz val="11"/>
      <color rgb="FF000000"/>
      <name val="Calibri"/>
    </font>
    <font>
      <u/>
      <sz val="11"/>
      <color theme="10"/>
      <name val="Calibri"/>
      <family val="2"/>
      <scheme val="minor"/>
    </font>
    <font>
      <sz val="11"/>
      <color theme="1"/>
      <name val="Calibri"/>
      <family val="2"/>
      <charset val="1"/>
    </font>
    <font>
      <sz val="11"/>
      <color rgb="FFFF0000"/>
      <name val="Calibri"/>
      <family val="2"/>
      <scheme val="minor"/>
    </font>
    <font>
      <sz val="11"/>
      <color rgb="FFFF0000"/>
      <name val="Calibri"/>
    </font>
    <font>
      <sz val="11"/>
      <color rgb="FF7030A0"/>
      <name val="Calibri"/>
      <family val="2"/>
      <scheme val="minor"/>
    </font>
    <font>
      <sz val="11"/>
      <color rgb="FF7030A0"/>
      <name val="Calibri"/>
    </font>
    <font>
      <sz val="10"/>
      <color rgb="FFFF0000"/>
      <name val="Helvetica Neue"/>
    </font>
    <font>
      <sz val="10"/>
      <color rgb="FF7030A0"/>
      <name val="Helvetica Neue"/>
    </font>
    <font>
      <b/>
      <sz val="11"/>
      <color theme="1"/>
      <name val="Calibri"/>
      <scheme val="minor"/>
    </font>
    <font>
      <sz val="11"/>
      <color rgb="FF000000"/>
      <name val="Calibri"/>
      <scheme val="minor"/>
    </font>
    <font>
      <sz val="11"/>
      <color rgb="FF00B0F0"/>
      <name val="Calibri"/>
      <family val="2"/>
      <scheme val="minor"/>
    </font>
    <font>
      <b/>
      <sz val="11"/>
      <color rgb="FFFF0000"/>
      <name val="Calibri"/>
    </font>
    <font>
      <sz val="11"/>
      <color rgb="FF31869B"/>
      <name val="Calibri"/>
    </font>
    <font>
      <b/>
      <sz val="11"/>
      <color rgb="FF31869B"/>
      <name val="Calibri"/>
    </font>
    <font>
      <sz val="11"/>
      <color rgb="FF000000"/>
      <name val="Calibri"/>
      <family val="2"/>
      <charset val="1"/>
    </font>
    <font>
      <b/>
      <sz val="10"/>
      <color theme="1"/>
      <name val="Calibri"/>
      <family val="2"/>
      <charset val="1"/>
    </font>
    <font>
      <sz val="11"/>
      <color rgb="FF242424"/>
      <name val="Aptos Narrow"/>
      <charset val="1"/>
    </font>
    <font>
      <sz val="11"/>
      <color rgb="FFFF0000"/>
      <name val="Calibri"/>
      <scheme val="minor"/>
    </font>
    <font>
      <sz val="12"/>
      <color theme="1"/>
      <name val="Calibri"/>
      <scheme val="minor"/>
    </font>
    <font>
      <u/>
      <sz val="11"/>
      <color theme="10"/>
      <name val="Calibri"/>
      <scheme val="minor"/>
    </font>
    <font>
      <sz val="11"/>
      <color rgb="FF242424"/>
      <name val="Calibri"/>
      <scheme val="minor"/>
    </font>
    <font>
      <u/>
      <sz val="10"/>
      <color theme="1"/>
      <name val="Calibri"/>
      <scheme val="minor"/>
    </font>
    <font>
      <sz val="9"/>
      <color rgb="FF000000"/>
      <name val="Calibri"/>
      <scheme val="minor"/>
    </font>
    <font>
      <b/>
      <sz val="11"/>
      <color rgb="FFFF0000"/>
      <name val="Calibri"/>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13" fillId="0" borderId="0" applyNumberFormat="0" applyFill="0" applyBorder="0" applyAlignment="0" applyProtection="0"/>
  </cellStyleXfs>
  <cellXfs count="173">
    <xf numFmtId="0" fontId="0" fillId="0" borderId="0" xfId="0"/>
    <xf numFmtId="0" fontId="0" fillId="0" borderId="0" xfId="0" applyAlignment="1">
      <alignment horizontal="left" vertical="center"/>
    </xf>
    <xf numFmtId="0" fontId="0" fillId="0" borderId="0" xfId="0" applyAlignment="1">
      <alignment horizontal="center" vertical="top"/>
    </xf>
    <xf numFmtId="0" fontId="0" fillId="0" borderId="1" xfId="0" applyBorder="1" applyAlignment="1">
      <alignment vertical="center" wrapText="1"/>
    </xf>
    <xf numFmtId="0" fontId="0" fillId="0" borderId="1" xfId="0" applyBorder="1" applyAlignment="1">
      <alignment horizontal="right" vertical="center"/>
    </xf>
    <xf numFmtId="0" fontId="0" fillId="0" borderId="1" xfId="0" applyBorder="1" applyAlignment="1">
      <alignment horizontal="right" vertical="center" wrapText="1"/>
    </xf>
    <xf numFmtId="0" fontId="4" fillId="0" borderId="1" xfId="0" applyFont="1"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0" borderId="1" xfId="0" applyBorder="1" applyAlignment="1">
      <alignment horizontal="right"/>
    </xf>
    <xf numFmtId="0" fontId="0" fillId="0" borderId="1" xfId="0" applyBorder="1" applyAlignment="1">
      <alignment horizontal="right" wrapText="1"/>
    </xf>
    <xf numFmtId="0" fontId="9" fillId="0" borderId="1" xfId="0" applyFont="1" applyBorder="1" applyAlignment="1">
      <alignment horizontal="right" wrapText="1"/>
    </xf>
    <xf numFmtId="0" fontId="10" fillId="0" borderId="1" xfId="0" applyFont="1" applyBorder="1" applyAlignment="1">
      <alignment horizontal="left" wrapText="1"/>
    </xf>
    <xf numFmtId="0" fontId="8" fillId="0" borderId="1" xfId="0" applyFont="1"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right" vertical="top"/>
    </xf>
    <xf numFmtId="0" fontId="0" fillId="0" borderId="1" xfId="0" applyBorder="1"/>
    <xf numFmtId="0" fontId="3" fillId="0" borderId="2" xfId="0" applyFont="1" applyBorder="1" applyAlignment="1">
      <alignment horizontal="center" vertical="top"/>
    </xf>
    <xf numFmtId="0" fontId="3" fillId="0" borderId="2" xfId="0" applyFont="1" applyBorder="1" applyAlignment="1">
      <alignment horizontal="center" vertical="center"/>
    </xf>
    <xf numFmtId="0" fontId="0" fillId="0" borderId="1" xfId="0" quotePrefix="1" applyBorder="1" applyAlignment="1">
      <alignment wrapText="1"/>
    </xf>
    <xf numFmtId="0" fontId="0" fillId="0" borderId="1" xfId="0" applyBorder="1" applyAlignment="1">
      <alignment vertical="top" wrapText="1"/>
    </xf>
    <xf numFmtId="0" fontId="0" fillId="0" borderId="1" xfId="0" quotePrefix="1" applyBorder="1" applyAlignment="1">
      <alignment vertical="top" wrapText="1"/>
    </xf>
    <xf numFmtId="0" fontId="7" fillId="0" borderId="1" xfId="0" applyFont="1" applyBorder="1" applyAlignment="1">
      <alignment vertical="center" wrapText="1"/>
    </xf>
    <xf numFmtId="0" fontId="12" fillId="0" borderId="1" xfId="0" applyFont="1" applyBorder="1" applyAlignment="1">
      <alignment vertical="center" wrapText="1"/>
    </xf>
    <xf numFmtId="0" fontId="3" fillId="0" borderId="0" xfId="0" applyFont="1"/>
    <xf numFmtId="0" fontId="3" fillId="0" borderId="1" xfId="0" applyFont="1" applyBorder="1"/>
    <xf numFmtId="49" fontId="14" fillId="0" borderId="1" xfId="0" applyNumberFormat="1" applyFont="1" applyBorder="1" applyAlignment="1">
      <alignment horizontal="right" wrapText="1"/>
    </xf>
    <xf numFmtId="0" fontId="3" fillId="0" borderId="1" xfId="0" applyFont="1" applyBorder="1" applyAlignment="1">
      <alignment horizontal="center" vertical="top"/>
    </xf>
    <xf numFmtId="0" fontId="3" fillId="0" borderId="1" xfId="0" applyFont="1" applyBorder="1" applyAlignment="1">
      <alignment horizontal="center" vertical="center"/>
    </xf>
    <xf numFmtId="0" fontId="0" fillId="0" borderId="1" xfId="0" applyBorder="1" applyAlignment="1">
      <alignment horizontal="center" vertical="top"/>
    </xf>
    <xf numFmtId="0" fontId="7" fillId="0" borderId="1" xfId="0" applyFont="1" applyBorder="1"/>
    <xf numFmtId="0" fontId="15" fillId="0" borderId="1" xfId="0" applyFont="1" applyBorder="1" applyAlignment="1">
      <alignment horizontal="right" vertical="center" wrapText="1"/>
    </xf>
    <xf numFmtId="0" fontId="16" fillId="0" borderId="1" xfId="0" applyFont="1" applyBorder="1" applyAlignment="1">
      <alignment vertical="center" wrapText="1"/>
    </xf>
    <xf numFmtId="0" fontId="15" fillId="0" borderId="1" xfId="0" applyFont="1" applyBorder="1" applyAlignment="1">
      <alignment horizontal="right" vertical="center"/>
    </xf>
    <xf numFmtId="0" fontId="0" fillId="0" borderId="1" xfId="0" applyBorder="1" applyAlignment="1">
      <alignment horizontal="center" vertical="center" wrapText="1"/>
    </xf>
    <xf numFmtId="0" fontId="17" fillId="0" borderId="1" xfId="0" applyFont="1" applyBorder="1" applyAlignment="1">
      <alignment vertical="top" wrapText="1"/>
    </xf>
    <xf numFmtId="0" fontId="19" fillId="0" borderId="1" xfId="0" applyFont="1" applyBorder="1" applyAlignment="1">
      <alignment vertical="center" wrapText="1"/>
    </xf>
    <xf numFmtId="0" fontId="4" fillId="0" borderId="1" xfId="0" applyFont="1" applyBorder="1" applyAlignment="1">
      <alignment vertical="center" wrapText="1"/>
    </xf>
    <xf numFmtId="49" fontId="14" fillId="0" borderId="1" xfId="0" applyNumberFormat="1" applyFont="1" applyBorder="1" applyAlignment="1">
      <alignment horizontal="right" vertical="center" wrapText="1"/>
    </xf>
    <xf numFmtId="0" fontId="10" fillId="0" borderId="1" xfId="0" applyFont="1" applyBorder="1" applyAlignment="1">
      <alignment horizontal="left" vertical="center" wrapText="1"/>
    </xf>
    <xf numFmtId="0" fontId="8" fillId="0" borderId="1" xfId="0" applyFont="1" applyBorder="1" applyAlignment="1">
      <alignment horizontal="left" vertical="center" wrapText="1"/>
    </xf>
    <xf numFmtId="0" fontId="0" fillId="0" borderId="1" xfId="0" quotePrefix="1" applyBorder="1" applyAlignment="1">
      <alignment vertical="center" wrapText="1"/>
    </xf>
    <xf numFmtId="0" fontId="0" fillId="0" borderId="3" xfId="0" quotePrefix="1" applyBorder="1" applyAlignment="1">
      <alignment horizontal="center" vertical="center" wrapText="1"/>
    </xf>
    <xf numFmtId="0" fontId="5" fillId="0" borderId="3" xfId="0" applyFont="1" applyBorder="1" applyAlignment="1">
      <alignment horizontal="left" vertical="center" wrapText="1"/>
    </xf>
    <xf numFmtId="0" fontId="13" fillId="0" borderId="3" xfId="1" applyBorder="1" applyAlignment="1">
      <alignment horizontal="center" vertical="center" wrapText="1"/>
    </xf>
    <xf numFmtId="6" fontId="0" fillId="0" borderId="3" xfId="0" applyNumberFormat="1" applyBorder="1" applyAlignment="1">
      <alignment horizontal="center" vertical="center" wrapText="1"/>
    </xf>
    <xf numFmtId="0" fontId="0" fillId="0" borderId="3" xfId="0" applyBorder="1" applyAlignment="1">
      <alignment horizontal="center" vertical="center" wrapText="1"/>
    </xf>
    <xf numFmtId="0" fontId="0" fillId="0" borderId="4" xfId="0" quotePrefix="1" applyBorder="1" applyAlignment="1">
      <alignment horizontal="center" vertical="center" wrapText="1"/>
    </xf>
    <xf numFmtId="0" fontId="5" fillId="0" borderId="4" xfId="0" applyFont="1" applyBorder="1" applyAlignment="1">
      <alignment horizontal="left" vertical="center" wrapText="1"/>
    </xf>
    <xf numFmtId="0" fontId="13" fillId="0" borderId="4" xfId="1" applyBorder="1" applyAlignment="1">
      <alignment horizontal="center" vertical="center" wrapText="1"/>
    </xf>
    <xf numFmtId="6"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0" fillId="0" borderId="5" xfId="0" quotePrefix="1" applyBorder="1" applyAlignment="1">
      <alignment horizontal="center" vertical="center" wrapText="1"/>
    </xf>
    <xf numFmtId="0" fontId="5" fillId="0" borderId="5" xfId="0" applyFont="1" applyBorder="1" applyAlignment="1">
      <alignment horizontal="left" vertical="center" wrapText="1"/>
    </xf>
    <xf numFmtId="0" fontId="13" fillId="0" borderId="5" xfId="1" applyBorder="1" applyAlignment="1">
      <alignment horizontal="center" vertical="center" wrapText="1"/>
    </xf>
    <xf numFmtId="6" fontId="0" fillId="0" borderId="5" xfId="0" applyNumberFormat="1" applyBorder="1" applyAlignment="1">
      <alignment horizontal="center" vertical="center" wrapText="1"/>
    </xf>
    <xf numFmtId="0" fontId="0" fillId="0" borderId="5" xfId="0" applyBorder="1" applyAlignment="1">
      <alignment horizontal="center" vertical="center" wrapText="1"/>
    </xf>
    <xf numFmtId="3" fontId="6" fillId="0" borderId="4" xfId="0" applyNumberFormat="1" applyFont="1" applyBorder="1" applyAlignment="1">
      <alignment horizontal="center" vertical="center" wrapText="1"/>
    </xf>
    <xf numFmtId="3" fontId="6" fillId="0" borderId="5" xfId="0" applyNumberFormat="1" applyFont="1" applyBorder="1" applyAlignment="1">
      <alignment horizontal="center" vertical="center" wrapText="1"/>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0" fontId="13" fillId="0" borderId="4" xfId="1" applyNumberFormat="1" applyBorder="1" applyAlignment="1">
      <alignment horizontal="left" vertical="center" wrapText="1"/>
    </xf>
    <xf numFmtId="0" fontId="13" fillId="0" borderId="5" xfId="1" applyNumberFormat="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0" fillId="0" borderId="6" xfId="0" applyBorder="1" applyAlignment="1">
      <alignment vertical="center" wrapText="1"/>
    </xf>
    <xf numFmtId="0" fontId="0" fillId="0" borderId="1" xfId="0" applyBorder="1" applyAlignment="1">
      <alignment horizontal="center" vertical="center"/>
    </xf>
    <xf numFmtId="0" fontId="21" fillId="0" borderId="1" xfId="0" applyFont="1" applyBorder="1" applyAlignment="1">
      <alignment horizontal="center" vertical="top" wrapText="1"/>
    </xf>
    <xf numFmtId="0" fontId="22" fillId="0" borderId="1" xfId="0" applyFont="1" applyBorder="1" applyAlignment="1">
      <alignment wrapText="1"/>
    </xf>
    <xf numFmtId="0" fontId="3" fillId="0" borderId="1" xfId="0" applyFont="1" applyBorder="1" applyAlignment="1">
      <alignment horizontal="center"/>
    </xf>
    <xf numFmtId="0" fontId="3" fillId="0" borderId="3" xfId="0" applyFont="1" applyBorder="1" applyAlignment="1">
      <alignment horizontal="center"/>
    </xf>
    <xf numFmtId="0" fontId="3" fillId="0" borderId="8" xfId="0" applyFont="1" applyBorder="1" applyAlignment="1">
      <alignment horizontal="center"/>
    </xf>
    <xf numFmtId="0" fontId="3" fillId="0" borderId="3"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1" xfId="0" applyBorder="1" applyAlignment="1">
      <alignment vertical="center"/>
    </xf>
    <xf numFmtId="0" fontId="12" fillId="0" borderId="1" xfId="0" applyFont="1" applyBorder="1" applyAlignment="1">
      <alignment horizontal="left" vertical="center" wrapText="1"/>
    </xf>
    <xf numFmtId="6" fontId="0" fillId="0" borderId="1" xfId="0" applyNumberFormat="1" applyBorder="1" applyAlignment="1">
      <alignment horizontal="center" vertical="center" wrapText="1"/>
    </xf>
    <xf numFmtId="0" fontId="0" fillId="0" borderId="9" xfId="0" applyBorder="1" applyAlignment="1">
      <alignment horizontal="left" vertical="center" wrapText="1"/>
    </xf>
    <xf numFmtId="0" fontId="7" fillId="0" borderId="7" xfId="0" applyFont="1" applyBorder="1" applyAlignment="1">
      <alignment vertical="center" wrapText="1"/>
    </xf>
    <xf numFmtId="0" fontId="0" fillId="0" borderId="6" xfId="0" applyBorder="1" applyAlignment="1">
      <alignment horizontal="right" vertical="center" wrapText="1"/>
    </xf>
    <xf numFmtId="0" fontId="0" fillId="0" borderId="5" xfId="0" applyBorder="1" applyAlignment="1">
      <alignment vertical="center" wrapText="1"/>
    </xf>
    <xf numFmtId="0" fontId="23" fillId="0" borderId="1" xfId="0" applyFont="1" applyBorder="1" applyAlignment="1">
      <alignment vertical="top" wrapText="1"/>
    </xf>
    <xf numFmtId="0" fontId="23" fillId="0" borderId="1" xfId="0" quotePrefix="1" applyFont="1" applyBorder="1" applyAlignment="1">
      <alignment vertical="top" wrapText="1"/>
    </xf>
    <xf numFmtId="0" fontId="23" fillId="0" borderId="1" xfId="0" applyFont="1" applyBorder="1" applyAlignment="1">
      <alignment wrapText="1"/>
    </xf>
    <xf numFmtId="0" fontId="23" fillId="0" borderId="1" xfId="0" quotePrefix="1" applyFont="1" applyBorder="1" applyAlignment="1">
      <alignment wrapText="1"/>
    </xf>
    <xf numFmtId="0" fontId="23" fillId="0" borderId="1" xfId="0" applyFont="1" applyBorder="1" applyAlignment="1">
      <alignment horizontal="right" vertical="center"/>
    </xf>
    <xf numFmtId="0" fontId="23" fillId="0" borderId="1" xfId="0" applyFont="1" applyBorder="1" applyAlignment="1">
      <alignment horizontal="right"/>
    </xf>
    <xf numFmtId="0" fontId="7" fillId="3" borderId="0" xfId="0" applyFont="1" applyFill="1"/>
    <xf numFmtId="0" fontId="0" fillId="4" borderId="1" xfId="0" applyFill="1" applyBorder="1" applyAlignment="1">
      <alignment vertical="center" wrapText="1"/>
    </xf>
    <xf numFmtId="0" fontId="0" fillId="0" borderId="3" xfId="0" applyBorder="1" applyAlignment="1">
      <alignment vertical="center" wrapText="1"/>
    </xf>
    <xf numFmtId="0" fontId="0" fillId="0" borderId="3" xfId="0" applyBorder="1" applyAlignment="1">
      <alignment horizontal="right" vertical="center"/>
    </xf>
    <xf numFmtId="0" fontId="4" fillId="0" borderId="5" xfId="0" applyFont="1" applyBorder="1" applyAlignment="1">
      <alignment vertical="center"/>
    </xf>
    <xf numFmtId="0" fontId="0" fillId="0" borderId="5" xfId="0" applyBorder="1" applyAlignment="1">
      <alignment horizontal="left" vertical="center" wrapText="1"/>
    </xf>
    <xf numFmtId="0" fontId="0" fillId="0" borderId="5" xfId="0" applyBorder="1" applyAlignment="1">
      <alignment horizontal="right" vertical="center"/>
    </xf>
    <xf numFmtId="164" fontId="0" fillId="0" borderId="1" xfId="0" applyNumberFormat="1" applyBorder="1" applyAlignment="1">
      <alignment horizontal="right" vertical="center"/>
    </xf>
    <xf numFmtId="0" fontId="27" fillId="0" borderId="0" xfId="0" applyFont="1" applyAlignment="1">
      <alignment wrapText="1"/>
    </xf>
    <xf numFmtId="0" fontId="29" fillId="0" borderId="0" xfId="0" applyFont="1" applyAlignment="1">
      <alignment vertical="top"/>
    </xf>
    <xf numFmtId="0" fontId="21" fillId="2" borderId="3" xfId="0" applyFont="1" applyFill="1" applyBorder="1" applyAlignment="1">
      <alignment horizontal="center" vertical="center" wrapText="1"/>
    </xf>
    <xf numFmtId="0" fontId="21" fillId="2" borderId="3" xfId="0" applyFont="1" applyFill="1" applyBorder="1" applyAlignment="1">
      <alignment vertical="center" wrapText="1"/>
    </xf>
    <xf numFmtId="0" fontId="2" fillId="0" borderId="0" xfId="0" applyFont="1" applyAlignment="1">
      <alignment wrapText="1"/>
    </xf>
    <xf numFmtId="0" fontId="21" fillId="0" borderId="3" xfId="0" applyFont="1" applyBorder="1" applyAlignment="1">
      <alignment horizontal="center" wrapText="1"/>
    </xf>
    <xf numFmtId="0" fontId="21" fillId="0" borderId="8" xfId="0" applyFont="1" applyBorder="1" applyAlignment="1">
      <alignment horizontal="center" wrapText="1"/>
    </xf>
    <xf numFmtId="0" fontId="21" fillId="0" borderId="3" xfId="0" applyFont="1" applyBorder="1" applyAlignment="1">
      <alignment wrapText="1"/>
    </xf>
    <xf numFmtId="0" fontId="2" fillId="0" borderId="0" xfId="0" applyFont="1" applyAlignment="1">
      <alignment horizontal="left" vertical="center" wrapText="1"/>
    </xf>
    <xf numFmtId="0" fontId="2" fillId="0" borderId="0" xfId="0" applyFont="1" applyAlignment="1">
      <alignment horizontal="center" vertical="top" wrapText="1"/>
    </xf>
    <xf numFmtId="0" fontId="21" fillId="2" borderId="3" xfId="0" applyFont="1" applyFill="1" applyBorder="1" applyAlignment="1">
      <alignment horizontal="left" vertical="center"/>
    </xf>
    <xf numFmtId="0" fontId="0" fillId="0" borderId="0" xfId="0" applyAlignment="1">
      <alignment horizontal="left"/>
    </xf>
    <xf numFmtId="0" fontId="31" fillId="0" borderId="3" xfId="0" applyFont="1" applyBorder="1" applyAlignment="1">
      <alignment horizontal="left" vertical="center" wrapText="1"/>
    </xf>
    <xf numFmtId="0" fontId="33" fillId="0" borderId="4" xfId="0" applyFont="1" applyBorder="1" applyAlignment="1">
      <alignment vertical="top" wrapText="1"/>
    </xf>
    <xf numFmtId="0" fontId="31" fillId="0" borderId="4" xfId="0" applyFont="1" applyBorder="1" applyAlignment="1">
      <alignment horizontal="left" vertical="center" wrapText="1"/>
    </xf>
    <xf numFmtId="0" fontId="32" fillId="0" borderId="4" xfId="1" applyFont="1" applyBorder="1" applyAlignment="1">
      <alignment horizontal="left" vertical="center"/>
    </xf>
    <xf numFmtId="0" fontId="22" fillId="0" borderId="1" xfId="0" applyFont="1" applyBorder="1" applyAlignment="1">
      <alignment vertical="center" wrapText="1"/>
    </xf>
    <xf numFmtId="0" fontId="30" fillId="0" borderId="1" xfId="0" applyFont="1" applyBorder="1" applyAlignment="1">
      <alignment horizontal="right" vertical="center" wrapText="1"/>
    </xf>
    <xf numFmtId="0" fontId="30" fillId="0" borderId="1" xfId="0" applyFont="1" applyBorder="1" applyAlignment="1">
      <alignment vertical="center" wrapText="1"/>
    </xf>
    <xf numFmtId="0" fontId="35" fillId="0" borderId="1" xfId="0" applyFont="1" applyBorder="1" applyAlignment="1">
      <alignment horizontal="left" vertical="center" wrapText="1"/>
    </xf>
    <xf numFmtId="0" fontId="22" fillId="0" borderId="1" xfId="0" applyFont="1" applyBorder="1" applyAlignment="1">
      <alignment horizontal="left" vertical="center" wrapText="1"/>
    </xf>
    <xf numFmtId="0" fontId="22" fillId="0" borderId="7" xfId="0" applyFont="1" applyBorder="1" applyAlignment="1">
      <alignment vertical="center" wrapText="1"/>
    </xf>
    <xf numFmtId="3" fontId="34" fillId="0" borderId="4" xfId="0" applyNumberFormat="1" applyFont="1" applyBorder="1" applyAlignment="1">
      <alignment horizontal="center" vertical="center" wrapText="1"/>
    </xf>
    <xf numFmtId="0" fontId="32" fillId="0" borderId="4" xfId="1" applyNumberFormat="1" applyFont="1" applyBorder="1" applyAlignment="1">
      <alignment horizontal="left" vertical="center"/>
    </xf>
    <xf numFmtId="0" fontId="32" fillId="0" borderId="3" xfId="1" applyNumberFormat="1" applyFont="1"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3" fillId="0" borderId="1" xfId="1" applyNumberFormat="1" applyBorder="1" applyAlignment="1">
      <alignment horizontal="left" vertical="center" wrapText="1"/>
    </xf>
    <xf numFmtId="6"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6" fontId="0" fillId="0" borderId="6" xfId="0" applyNumberFormat="1" applyBorder="1" applyAlignment="1">
      <alignment horizontal="center" vertical="center"/>
    </xf>
    <xf numFmtId="0" fontId="12" fillId="0" borderId="1" xfId="0" applyFont="1" applyBorder="1" applyAlignment="1">
      <alignment horizontal="left" vertical="center" wrapText="1"/>
    </xf>
    <xf numFmtId="0" fontId="12" fillId="0" borderId="7" xfId="0" applyFont="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center"/>
    </xf>
    <xf numFmtId="3" fontId="6" fillId="0" borderId="1" xfId="0" applyNumberFormat="1" applyFont="1" applyBorder="1" applyAlignment="1">
      <alignment horizontal="center" vertical="center"/>
    </xf>
    <xf numFmtId="0" fontId="0" fillId="0" borderId="1" xfId="0" quotePrefix="1" applyBorder="1" applyAlignment="1">
      <alignment horizontal="center" vertical="center" wrapText="1"/>
    </xf>
    <xf numFmtId="0" fontId="13" fillId="0" borderId="1" xfId="1" applyBorder="1" applyAlignment="1">
      <alignment horizontal="center" vertical="center" wrapText="1"/>
    </xf>
    <xf numFmtId="6" fontId="28" fillId="0" borderId="1" xfId="0" applyNumberFormat="1" applyFont="1" applyBorder="1" applyAlignment="1">
      <alignment horizontal="center" vertical="center"/>
    </xf>
    <xf numFmtId="0" fontId="0" fillId="3" borderId="1" xfId="0" quotePrefix="1" applyFill="1" applyBorder="1" applyAlignment="1">
      <alignment horizontal="center" vertical="center"/>
    </xf>
    <xf numFmtId="0" fontId="0" fillId="3" borderId="1" xfId="0" applyFill="1" applyBorder="1" applyAlignment="1">
      <alignment horizontal="center" vertical="center"/>
    </xf>
    <xf numFmtId="0" fontId="13" fillId="0" borderId="3" xfId="1" applyBorder="1" applyAlignment="1">
      <alignment horizontal="left" vertical="center"/>
    </xf>
    <xf numFmtId="0" fontId="1" fillId="0" borderId="0" xfId="0" applyFont="1" applyAlignment="1">
      <alignment wrapText="1"/>
    </xf>
    <xf numFmtId="0" fontId="1" fillId="0" borderId="3" xfId="0" quotePrefix="1" applyFont="1" applyBorder="1" applyAlignment="1">
      <alignment horizontal="center" vertical="center" wrapText="1"/>
    </xf>
    <xf numFmtId="6" fontId="1" fillId="0" borderId="3" xfId="0" applyNumberFormat="1" applyFont="1" applyBorder="1" applyAlignment="1">
      <alignment horizontal="center" vertical="center" wrapText="1"/>
    </xf>
    <xf numFmtId="0" fontId="1" fillId="0" borderId="7"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1" fillId="0" borderId="1" xfId="0" applyFont="1" applyBorder="1" applyAlignment="1">
      <alignment horizontal="center" vertical="center" wrapText="1"/>
    </xf>
    <xf numFmtId="6" fontId="1" fillId="0" borderId="4" xfId="0" applyNumberFormat="1" applyFont="1" applyBorder="1" applyAlignment="1">
      <alignment horizontal="center" vertical="center" wrapText="1"/>
    </xf>
    <xf numFmtId="0" fontId="1" fillId="0" borderId="7" xfId="0" applyFont="1" applyBorder="1" applyAlignment="1">
      <alignment vertical="center" wrapText="1"/>
    </xf>
    <xf numFmtId="0" fontId="1" fillId="0" borderId="4" xfId="0" quotePrefix="1"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xf>
    <xf numFmtId="0" fontId="1" fillId="0" borderId="4" xfId="0" applyFont="1" applyBorder="1" applyAlignment="1">
      <alignment horizontal="center" vertical="center" wrapText="1"/>
    </xf>
    <xf numFmtId="0" fontId="1" fillId="0" borderId="4" xfId="0" applyFont="1" applyBorder="1" applyAlignment="1">
      <alignment horizontal="left" vertical="center"/>
    </xf>
    <xf numFmtId="49" fontId="1" fillId="0" borderId="1" xfId="0" applyNumberFormat="1" applyFont="1" applyBorder="1" applyAlignment="1">
      <alignment horizontal="right" vertical="center" wrapText="1"/>
    </xf>
    <xf numFmtId="0" fontId="1" fillId="0" borderId="4"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center" vertical="top" wrapText="1"/>
    </xf>
    <xf numFmtId="0" fontId="1" fillId="0" borderId="1" xfId="0" quotePrefix="1" applyFont="1" applyBorder="1" applyAlignment="1">
      <alignment vertical="center" wrapText="1"/>
    </xf>
    <xf numFmtId="0" fontId="1" fillId="0" borderId="4" xfId="0" applyFont="1" applyBorder="1" applyAlignment="1">
      <alignment wrapText="1"/>
    </xf>
    <xf numFmtId="0" fontId="1" fillId="0" borderId="4" xfId="0" applyFont="1" applyBorder="1" applyAlignment="1">
      <alignment horizontal="left"/>
    </xf>
    <xf numFmtId="0" fontId="1" fillId="0" borderId="1" xfId="0" applyFont="1" applyBorder="1" applyAlignment="1">
      <alignment wrapText="1"/>
    </xf>
    <xf numFmtId="0" fontId="1" fillId="0" borderId="3" xfId="0" applyFont="1" applyBorder="1" applyAlignment="1">
      <alignment wrapText="1"/>
    </xf>
    <xf numFmtId="0" fontId="1" fillId="0" borderId="3" xfId="0" applyFont="1" applyBorder="1" applyAlignment="1">
      <alignment horizontal="left"/>
    </xf>
    <xf numFmtId="6" fontId="1" fillId="0" borderId="3" xfId="0" applyNumberFormat="1" applyFont="1" applyBorder="1" applyAlignment="1">
      <alignment wrapText="1"/>
    </xf>
    <xf numFmtId="0" fontId="1" fillId="0" borderId="5" xfId="0" applyFont="1" applyBorder="1" applyAlignment="1">
      <alignment wrapText="1"/>
    </xf>
    <xf numFmtId="0" fontId="1" fillId="0" borderId="5" xfId="0" applyFont="1" applyBorder="1" applyAlignment="1">
      <alignment horizontal="left"/>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dp.org/vietnam/projects/catalysing-sustainable-shift-towards-e-mobility"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undp.org/vietnam/projects/catalysing-sustainable-shift-towards-e-mobility" TargetMode="External"/><Relationship Id="rId1" Type="http://schemas.openxmlformats.org/officeDocument/2006/relationships/hyperlink" Target="https://www.undp.org/vietnam/projects/accelerating-private-sector-engagement-climate-resilient-and-low-emission-investment-opportunities-viet-nams-ndc-2019-202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undp.org/vietnam/projects/catalysing-sustainable-shift-towards-e-mobility" TargetMode="External"/><Relationship Id="rId1" Type="http://schemas.openxmlformats.org/officeDocument/2006/relationships/hyperlink" Target="https://www.undp.org/vietnam/projects/accelerating-private-sector-engagement-climate-resilient-and-low-emission-investment-opportunities-viet-nams-ndc-2019-2023"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undp.org/vietnam/projects/catalysing-sustainable-shift-towards-e-mobility" TargetMode="External"/><Relationship Id="rId1" Type="http://schemas.openxmlformats.org/officeDocument/2006/relationships/hyperlink" Target="https://www.undp.org/vietnam/projects/accelerating-private-sector-engagement-climate-resilient-and-low-emission-investment-opportunities-viet-nams-ndc-2019-2023"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ndp.org/vietnam/projects/catalysing-sustainable-shift-towards-e-mobility" TargetMode="External"/><Relationship Id="rId1" Type="http://schemas.openxmlformats.org/officeDocument/2006/relationships/hyperlink" Target="https://www.undp.org/vietnam/projects/accelerating-private-sector-engagement-climate-resilient-and-low-emission-investment-opportunities-viet-nams-ndc-2019-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629E-D480-4B33-B9C6-91B503EDC91C}">
  <dimension ref="A1:W29"/>
  <sheetViews>
    <sheetView tabSelected="1" workbookViewId="0">
      <pane xSplit="1" ySplit="1" topLeftCell="B2" activePane="bottomRight" state="frozen"/>
      <selection pane="bottomRight" activeCell="F3" sqref="F3"/>
      <selection pane="bottomLeft"/>
      <selection pane="topRight"/>
    </sheetView>
  </sheetViews>
  <sheetFormatPr defaultRowHeight="15"/>
  <cols>
    <col min="1" max="1" width="12.7109375" customWidth="1"/>
    <col min="2" max="2" width="40.28515625" customWidth="1"/>
    <col min="3" max="3" width="77.5703125" style="108" customWidth="1"/>
    <col min="4" max="4" width="15.140625" customWidth="1"/>
    <col min="5" max="5" width="22.5703125" customWidth="1"/>
    <col min="6" max="6" width="36.140625" customWidth="1"/>
    <col min="7" max="7" width="11.7109375" customWidth="1"/>
    <col min="8" max="8" width="14.140625" customWidth="1"/>
    <col min="9" max="9" width="108" customWidth="1"/>
    <col min="10" max="10" width="16.42578125" customWidth="1"/>
    <col min="11" max="11" width="10.42578125" customWidth="1"/>
    <col min="12" max="12" width="12.85546875" bestFit="1" customWidth="1"/>
    <col min="13" max="13" width="15.28515625" customWidth="1"/>
    <col min="14" max="14" width="14.42578125" bestFit="1" customWidth="1"/>
    <col min="15" max="15" width="35" customWidth="1"/>
    <col min="16" max="17" width="22.5703125" customWidth="1"/>
    <col min="18" max="18" width="18.140625" bestFit="1" customWidth="1"/>
    <col min="19" max="19" width="20.7109375" customWidth="1"/>
    <col min="20" max="20" width="30" customWidth="1"/>
    <col min="21" max="21" width="16.7109375" bestFit="1" customWidth="1"/>
    <col min="23" max="23" width="82.5703125" customWidth="1"/>
  </cols>
  <sheetData>
    <row r="1" spans="1:23" s="101" customFormat="1" ht="30.75">
      <c r="A1" s="99" t="s">
        <v>0</v>
      </c>
      <c r="B1" s="99" t="s">
        <v>1</v>
      </c>
      <c r="C1" s="107" t="s">
        <v>2</v>
      </c>
      <c r="D1" s="99" t="s">
        <v>3</v>
      </c>
      <c r="E1" s="99" t="s">
        <v>4</v>
      </c>
      <c r="F1" s="99" t="s">
        <v>5</v>
      </c>
      <c r="G1" s="99" t="s">
        <v>6</v>
      </c>
      <c r="H1" s="99" t="s">
        <v>7</v>
      </c>
      <c r="I1" s="99" t="s">
        <v>8</v>
      </c>
      <c r="J1" s="100" t="s">
        <v>9</v>
      </c>
      <c r="K1" s="100" t="s">
        <v>10</v>
      </c>
      <c r="L1" s="102" t="s">
        <v>11</v>
      </c>
      <c r="M1" s="102" t="s">
        <v>12</v>
      </c>
      <c r="N1" s="102" t="s">
        <v>13</v>
      </c>
      <c r="O1" s="102" t="s">
        <v>14</v>
      </c>
      <c r="P1" s="102" t="s">
        <v>15</v>
      </c>
      <c r="Q1" s="102" t="s">
        <v>16</v>
      </c>
      <c r="R1" s="103" t="s">
        <v>17</v>
      </c>
      <c r="S1" s="104" t="s">
        <v>18</v>
      </c>
      <c r="T1" s="103" t="s">
        <v>19</v>
      </c>
      <c r="U1" s="104" t="s">
        <v>20</v>
      </c>
      <c r="V1" s="144"/>
      <c r="W1" s="144"/>
    </row>
    <row r="2" spans="1:23" s="101" customFormat="1" ht="45.75" customHeight="1">
      <c r="A2" s="145">
        <v>130633</v>
      </c>
      <c r="B2" s="109" t="s">
        <v>21</v>
      </c>
      <c r="C2" s="143" t="s">
        <v>22</v>
      </c>
      <c r="D2" s="146">
        <v>896583</v>
      </c>
      <c r="E2" s="147" t="s">
        <v>23</v>
      </c>
      <c r="F2" s="148" t="s">
        <v>24</v>
      </c>
      <c r="G2" s="149">
        <v>0</v>
      </c>
      <c r="H2" s="149">
        <v>50</v>
      </c>
      <c r="I2" s="113" t="s">
        <v>25</v>
      </c>
      <c r="J2" s="150" t="s">
        <v>26</v>
      </c>
      <c r="K2" s="150"/>
      <c r="L2" s="150" t="s">
        <v>27</v>
      </c>
      <c r="M2" s="150"/>
      <c r="N2" s="150" t="s">
        <v>28</v>
      </c>
      <c r="O2" s="150" t="s">
        <v>29</v>
      </c>
      <c r="P2" s="150"/>
      <c r="Q2" s="150"/>
      <c r="R2" s="150"/>
      <c r="S2" s="148"/>
      <c r="T2" s="150"/>
      <c r="U2" s="148"/>
      <c r="V2" s="144"/>
      <c r="W2" s="144"/>
    </row>
    <row r="3" spans="1:23" s="101" customFormat="1" ht="137.25">
      <c r="A3" s="110"/>
      <c r="B3" s="111"/>
      <c r="C3" s="112"/>
      <c r="D3" s="151"/>
      <c r="E3" s="152" t="s">
        <v>30</v>
      </c>
      <c r="F3" s="148" t="s">
        <v>31</v>
      </c>
      <c r="G3" s="149">
        <v>0</v>
      </c>
      <c r="H3" s="149">
        <v>350</v>
      </c>
      <c r="I3" s="113" t="s">
        <v>32</v>
      </c>
      <c r="J3" s="150" t="s">
        <v>26</v>
      </c>
      <c r="K3" s="150"/>
      <c r="L3" s="150" t="s">
        <v>27</v>
      </c>
      <c r="M3" s="150"/>
      <c r="N3" s="150"/>
      <c r="O3" s="150"/>
      <c r="P3" s="150"/>
      <c r="Q3" s="150"/>
      <c r="R3" s="150"/>
      <c r="S3" s="148"/>
      <c r="T3" s="150"/>
      <c r="U3" s="148"/>
      <c r="V3" s="144"/>
      <c r="W3" s="144"/>
    </row>
    <row r="4" spans="1:23" s="101" customFormat="1" ht="336">
      <c r="A4" s="153"/>
      <c r="B4" s="111"/>
      <c r="C4" s="112"/>
      <c r="D4" s="151"/>
      <c r="E4" s="152" t="s">
        <v>33</v>
      </c>
      <c r="F4" s="148" t="s">
        <v>34</v>
      </c>
      <c r="G4" s="149">
        <v>0</v>
      </c>
      <c r="H4" s="114">
        <v>3</v>
      </c>
      <c r="I4" s="115" t="s">
        <v>35</v>
      </c>
      <c r="J4" s="150" t="s">
        <v>26</v>
      </c>
      <c r="K4" s="150"/>
      <c r="L4" s="150" t="s">
        <v>27</v>
      </c>
      <c r="M4" s="150"/>
      <c r="N4" s="150" t="s">
        <v>28</v>
      </c>
      <c r="O4" s="150" t="s">
        <v>29</v>
      </c>
      <c r="P4" s="150"/>
      <c r="Q4" s="150" t="s">
        <v>36</v>
      </c>
      <c r="R4" s="150" t="s">
        <v>37</v>
      </c>
      <c r="S4" s="148"/>
      <c r="T4" s="150"/>
      <c r="U4" s="148"/>
      <c r="V4" s="144"/>
      <c r="W4" s="144"/>
    </row>
    <row r="5" spans="1:23" s="101" customFormat="1" ht="90.75" customHeight="1">
      <c r="A5" s="154">
        <v>1061012</v>
      </c>
      <c r="B5" s="109" t="s">
        <v>38</v>
      </c>
      <c r="C5" s="155"/>
      <c r="D5" s="146">
        <v>1128978</v>
      </c>
      <c r="E5" s="147" t="s">
        <v>23</v>
      </c>
      <c r="F5" s="148" t="s">
        <v>39</v>
      </c>
      <c r="G5" s="149">
        <v>0</v>
      </c>
      <c r="H5" s="149">
        <v>45</v>
      </c>
      <c r="I5" s="148" t="s">
        <v>40</v>
      </c>
      <c r="J5" s="148"/>
      <c r="K5" s="148"/>
      <c r="L5" s="150"/>
      <c r="M5" s="150"/>
      <c r="N5" s="150" t="s">
        <v>28</v>
      </c>
      <c r="O5" s="150" t="s">
        <v>29</v>
      </c>
      <c r="P5" s="150"/>
      <c r="Q5" s="150"/>
      <c r="R5" s="150"/>
      <c r="S5" s="148"/>
      <c r="T5" s="150"/>
      <c r="U5" s="148"/>
      <c r="V5" s="144"/>
      <c r="W5" s="144"/>
    </row>
    <row r="6" spans="1:23" s="101" customFormat="1" ht="70.5" customHeight="1">
      <c r="A6" s="156"/>
      <c r="B6" s="111"/>
      <c r="C6" s="157"/>
      <c r="D6" s="119"/>
      <c r="E6" s="118" t="s">
        <v>41</v>
      </c>
      <c r="F6" s="148" t="s">
        <v>42</v>
      </c>
      <c r="G6" s="149">
        <v>0</v>
      </c>
      <c r="H6" s="149">
        <v>4.2</v>
      </c>
      <c r="I6" s="148" t="s">
        <v>43</v>
      </c>
      <c r="J6" s="148"/>
      <c r="K6" s="148"/>
      <c r="L6" s="150"/>
      <c r="M6" s="150"/>
      <c r="N6" s="150" t="s">
        <v>44</v>
      </c>
      <c r="O6" s="150" t="s">
        <v>45</v>
      </c>
      <c r="P6" s="150"/>
      <c r="Q6" s="150"/>
      <c r="R6" s="150"/>
      <c r="S6" s="148"/>
      <c r="T6" s="150"/>
      <c r="U6" s="148"/>
      <c r="V6" s="144"/>
      <c r="W6" s="144"/>
    </row>
    <row r="7" spans="1:23" s="101" customFormat="1" ht="45.75">
      <c r="A7" s="156"/>
      <c r="B7" s="111"/>
      <c r="C7" s="157"/>
      <c r="D7" s="119"/>
      <c r="E7" s="118" t="s">
        <v>46</v>
      </c>
      <c r="F7" s="148" t="s">
        <v>47</v>
      </c>
      <c r="G7" s="149">
        <v>0</v>
      </c>
      <c r="H7" s="158" t="s">
        <v>48</v>
      </c>
      <c r="I7" s="148" t="s">
        <v>49</v>
      </c>
      <c r="J7" s="148"/>
      <c r="K7" s="148"/>
      <c r="L7" s="150"/>
      <c r="M7" s="150"/>
      <c r="N7" s="150" t="s">
        <v>28</v>
      </c>
      <c r="O7" s="150" t="s">
        <v>46</v>
      </c>
      <c r="P7" s="150"/>
      <c r="Q7" s="150"/>
      <c r="R7" s="150"/>
      <c r="S7" s="148"/>
      <c r="T7" s="150"/>
      <c r="U7" s="148"/>
      <c r="V7" s="144"/>
      <c r="W7" s="144"/>
    </row>
    <row r="8" spans="1:23" s="101" customFormat="1" ht="60.75">
      <c r="A8" s="156"/>
      <c r="B8" s="111"/>
      <c r="C8" s="157"/>
      <c r="D8" s="119"/>
      <c r="E8" s="118" t="s">
        <v>50</v>
      </c>
      <c r="F8" s="116" t="s">
        <v>51</v>
      </c>
      <c r="G8" s="149">
        <v>0</v>
      </c>
      <c r="H8" s="149">
        <v>70</v>
      </c>
      <c r="I8" s="148" t="s">
        <v>52</v>
      </c>
      <c r="J8" s="148"/>
      <c r="K8" s="148"/>
      <c r="L8" s="150"/>
      <c r="M8" s="150"/>
      <c r="N8" s="150"/>
      <c r="O8" s="150"/>
      <c r="P8" s="150"/>
      <c r="Q8" s="150"/>
      <c r="R8" s="150"/>
      <c r="S8" s="148"/>
      <c r="T8" s="150"/>
      <c r="U8" s="148"/>
      <c r="V8" s="144"/>
      <c r="W8" s="144"/>
    </row>
    <row r="9" spans="1:23" s="101" customFormat="1" ht="76.5">
      <c r="A9" s="156"/>
      <c r="B9" s="111"/>
      <c r="C9" s="157"/>
      <c r="D9" s="119"/>
      <c r="E9" s="152" t="s">
        <v>30</v>
      </c>
      <c r="F9" s="116" t="s">
        <v>53</v>
      </c>
      <c r="G9" s="149">
        <v>0</v>
      </c>
      <c r="H9" s="149">
        <v>370</v>
      </c>
      <c r="I9" s="148" t="s">
        <v>54</v>
      </c>
      <c r="J9" s="148"/>
      <c r="K9" s="148"/>
      <c r="L9" s="150"/>
      <c r="M9" s="150"/>
      <c r="N9" s="150"/>
      <c r="O9" s="150"/>
      <c r="P9" s="150"/>
      <c r="Q9" s="150"/>
      <c r="R9" s="150"/>
      <c r="S9" s="148"/>
      <c r="T9" s="150"/>
      <c r="U9" s="148"/>
      <c r="V9" s="144"/>
      <c r="W9" s="144"/>
    </row>
    <row r="10" spans="1:23" s="101" customFormat="1" ht="106.5">
      <c r="A10" s="156"/>
      <c r="B10" s="111"/>
      <c r="C10" s="157"/>
      <c r="D10" s="119"/>
      <c r="E10" s="118" t="s">
        <v>55</v>
      </c>
      <c r="F10" s="116" t="s">
        <v>56</v>
      </c>
      <c r="G10" s="149"/>
      <c r="H10" s="149"/>
      <c r="I10" s="148" t="s">
        <v>57</v>
      </c>
      <c r="J10" s="148"/>
      <c r="K10" s="148"/>
      <c r="L10" s="150"/>
      <c r="M10" s="150"/>
      <c r="N10" s="150"/>
      <c r="O10" s="150"/>
      <c r="P10" s="150"/>
      <c r="Q10" s="150"/>
      <c r="R10" s="150"/>
      <c r="S10" s="148"/>
      <c r="T10" s="150"/>
      <c r="U10" s="148"/>
      <c r="V10" s="144"/>
      <c r="W10" s="144"/>
    </row>
    <row r="11" spans="1:23" s="105" customFormat="1" ht="161.25" customHeight="1">
      <c r="A11" s="159"/>
      <c r="B11" s="159"/>
      <c r="C11" s="157"/>
      <c r="D11" s="151"/>
      <c r="E11" s="118" t="s">
        <v>58</v>
      </c>
      <c r="F11" s="160" t="s">
        <v>59</v>
      </c>
      <c r="G11" s="149">
        <v>0</v>
      </c>
      <c r="H11" s="149">
        <v>4</v>
      </c>
      <c r="I11" s="117" t="s">
        <v>60</v>
      </c>
      <c r="J11" s="160"/>
      <c r="K11" s="160"/>
      <c r="L11" s="150"/>
      <c r="M11" s="150"/>
      <c r="N11" s="150" t="s">
        <v>28</v>
      </c>
      <c r="O11" s="150" t="s">
        <v>29</v>
      </c>
      <c r="P11" s="150"/>
      <c r="Q11" s="150" t="s">
        <v>36</v>
      </c>
      <c r="R11" s="150" t="s">
        <v>37</v>
      </c>
      <c r="S11" s="148"/>
      <c r="T11" s="150"/>
      <c r="U11" s="148"/>
      <c r="V11" s="161"/>
      <c r="W11" s="161"/>
    </row>
    <row r="12" spans="1:23" s="106" customFormat="1" ht="259.5">
      <c r="A12" s="162">
        <v>134019</v>
      </c>
      <c r="B12" s="162" t="s">
        <v>61</v>
      </c>
      <c r="C12" s="162" t="s">
        <v>62</v>
      </c>
      <c r="D12" s="146">
        <v>3177276</v>
      </c>
      <c r="E12" s="118" t="s">
        <v>23</v>
      </c>
      <c r="F12" s="160" t="s">
        <v>63</v>
      </c>
      <c r="G12" s="149">
        <v>0</v>
      </c>
      <c r="H12" s="149">
        <v>33000</v>
      </c>
      <c r="I12" s="117" t="s">
        <v>64</v>
      </c>
      <c r="J12" s="150" t="s">
        <v>65</v>
      </c>
      <c r="K12" s="150"/>
      <c r="L12" s="150" t="s">
        <v>27</v>
      </c>
      <c r="M12" s="150"/>
      <c r="N12" s="150" t="s">
        <v>66</v>
      </c>
      <c r="O12" s="150" t="s">
        <v>29</v>
      </c>
      <c r="P12" s="150"/>
      <c r="Q12" s="150" t="s">
        <v>36</v>
      </c>
      <c r="R12" s="150" t="s">
        <v>67</v>
      </c>
      <c r="S12" s="148"/>
      <c r="T12" s="150"/>
      <c r="U12" s="148"/>
      <c r="V12" s="163"/>
      <c r="W12" s="144" t="s">
        <v>68</v>
      </c>
    </row>
    <row r="13" spans="1:23" s="101" customFormat="1" ht="183" customHeight="1">
      <c r="A13" s="153"/>
      <c r="B13" s="156"/>
      <c r="C13" s="120"/>
      <c r="D13" s="151"/>
      <c r="E13" s="152" t="s">
        <v>69</v>
      </c>
      <c r="F13" s="148" t="s">
        <v>70</v>
      </c>
      <c r="G13" s="149">
        <v>0</v>
      </c>
      <c r="H13" s="114">
        <v>70</v>
      </c>
      <c r="I13" s="148"/>
      <c r="J13" s="150" t="s">
        <v>65</v>
      </c>
      <c r="K13" s="150"/>
      <c r="L13" s="150" t="s">
        <v>27</v>
      </c>
      <c r="M13" s="150"/>
      <c r="N13" s="150"/>
      <c r="O13" s="150"/>
      <c r="P13" s="150"/>
      <c r="Q13" s="150"/>
      <c r="R13" s="150"/>
      <c r="S13" s="148"/>
      <c r="T13" s="150"/>
      <c r="U13" s="148"/>
      <c r="V13" s="144"/>
      <c r="W13" s="144"/>
    </row>
    <row r="14" spans="1:23" s="101" customFormat="1" ht="168" customHeight="1">
      <c r="A14" s="153"/>
      <c r="B14" s="156"/>
      <c r="C14" s="120"/>
      <c r="D14" s="151"/>
      <c r="E14" s="152" t="s">
        <v>30</v>
      </c>
      <c r="F14" s="148" t="s">
        <v>53</v>
      </c>
      <c r="G14" s="149">
        <v>0</v>
      </c>
      <c r="H14" s="149">
        <v>150</v>
      </c>
      <c r="I14" s="164"/>
      <c r="J14" s="150" t="s">
        <v>65</v>
      </c>
      <c r="K14" s="150"/>
      <c r="L14" s="150" t="s">
        <v>27</v>
      </c>
      <c r="M14" s="150"/>
      <c r="N14" s="150"/>
      <c r="O14" s="150"/>
      <c r="P14" s="150"/>
      <c r="Q14" s="150"/>
      <c r="R14" s="150"/>
      <c r="S14" s="148"/>
      <c r="T14" s="150"/>
      <c r="U14" s="148"/>
      <c r="V14" s="144"/>
      <c r="W14" s="144"/>
    </row>
    <row r="15" spans="1:23" s="101" customFormat="1" ht="76.5">
      <c r="A15" s="153"/>
      <c r="B15" s="156"/>
      <c r="C15" s="120"/>
      <c r="D15" s="151"/>
      <c r="E15" s="118" t="s">
        <v>58</v>
      </c>
      <c r="F15" s="148" t="s">
        <v>71</v>
      </c>
      <c r="G15" s="149">
        <v>0</v>
      </c>
      <c r="H15" s="149">
        <v>8</v>
      </c>
      <c r="I15" s="148"/>
      <c r="J15" s="150" t="s">
        <v>65</v>
      </c>
      <c r="K15" s="150"/>
      <c r="L15" s="150" t="s">
        <v>27</v>
      </c>
      <c r="M15" s="150"/>
      <c r="N15" s="150"/>
      <c r="O15" s="150"/>
      <c r="P15" s="150"/>
      <c r="Q15" s="150"/>
      <c r="R15" s="150"/>
      <c r="S15" s="148"/>
      <c r="T15" s="150"/>
      <c r="U15" s="148"/>
      <c r="V15" s="144"/>
      <c r="W15" s="144"/>
    </row>
    <row r="16" spans="1:23" s="101" customFormat="1" ht="60.75">
      <c r="A16" s="153"/>
      <c r="B16" s="156"/>
      <c r="C16" s="120"/>
      <c r="D16" s="151"/>
      <c r="E16" s="152" t="s">
        <v>58</v>
      </c>
      <c r="F16" s="148" t="s">
        <v>72</v>
      </c>
      <c r="G16" s="149">
        <v>0</v>
      </c>
      <c r="H16" s="149">
        <v>2</v>
      </c>
      <c r="I16" s="164"/>
      <c r="J16" s="150" t="s">
        <v>65</v>
      </c>
      <c r="K16" s="150"/>
      <c r="L16" s="150" t="s">
        <v>27</v>
      </c>
      <c r="M16" s="150"/>
      <c r="N16" s="150" t="s">
        <v>66</v>
      </c>
      <c r="O16" s="150" t="s">
        <v>29</v>
      </c>
      <c r="P16" s="150"/>
      <c r="Q16" s="150" t="s">
        <v>36</v>
      </c>
      <c r="R16" s="150" t="s">
        <v>67</v>
      </c>
      <c r="S16" s="148"/>
      <c r="T16" s="150"/>
      <c r="U16" s="148"/>
      <c r="V16" s="144"/>
      <c r="W16" s="144"/>
    </row>
    <row r="17" spans="1:21" s="101" customFormat="1" ht="45.75">
      <c r="A17" s="145">
        <v>117633</v>
      </c>
      <c r="B17" s="154" t="s">
        <v>73</v>
      </c>
      <c r="C17" s="121" t="s">
        <v>74</v>
      </c>
      <c r="D17" s="146" t="s">
        <v>75</v>
      </c>
      <c r="E17" s="118" t="s">
        <v>41</v>
      </c>
      <c r="F17" s="148" t="s">
        <v>41</v>
      </c>
      <c r="G17" s="149">
        <v>0</v>
      </c>
      <c r="H17" s="149">
        <v>7.1999999999999995E-2</v>
      </c>
      <c r="I17" s="148" t="s">
        <v>76</v>
      </c>
      <c r="J17" s="148"/>
      <c r="K17" s="148"/>
      <c r="L17" s="150" t="s">
        <v>27</v>
      </c>
      <c r="M17" s="150"/>
      <c r="N17" s="150" t="s">
        <v>66</v>
      </c>
      <c r="O17" s="150" t="s">
        <v>29</v>
      </c>
      <c r="P17" s="150"/>
      <c r="Q17" s="150"/>
      <c r="R17" s="150"/>
      <c r="S17" s="148"/>
      <c r="T17" s="150"/>
      <c r="U17" s="148"/>
    </row>
    <row r="18" spans="1:21" s="101" customFormat="1" ht="91.5">
      <c r="A18" s="153"/>
      <c r="B18" s="156"/>
      <c r="C18" s="120"/>
      <c r="D18" s="151"/>
      <c r="E18" s="152" t="s">
        <v>77</v>
      </c>
      <c r="F18" s="148" t="s">
        <v>77</v>
      </c>
      <c r="G18" s="149">
        <v>0</v>
      </c>
      <c r="H18" s="149" t="s">
        <v>78</v>
      </c>
      <c r="I18" s="164" t="s">
        <v>79</v>
      </c>
      <c r="J18" s="148"/>
      <c r="K18" s="148"/>
      <c r="L18" s="150" t="s">
        <v>27</v>
      </c>
      <c r="M18" s="150"/>
      <c r="N18" s="150" t="s">
        <v>66</v>
      </c>
      <c r="O18" s="150" t="s">
        <v>29</v>
      </c>
      <c r="P18" s="150"/>
      <c r="Q18" s="150"/>
      <c r="R18" s="150"/>
      <c r="S18" s="148"/>
      <c r="T18" s="150"/>
      <c r="U18" s="148"/>
    </row>
    <row r="19" spans="1:21" s="101" customFormat="1" ht="30.75">
      <c r="A19" s="165"/>
      <c r="B19" s="165"/>
      <c r="C19" s="166"/>
      <c r="D19" s="165"/>
      <c r="E19" s="147" t="s">
        <v>80</v>
      </c>
      <c r="F19" s="167" t="s">
        <v>80</v>
      </c>
      <c r="G19" s="167">
        <v>0</v>
      </c>
      <c r="H19" s="167">
        <v>3</v>
      </c>
      <c r="I19" s="167" t="s">
        <v>81</v>
      </c>
      <c r="J19" s="167"/>
      <c r="K19" s="167"/>
      <c r="L19" s="150" t="s">
        <v>27</v>
      </c>
      <c r="M19" s="167"/>
      <c r="N19" s="167" t="s">
        <v>66</v>
      </c>
      <c r="O19" s="167" t="s">
        <v>29</v>
      </c>
      <c r="P19" s="167"/>
      <c r="Q19" s="167"/>
      <c r="R19" s="167"/>
      <c r="S19" s="167"/>
      <c r="T19" s="167"/>
      <c r="U19" s="167"/>
    </row>
    <row r="20" spans="1:21" s="101" customFormat="1" ht="45.75">
      <c r="A20" s="165"/>
      <c r="B20" s="165"/>
      <c r="C20" s="166"/>
      <c r="D20" s="165"/>
      <c r="E20" s="147" t="s">
        <v>82</v>
      </c>
      <c r="F20" s="167" t="s">
        <v>30</v>
      </c>
      <c r="G20" s="167">
        <v>0</v>
      </c>
      <c r="H20" s="167">
        <v>1600</v>
      </c>
      <c r="I20" s="167" t="s">
        <v>83</v>
      </c>
      <c r="J20" s="167"/>
      <c r="K20" s="167"/>
      <c r="L20" s="150" t="s">
        <v>27</v>
      </c>
      <c r="M20" s="167"/>
      <c r="N20" s="167" t="s">
        <v>66</v>
      </c>
      <c r="O20" s="167" t="s">
        <v>29</v>
      </c>
      <c r="P20" s="167"/>
      <c r="Q20" s="167"/>
      <c r="R20" s="167"/>
      <c r="S20" s="167"/>
      <c r="T20" s="167"/>
      <c r="U20" s="167"/>
    </row>
    <row r="21" spans="1:21" s="101" customFormat="1" ht="60.75">
      <c r="A21" s="165"/>
      <c r="B21" s="165"/>
      <c r="C21" s="166"/>
      <c r="D21" s="165"/>
      <c r="E21" s="147" t="s">
        <v>58</v>
      </c>
      <c r="F21" s="167" t="s">
        <v>59</v>
      </c>
      <c r="G21" s="167">
        <v>0</v>
      </c>
      <c r="H21" s="167">
        <v>46</v>
      </c>
      <c r="I21" s="167" t="s">
        <v>84</v>
      </c>
      <c r="J21" s="167"/>
      <c r="K21" s="167"/>
      <c r="L21" s="150" t="s">
        <v>27</v>
      </c>
      <c r="M21" s="167"/>
      <c r="N21" s="167" t="s">
        <v>66</v>
      </c>
      <c r="O21" s="167" t="s">
        <v>29</v>
      </c>
      <c r="P21" s="167"/>
      <c r="Q21" s="167"/>
      <c r="R21" s="167"/>
      <c r="S21" s="167"/>
      <c r="T21" s="167"/>
      <c r="U21" s="167"/>
    </row>
    <row r="22" spans="1:21" s="101" customFormat="1" ht="91.5">
      <c r="A22" s="165"/>
      <c r="B22" s="165"/>
      <c r="C22" s="166"/>
      <c r="D22" s="165"/>
      <c r="E22" s="147" t="s">
        <v>55</v>
      </c>
      <c r="F22" s="167" t="s">
        <v>19</v>
      </c>
      <c r="G22" s="167">
        <v>0</v>
      </c>
      <c r="H22" s="167">
        <v>6</v>
      </c>
      <c r="I22" s="167" t="s">
        <v>85</v>
      </c>
      <c r="J22" s="167"/>
      <c r="K22" s="167"/>
      <c r="L22" s="150" t="s">
        <v>27</v>
      </c>
      <c r="M22" s="167"/>
      <c r="N22" s="167" t="s">
        <v>66</v>
      </c>
      <c r="O22" s="167" t="s">
        <v>29</v>
      </c>
      <c r="P22" s="167"/>
      <c r="Q22" s="167" t="s">
        <v>86</v>
      </c>
      <c r="R22" s="167" t="s">
        <v>67</v>
      </c>
      <c r="S22" s="167"/>
      <c r="T22" s="167"/>
      <c r="U22" s="167"/>
    </row>
    <row r="23" spans="1:21" s="101" customFormat="1" ht="60.75">
      <c r="A23" s="168">
        <v>1000715</v>
      </c>
      <c r="B23" s="168" t="s">
        <v>87</v>
      </c>
      <c r="C23" s="169" t="s">
        <v>88</v>
      </c>
      <c r="D23" s="170">
        <v>2994199</v>
      </c>
      <c r="E23" s="147"/>
      <c r="F23" s="167" t="s">
        <v>39</v>
      </c>
      <c r="G23" s="167">
        <v>0</v>
      </c>
      <c r="H23" s="167" t="s">
        <v>89</v>
      </c>
      <c r="I23" s="167" t="s">
        <v>90</v>
      </c>
      <c r="J23" s="167"/>
      <c r="K23" s="167"/>
      <c r="L23" s="150" t="s">
        <v>27</v>
      </c>
      <c r="M23" s="167"/>
      <c r="N23" s="167"/>
      <c r="O23" s="167"/>
      <c r="P23" s="167"/>
      <c r="Q23" s="167"/>
      <c r="R23" s="167"/>
      <c r="S23" s="167"/>
      <c r="T23" s="167"/>
      <c r="U23" s="167"/>
    </row>
    <row r="24" spans="1:21" s="101" customFormat="1" ht="45.75">
      <c r="A24" s="165"/>
      <c r="B24" s="165"/>
      <c r="C24" s="166"/>
      <c r="D24" s="165"/>
      <c r="E24" s="147"/>
      <c r="F24" s="167" t="s">
        <v>42</v>
      </c>
      <c r="G24" s="167">
        <v>0</v>
      </c>
      <c r="H24" s="167" t="s">
        <v>89</v>
      </c>
      <c r="I24" s="167" t="s">
        <v>91</v>
      </c>
      <c r="J24" s="167"/>
      <c r="K24" s="167"/>
      <c r="L24" s="150" t="s">
        <v>27</v>
      </c>
      <c r="M24" s="167"/>
      <c r="N24" s="167"/>
      <c r="O24" s="167"/>
      <c r="P24" s="167"/>
      <c r="Q24" s="167"/>
      <c r="R24" s="167"/>
      <c r="S24" s="167"/>
      <c r="T24" s="167"/>
      <c r="U24" s="167"/>
    </row>
    <row r="25" spans="1:21" s="101" customFormat="1" ht="91.5">
      <c r="A25" s="165"/>
      <c r="B25" s="165"/>
      <c r="C25" s="166"/>
      <c r="D25" s="165"/>
      <c r="E25" s="147" t="s">
        <v>92</v>
      </c>
      <c r="F25" s="167" t="s">
        <v>93</v>
      </c>
      <c r="G25" s="167">
        <v>0</v>
      </c>
      <c r="H25" s="167">
        <v>36</v>
      </c>
      <c r="I25" s="167" t="s">
        <v>94</v>
      </c>
      <c r="J25" s="167"/>
      <c r="K25" s="167"/>
      <c r="L25" s="150" t="s">
        <v>27</v>
      </c>
      <c r="M25" s="167"/>
      <c r="N25" s="167"/>
      <c r="O25" s="167"/>
      <c r="P25" s="167"/>
      <c r="Q25" s="167"/>
      <c r="R25" s="167"/>
      <c r="S25" s="167"/>
      <c r="T25" s="167"/>
      <c r="U25" s="167"/>
    </row>
    <row r="26" spans="1:21" s="101" customFormat="1" ht="45.75">
      <c r="A26" s="165"/>
      <c r="B26" s="165"/>
      <c r="C26" s="166"/>
      <c r="D26" s="165"/>
      <c r="E26" s="147" t="s">
        <v>95</v>
      </c>
      <c r="F26" s="167" t="s">
        <v>96</v>
      </c>
      <c r="G26" s="167">
        <v>0</v>
      </c>
      <c r="H26" s="167">
        <v>8</v>
      </c>
      <c r="I26" s="167" t="s">
        <v>97</v>
      </c>
      <c r="J26" s="167"/>
      <c r="K26" s="167"/>
      <c r="L26" s="150" t="s">
        <v>27</v>
      </c>
      <c r="M26" s="167"/>
      <c r="N26" s="167"/>
      <c r="O26" s="167"/>
      <c r="P26" s="167"/>
      <c r="Q26" s="167"/>
      <c r="R26" s="167"/>
      <c r="S26" s="167"/>
      <c r="T26" s="167"/>
      <c r="U26" s="167"/>
    </row>
    <row r="27" spans="1:21" s="101" customFormat="1" ht="60.75">
      <c r="A27" s="165"/>
      <c r="B27" s="165"/>
      <c r="C27" s="166"/>
      <c r="D27" s="165"/>
      <c r="E27" s="147" t="s">
        <v>82</v>
      </c>
      <c r="F27" s="167" t="s">
        <v>53</v>
      </c>
      <c r="G27" s="167">
        <v>0</v>
      </c>
      <c r="H27" s="167">
        <v>10100</v>
      </c>
      <c r="I27" s="167" t="s">
        <v>98</v>
      </c>
      <c r="J27" s="167"/>
      <c r="K27" s="167"/>
      <c r="L27" s="150" t="s">
        <v>27</v>
      </c>
      <c r="M27" s="167"/>
      <c r="N27" s="167"/>
      <c r="O27" s="167"/>
      <c r="P27" s="167"/>
      <c r="Q27" s="167"/>
      <c r="R27" s="167"/>
      <c r="S27" s="167"/>
      <c r="T27" s="167"/>
      <c r="U27" s="167"/>
    </row>
    <row r="28" spans="1:21" s="101" customFormat="1" ht="45.75">
      <c r="A28" s="165"/>
      <c r="B28" s="165"/>
      <c r="C28" s="166"/>
      <c r="D28" s="165"/>
      <c r="E28" s="147" t="s">
        <v>99</v>
      </c>
      <c r="F28" s="167" t="s">
        <v>100</v>
      </c>
      <c r="G28" s="167">
        <v>0</v>
      </c>
      <c r="H28" s="167">
        <v>5</v>
      </c>
      <c r="I28" s="167" t="s">
        <v>101</v>
      </c>
      <c r="J28" s="167"/>
      <c r="K28" s="167"/>
      <c r="L28" s="150" t="s">
        <v>27</v>
      </c>
      <c r="M28" s="167"/>
      <c r="N28" s="167"/>
      <c r="O28" s="167"/>
      <c r="P28" s="167"/>
      <c r="Q28" s="167"/>
      <c r="R28" s="167"/>
      <c r="S28" s="167"/>
      <c r="T28" s="167"/>
      <c r="U28" s="167"/>
    </row>
    <row r="29" spans="1:21" s="101" customFormat="1" ht="76.5">
      <c r="A29" s="171"/>
      <c r="B29" s="171"/>
      <c r="C29" s="172"/>
      <c r="D29" s="171"/>
      <c r="E29" s="147" t="s">
        <v>55</v>
      </c>
      <c r="F29" s="167" t="s">
        <v>56</v>
      </c>
      <c r="G29" s="167">
        <v>0</v>
      </c>
      <c r="H29" s="167">
        <v>4</v>
      </c>
      <c r="I29" s="167" t="s">
        <v>102</v>
      </c>
      <c r="J29" s="167"/>
      <c r="K29" s="167"/>
      <c r="L29" s="150" t="s">
        <v>27</v>
      </c>
      <c r="M29" s="167"/>
      <c r="N29" s="167"/>
      <c r="O29" s="167"/>
      <c r="P29" s="167"/>
      <c r="Q29" s="167"/>
      <c r="R29" s="167"/>
      <c r="S29" s="167"/>
      <c r="T29" s="167"/>
      <c r="U29" s="167"/>
    </row>
  </sheetData>
  <dataValidations count="9">
    <dataValidation type="list" allowBlank="1" showInputMessage="1" showErrorMessage="1" sqref="S2:S18" xr:uid="{CBB3BE96-769B-444E-8F19-B98B8A733B77}">
      <formula1>"Solar, Wind, Bioenergy, Hydro, Geothermal, Waste, Some Sources, Other, Unknown"</formula1>
    </dataValidation>
    <dataValidation type="list" allowBlank="1" showInputMessage="1" showErrorMessage="1" sqref="R2:R18" xr:uid="{3E5BD2C4-7544-4588-A369-02B6A7760BF9}">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29" xr:uid="{93D95E4A-2418-4F02-BE48-19085DA84CFB}">
      <formula1>"Non-VF, VF"</formula1>
    </dataValidation>
    <dataValidation type="list" allowBlank="1" showInputMessage="1" showErrorMessage="1" sqref="T2:T18" xr:uid="{C2D3F982-E068-4D51-9E16-80E76097186A}">
      <formula1>"National, Regional, City, Community"</formula1>
    </dataValidation>
    <dataValidation type="list" allowBlank="1" showInputMessage="1" showErrorMessage="1" sqref="M2:M18" xr:uid="{65F63630-8818-4CFE-840F-9981A10EF94A}">
      <formula1>"Finance, Gender, Efficiency, Just, Health"</formula1>
    </dataValidation>
    <dataValidation type="list" allowBlank="1" showInputMessage="1" showErrorMessage="1" sqref="O2:O18" xr:uid="{4A8BEEC2-2B38-4CA7-B2B1-346B4B79E8CD}">
      <formula1>"Electricity Access, Energy Efficiency, Clean Cooking, Renewable Energy, Overall"</formula1>
    </dataValidation>
    <dataValidation type="list" allowBlank="1" showInputMessage="1" showErrorMessage="1" sqref="N2:N18" xr:uid="{2487365A-4460-4174-9145-DF094CCDCA1B}">
      <formula1>"Accelerating just energy transition, Close the gap on energy access, Scale up energy finance"</formula1>
    </dataValidation>
    <dataValidation type="list" allowBlank="1" showInputMessage="1" showErrorMessage="1" sqref="P2:P18" xr:uid="{EE07AFA3-F39E-4B10-8B47-6CB08A2C6EC9}">
      <formula1>"AMP, PUDC, Solar4Health, Action Opportunities, Italy UNDP Energy Partnership"</formula1>
    </dataValidation>
    <dataValidation type="list" allowBlank="1" showInputMessage="1" showErrorMessage="1" sqref="Q2:Q18" xr:uid="{35F880E9-AE57-4F56-B3A8-3063679FE002}">
      <formula1>"NDC Support, National Strategy, Legal Framework,Incentives and Support, Government Capacity-Building, Carbon Pricing and Monitoring, Financing Model, Business Model"</formula1>
    </dataValidation>
  </dataValidations>
  <hyperlinks>
    <hyperlink ref="C2" r:id="rId1" xr:uid="{B017DF94-98BD-4F20-B777-E60AB2916023}"/>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A6BA0BDA-3315-4E35-8DBE-26FCCAFECD30}">
          <x14:formula1>
            <xm:f>'Beneficiary Categories'!$A$2:$A$22</xm:f>
          </x14:formula1>
          <xm:sqref>E2:E18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726E-0702-4819-A4CE-990D59EFF568}">
  <dimension ref="A1:W18"/>
  <sheetViews>
    <sheetView workbookViewId="0">
      <pane xSplit="1" ySplit="1" topLeftCell="D3" activePane="bottomRight" state="frozen"/>
      <selection pane="bottomRight" activeCell="H11" sqref="H11"/>
      <selection pane="bottomLeft"/>
      <selection pane="topRight"/>
    </sheetView>
  </sheetViews>
  <sheetFormatPr defaultRowHeight="15"/>
  <cols>
    <col min="1" max="1" width="14.42578125" customWidth="1"/>
    <col min="2" max="2" width="32.140625" customWidth="1"/>
    <col min="3" max="3" width="18.7109375" customWidth="1"/>
    <col min="4" max="4" width="15.140625" customWidth="1"/>
    <col min="5" max="5" width="22.5703125" customWidth="1"/>
    <col min="6" max="6" width="36.140625" customWidth="1"/>
    <col min="7" max="7" width="11.7109375" customWidth="1"/>
    <col min="8" max="8" width="14.140625" customWidth="1"/>
    <col min="9" max="9" width="60" customWidth="1"/>
    <col min="10" max="10" width="16.42578125" customWidth="1"/>
    <col min="11" max="11" width="10.42578125" customWidth="1"/>
    <col min="12" max="12" width="12.85546875" bestFit="1" customWidth="1"/>
    <col min="13" max="13" width="15.28515625" customWidth="1"/>
    <col min="14" max="14" width="14.42578125" bestFit="1" customWidth="1"/>
    <col min="15" max="15" width="35" customWidth="1"/>
    <col min="16" max="17" width="22.5703125" customWidth="1"/>
    <col min="18" max="18" width="18.140625" bestFit="1" customWidth="1"/>
    <col min="19" max="19" width="20.7109375" customWidth="1"/>
    <col min="20" max="20" width="30" customWidth="1"/>
    <col min="21" max="21" width="16.7109375" bestFit="1" customWidth="1"/>
    <col min="23" max="23" width="82.5703125" customWidth="1"/>
  </cols>
  <sheetData>
    <row r="1" spans="1:23" ht="30.75">
      <c r="A1" s="64" t="s">
        <v>0</v>
      </c>
      <c r="B1" s="64" t="s">
        <v>1</v>
      </c>
      <c r="C1" s="64" t="s">
        <v>2</v>
      </c>
      <c r="D1" s="64" t="s">
        <v>3</v>
      </c>
      <c r="E1" s="64" t="s">
        <v>4</v>
      </c>
      <c r="F1" s="64" t="s">
        <v>5</v>
      </c>
      <c r="G1" s="64" t="s">
        <v>6</v>
      </c>
      <c r="H1" s="64" t="s">
        <v>7</v>
      </c>
      <c r="I1" s="64" t="s">
        <v>8</v>
      </c>
      <c r="J1" s="65" t="s">
        <v>9</v>
      </c>
      <c r="K1" s="65" t="s">
        <v>10</v>
      </c>
      <c r="L1" s="70" t="s">
        <v>11</v>
      </c>
      <c r="M1" s="71" t="s">
        <v>12</v>
      </c>
      <c r="N1" s="70" t="s">
        <v>13</v>
      </c>
      <c r="O1" s="70" t="s">
        <v>14</v>
      </c>
      <c r="P1" s="71" t="s">
        <v>15</v>
      </c>
      <c r="Q1" s="71" t="s">
        <v>16</v>
      </c>
      <c r="R1" s="72" t="s">
        <v>17</v>
      </c>
      <c r="S1" s="73" t="s">
        <v>18</v>
      </c>
      <c r="T1" s="72" t="s">
        <v>19</v>
      </c>
      <c r="U1" s="73" t="s">
        <v>20</v>
      </c>
    </row>
    <row r="2" spans="1:23" ht="45.75" customHeight="1">
      <c r="A2" s="43">
        <v>130633</v>
      </c>
      <c r="B2" s="44" t="s">
        <v>103</v>
      </c>
      <c r="C2" s="45" t="s">
        <v>22</v>
      </c>
      <c r="D2" s="46">
        <v>896583</v>
      </c>
      <c r="E2" t="s">
        <v>23</v>
      </c>
      <c r="F2" s="3" t="s">
        <v>24</v>
      </c>
      <c r="G2" s="5">
        <v>0</v>
      </c>
      <c r="H2" s="5">
        <v>50</v>
      </c>
      <c r="I2" s="38" t="s">
        <v>104</v>
      </c>
      <c r="J2" s="47" t="s">
        <v>26</v>
      </c>
      <c r="K2" s="47"/>
      <c r="L2" s="74" t="s">
        <v>27</v>
      </c>
      <c r="M2" s="67"/>
      <c r="N2" s="75" t="s">
        <v>28</v>
      </c>
      <c r="O2" s="67"/>
      <c r="P2" s="67"/>
      <c r="Q2" s="67"/>
      <c r="R2" s="67"/>
      <c r="S2" s="76"/>
      <c r="T2" s="67"/>
      <c r="U2" s="76"/>
    </row>
    <row r="3" spans="1:23" ht="366">
      <c r="A3" s="98"/>
      <c r="B3" s="49"/>
      <c r="C3" s="50"/>
      <c r="D3" s="51"/>
      <c r="E3" s="3" t="s">
        <v>105</v>
      </c>
      <c r="F3" s="3" t="s">
        <v>31</v>
      </c>
      <c r="G3" s="5">
        <v>0</v>
      </c>
      <c r="H3" s="5">
        <v>350</v>
      </c>
      <c r="I3" s="24" t="s">
        <v>106</v>
      </c>
      <c r="J3" s="47" t="s">
        <v>26</v>
      </c>
      <c r="K3" s="52"/>
      <c r="L3" s="74" t="s">
        <v>27</v>
      </c>
      <c r="M3" s="67"/>
      <c r="N3" s="75" t="s">
        <v>28</v>
      </c>
      <c r="O3" s="67"/>
      <c r="P3" s="67"/>
      <c r="Q3" s="67"/>
      <c r="R3" s="67"/>
      <c r="S3" s="76"/>
      <c r="T3" s="67"/>
      <c r="U3" s="76"/>
    </row>
    <row r="4" spans="1:23" ht="259.5">
      <c r="A4" s="53"/>
      <c r="B4" s="54"/>
      <c r="C4" s="55"/>
      <c r="D4" s="56"/>
      <c r="E4" s="3" t="s">
        <v>19</v>
      </c>
      <c r="F4" s="3" t="s">
        <v>34</v>
      </c>
      <c r="G4" s="5">
        <v>0</v>
      </c>
      <c r="H4" s="32">
        <v>3</v>
      </c>
      <c r="I4" s="33" t="s">
        <v>107</v>
      </c>
      <c r="J4" s="47" t="s">
        <v>26</v>
      </c>
      <c r="K4" s="57"/>
      <c r="L4" s="74" t="s">
        <v>27</v>
      </c>
      <c r="M4" s="67"/>
      <c r="N4" s="75" t="s">
        <v>28</v>
      </c>
      <c r="O4" s="67" t="s">
        <v>45</v>
      </c>
      <c r="P4" s="67"/>
      <c r="Q4" s="67" t="s">
        <v>86</v>
      </c>
      <c r="R4" s="67" t="s">
        <v>67</v>
      </c>
      <c r="S4" s="76"/>
      <c r="T4" s="67" t="s">
        <v>108</v>
      </c>
      <c r="U4" s="76"/>
    </row>
    <row r="5" spans="1:23" ht="90.75" customHeight="1">
      <c r="A5" s="47">
        <v>1061012</v>
      </c>
      <c r="B5" s="44" t="s">
        <v>109</v>
      </c>
      <c r="C5" s="47"/>
      <c r="D5" s="46">
        <v>1128978</v>
      </c>
      <c r="E5" t="s">
        <v>23</v>
      </c>
      <c r="F5" s="3" t="s">
        <v>39</v>
      </c>
      <c r="G5" s="5">
        <v>0</v>
      </c>
      <c r="H5" s="5">
        <v>0</v>
      </c>
      <c r="I5" s="3" t="s">
        <v>110</v>
      </c>
      <c r="J5" s="3"/>
      <c r="K5" s="3"/>
      <c r="L5" s="74" t="s">
        <v>27</v>
      </c>
      <c r="M5" s="67"/>
      <c r="N5" s="75" t="s">
        <v>28</v>
      </c>
      <c r="O5" s="67"/>
      <c r="P5" s="67"/>
      <c r="Q5" s="67"/>
      <c r="R5" s="67"/>
      <c r="S5" s="76"/>
      <c r="T5" s="67"/>
      <c r="U5" s="76"/>
    </row>
    <row r="6" spans="1:23" ht="70.5" customHeight="1">
      <c r="A6" s="52"/>
      <c r="B6" s="49"/>
      <c r="C6" s="52"/>
      <c r="D6" s="58"/>
      <c r="E6" s="23" t="s">
        <v>41</v>
      </c>
      <c r="F6" s="3" t="s">
        <v>42</v>
      </c>
      <c r="G6" s="5">
        <v>0</v>
      </c>
      <c r="H6" s="5">
        <v>0</v>
      </c>
      <c r="I6" s="3" t="s">
        <v>49</v>
      </c>
      <c r="J6" s="3"/>
      <c r="K6" s="3"/>
      <c r="L6" s="74" t="s">
        <v>27</v>
      </c>
      <c r="M6" s="67"/>
      <c r="N6" s="75" t="s">
        <v>28</v>
      </c>
      <c r="O6" s="67"/>
      <c r="P6" s="67"/>
      <c r="Q6" s="67"/>
      <c r="R6" s="67"/>
      <c r="S6" s="76" t="s">
        <v>111</v>
      </c>
      <c r="T6" s="67"/>
      <c r="U6" s="76"/>
    </row>
    <row r="7" spans="1:23" ht="45.75">
      <c r="A7" s="52"/>
      <c r="B7" s="49"/>
      <c r="C7" s="52"/>
      <c r="D7" s="58"/>
      <c r="E7" s="23" t="s">
        <v>46</v>
      </c>
      <c r="F7" s="3" t="s">
        <v>47</v>
      </c>
      <c r="G7" s="5">
        <v>0</v>
      </c>
      <c r="H7" s="39" t="s">
        <v>112</v>
      </c>
      <c r="I7" s="3" t="s">
        <v>49</v>
      </c>
      <c r="J7" s="3"/>
      <c r="K7" s="3"/>
      <c r="L7" s="74" t="s">
        <v>27</v>
      </c>
      <c r="M7" s="67"/>
      <c r="N7" s="75" t="s">
        <v>28</v>
      </c>
      <c r="O7" s="67"/>
      <c r="P7" s="67"/>
      <c r="Q7" s="67"/>
      <c r="R7" s="67"/>
      <c r="S7" s="76" t="s">
        <v>111</v>
      </c>
      <c r="T7" s="67"/>
      <c r="U7" s="76"/>
    </row>
    <row r="8" spans="1:23" ht="45.75">
      <c r="A8" s="52"/>
      <c r="B8" s="49"/>
      <c r="C8" s="52"/>
      <c r="D8" s="58"/>
      <c r="E8" s="23" t="s">
        <v>113</v>
      </c>
      <c r="F8" s="40" t="s">
        <v>51</v>
      </c>
      <c r="G8" s="5">
        <v>0</v>
      </c>
      <c r="H8" s="5">
        <v>0</v>
      </c>
      <c r="I8" s="3" t="s">
        <v>49</v>
      </c>
      <c r="J8" s="3"/>
      <c r="K8" s="3"/>
      <c r="L8" s="74" t="s">
        <v>27</v>
      </c>
      <c r="M8" s="67"/>
      <c r="N8" s="75" t="s">
        <v>28</v>
      </c>
      <c r="O8" s="67"/>
      <c r="P8" s="67"/>
      <c r="Q8" s="67"/>
      <c r="R8" s="67"/>
      <c r="S8" s="76"/>
      <c r="T8" s="67"/>
      <c r="U8" s="76"/>
    </row>
    <row r="9" spans="1:23" ht="45.75">
      <c r="A9" s="52"/>
      <c r="B9" s="49"/>
      <c r="C9" s="52"/>
      <c r="D9" s="58"/>
      <c r="E9" s="3" t="s">
        <v>105</v>
      </c>
      <c r="F9" s="40" t="s">
        <v>53</v>
      </c>
      <c r="G9" s="5">
        <v>0</v>
      </c>
      <c r="H9" s="5">
        <v>0</v>
      </c>
      <c r="I9" s="3" t="s">
        <v>49</v>
      </c>
      <c r="J9" s="3"/>
      <c r="K9" s="3"/>
      <c r="L9" s="74" t="s">
        <v>27</v>
      </c>
      <c r="M9" s="67"/>
      <c r="N9" s="75" t="s">
        <v>28</v>
      </c>
      <c r="O9" s="67"/>
      <c r="P9" s="67"/>
      <c r="Q9" s="67"/>
      <c r="R9" s="67"/>
      <c r="S9" s="76"/>
      <c r="T9" s="67"/>
      <c r="U9" s="76"/>
    </row>
    <row r="10" spans="1:23" ht="45.75">
      <c r="A10" s="57"/>
      <c r="B10" s="54"/>
      <c r="C10" s="57"/>
      <c r="D10" s="59"/>
      <c r="E10" s="23" t="str">
        <f>'Beneficiary Categories'!A15</f>
        <v>Medium Enterprises</v>
      </c>
      <c r="F10" s="41" t="s">
        <v>56</v>
      </c>
      <c r="G10" s="5">
        <v>0</v>
      </c>
      <c r="H10" s="5">
        <v>0</v>
      </c>
      <c r="I10" s="3" t="s">
        <v>49</v>
      </c>
      <c r="J10" s="3"/>
      <c r="K10" s="3"/>
      <c r="L10" s="74" t="s">
        <v>27</v>
      </c>
      <c r="M10" s="67"/>
      <c r="N10" s="75" t="s">
        <v>28</v>
      </c>
      <c r="O10" s="67"/>
      <c r="P10" s="67"/>
      <c r="Q10" s="67"/>
      <c r="R10" s="67"/>
      <c r="S10" s="76"/>
      <c r="T10" s="67"/>
      <c r="U10" s="76"/>
    </row>
    <row r="11" spans="1:23" s="1" customFormat="1" ht="161.25" customHeight="1">
      <c r="A11" s="60">
        <v>134019</v>
      </c>
      <c r="B11" s="60" t="s">
        <v>61</v>
      </c>
      <c r="C11" s="47" t="s">
        <v>114</v>
      </c>
      <c r="D11" s="46">
        <v>3000000</v>
      </c>
      <c r="E11" s="23" t="s">
        <v>58</v>
      </c>
      <c r="F11" s="14" t="s">
        <v>70</v>
      </c>
      <c r="G11" s="5">
        <v>0</v>
      </c>
      <c r="H11" s="5">
        <v>70</v>
      </c>
      <c r="I11" s="61" t="s">
        <v>115</v>
      </c>
      <c r="J11" s="14"/>
      <c r="K11" s="14"/>
      <c r="L11" s="74" t="s">
        <v>27</v>
      </c>
      <c r="M11" s="67"/>
      <c r="N11" s="75" t="s">
        <v>28</v>
      </c>
      <c r="O11" s="67"/>
      <c r="P11" s="67"/>
      <c r="Q11" s="67"/>
      <c r="R11" s="67"/>
      <c r="S11" s="76"/>
      <c r="T11" s="67"/>
      <c r="U11" s="76"/>
    </row>
    <row r="12" spans="1:23" s="2" customFormat="1" ht="91.5">
      <c r="A12" s="79"/>
      <c r="B12" s="14" t="s">
        <v>116</v>
      </c>
      <c r="C12" s="35"/>
      <c r="D12" s="78"/>
      <c r="E12" s="80" t="s">
        <v>58</v>
      </c>
      <c r="F12" s="14" t="s">
        <v>71</v>
      </c>
      <c r="G12" s="5">
        <v>0</v>
      </c>
      <c r="H12" s="81">
        <v>20</v>
      </c>
      <c r="I12" s="77"/>
      <c r="J12" s="75"/>
      <c r="K12" s="35"/>
      <c r="L12" s="74" t="s">
        <v>27</v>
      </c>
      <c r="M12" s="67"/>
      <c r="N12" s="75" t="s">
        <v>28</v>
      </c>
      <c r="O12" s="67"/>
      <c r="P12" s="67"/>
      <c r="Q12" s="67"/>
      <c r="R12" s="67"/>
      <c r="S12" s="76"/>
      <c r="T12" s="67"/>
      <c r="U12" s="76"/>
      <c r="W12" t="s">
        <v>68</v>
      </c>
    </row>
    <row r="13" spans="1:23" ht="183" customHeight="1">
      <c r="A13" s="43">
        <v>117633</v>
      </c>
      <c r="B13" s="52" t="s">
        <v>73</v>
      </c>
      <c r="C13" s="62" t="s">
        <v>74</v>
      </c>
      <c r="D13" s="51">
        <v>2201100</v>
      </c>
      <c r="E13" s="3" t="s">
        <v>41</v>
      </c>
      <c r="F13" s="3" t="s">
        <v>41</v>
      </c>
      <c r="G13" s="5">
        <v>0</v>
      </c>
      <c r="H13" s="32">
        <v>0.05</v>
      </c>
      <c r="I13" s="82" t="s">
        <v>117</v>
      </c>
      <c r="J13" s="3"/>
      <c r="K13" s="3"/>
      <c r="L13" s="74" t="s">
        <v>27</v>
      </c>
      <c r="M13" s="67"/>
      <c r="N13" s="75" t="s">
        <v>28</v>
      </c>
      <c r="O13" s="67"/>
      <c r="P13" s="67"/>
      <c r="Q13" s="67"/>
      <c r="R13" s="67"/>
      <c r="S13" s="76" t="s">
        <v>118</v>
      </c>
      <c r="T13" s="67"/>
      <c r="U13" s="76"/>
    </row>
    <row r="14" spans="1:23" ht="168" customHeight="1">
      <c r="A14" s="48"/>
      <c r="B14" s="52"/>
      <c r="C14" s="62"/>
      <c r="D14" s="51"/>
      <c r="E14" s="3" t="s">
        <v>119</v>
      </c>
      <c r="F14" s="3" t="s">
        <v>77</v>
      </c>
      <c r="G14" s="5">
        <v>0</v>
      </c>
      <c r="H14" s="5">
        <v>1300</v>
      </c>
      <c r="I14" s="42" t="s">
        <v>120</v>
      </c>
      <c r="J14" s="3"/>
      <c r="K14" s="3"/>
      <c r="L14" s="74" t="s">
        <v>27</v>
      </c>
      <c r="M14" s="67"/>
      <c r="N14" s="75" t="s">
        <v>28</v>
      </c>
      <c r="O14" s="67"/>
      <c r="P14" s="67"/>
      <c r="Q14" s="67"/>
      <c r="R14" s="67"/>
      <c r="S14" s="76"/>
      <c r="T14" s="67"/>
      <c r="U14" s="76"/>
    </row>
    <row r="15" spans="1:23" ht="45.75">
      <c r="A15" s="48"/>
      <c r="B15" s="52"/>
      <c r="C15" s="62"/>
      <c r="D15" s="51"/>
      <c r="E15" s="23" t="s">
        <v>80</v>
      </c>
      <c r="F15" s="3" t="s">
        <v>80</v>
      </c>
      <c r="G15" s="5">
        <v>0</v>
      </c>
      <c r="H15" s="5">
        <v>3</v>
      </c>
      <c r="I15" s="3" t="s">
        <v>81</v>
      </c>
      <c r="J15" s="3"/>
      <c r="K15" s="3"/>
      <c r="L15" s="74" t="s">
        <v>27</v>
      </c>
      <c r="M15" s="67"/>
      <c r="N15" s="75" t="s">
        <v>28</v>
      </c>
      <c r="O15" s="67"/>
      <c r="P15" s="67"/>
      <c r="Q15" s="67"/>
      <c r="R15" s="67"/>
      <c r="S15" s="76"/>
      <c r="T15" s="67"/>
      <c r="U15" s="76"/>
    </row>
    <row r="16" spans="1:23" ht="76.5">
      <c r="A16" s="48"/>
      <c r="B16" s="52"/>
      <c r="C16" s="62"/>
      <c r="D16" s="51"/>
      <c r="E16" s="3" t="s">
        <v>105</v>
      </c>
      <c r="F16" s="3" t="s">
        <v>30</v>
      </c>
      <c r="G16" s="5">
        <v>0</v>
      </c>
      <c r="H16" s="5">
        <v>1600</v>
      </c>
      <c r="I16" s="42" t="s">
        <v>83</v>
      </c>
      <c r="J16" s="3"/>
      <c r="K16" s="3"/>
      <c r="L16" s="74" t="s">
        <v>27</v>
      </c>
      <c r="M16" s="67"/>
      <c r="N16" s="75" t="s">
        <v>28</v>
      </c>
      <c r="O16" s="67"/>
      <c r="P16" s="67"/>
      <c r="Q16" s="67"/>
      <c r="R16" s="67"/>
      <c r="S16" s="76"/>
      <c r="T16" s="67"/>
      <c r="U16" s="76"/>
    </row>
    <row r="17" spans="1:21" ht="76.5">
      <c r="A17" s="48"/>
      <c r="B17" s="52"/>
      <c r="C17" s="62"/>
      <c r="D17" s="51"/>
      <c r="E17" s="23" t="s">
        <v>58</v>
      </c>
      <c r="F17" s="3" t="s">
        <v>59</v>
      </c>
      <c r="G17" s="5">
        <v>0</v>
      </c>
      <c r="H17" s="5">
        <v>46</v>
      </c>
      <c r="I17" s="3" t="s">
        <v>84</v>
      </c>
      <c r="J17" s="3"/>
      <c r="K17" s="3"/>
      <c r="L17" s="74" t="s">
        <v>27</v>
      </c>
      <c r="M17" s="67"/>
      <c r="N17" s="75" t="s">
        <v>28</v>
      </c>
      <c r="O17" s="67"/>
      <c r="P17" s="67"/>
      <c r="Q17" s="67"/>
      <c r="R17" s="67"/>
      <c r="S17" s="76"/>
      <c r="T17" s="67"/>
      <c r="U17" s="76"/>
    </row>
    <row r="18" spans="1:21" ht="121.5">
      <c r="A18" s="53"/>
      <c r="B18" s="57"/>
      <c r="C18" s="63"/>
      <c r="D18" s="56"/>
      <c r="E18" s="3" t="s">
        <v>19</v>
      </c>
      <c r="F18" s="3" t="s">
        <v>19</v>
      </c>
      <c r="G18" s="5">
        <v>0</v>
      </c>
      <c r="H18" s="5">
        <v>6</v>
      </c>
      <c r="I18" s="42" t="s">
        <v>121</v>
      </c>
      <c r="J18" s="3"/>
      <c r="K18" s="66"/>
      <c r="L18" s="74" t="s">
        <v>27</v>
      </c>
      <c r="M18" s="67"/>
      <c r="N18" s="75" t="s">
        <v>28</v>
      </c>
      <c r="O18" s="67" t="s">
        <v>45</v>
      </c>
      <c r="P18" s="67"/>
      <c r="Q18" s="67" t="s">
        <v>86</v>
      </c>
      <c r="R18" s="67" t="s">
        <v>67</v>
      </c>
      <c r="S18" s="76"/>
      <c r="T18" s="67" t="s">
        <v>108</v>
      </c>
      <c r="U18" s="76"/>
    </row>
  </sheetData>
  <dataValidations count="9">
    <dataValidation type="list" allowBlank="1" showInputMessage="1" showErrorMessage="1" sqref="Q2:Q18" xr:uid="{C822BCA2-682A-46CB-8EA9-9EC4EF530B84}">
      <formula1>"NDC Support, National Strategy, Legal Framework,Incentives and Support, Government Capacity-Building, Carbon Pricing and Monitoring, Financing Model, Business Model"</formula1>
    </dataValidation>
    <dataValidation type="list" allowBlank="1" showInputMessage="1" showErrorMessage="1" sqref="P2:P18" xr:uid="{DCFF1489-C7AE-4542-9904-45458AEE6C6A}">
      <formula1>"AMP, PUDC, Solar4Health, Action Opportunities, Italy UNDP Energy Partnership"</formula1>
    </dataValidation>
    <dataValidation type="list" allowBlank="1" showInputMessage="1" showErrorMessage="1" sqref="N2:N18" xr:uid="{C1D0A057-B545-4209-BDA4-C821048726C4}">
      <formula1>"Accelerating just energy transition, Close the gap on energy access, Scale up energy finance"</formula1>
    </dataValidation>
    <dataValidation type="list" allowBlank="1" showInputMessage="1" showErrorMessage="1" sqref="O2:O18" xr:uid="{34525E18-AABA-445B-89D4-318215A40C6D}">
      <formula1>"Electricity Access, Energy Efficiency, Clean Cooking, Renewable Energy, Overall"</formula1>
    </dataValidation>
    <dataValidation type="list" allowBlank="1" showInputMessage="1" showErrorMessage="1" sqref="M2:M18" xr:uid="{F3241823-050B-4948-9DCC-2C5CDE2904AD}">
      <formula1>"Finance, Gender, Efficiency, Just, Health"</formula1>
    </dataValidation>
    <dataValidation type="list" allowBlank="1" showInputMessage="1" showErrorMessage="1" sqref="T2:T18" xr:uid="{BC9DEF35-E592-47D7-A2E7-BA08AF2FB3E6}">
      <formula1>"National, Regional, City, Community"</formula1>
    </dataValidation>
    <dataValidation type="list" allowBlank="1" showInputMessage="1" showErrorMessage="1" sqref="L2:L18" xr:uid="{4BE33C61-BBD3-4FA9-B4ED-B135382FD541}">
      <formula1>"Non-VF, VF"</formula1>
    </dataValidation>
    <dataValidation type="list" allowBlank="1" showInputMessage="1" showErrorMessage="1" sqref="R2:R18" xr:uid="{DA87C010-DAE5-4386-9EE2-A1E8CA8D6CF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8" xr:uid="{7EF42646-4455-44DE-9F26-6AE240E5B718}">
      <formula1>"Solar, Wind, Bioenergy, Hydro, Geothermal, Waste, Some Sources, Other, Unknown"</formula1>
    </dataValidation>
  </dataValidations>
  <hyperlinks>
    <hyperlink ref="C13" r:id="rId1" xr:uid="{CE5DD5C7-7986-4F7B-AD7C-255694C6DAC7}"/>
    <hyperlink ref="C2" r:id="rId2" xr:uid="{AC6099BE-5B14-4B8B-A8EA-DF2DE59FB182}"/>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21309B89-ED70-45AA-9F6E-FA04893191DB}">
          <x14:formula1>
            <xm:f>'Beneficiary Categories'!$A$2:$A$22</xm:f>
          </x14:formula1>
          <xm:sqref>E2:E18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9273-312D-42BB-A533-C1ED9908BEC3}">
  <sheetPr>
    <tabColor rgb="FFFFFF00"/>
  </sheetPr>
  <dimension ref="A1:S27"/>
  <sheetViews>
    <sheetView topLeftCell="A21" workbookViewId="0">
      <selection activeCell="I26" sqref="I26"/>
    </sheetView>
  </sheetViews>
  <sheetFormatPr defaultRowHeight="15"/>
  <cols>
    <col min="1" max="1" width="14.42578125" customWidth="1"/>
    <col min="2" max="2" width="32.140625" customWidth="1"/>
    <col min="3" max="3" width="41.7109375" customWidth="1"/>
    <col min="4" max="4" width="15.140625" customWidth="1"/>
    <col min="5" max="5" width="26" customWidth="1"/>
    <col min="6" max="6" width="31.7109375" customWidth="1"/>
    <col min="7" max="7" width="11.7109375" customWidth="1"/>
    <col min="8" max="8" width="14.140625" customWidth="1"/>
    <col min="9" max="9" width="68.5703125" customWidth="1"/>
    <col min="10" max="10" width="16.42578125" customWidth="1"/>
    <col min="11" max="11" width="16.140625" customWidth="1"/>
    <col min="13" max="13" width="32.5703125" customWidth="1"/>
    <col min="15" max="15" width="35" customWidth="1"/>
    <col min="16" max="16" width="22.5703125" customWidth="1"/>
    <col min="18" max="18" width="20.7109375" customWidth="1"/>
    <col min="19" max="19" width="30" customWidth="1"/>
  </cols>
  <sheetData>
    <row r="1" spans="1:19">
      <c r="A1" s="28" t="s">
        <v>0</v>
      </c>
      <c r="B1" s="28" t="s">
        <v>1</v>
      </c>
      <c r="C1" s="28" t="s">
        <v>2</v>
      </c>
      <c r="D1" s="28" t="s">
        <v>3</v>
      </c>
      <c r="E1" s="28" t="s">
        <v>4</v>
      </c>
      <c r="F1" s="28" t="s">
        <v>5</v>
      </c>
      <c r="G1" s="29" t="s">
        <v>6</v>
      </c>
      <c r="H1" s="29" t="s">
        <v>7</v>
      </c>
      <c r="I1" s="28" t="s">
        <v>8</v>
      </c>
      <c r="J1" s="26" t="s">
        <v>9</v>
      </c>
      <c r="K1" s="26" t="s">
        <v>10</v>
      </c>
      <c r="L1" s="26" t="s">
        <v>122</v>
      </c>
      <c r="M1" s="26" t="s">
        <v>123</v>
      </c>
      <c r="O1" s="25" t="s">
        <v>13</v>
      </c>
      <c r="P1" s="25" t="s">
        <v>14</v>
      </c>
      <c r="Q1" s="25" t="s">
        <v>15</v>
      </c>
      <c r="R1" s="25" t="s">
        <v>16</v>
      </c>
      <c r="S1" s="25" t="s">
        <v>17</v>
      </c>
    </row>
    <row r="2" spans="1:19" ht="45.75">
      <c r="A2" s="138" t="s">
        <v>124</v>
      </c>
      <c r="B2" s="135" t="s">
        <v>21</v>
      </c>
      <c r="C2" s="139" t="s">
        <v>22</v>
      </c>
      <c r="D2" s="129">
        <v>896583</v>
      </c>
      <c r="E2" s="3" t="s">
        <v>23</v>
      </c>
      <c r="F2" s="3" t="s">
        <v>24</v>
      </c>
      <c r="G2" s="4">
        <v>0</v>
      </c>
      <c r="H2" s="32">
        <v>50</v>
      </c>
      <c r="I2" s="89" t="s">
        <v>25</v>
      </c>
      <c r="J2" s="122" t="s">
        <v>26</v>
      </c>
      <c r="K2" s="122"/>
      <c r="L2" s="122" t="s">
        <v>27</v>
      </c>
      <c r="M2" s="17"/>
      <c r="O2" t="s">
        <v>28</v>
      </c>
      <c r="P2" t="s">
        <v>29</v>
      </c>
    </row>
    <row r="3" spans="1:19" ht="121.5">
      <c r="A3" s="138"/>
      <c r="B3" s="135"/>
      <c r="C3" s="139"/>
      <c r="D3" s="129"/>
      <c r="E3" s="3" t="s">
        <v>30</v>
      </c>
      <c r="F3" s="3" t="s">
        <v>31</v>
      </c>
      <c r="G3" s="4">
        <v>0</v>
      </c>
      <c r="H3" s="32">
        <v>350</v>
      </c>
      <c r="I3" s="33" t="s">
        <v>125</v>
      </c>
      <c r="J3" s="123"/>
      <c r="K3" s="123"/>
      <c r="L3" s="123"/>
      <c r="M3" s="17"/>
    </row>
    <row r="4" spans="1:19" ht="336">
      <c r="A4" s="138"/>
      <c r="B4" s="135"/>
      <c r="C4" s="139"/>
      <c r="D4" s="129"/>
      <c r="E4" s="3" t="s">
        <v>33</v>
      </c>
      <c r="F4" s="3" t="s">
        <v>34</v>
      </c>
      <c r="G4" s="4">
        <v>0</v>
      </c>
      <c r="H4" s="32">
        <v>3</v>
      </c>
      <c r="I4" s="33" t="s">
        <v>126</v>
      </c>
      <c r="J4" s="124"/>
      <c r="K4" s="124"/>
      <c r="L4" s="124"/>
      <c r="M4" s="36" t="s">
        <v>127</v>
      </c>
      <c r="O4" t="s">
        <v>28</v>
      </c>
      <c r="P4" t="s">
        <v>29</v>
      </c>
      <c r="R4" t="s">
        <v>36</v>
      </c>
      <c r="S4" t="s">
        <v>37</v>
      </c>
    </row>
    <row r="5" spans="1:19" ht="52.5" customHeight="1">
      <c r="A5" s="126">
        <v>1061012</v>
      </c>
      <c r="B5" s="135" t="s">
        <v>38</v>
      </c>
      <c r="C5" s="136"/>
      <c r="D5" s="137">
        <v>1128978</v>
      </c>
      <c r="E5" s="23" t="s">
        <v>23</v>
      </c>
      <c r="F5" s="8" t="s">
        <v>39</v>
      </c>
      <c r="G5" s="9">
        <v>0</v>
      </c>
      <c r="H5" s="9">
        <v>45</v>
      </c>
      <c r="I5" s="90" t="s">
        <v>40</v>
      </c>
      <c r="J5" s="17"/>
      <c r="K5" s="17"/>
      <c r="L5" s="17"/>
      <c r="M5" s="17"/>
      <c r="O5" t="s">
        <v>28</v>
      </c>
      <c r="P5" t="s">
        <v>29</v>
      </c>
    </row>
    <row r="6" spans="1:19" ht="70.5" customHeight="1">
      <c r="A6" s="126"/>
      <c r="B6" s="135"/>
      <c r="C6" s="136"/>
      <c r="D6" s="137"/>
      <c r="E6" s="23" t="s">
        <v>41</v>
      </c>
      <c r="F6" s="8" t="s">
        <v>42</v>
      </c>
      <c r="G6" s="9">
        <v>0</v>
      </c>
      <c r="H6" s="10">
        <v>4.2</v>
      </c>
      <c r="I6" s="3" t="s">
        <v>43</v>
      </c>
      <c r="J6" s="17"/>
      <c r="K6" s="17"/>
      <c r="L6" s="17"/>
      <c r="M6" s="17"/>
      <c r="O6" t="s">
        <v>44</v>
      </c>
      <c r="P6" t="s">
        <v>45</v>
      </c>
    </row>
    <row r="7" spans="1:19" ht="45.75">
      <c r="A7" s="126"/>
      <c r="B7" s="135"/>
      <c r="C7" s="136"/>
      <c r="D7" s="137"/>
      <c r="E7" s="23" t="s">
        <v>46</v>
      </c>
      <c r="F7" s="8" t="s">
        <v>47</v>
      </c>
      <c r="G7" s="9">
        <v>0</v>
      </c>
      <c r="H7" s="27">
        <v>570</v>
      </c>
      <c r="I7" s="3" t="s">
        <v>49</v>
      </c>
      <c r="J7" s="17"/>
      <c r="K7" s="17"/>
      <c r="L7" s="17"/>
      <c r="M7" s="17"/>
      <c r="O7" t="s">
        <v>28</v>
      </c>
      <c r="P7" t="s">
        <v>46</v>
      </c>
    </row>
    <row r="8" spans="1:19" ht="60.75">
      <c r="A8" s="126"/>
      <c r="B8" s="135"/>
      <c r="C8" s="136"/>
      <c r="D8" s="137"/>
      <c r="E8" s="23" t="s">
        <v>50</v>
      </c>
      <c r="F8" s="12" t="s">
        <v>51</v>
      </c>
      <c r="G8" s="9">
        <v>0</v>
      </c>
      <c r="H8" s="9">
        <v>70</v>
      </c>
      <c r="I8" s="3" t="s">
        <v>52</v>
      </c>
      <c r="J8" s="17"/>
      <c r="K8" s="17"/>
      <c r="L8" s="17"/>
      <c r="M8" s="17"/>
    </row>
    <row r="9" spans="1:19" ht="76.5">
      <c r="A9" s="126"/>
      <c r="B9" s="135"/>
      <c r="C9" s="136"/>
      <c r="D9" s="137"/>
      <c r="E9" s="3" t="s">
        <v>30</v>
      </c>
      <c r="F9" s="12" t="s">
        <v>53</v>
      </c>
      <c r="G9" s="9">
        <v>0</v>
      </c>
      <c r="H9" s="9">
        <v>370</v>
      </c>
      <c r="I9" s="3" t="s">
        <v>54</v>
      </c>
      <c r="J9" s="17"/>
      <c r="K9" s="17"/>
      <c r="L9" s="17"/>
      <c r="M9" s="17"/>
    </row>
    <row r="10" spans="1:19" ht="110.25" customHeight="1">
      <c r="A10" s="126"/>
      <c r="B10" s="135"/>
      <c r="C10" s="136"/>
      <c r="D10" s="137"/>
      <c r="E10" s="17" t="s">
        <v>55</v>
      </c>
      <c r="F10" s="13" t="s">
        <v>56</v>
      </c>
      <c r="G10" s="9"/>
      <c r="H10" s="9"/>
      <c r="I10" s="3" t="s">
        <v>57</v>
      </c>
      <c r="J10" s="17"/>
      <c r="K10" s="17"/>
      <c r="L10" s="17"/>
      <c r="M10" s="17"/>
    </row>
    <row r="11" spans="1:19" ht="37.5" customHeight="1">
      <c r="A11" s="126"/>
      <c r="B11" s="135"/>
      <c r="C11" s="136"/>
      <c r="D11" s="137"/>
      <c r="E11" s="23" t="str">
        <f>'Beneficiary Categories'!A15</f>
        <v>Medium Enterprises</v>
      </c>
      <c r="F11" s="17" t="s">
        <v>59</v>
      </c>
      <c r="G11" s="9">
        <v>0</v>
      </c>
      <c r="H11" s="9">
        <v>4</v>
      </c>
      <c r="I11" s="97" t="s">
        <v>60</v>
      </c>
      <c r="J11" s="17"/>
      <c r="K11" s="17"/>
      <c r="L11" s="17"/>
      <c r="M11" s="17"/>
      <c r="O11" t="s">
        <v>28</v>
      </c>
      <c r="P11" t="s">
        <v>29</v>
      </c>
      <c r="R11" t="s">
        <v>36</v>
      </c>
      <c r="S11" t="s">
        <v>37</v>
      </c>
    </row>
    <row r="12" spans="1:19" s="1" customFormat="1" ht="88.5" customHeight="1">
      <c r="A12" s="130">
        <v>134019</v>
      </c>
      <c r="B12" s="131" t="s">
        <v>61</v>
      </c>
      <c r="C12" s="127" t="s">
        <v>62</v>
      </c>
      <c r="D12" s="129" t="s">
        <v>128</v>
      </c>
      <c r="E12" s="23" t="s">
        <v>23</v>
      </c>
      <c r="F12" s="3" t="s">
        <v>63</v>
      </c>
      <c r="G12" s="4">
        <v>0</v>
      </c>
      <c r="H12" s="96">
        <v>33000</v>
      </c>
      <c r="I12" s="133" t="s">
        <v>129</v>
      </c>
      <c r="J12" s="122" t="s">
        <v>65</v>
      </c>
      <c r="K12" s="7"/>
      <c r="L12" s="122" t="s">
        <v>27</v>
      </c>
      <c r="M12" s="7"/>
      <c r="O12" t="s">
        <v>66</v>
      </c>
      <c r="P12" t="s">
        <v>29</v>
      </c>
      <c r="Q12"/>
      <c r="R12" t="s">
        <v>36</v>
      </c>
      <c r="S12" t="s">
        <v>67</v>
      </c>
    </row>
    <row r="13" spans="1:19" s="1" customFormat="1" ht="143.25" customHeight="1">
      <c r="A13" s="130"/>
      <c r="B13" s="131"/>
      <c r="C13" s="126"/>
      <c r="D13" s="129"/>
      <c r="E13" s="6" t="s">
        <v>69</v>
      </c>
      <c r="F13" s="14" t="s">
        <v>70</v>
      </c>
      <c r="G13" s="4">
        <v>0</v>
      </c>
      <c r="H13" s="4">
        <v>70</v>
      </c>
      <c r="I13" s="133"/>
      <c r="J13" s="123"/>
      <c r="K13" s="7"/>
      <c r="L13" s="123"/>
      <c r="M13" s="7"/>
      <c r="O13"/>
      <c r="P13"/>
      <c r="Q13"/>
      <c r="R13"/>
      <c r="S13"/>
    </row>
    <row r="14" spans="1:19" s="1" customFormat="1" ht="105.75" customHeight="1">
      <c r="A14" s="130"/>
      <c r="B14" s="131"/>
      <c r="C14" s="126"/>
      <c r="D14" s="129"/>
      <c r="E14" s="91" t="s">
        <v>30</v>
      </c>
      <c r="F14" s="14" t="s">
        <v>53</v>
      </c>
      <c r="G14" s="92">
        <v>0</v>
      </c>
      <c r="H14" s="92">
        <v>150</v>
      </c>
      <c r="I14" s="133"/>
      <c r="J14" s="123"/>
      <c r="K14" s="7"/>
      <c r="L14" s="123"/>
      <c r="M14" s="7"/>
      <c r="O14"/>
      <c r="P14"/>
      <c r="Q14"/>
      <c r="R14"/>
      <c r="S14"/>
    </row>
    <row r="15" spans="1:19" s="1" customFormat="1" ht="105" customHeight="1">
      <c r="A15" s="130"/>
      <c r="B15" s="131"/>
      <c r="C15" s="126"/>
      <c r="D15" s="132"/>
      <c r="E15" s="93" t="s">
        <v>58</v>
      </c>
      <c r="F15" s="94" t="s">
        <v>71</v>
      </c>
      <c r="G15" s="95">
        <v>0</v>
      </c>
      <c r="H15" s="95">
        <v>8</v>
      </c>
      <c r="I15" s="134"/>
      <c r="J15" s="123"/>
      <c r="K15" s="7"/>
      <c r="L15" s="123"/>
      <c r="M15" s="7"/>
      <c r="O15"/>
      <c r="P15"/>
      <c r="Q15"/>
      <c r="R15"/>
      <c r="S15"/>
    </row>
    <row r="16" spans="1:19" s="2" customFormat="1" ht="76.5">
      <c r="A16" s="130"/>
      <c r="B16" s="131"/>
      <c r="C16" s="126"/>
      <c r="D16" s="129"/>
      <c r="E16" s="93" t="s">
        <v>58</v>
      </c>
      <c r="F16" s="94" t="s">
        <v>72</v>
      </c>
      <c r="G16" s="95">
        <v>0</v>
      </c>
      <c r="H16" s="95">
        <v>2</v>
      </c>
      <c r="I16" s="133"/>
      <c r="J16" s="124"/>
      <c r="K16" s="30"/>
      <c r="L16" s="124"/>
      <c r="M16" s="30"/>
      <c r="O16" t="s">
        <v>66</v>
      </c>
      <c r="P16" t="s">
        <v>29</v>
      </c>
      <c r="Q16"/>
      <c r="R16" t="s">
        <v>36</v>
      </c>
      <c r="S16" t="s">
        <v>67</v>
      </c>
    </row>
    <row r="17" spans="1:19" ht="122.25" customHeight="1">
      <c r="A17" s="125">
        <v>117633</v>
      </c>
      <c r="B17" s="127" t="s">
        <v>73</v>
      </c>
      <c r="C17" s="128" t="s">
        <v>74</v>
      </c>
      <c r="D17" s="129">
        <v>2201100</v>
      </c>
      <c r="E17" s="17" t="s">
        <v>41</v>
      </c>
      <c r="F17" s="17" t="s">
        <v>41</v>
      </c>
      <c r="G17" s="9">
        <v>0</v>
      </c>
      <c r="H17" s="87" t="s">
        <v>130</v>
      </c>
      <c r="I17" s="83" t="s">
        <v>131</v>
      </c>
      <c r="J17" s="17"/>
      <c r="K17" s="17"/>
      <c r="L17" s="122" t="s">
        <v>27</v>
      </c>
      <c r="M17" s="33" t="s">
        <v>132</v>
      </c>
      <c r="O17" t="s">
        <v>66</v>
      </c>
      <c r="P17" t="s">
        <v>29</v>
      </c>
    </row>
    <row r="18" spans="1:19" ht="168" customHeight="1">
      <c r="A18" s="126"/>
      <c r="B18" s="127"/>
      <c r="C18" s="128"/>
      <c r="D18" s="129"/>
      <c r="E18" s="17" t="s">
        <v>77</v>
      </c>
      <c r="F18" s="17" t="s">
        <v>77</v>
      </c>
      <c r="G18" s="9">
        <v>0</v>
      </c>
      <c r="H18" s="87" t="s">
        <v>78</v>
      </c>
      <c r="I18" s="84" t="s">
        <v>79</v>
      </c>
      <c r="J18" s="17"/>
      <c r="K18" s="17"/>
      <c r="L18" s="123"/>
      <c r="M18" s="37" t="s">
        <v>133</v>
      </c>
      <c r="O18" t="s">
        <v>66</v>
      </c>
      <c r="P18" t="s">
        <v>29</v>
      </c>
    </row>
    <row r="19" spans="1:19" ht="30.75">
      <c r="A19" s="126"/>
      <c r="B19" s="127"/>
      <c r="C19" s="128"/>
      <c r="D19" s="129"/>
      <c r="E19" s="31" t="s">
        <v>80</v>
      </c>
      <c r="F19" s="17" t="s">
        <v>80</v>
      </c>
      <c r="G19" s="9">
        <v>0</v>
      </c>
      <c r="H19" s="88">
        <v>3</v>
      </c>
      <c r="I19" s="85" t="s">
        <v>81</v>
      </c>
      <c r="J19" s="17"/>
      <c r="K19" s="17"/>
      <c r="L19" s="123"/>
      <c r="M19" s="17"/>
      <c r="O19" t="s">
        <v>66</v>
      </c>
      <c r="P19" t="s">
        <v>29</v>
      </c>
    </row>
    <row r="20" spans="1:19" ht="76.5">
      <c r="A20" s="126"/>
      <c r="B20" s="127"/>
      <c r="C20" s="128"/>
      <c r="D20" s="129"/>
      <c r="E20" s="17" t="s">
        <v>82</v>
      </c>
      <c r="F20" s="17" t="s">
        <v>30</v>
      </c>
      <c r="G20" s="9">
        <v>0</v>
      </c>
      <c r="H20" s="88">
        <v>1600</v>
      </c>
      <c r="I20" s="86" t="s">
        <v>83</v>
      </c>
      <c r="J20" s="17"/>
      <c r="K20" s="17"/>
      <c r="L20" s="123"/>
      <c r="M20" s="17"/>
      <c r="O20" t="s">
        <v>66</v>
      </c>
      <c r="P20" t="s">
        <v>29</v>
      </c>
    </row>
    <row r="21" spans="1:19" ht="76.5">
      <c r="A21" s="126"/>
      <c r="B21" s="127"/>
      <c r="C21" s="128"/>
      <c r="D21" s="129"/>
      <c r="E21" s="31" t="s">
        <v>58</v>
      </c>
      <c r="F21" s="17" t="s">
        <v>59</v>
      </c>
      <c r="G21" s="9">
        <v>0</v>
      </c>
      <c r="H21" s="88">
        <v>46</v>
      </c>
      <c r="I21" s="85" t="s">
        <v>84</v>
      </c>
      <c r="J21" s="17"/>
      <c r="K21" s="17"/>
      <c r="L21" s="123"/>
      <c r="M21" s="17"/>
      <c r="O21" t="s">
        <v>66</v>
      </c>
      <c r="P21" t="s">
        <v>29</v>
      </c>
    </row>
    <row r="22" spans="1:19" ht="137.25">
      <c r="A22" s="126"/>
      <c r="B22" s="127"/>
      <c r="C22" s="128"/>
      <c r="D22" s="129"/>
      <c r="E22" s="17" t="s">
        <v>55</v>
      </c>
      <c r="F22" s="17" t="s">
        <v>19</v>
      </c>
      <c r="G22" s="9">
        <v>0</v>
      </c>
      <c r="H22" s="88">
        <v>6</v>
      </c>
      <c r="I22" s="86" t="s">
        <v>85</v>
      </c>
      <c r="J22" s="17"/>
      <c r="K22" s="17"/>
      <c r="L22" s="124"/>
      <c r="M22" s="17"/>
      <c r="O22" t="s">
        <v>66</v>
      </c>
      <c r="P22" t="s">
        <v>29</v>
      </c>
      <c r="R22" t="s">
        <v>86</v>
      </c>
      <c r="S22" t="s">
        <v>67</v>
      </c>
    </row>
    <row r="23" spans="1:19" ht="44.25" customHeight="1">
      <c r="A23" s="125" t="s">
        <v>134</v>
      </c>
      <c r="B23" s="127" t="s">
        <v>87</v>
      </c>
      <c r="C23" s="128"/>
      <c r="D23" s="140">
        <v>2994199</v>
      </c>
      <c r="E23" s="23" t="s">
        <v>23</v>
      </c>
      <c r="F23" s="8" t="s">
        <v>39</v>
      </c>
      <c r="G23" s="9">
        <v>0</v>
      </c>
      <c r="H23" s="87"/>
      <c r="I23" s="83" t="s">
        <v>135</v>
      </c>
      <c r="J23" s="17"/>
      <c r="K23" s="17"/>
      <c r="L23" s="122" t="s">
        <v>27</v>
      </c>
      <c r="M23" s="33"/>
    </row>
    <row r="24" spans="1:19" ht="52.5" customHeight="1">
      <c r="A24" s="126"/>
      <c r="B24" s="127"/>
      <c r="C24" s="128"/>
      <c r="D24" s="129"/>
      <c r="E24" s="23" t="s">
        <v>41</v>
      </c>
      <c r="F24" s="8" t="s">
        <v>42</v>
      </c>
      <c r="G24" s="9">
        <v>0</v>
      </c>
      <c r="H24" s="87"/>
      <c r="I24" s="84" t="s">
        <v>91</v>
      </c>
      <c r="J24" s="17"/>
      <c r="K24" s="17"/>
      <c r="L24" s="123"/>
      <c r="M24" s="37"/>
    </row>
    <row r="25" spans="1:19" ht="76.5">
      <c r="A25" s="126"/>
      <c r="B25" s="127"/>
      <c r="C25" s="128"/>
      <c r="D25" s="129"/>
      <c r="E25" s="17" t="s">
        <v>82</v>
      </c>
      <c r="F25" s="14" t="s">
        <v>53</v>
      </c>
      <c r="G25" s="9">
        <v>0</v>
      </c>
      <c r="H25" s="88"/>
      <c r="J25" s="17"/>
      <c r="K25" s="17"/>
      <c r="L25" s="123"/>
      <c r="M25" s="17"/>
    </row>
    <row r="26" spans="1:19" ht="40.5" customHeight="1">
      <c r="A26" s="126"/>
      <c r="B26" s="127"/>
      <c r="C26" s="128"/>
      <c r="D26" s="129"/>
      <c r="E26" s="17" t="s">
        <v>99</v>
      </c>
      <c r="F26" s="14"/>
      <c r="G26" s="9">
        <v>0</v>
      </c>
      <c r="H26" s="88"/>
      <c r="I26" s="86" t="s">
        <v>136</v>
      </c>
      <c r="J26" s="17"/>
      <c r="K26" s="17"/>
      <c r="L26" s="123"/>
      <c r="M26" s="17"/>
    </row>
    <row r="27" spans="1:19" ht="37.5">
      <c r="A27" s="126"/>
      <c r="B27" s="127"/>
      <c r="C27" s="128"/>
      <c r="D27" s="129"/>
      <c r="E27" s="17" t="s">
        <v>55</v>
      </c>
      <c r="F27" s="13" t="s">
        <v>56</v>
      </c>
      <c r="G27" s="9">
        <v>0</v>
      </c>
      <c r="H27" s="88"/>
      <c r="I27" s="86"/>
      <c r="J27" s="17"/>
      <c r="K27" s="17"/>
      <c r="L27" s="124"/>
      <c r="M27" s="17"/>
    </row>
  </sheetData>
  <mergeCells count="28">
    <mergeCell ref="A23:A27"/>
    <mergeCell ref="B23:B27"/>
    <mergeCell ref="C23:C27"/>
    <mergeCell ref="D23:D27"/>
    <mergeCell ref="L23:L27"/>
    <mergeCell ref="L2:L4"/>
    <mergeCell ref="A5:A11"/>
    <mergeCell ref="B5:B11"/>
    <mergeCell ref="C5:C11"/>
    <mergeCell ref="D5:D11"/>
    <mergeCell ref="A2:A4"/>
    <mergeCell ref="B2:B4"/>
    <mergeCell ref="C2:C4"/>
    <mergeCell ref="D2:D4"/>
    <mergeCell ref="J2:J4"/>
    <mergeCell ref="K2:K4"/>
    <mergeCell ref="L12:L16"/>
    <mergeCell ref="J12:J16"/>
    <mergeCell ref="A17:A22"/>
    <mergeCell ref="B17:B22"/>
    <mergeCell ref="C17:C22"/>
    <mergeCell ref="D17:D22"/>
    <mergeCell ref="L17:L22"/>
    <mergeCell ref="A12:A16"/>
    <mergeCell ref="B12:B16"/>
    <mergeCell ref="C12:C16"/>
    <mergeCell ref="D12:D16"/>
    <mergeCell ref="I12:I16"/>
  </mergeCells>
  <dataValidations count="5">
    <dataValidation type="list" allowBlank="1" showInputMessage="1" showErrorMessage="1" sqref="S2:S22" xr:uid="{0F718CCA-00B4-42C1-84D0-4A1FEABF9813}">
      <formula1>"Electricity Access, Energy Efficiency, Renewable EnergyEnergy Infrastructure,   Transport, Digital &amp; Data, Clean Cooking, Decarbonization, Hydrogen, Off-Grid, On-Grid"</formula1>
    </dataValidation>
    <dataValidation type="list" allowBlank="1" showInputMessage="1" showErrorMessage="1" sqref="R2:R22" xr:uid="{01B0D87C-39E9-424A-B243-6769EF208A26}">
      <formula1>"NDC Support, National Strategy, Legal Framework,Incentives and Support, Government Capacity-Building, Carbon Pricing and Monitoring, Financing Model, Business Model"</formula1>
    </dataValidation>
    <dataValidation type="list" allowBlank="1" showInputMessage="1" showErrorMessage="1" sqref="Q2:Q22" xr:uid="{F9C284A2-18CC-42C1-A802-593F5762F0DE}">
      <formula1>"AMP, PUDC, Solar4Health, Action Opportunities, Italy UNDP Energy Partnership"</formula1>
    </dataValidation>
    <dataValidation type="list" allowBlank="1" showInputMessage="1" showErrorMessage="1" sqref="P2:P27" xr:uid="{57053484-5A37-42A2-ADC4-555165F10156}">
      <formula1>"Electricity Access, Energy Efficiency, Clean Cooking, Renewable Energy"</formula1>
    </dataValidation>
    <dataValidation type="list" allowBlank="1" showInputMessage="1" showErrorMessage="1" sqref="O2:O27" xr:uid="{055BA81B-9EF7-4EA5-AA1F-10A8E3A3E3A0}">
      <formula1>"Accelerating just energy transition, Close the gap on energy access, Scale up energy finance"</formula1>
    </dataValidation>
  </dataValidations>
  <hyperlinks>
    <hyperlink ref="C17" r:id="rId1" xr:uid="{286A0975-6C52-4D4D-9BAA-AF594639A6CE}"/>
    <hyperlink ref="C2:C4" r:id="rId2" display="https://www.undp.org/vietnam/projects/catalysing-sustainable-shift-towards-e-mobility" xr:uid="{3A0FE6BB-856F-4F5C-9C8A-11D425A850A8}"/>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37DB-72C0-4C16-80D3-04ED5F162378}">
  <dimension ref="A1:S18"/>
  <sheetViews>
    <sheetView topLeftCell="C2" workbookViewId="0">
      <selection activeCell="C2" sqref="C2:C4"/>
    </sheetView>
  </sheetViews>
  <sheetFormatPr defaultRowHeight="15"/>
  <cols>
    <col min="1" max="1" width="14.42578125" customWidth="1"/>
    <col min="2" max="2" width="32.140625" customWidth="1"/>
    <col min="3" max="3" width="41.7109375" customWidth="1"/>
    <col min="4" max="4" width="15.140625" customWidth="1"/>
    <col min="5" max="5" width="22.5703125" customWidth="1"/>
    <col min="6" max="6" width="29.140625" customWidth="1"/>
    <col min="7" max="7" width="11.7109375" customWidth="1"/>
    <col min="8" max="8" width="14.140625" customWidth="1"/>
    <col min="9" max="9" width="60" customWidth="1"/>
    <col min="10" max="10" width="16.42578125" customWidth="1"/>
    <col min="13" max="13" width="32.5703125" customWidth="1"/>
    <col min="15" max="15" width="35" customWidth="1"/>
    <col min="16" max="16" width="22.5703125" customWidth="1"/>
    <col min="18" max="18" width="20.7109375" customWidth="1"/>
    <col min="19" max="19" width="30" customWidth="1"/>
  </cols>
  <sheetData>
    <row r="1" spans="1:19">
      <c r="A1" s="28" t="s">
        <v>0</v>
      </c>
      <c r="B1" s="28" t="s">
        <v>1</v>
      </c>
      <c r="C1" s="28" t="s">
        <v>2</v>
      </c>
      <c r="D1" s="28" t="s">
        <v>3</v>
      </c>
      <c r="E1" s="28" t="s">
        <v>4</v>
      </c>
      <c r="F1" s="28" t="s">
        <v>5</v>
      </c>
      <c r="G1" s="29" t="s">
        <v>6</v>
      </c>
      <c r="H1" s="29" t="s">
        <v>7</v>
      </c>
      <c r="I1" s="28" t="s">
        <v>8</v>
      </c>
      <c r="J1" s="26" t="s">
        <v>9</v>
      </c>
      <c r="K1" s="26" t="s">
        <v>10</v>
      </c>
      <c r="L1" s="26" t="s">
        <v>122</v>
      </c>
      <c r="M1" s="26" t="s">
        <v>123</v>
      </c>
      <c r="O1" s="25" t="s">
        <v>13</v>
      </c>
      <c r="P1" s="25" t="s">
        <v>14</v>
      </c>
      <c r="Q1" s="25" t="s">
        <v>15</v>
      </c>
      <c r="R1" s="25" t="s">
        <v>16</v>
      </c>
      <c r="S1" s="25" t="s">
        <v>17</v>
      </c>
    </row>
    <row r="2" spans="1:19" ht="45.75">
      <c r="A2" s="138" t="s">
        <v>124</v>
      </c>
      <c r="B2" s="135" t="s">
        <v>21</v>
      </c>
      <c r="C2" s="139" t="s">
        <v>22</v>
      </c>
      <c r="D2" s="129">
        <v>896583</v>
      </c>
      <c r="E2" s="3" t="s">
        <v>23</v>
      </c>
      <c r="F2" s="3" t="s">
        <v>24</v>
      </c>
      <c r="G2" s="4">
        <v>0</v>
      </c>
      <c r="H2" s="5">
        <v>50</v>
      </c>
      <c r="I2" s="6" t="s">
        <v>104</v>
      </c>
      <c r="J2" s="122" t="s">
        <v>26</v>
      </c>
      <c r="K2" s="122"/>
      <c r="L2" s="122" t="s">
        <v>27</v>
      </c>
      <c r="M2" s="17"/>
      <c r="O2" t="s">
        <v>28</v>
      </c>
      <c r="P2" t="s">
        <v>29</v>
      </c>
    </row>
    <row r="3" spans="1:19" ht="121.5">
      <c r="A3" s="138"/>
      <c r="B3" s="135"/>
      <c r="C3" s="139"/>
      <c r="D3" s="129"/>
      <c r="E3" s="3" t="s">
        <v>30</v>
      </c>
      <c r="F3" s="3" t="s">
        <v>31</v>
      </c>
      <c r="G3" s="4">
        <v>0</v>
      </c>
      <c r="H3" s="5">
        <v>350</v>
      </c>
      <c r="I3" s="24" t="s">
        <v>137</v>
      </c>
      <c r="J3" s="123"/>
      <c r="K3" s="123"/>
      <c r="L3" s="123"/>
      <c r="M3" s="17"/>
    </row>
    <row r="4" spans="1:19" ht="259.5">
      <c r="A4" s="138"/>
      <c r="B4" s="135"/>
      <c r="C4" s="139"/>
      <c r="D4" s="129"/>
      <c r="E4" s="3" t="s">
        <v>33</v>
      </c>
      <c r="F4" s="3" t="s">
        <v>34</v>
      </c>
      <c r="G4" s="4">
        <v>0</v>
      </c>
      <c r="H4" s="32">
        <v>3</v>
      </c>
      <c r="I4" s="33" t="s">
        <v>107</v>
      </c>
      <c r="J4" s="124"/>
      <c r="K4" s="124"/>
      <c r="L4" s="124"/>
      <c r="M4" s="36" t="s">
        <v>127</v>
      </c>
      <c r="O4" t="s">
        <v>28</v>
      </c>
      <c r="P4" t="s">
        <v>29</v>
      </c>
      <c r="R4" t="s">
        <v>36</v>
      </c>
      <c r="S4" t="s">
        <v>37</v>
      </c>
    </row>
    <row r="5" spans="1:19" ht="45.75" customHeight="1">
      <c r="A5" s="126">
        <v>1061012</v>
      </c>
      <c r="B5" s="135" t="s">
        <v>38</v>
      </c>
      <c r="C5" s="136"/>
      <c r="D5" s="137">
        <v>1128978</v>
      </c>
      <c r="E5" s="23" t="s">
        <v>23</v>
      </c>
      <c r="F5" s="8" t="s">
        <v>39</v>
      </c>
      <c r="G5" s="9">
        <v>0</v>
      </c>
      <c r="H5" s="9">
        <v>45</v>
      </c>
      <c r="I5" s="3" t="s">
        <v>49</v>
      </c>
      <c r="J5" s="17"/>
      <c r="K5" s="17"/>
      <c r="L5" s="17"/>
      <c r="M5" s="17"/>
      <c r="O5" t="s">
        <v>28</v>
      </c>
      <c r="P5" t="s">
        <v>29</v>
      </c>
    </row>
    <row r="6" spans="1:19" ht="70.5" customHeight="1">
      <c r="A6" s="126"/>
      <c r="B6" s="135"/>
      <c r="C6" s="136"/>
      <c r="D6" s="137"/>
      <c r="E6" s="23" t="s">
        <v>41</v>
      </c>
      <c r="F6" s="8" t="s">
        <v>42</v>
      </c>
      <c r="G6" s="9">
        <v>0</v>
      </c>
      <c r="H6" s="10">
        <v>4.2</v>
      </c>
      <c r="I6" s="3" t="s">
        <v>49</v>
      </c>
      <c r="J6" s="17"/>
      <c r="K6" s="17"/>
      <c r="L6" s="17"/>
      <c r="M6" s="17"/>
      <c r="O6" t="s">
        <v>44</v>
      </c>
      <c r="P6" t="s">
        <v>45</v>
      </c>
    </row>
    <row r="7" spans="1:19" ht="45.75">
      <c r="A7" s="126"/>
      <c r="B7" s="135"/>
      <c r="C7" s="136"/>
      <c r="D7" s="137"/>
      <c r="E7" s="23" t="s">
        <v>46</v>
      </c>
      <c r="F7" s="8" t="s">
        <v>47</v>
      </c>
      <c r="G7" s="9">
        <v>0</v>
      </c>
      <c r="H7" s="27">
        <v>570</v>
      </c>
      <c r="I7" s="3" t="s">
        <v>49</v>
      </c>
      <c r="J7" s="17"/>
      <c r="K7" s="17"/>
      <c r="L7" s="17"/>
      <c r="M7" s="17"/>
      <c r="O7" t="s">
        <v>28</v>
      </c>
      <c r="P7" t="s">
        <v>46</v>
      </c>
    </row>
    <row r="8" spans="1:19" ht="30.75">
      <c r="A8" s="126"/>
      <c r="B8" s="135"/>
      <c r="C8" s="136"/>
      <c r="D8" s="137"/>
      <c r="E8" s="23" t="s">
        <v>50</v>
      </c>
      <c r="F8" s="12" t="s">
        <v>51</v>
      </c>
      <c r="G8" s="9">
        <v>0</v>
      </c>
      <c r="H8" s="9">
        <v>70</v>
      </c>
      <c r="I8" s="3" t="s">
        <v>49</v>
      </c>
      <c r="J8" s="17"/>
      <c r="K8" s="17"/>
      <c r="L8" s="17"/>
      <c r="M8" s="17"/>
    </row>
    <row r="9" spans="1:19" ht="50.25">
      <c r="A9" s="126"/>
      <c r="B9" s="135"/>
      <c r="C9" s="136"/>
      <c r="D9" s="137"/>
      <c r="E9" s="3" t="s">
        <v>30</v>
      </c>
      <c r="F9" s="12" t="s">
        <v>53</v>
      </c>
      <c r="G9" s="9">
        <v>0</v>
      </c>
      <c r="H9" s="9">
        <v>370</v>
      </c>
      <c r="I9" s="3" t="s">
        <v>49</v>
      </c>
      <c r="J9" s="17"/>
      <c r="K9" s="17"/>
      <c r="L9" s="17"/>
      <c r="M9" s="17"/>
    </row>
    <row r="10" spans="1:19" ht="37.5">
      <c r="A10" s="126"/>
      <c r="B10" s="135"/>
      <c r="C10" s="136"/>
      <c r="D10" s="137"/>
      <c r="E10" s="23" t="str">
        <f>'Beneficiary Categories'!A15</f>
        <v>Medium Enterprises</v>
      </c>
      <c r="F10" s="13" t="s">
        <v>56</v>
      </c>
      <c r="G10" s="9">
        <v>0</v>
      </c>
      <c r="H10" s="9">
        <v>4</v>
      </c>
      <c r="I10" s="3" t="s">
        <v>49</v>
      </c>
      <c r="J10" s="17"/>
      <c r="K10" s="17"/>
      <c r="L10" s="17"/>
      <c r="M10" s="17"/>
      <c r="O10" t="s">
        <v>28</v>
      </c>
      <c r="P10" t="s">
        <v>29</v>
      </c>
      <c r="R10" t="s">
        <v>36</v>
      </c>
      <c r="S10" t="s">
        <v>37</v>
      </c>
    </row>
    <row r="11" spans="1:19" s="1" customFormat="1" ht="161.25" customHeight="1">
      <c r="A11" s="130">
        <v>134019</v>
      </c>
      <c r="B11" s="131" t="s">
        <v>61</v>
      </c>
      <c r="C11" s="126" t="s">
        <v>114</v>
      </c>
      <c r="D11" s="129">
        <v>3000000</v>
      </c>
      <c r="E11" s="6" t="s">
        <v>69</v>
      </c>
      <c r="F11" s="14" t="s">
        <v>70</v>
      </c>
      <c r="G11" s="4">
        <v>0</v>
      </c>
      <c r="H11" s="4">
        <v>70</v>
      </c>
      <c r="I11" s="133" t="s">
        <v>115</v>
      </c>
      <c r="J11" s="7"/>
      <c r="K11" s="7"/>
      <c r="L11" s="7"/>
      <c r="M11" s="7"/>
      <c r="O11" t="s">
        <v>66</v>
      </c>
      <c r="P11" t="s">
        <v>29</v>
      </c>
      <c r="Q11"/>
      <c r="R11" t="s">
        <v>36</v>
      </c>
      <c r="S11" t="s">
        <v>67</v>
      </c>
    </row>
    <row r="12" spans="1:19" s="2" customFormat="1" ht="91.5">
      <c r="A12" s="130"/>
      <c r="B12" s="131"/>
      <c r="C12" s="126"/>
      <c r="D12" s="129"/>
      <c r="E12" s="6" t="s">
        <v>58</v>
      </c>
      <c r="F12" s="15" t="s">
        <v>71</v>
      </c>
      <c r="G12" s="16">
        <v>0</v>
      </c>
      <c r="H12" s="16">
        <v>20</v>
      </c>
      <c r="I12" s="133"/>
      <c r="J12" s="30"/>
      <c r="K12" s="30"/>
      <c r="L12" s="30"/>
      <c r="M12" s="30"/>
      <c r="O12" t="s">
        <v>66</v>
      </c>
      <c r="P12" t="s">
        <v>29</v>
      </c>
      <c r="Q12"/>
      <c r="R12" t="s">
        <v>36</v>
      </c>
      <c r="S12" t="s">
        <v>67</v>
      </c>
    </row>
    <row r="13" spans="1:19" ht="183" customHeight="1">
      <c r="A13" s="125">
        <v>117633</v>
      </c>
      <c r="B13" s="127" t="s">
        <v>73</v>
      </c>
      <c r="C13" s="128" t="s">
        <v>74</v>
      </c>
      <c r="D13" s="129">
        <v>2201100</v>
      </c>
      <c r="E13" s="17" t="s">
        <v>41</v>
      </c>
      <c r="F13" s="17" t="s">
        <v>41</v>
      </c>
      <c r="G13" s="9">
        <v>0</v>
      </c>
      <c r="H13" s="34" t="s">
        <v>138</v>
      </c>
      <c r="I13" s="21" t="s">
        <v>117</v>
      </c>
      <c r="J13" s="17"/>
      <c r="K13" s="17"/>
      <c r="L13" s="122" t="s">
        <v>27</v>
      </c>
      <c r="M13" s="33" t="s">
        <v>132</v>
      </c>
      <c r="O13" t="s">
        <v>66</v>
      </c>
      <c r="P13" t="s">
        <v>29</v>
      </c>
    </row>
    <row r="14" spans="1:19" ht="168" customHeight="1">
      <c r="A14" s="126"/>
      <c r="B14" s="127"/>
      <c r="C14" s="128"/>
      <c r="D14" s="129"/>
      <c r="E14" s="17" t="s">
        <v>77</v>
      </c>
      <c r="F14" s="17" t="s">
        <v>77</v>
      </c>
      <c r="G14" s="9">
        <v>0</v>
      </c>
      <c r="H14" s="4">
        <v>1300</v>
      </c>
      <c r="I14" s="22" t="s">
        <v>120</v>
      </c>
      <c r="J14" s="17"/>
      <c r="K14" s="17"/>
      <c r="L14" s="123"/>
      <c r="M14" s="37" t="s">
        <v>133</v>
      </c>
      <c r="O14" t="s">
        <v>66</v>
      </c>
      <c r="P14" t="s">
        <v>29</v>
      </c>
    </row>
    <row r="15" spans="1:19" ht="30.75">
      <c r="A15" s="126"/>
      <c r="B15" s="127"/>
      <c r="C15" s="128"/>
      <c r="D15" s="129"/>
      <c r="E15" s="31" t="s">
        <v>80</v>
      </c>
      <c r="F15" s="17" t="s">
        <v>80</v>
      </c>
      <c r="G15" s="9">
        <v>0</v>
      </c>
      <c r="H15" s="9">
        <v>3</v>
      </c>
      <c r="I15" s="8" t="s">
        <v>81</v>
      </c>
      <c r="J15" s="17"/>
      <c r="K15" s="17"/>
      <c r="L15" s="123"/>
      <c r="M15" s="17"/>
      <c r="O15" t="s">
        <v>66</v>
      </c>
      <c r="P15" t="s">
        <v>29</v>
      </c>
    </row>
    <row r="16" spans="1:19" ht="76.5">
      <c r="A16" s="126"/>
      <c r="B16" s="127"/>
      <c r="C16" s="128"/>
      <c r="D16" s="129"/>
      <c r="E16" s="17" t="s">
        <v>82</v>
      </c>
      <c r="F16" s="17" t="s">
        <v>30</v>
      </c>
      <c r="G16" s="9">
        <v>0</v>
      </c>
      <c r="H16" s="9">
        <v>1600</v>
      </c>
      <c r="I16" s="20" t="s">
        <v>83</v>
      </c>
      <c r="J16" s="17"/>
      <c r="K16" s="17"/>
      <c r="L16" s="123"/>
      <c r="M16" s="17"/>
      <c r="O16" t="s">
        <v>66</v>
      </c>
      <c r="P16" t="s">
        <v>29</v>
      </c>
    </row>
    <row r="17" spans="1:19" ht="76.5">
      <c r="A17" s="126"/>
      <c r="B17" s="127"/>
      <c r="C17" s="128"/>
      <c r="D17" s="129"/>
      <c r="E17" s="31" t="s">
        <v>58</v>
      </c>
      <c r="F17" s="17" t="s">
        <v>59</v>
      </c>
      <c r="G17" s="9">
        <v>0</v>
      </c>
      <c r="H17" s="9">
        <v>46</v>
      </c>
      <c r="I17" s="8" t="s">
        <v>84</v>
      </c>
      <c r="J17" s="17"/>
      <c r="K17" s="17"/>
      <c r="L17" s="123"/>
      <c r="M17" s="17"/>
      <c r="O17" t="s">
        <v>66</v>
      </c>
      <c r="P17" t="s">
        <v>29</v>
      </c>
    </row>
    <row r="18" spans="1:19" ht="121.5">
      <c r="A18" s="126"/>
      <c r="B18" s="127"/>
      <c r="C18" s="128"/>
      <c r="D18" s="129"/>
      <c r="E18" s="17" t="s">
        <v>55</v>
      </c>
      <c r="F18" s="17" t="s">
        <v>19</v>
      </c>
      <c r="G18" s="9">
        <v>0</v>
      </c>
      <c r="H18" s="9">
        <v>6</v>
      </c>
      <c r="I18" s="20" t="s">
        <v>121</v>
      </c>
      <c r="J18" s="17"/>
      <c r="K18" s="17"/>
      <c r="L18" s="124"/>
      <c r="M18" s="17"/>
      <c r="O18" t="s">
        <v>66</v>
      </c>
      <c r="P18" t="s">
        <v>29</v>
      </c>
      <c r="R18" t="s">
        <v>86</v>
      </c>
      <c r="S18" t="s">
        <v>67</v>
      </c>
    </row>
  </sheetData>
  <mergeCells count="21">
    <mergeCell ref="J2:J4"/>
    <mergeCell ref="K2:K4"/>
    <mergeCell ref="L2:L4"/>
    <mergeCell ref="L13:L18"/>
    <mergeCell ref="A13:A18"/>
    <mergeCell ref="B13:B18"/>
    <mergeCell ref="C13:C18"/>
    <mergeCell ref="D13:D18"/>
    <mergeCell ref="A2:A4"/>
    <mergeCell ref="B2:B4"/>
    <mergeCell ref="C2:C4"/>
    <mergeCell ref="D2:D4"/>
    <mergeCell ref="A5:A10"/>
    <mergeCell ref="B5:B10"/>
    <mergeCell ref="C5:C10"/>
    <mergeCell ref="D5:D10"/>
    <mergeCell ref="A11:A12"/>
    <mergeCell ref="B11:B12"/>
    <mergeCell ref="C11:C12"/>
    <mergeCell ref="D11:D12"/>
    <mergeCell ref="I11:I12"/>
  </mergeCells>
  <dataValidations count="5">
    <dataValidation type="list" allowBlank="1" showInputMessage="1" showErrorMessage="1" sqref="O2:O18" xr:uid="{0E9AAD0A-3D19-48F8-A102-B971FC4B1A2B}">
      <formula1>"Accelerating just energy transition, Close the gap on energy access, Scale up energy finance"</formula1>
    </dataValidation>
    <dataValidation type="list" allowBlank="1" showInputMessage="1" showErrorMessage="1" sqref="P2:P18" xr:uid="{B3540927-D37A-4E4D-B2C3-9A161DE20D0E}">
      <formula1>"Electricity Access, Energy Efficiency, Clean Cooking, Renewable Energy"</formula1>
    </dataValidation>
    <dataValidation type="list" allowBlank="1" showInputMessage="1" showErrorMessage="1" sqref="Q2:Q18" xr:uid="{7140167A-FBCE-4183-9256-040B20379708}">
      <formula1>"AMP, PUDC, Solar4Health, Action Opportunities, Italy UNDP Energy Partnership"</formula1>
    </dataValidation>
    <dataValidation type="list" allowBlank="1" showInputMessage="1" showErrorMessage="1" sqref="R2:R18" xr:uid="{48F46A5B-A431-456E-8D32-DDC80BC27A3E}">
      <formula1>"NDC Support, National Strategy, Legal Framework,Incentives and Support, Government Capacity-Building, Carbon Pricing and Monitoring, Financing Model, Business Model"</formula1>
    </dataValidation>
    <dataValidation type="list" allowBlank="1" showInputMessage="1" showErrorMessage="1" sqref="S2:S18" xr:uid="{82B9F47F-3F61-454D-86A0-A4AD34FA2A93}">
      <formula1>"Electricity Access, Energy Efficiency, Renewable EnergyEnergy Infrastructure,   Transport, Digital &amp; Data, Clean Cooking, Decarbonization, Hydrogen, Off-Grid, On-Grid"</formula1>
    </dataValidation>
  </dataValidations>
  <hyperlinks>
    <hyperlink ref="C13" r:id="rId1" xr:uid="{5DBD0C20-40E5-4F29-B0AB-A21C8B977D83}"/>
    <hyperlink ref="C2:C4" r:id="rId2" display="https://www.undp.org/vietnam/projects/catalysing-sustainable-shift-towards-e-mobility" xr:uid="{A51D4BA3-5B12-4038-84DA-7F63AA60785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workbookViewId="0">
      <selection activeCell="H1" sqref="H1"/>
    </sheetView>
  </sheetViews>
  <sheetFormatPr defaultRowHeight="15"/>
  <cols>
    <col min="1" max="1" width="14.42578125" customWidth="1"/>
    <col min="2" max="2" width="32.140625" customWidth="1"/>
    <col min="3" max="3" width="18.7109375" customWidth="1"/>
    <col min="4" max="4" width="15.140625" customWidth="1"/>
    <col min="5" max="5" width="22.5703125" customWidth="1"/>
    <col min="6" max="6" width="29.140625" customWidth="1"/>
    <col min="7" max="7" width="11.7109375" customWidth="1"/>
    <col min="8" max="8" width="14.140625" customWidth="1"/>
    <col min="9" max="9" width="60" customWidth="1"/>
  </cols>
  <sheetData>
    <row r="1" spans="1:10">
      <c r="A1" s="18" t="s">
        <v>0</v>
      </c>
      <c r="B1" s="18" t="s">
        <v>1</v>
      </c>
      <c r="C1" s="18" t="s">
        <v>2</v>
      </c>
      <c r="D1" s="18" t="s">
        <v>3</v>
      </c>
      <c r="E1" s="18" t="s">
        <v>4</v>
      </c>
      <c r="F1" s="18" t="s">
        <v>5</v>
      </c>
      <c r="G1" s="19" t="s">
        <v>6</v>
      </c>
      <c r="H1" s="19" t="s">
        <v>7</v>
      </c>
      <c r="I1" s="18" t="s">
        <v>8</v>
      </c>
      <c r="J1" s="25" t="s">
        <v>9</v>
      </c>
    </row>
    <row r="2" spans="1:10" ht="45.75">
      <c r="A2" s="138" t="s">
        <v>124</v>
      </c>
      <c r="B2" s="135" t="s">
        <v>21</v>
      </c>
      <c r="C2" s="139" t="s">
        <v>22</v>
      </c>
      <c r="D2" s="129">
        <v>896583</v>
      </c>
      <c r="E2" s="3" t="s">
        <v>139</v>
      </c>
      <c r="F2" s="3" t="s">
        <v>140</v>
      </c>
      <c r="G2" s="4">
        <v>0</v>
      </c>
      <c r="H2" s="5" t="s">
        <v>141</v>
      </c>
      <c r="I2" s="6" t="s">
        <v>104</v>
      </c>
    </row>
    <row r="3" spans="1:10" ht="121.5">
      <c r="A3" s="138"/>
      <c r="B3" s="135"/>
      <c r="C3" s="139"/>
      <c r="D3" s="129"/>
      <c r="E3" s="3" t="s">
        <v>30</v>
      </c>
      <c r="F3" s="3" t="s">
        <v>31</v>
      </c>
      <c r="G3" s="4">
        <v>0</v>
      </c>
      <c r="H3" s="5" t="s">
        <v>142</v>
      </c>
      <c r="I3" s="24" t="s">
        <v>137</v>
      </c>
    </row>
    <row r="4" spans="1:10" ht="60.75">
      <c r="A4" s="138"/>
      <c r="B4" s="135"/>
      <c r="C4" s="139"/>
      <c r="D4" s="129"/>
      <c r="E4" s="3" t="str">
        <f>E2</f>
        <v xml:space="preserve">Policy or Regulatory Framework and pilot activities </v>
      </c>
      <c r="F4" s="3" t="s">
        <v>34</v>
      </c>
      <c r="G4" s="4">
        <v>0</v>
      </c>
      <c r="H4" s="4">
        <v>3</v>
      </c>
      <c r="I4" s="7">
        <v>4</v>
      </c>
    </row>
    <row r="5" spans="1:10" ht="45.75" customHeight="1">
      <c r="A5" s="142">
        <v>1061012</v>
      </c>
      <c r="B5" s="135" t="s">
        <v>38</v>
      </c>
      <c r="C5" s="136"/>
      <c r="D5" s="137">
        <v>1128978</v>
      </c>
      <c r="E5" s="23" t="s">
        <v>143</v>
      </c>
      <c r="F5" s="8" t="s">
        <v>144</v>
      </c>
      <c r="G5" s="9">
        <v>0</v>
      </c>
      <c r="H5" s="9" t="s">
        <v>145</v>
      </c>
      <c r="I5" s="3" t="s">
        <v>49</v>
      </c>
    </row>
    <row r="6" spans="1:10" ht="70.5" customHeight="1">
      <c r="A6" s="142"/>
      <c r="B6" s="135"/>
      <c r="C6" s="136"/>
      <c r="D6" s="137"/>
      <c r="E6" s="23" t="s">
        <v>46</v>
      </c>
      <c r="F6" s="8" t="s">
        <v>42</v>
      </c>
      <c r="G6" s="9">
        <v>0</v>
      </c>
      <c r="H6" s="10" t="s">
        <v>146</v>
      </c>
      <c r="I6" s="3" t="s">
        <v>49</v>
      </c>
    </row>
    <row r="7" spans="1:10" ht="45.75">
      <c r="A7" s="142"/>
      <c r="B7" s="135"/>
      <c r="C7" s="136"/>
      <c r="D7" s="137"/>
      <c r="E7" s="23" t="s">
        <v>46</v>
      </c>
      <c r="F7" s="8" t="s">
        <v>47</v>
      </c>
      <c r="G7" s="9">
        <v>0</v>
      </c>
      <c r="H7" s="11" t="s">
        <v>147</v>
      </c>
      <c r="I7" s="3" t="s">
        <v>49</v>
      </c>
    </row>
    <row r="8" spans="1:10" ht="30.75">
      <c r="A8" s="142"/>
      <c r="B8" s="135"/>
      <c r="C8" s="136"/>
      <c r="D8" s="137"/>
      <c r="E8" s="23" t="s">
        <v>113</v>
      </c>
      <c r="F8" s="12" t="s">
        <v>148</v>
      </c>
      <c r="G8" s="9">
        <v>0</v>
      </c>
      <c r="H8" s="9">
        <v>70</v>
      </c>
      <c r="I8" s="3" t="s">
        <v>49</v>
      </c>
    </row>
    <row r="9" spans="1:10" ht="50.25">
      <c r="A9" s="142"/>
      <c r="B9" s="135"/>
      <c r="C9" s="136"/>
      <c r="D9" s="137"/>
      <c r="E9" s="3" t="s">
        <v>30</v>
      </c>
      <c r="F9" s="12" t="s">
        <v>53</v>
      </c>
      <c r="G9" s="9">
        <v>0</v>
      </c>
      <c r="H9" s="9">
        <v>370</v>
      </c>
      <c r="I9" s="3" t="s">
        <v>49</v>
      </c>
    </row>
    <row r="10" spans="1:10" ht="37.5">
      <c r="A10" s="142"/>
      <c r="B10" s="135"/>
      <c r="C10" s="136"/>
      <c r="D10" s="137"/>
      <c r="E10" s="23" t="str">
        <f>'Beneficiary Categories'!A15</f>
        <v>Medium Enterprises</v>
      </c>
      <c r="F10" s="13" t="s">
        <v>56</v>
      </c>
      <c r="G10" s="9">
        <v>0</v>
      </c>
      <c r="H10" s="9">
        <v>4</v>
      </c>
      <c r="I10" s="3" t="s">
        <v>49</v>
      </c>
    </row>
    <row r="11" spans="1:10" s="1" customFormat="1" ht="161.25" customHeight="1">
      <c r="A11" s="130">
        <v>134019</v>
      </c>
      <c r="B11" s="131" t="s">
        <v>61</v>
      </c>
      <c r="C11" s="126" t="s">
        <v>114</v>
      </c>
      <c r="D11" s="129">
        <v>3000000</v>
      </c>
      <c r="E11" s="6" t="s">
        <v>50</v>
      </c>
      <c r="F11" s="14" t="s">
        <v>70</v>
      </c>
      <c r="G11" s="4">
        <v>0</v>
      </c>
      <c r="H11" s="4">
        <v>70</v>
      </c>
      <c r="I11" s="133" t="s">
        <v>115</v>
      </c>
    </row>
    <row r="12" spans="1:10" s="2" customFormat="1" ht="91.5">
      <c r="A12" s="130"/>
      <c r="B12" s="131"/>
      <c r="C12" s="126"/>
      <c r="D12" s="129"/>
      <c r="E12" s="6" t="s">
        <v>58</v>
      </c>
      <c r="F12" s="15" t="s">
        <v>71</v>
      </c>
      <c r="G12" s="16">
        <v>0</v>
      </c>
      <c r="H12" s="16">
        <v>20</v>
      </c>
      <c r="I12" s="133"/>
    </row>
    <row r="13" spans="1:10" ht="183" customHeight="1">
      <c r="A13" s="141">
        <v>117633</v>
      </c>
      <c r="B13" s="127" t="s">
        <v>73</v>
      </c>
      <c r="C13" s="128" t="s">
        <v>74</v>
      </c>
      <c r="D13" s="129">
        <v>2201100</v>
      </c>
      <c r="E13" s="17" t="s">
        <v>149</v>
      </c>
      <c r="F13" s="17" t="s">
        <v>41</v>
      </c>
      <c r="G13" s="9">
        <v>0</v>
      </c>
      <c r="H13" s="9" t="s">
        <v>150</v>
      </c>
      <c r="I13" s="21" t="s">
        <v>117</v>
      </c>
    </row>
    <row r="14" spans="1:10" ht="168" customHeight="1">
      <c r="A14" s="142"/>
      <c r="B14" s="127"/>
      <c r="C14" s="128"/>
      <c r="D14" s="129"/>
      <c r="E14" s="17" t="s">
        <v>151</v>
      </c>
      <c r="F14" s="17" t="s">
        <v>77</v>
      </c>
      <c r="G14" s="9">
        <v>0</v>
      </c>
      <c r="H14" s="9" t="s">
        <v>78</v>
      </c>
      <c r="I14" s="22" t="s">
        <v>79</v>
      </c>
    </row>
    <row r="15" spans="1:10" ht="30.75">
      <c r="A15" s="142"/>
      <c r="B15" s="127"/>
      <c r="C15" s="128"/>
      <c r="D15" s="129"/>
      <c r="E15" s="17" t="s">
        <v>152</v>
      </c>
      <c r="F15" s="17" t="s">
        <v>80</v>
      </c>
      <c r="G15" s="9">
        <v>0</v>
      </c>
      <c r="H15" s="9">
        <v>3</v>
      </c>
      <c r="I15" s="8" t="s">
        <v>81</v>
      </c>
    </row>
    <row r="16" spans="1:10" ht="76.5">
      <c r="A16" s="142"/>
      <c r="B16" s="127"/>
      <c r="C16" s="128"/>
      <c r="D16" s="129"/>
      <c r="E16" s="17" t="s">
        <v>82</v>
      </c>
      <c r="F16" s="17" t="s">
        <v>30</v>
      </c>
      <c r="G16" s="9">
        <v>0</v>
      </c>
      <c r="H16" s="9" t="s">
        <v>153</v>
      </c>
      <c r="I16" s="20" t="s">
        <v>83</v>
      </c>
    </row>
    <row r="17" spans="1:9" ht="76.5">
      <c r="A17" s="142"/>
      <c r="B17" s="127"/>
      <c r="C17" s="128"/>
      <c r="D17" s="129"/>
      <c r="E17" s="17" t="s">
        <v>82</v>
      </c>
      <c r="F17" s="17" t="s">
        <v>69</v>
      </c>
      <c r="G17" s="9">
        <v>0</v>
      </c>
      <c r="H17" s="9">
        <v>46</v>
      </c>
      <c r="I17" s="8" t="s">
        <v>84</v>
      </c>
    </row>
    <row r="18" spans="1:9" ht="121.5">
      <c r="A18" s="142"/>
      <c r="B18" s="127"/>
      <c r="C18" s="128"/>
      <c r="D18" s="129"/>
      <c r="E18" s="17" t="s">
        <v>55</v>
      </c>
      <c r="F18" s="17" t="s">
        <v>19</v>
      </c>
      <c r="G18" s="9">
        <v>0</v>
      </c>
      <c r="H18" s="9">
        <v>6</v>
      </c>
      <c r="I18" s="20" t="s">
        <v>121</v>
      </c>
    </row>
  </sheetData>
  <mergeCells count="17">
    <mergeCell ref="A2:A4"/>
    <mergeCell ref="A5:A10"/>
    <mergeCell ref="B5:B10"/>
    <mergeCell ref="C5:C10"/>
    <mergeCell ref="D5:D10"/>
    <mergeCell ref="D2:D4"/>
    <mergeCell ref="B2:B4"/>
    <mergeCell ref="C2:C4"/>
    <mergeCell ref="C13:C18"/>
    <mergeCell ref="D13:D18"/>
    <mergeCell ref="B13:B18"/>
    <mergeCell ref="A13:A18"/>
    <mergeCell ref="I11:I12"/>
    <mergeCell ref="A11:A12"/>
    <mergeCell ref="B11:B12"/>
    <mergeCell ref="C11:C12"/>
    <mergeCell ref="D11:D12"/>
  </mergeCells>
  <hyperlinks>
    <hyperlink ref="C13" r:id="rId1" xr:uid="{D6EF8A47-5441-4CF6-A2B7-731F05227061}"/>
    <hyperlink ref="C2:C4" r:id="rId2" display="https://www.undp.org/vietnam/projects/catalysing-sustainable-shift-towards-e-mobility" xr:uid="{AED3A2A1-9382-4B85-91D0-DDEA727F584F}"/>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BE44E-B3DD-45CE-BB67-AA20DED67543}">
  <dimension ref="A1:B22"/>
  <sheetViews>
    <sheetView workbookViewId="0"/>
  </sheetViews>
  <sheetFormatPr defaultRowHeight="15"/>
  <cols>
    <col min="1" max="2" width="52.7109375" customWidth="1"/>
  </cols>
  <sheetData>
    <row r="1" spans="1:2">
      <c r="A1" s="68" t="s">
        <v>4</v>
      </c>
      <c r="B1" s="68" t="s">
        <v>5</v>
      </c>
    </row>
    <row r="2" spans="1:2" ht="45.75">
      <c r="A2" s="160" t="s">
        <v>46</v>
      </c>
      <c r="B2" s="69" t="s">
        <v>154</v>
      </c>
    </row>
    <row r="3" spans="1:2">
      <c r="A3" s="160" t="s">
        <v>41</v>
      </c>
      <c r="B3" s="69" t="s">
        <v>155</v>
      </c>
    </row>
    <row r="4" spans="1:2" ht="30.75">
      <c r="A4" s="160" t="s">
        <v>156</v>
      </c>
      <c r="B4" s="69" t="s">
        <v>157</v>
      </c>
    </row>
    <row r="5" spans="1:2" ht="30.75">
      <c r="A5" s="160" t="s">
        <v>158</v>
      </c>
      <c r="B5" s="69" t="s">
        <v>159</v>
      </c>
    </row>
    <row r="6" spans="1:2" ht="91.5">
      <c r="A6" s="160" t="s">
        <v>119</v>
      </c>
      <c r="B6" s="69" t="s">
        <v>160</v>
      </c>
    </row>
    <row r="7" spans="1:2" ht="45.75">
      <c r="A7" s="160" t="s">
        <v>161</v>
      </c>
      <c r="B7" s="69" t="s">
        <v>162</v>
      </c>
    </row>
    <row r="8" spans="1:2" ht="45.75">
      <c r="A8" s="160" t="s">
        <v>163</v>
      </c>
      <c r="B8" s="69" t="s">
        <v>164</v>
      </c>
    </row>
    <row r="9" spans="1:2" ht="45.75">
      <c r="A9" s="160" t="s">
        <v>165</v>
      </c>
      <c r="B9" s="69" t="s">
        <v>166</v>
      </c>
    </row>
    <row r="10" spans="1:2" ht="30.75">
      <c r="A10" s="160" t="s">
        <v>167</v>
      </c>
      <c r="B10" s="167" t="s">
        <v>168</v>
      </c>
    </row>
    <row r="11" spans="1:2" ht="30.75">
      <c r="A11" s="160" t="s">
        <v>169</v>
      </c>
      <c r="B11" s="167" t="s">
        <v>170</v>
      </c>
    </row>
    <row r="12" spans="1:2" ht="45.75">
      <c r="A12" s="160" t="s">
        <v>171</v>
      </c>
      <c r="B12" s="69" t="s">
        <v>172</v>
      </c>
    </row>
    <row r="13" spans="1:2" ht="30.75">
      <c r="A13" s="160" t="s">
        <v>50</v>
      </c>
      <c r="B13" s="167" t="s">
        <v>173</v>
      </c>
    </row>
    <row r="14" spans="1:2">
      <c r="A14" s="160" t="s">
        <v>174</v>
      </c>
      <c r="B14" s="167" t="s">
        <v>175</v>
      </c>
    </row>
    <row r="15" spans="1:2" ht="30.75">
      <c r="A15" s="160" t="s">
        <v>58</v>
      </c>
      <c r="B15" s="167" t="s">
        <v>176</v>
      </c>
    </row>
    <row r="16" spans="1:2" ht="30.75">
      <c r="A16" s="160" t="s">
        <v>80</v>
      </c>
      <c r="B16" s="167" t="s">
        <v>177</v>
      </c>
    </row>
    <row r="17" spans="1:2" ht="30.75">
      <c r="A17" s="160" t="s">
        <v>105</v>
      </c>
      <c r="B17" s="69" t="s">
        <v>178</v>
      </c>
    </row>
    <row r="18" spans="1:2" ht="30.75">
      <c r="A18" s="160" t="s">
        <v>69</v>
      </c>
      <c r="B18" s="167" t="s">
        <v>179</v>
      </c>
    </row>
    <row r="19" spans="1:2" ht="76.5">
      <c r="A19" s="160" t="s">
        <v>180</v>
      </c>
      <c r="B19" s="167" t="s">
        <v>181</v>
      </c>
    </row>
    <row r="20" spans="1:2" ht="30.75">
      <c r="A20" s="160" t="s">
        <v>182</v>
      </c>
      <c r="B20" s="167" t="s">
        <v>183</v>
      </c>
    </row>
    <row r="21" spans="1:2" ht="45.75">
      <c r="A21" s="160" t="s">
        <v>19</v>
      </c>
      <c r="B21" s="148" t="s">
        <v>184</v>
      </c>
    </row>
    <row r="22" spans="1:2" ht="30.75">
      <c r="A22" s="160" t="s">
        <v>113</v>
      </c>
      <c r="B22" s="167" t="s">
        <v>185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Nguyen Vu Linh</DisplayName>
        <AccountId>2515</AccountId>
        <AccountType/>
      </UserInfo>
      <UserInfo>
        <DisplayName>Trinh Thi Bich Thuy</DisplayName>
        <AccountId>1771</AccountId>
        <AccountType/>
      </UserInfo>
      <UserInfo>
        <DisplayName>Nguyen Thi Thu Ha</DisplayName>
        <AccountId>2510</AccountId>
        <AccountType/>
      </UserInfo>
    </SharedWithUsers>
  </documentManagement>
</p:properties>
</file>

<file path=customXml/itemProps1.xml><?xml version="1.0" encoding="utf-8"?>
<ds:datastoreItem xmlns:ds="http://schemas.openxmlformats.org/officeDocument/2006/customXml" ds:itemID="{A9EA5A6B-4907-41A1-A8C7-9BE3F53C78B4}"/>
</file>

<file path=customXml/itemProps2.xml><?xml version="1.0" encoding="utf-8"?>
<ds:datastoreItem xmlns:ds="http://schemas.openxmlformats.org/officeDocument/2006/customXml" ds:itemID="{3B2295D2-686C-4E88-AC90-9CDCBA3A093B}"/>
</file>

<file path=customXml/itemProps3.xml><?xml version="1.0" encoding="utf-8"?>
<ds:datastoreItem xmlns:ds="http://schemas.openxmlformats.org/officeDocument/2006/customXml" ds:itemID="{242C6A4E-D5F7-40A6-BE63-872510DEAD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Thi Thu Ha</cp:lastModifiedBy>
  <cp:revision/>
  <dcterms:created xsi:type="dcterms:W3CDTF">2006-09-16T00:00:00Z</dcterms:created>
  <dcterms:modified xsi:type="dcterms:W3CDTF">2024-11-22T09:31:48Z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