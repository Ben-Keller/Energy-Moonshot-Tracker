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19"/>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792" documentId="11_5E2291AF6514A09EC6E1AA69F27A1135B06B1CFA" xr6:coauthVersionLast="47" xr6:coauthVersionMax="47" xr10:uidLastSave="{D8045291-9093-43BE-A1C7-AD3DC54BC71C}"/>
  <bookViews>
    <workbookView xWindow="-110" yWindow="-110" windowWidth="19420" windowHeight="1030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tc={8D1850B6-7295-40DA-83A4-1A6D64245AA8}</author>
    <author>tc={8CCC4E43-5BC1-43AE-8F36-8B20E99C45BE}</author>
    <author>tc={74C36888-33F0-4E51-8559-FC66D10B7C5A}</author>
    <author>tc={E195C2DF-08F3-4FAE-AE76-17FBF46E5A37}</author>
  </authors>
  <commentList>
    <comment ref="B2" authorId="0" shapeId="0" xr:uid="{8D1850B6-7295-40DA-83A4-1A6D64245AA8}">
      <text>
        <t>[Threaded comment]
Your version of Excel allows you to read this threaded comment; however, any edits to it will get removed if the file is opened in a newer version of Excel. Learn more: https://go.microsoft.com/fwlink/?linkid=870924
Comment:
    @Mathilde Sari Gokmauli @Sugiyanto Sugiyanto Please update data for ACCESS. Feel free to include relevant indicators that have not been reflected here</t>
      </text>
    </comment>
    <comment ref="B12" authorId="1" shapeId="0" xr:uid="{8CCC4E43-5BC1-43AE-8F36-8B20E99C45BE}">
      <text>
        <t>[Threaded comment]
Your version of Excel allows you to read this threaded comment; however, any edits to it will get removed if the file is opened in a newer version of Excel. Learn more: https://go.microsoft.com/fwlink/?linkid=870924
Comment:
    @Heri Tabadepu @Dzul Afifah Arifin Can you update the information here for the Carbon Pricing Project? Feel free to add relevant indicators not captured here</t>
      </text>
    </comment>
    <comment ref="B26" authorId="2" shapeId="0" xr:uid="{74C36888-33F0-4E51-8559-FC66D10B7C5A}">
      <text>
        <t>[Threaded comment]
Your version of Excel allows you to read this threaded comment; however, any edits to it will get removed if the file is opened in a newer version of Excel. Learn more: https://go.microsoft.com/fwlink/?linkid=870924
Comment:
    @Heri Tabadepu Can you review details for MTRE3 and add/update as necessary?</t>
      </text>
    </comment>
    <comment ref="B33" authorId="3" shapeId="0" xr:uid="{E195C2DF-08F3-4FAE-AE76-17FBF46E5A37}">
      <text>
        <t xml:space="preserve">[Threaded comment]
Your version of Excel allows you to read this threaded comment; however, any edits to it will get removed if the file is opened in a newer version of Excel. Learn more: https://go.microsoft.com/fwlink/?linkid=870924
Comment:
    @Heri Tabadepu @Dzul Afifah Arifin Can you help populate data for this project? </t>
      </text>
    </comment>
  </commentList>
</comments>
</file>

<file path=xl/sharedStrings.xml><?xml version="1.0" encoding="utf-8"?>
<sst xmlns="http://schemas.openxmlformats.org/spreadsheetml/2006/main" count="441" uniqueCount="218">
  <si>
    <t>Project ID</t>
  </si>
  <si>
    <t>Title</t>
  </si>
  <si>
    <t>Link</t>
  </si>
  <si>
    <t>Budget</t>
  </si>
  <si>
    <t>Beneficiary Category</t>
  </si>
  <si>
    <t>Indicator</t>
  </si>
  <si>
    <t>Baseline</t>
  </si>
  <si>
    <t>Target</t>
  </si>
  <si>
    <t>Notes</t>
  </si>
  <si>
    <t>Donor</t>
  </si>
  <si>
    <t>Gender (% female)</t>
  </si>
  <si>
    <t>VF or Non-VF</t>
  </si>
  <si>
    <t>Tag</t>
  </si>
  <si>
    <t>SEH Taxonomy</t>
  </si>
  <si>
    <t>RISE Taxonomy</t>
  </si>
  <si>
    <t>Flagship</t>
  </si>
  <si>
    <t>Indirect Category</t>
  </si>
  <si>
    <t>Indirect Taxonomy</t>
  </si>
  <si>
    <t>Technology</t>
  </si>
  <si>
    <t>Policy or Regulatory Framework</t>
  </si>
  <si>
    <t>Policy Population</t>
  </si>
  <si>
    <t>Accelerating Clean Energy Access to Reduce Inequality (ACCESS)</t>
  </si>
  <si>
    <t>http://open.undp.org/projects/00126434</t>
  </si>
  <si>
    <t>Electricity Access</t>
  </si>
  <si>
    <r>
      <rPr>
        <sz val="11"/>
        <color rgb="FF000000"/>
        <rFont val="Calibri"/>
      </rPr>
      <t xml:space="preserve">Number of households in targeted villages getting electricity supply generated </t>
    </r>
    <r>
      <rPr>
        <u/>
        <sz val="11"/>
        <color rgb="FF000000"/>
        <rFont val="Calibri"/>
      </rPr>
      <t>from 23 solar PV off-grid power plants (total 1.2 MewaWatt capacity) constructed by project fund</t>
    </r>
    <r>
      <rPr>
        <sz val="11"/>
        <color rgb="FF000000"/>
        <rFont val="Calibri"/>
      </rPr>
      <t xml:space="preserve"> (disaggregated by gender) </t>
    </r>
  </si>
  <si>
    <t xml:space="preserve">3025 HH
</t>
  </si>
  <si>
    <t>The construction of solar power plant is completed in all locations providing electricity access to 3,449 households</t>
  </si>
  <si>
    <t>KOICA</t>
  </si>
  <si>
    <t>Non-VF</t>
  </si>
  <si>
    <t>Close the gap on energy access</t>
  </si>
  <si>
    <t>Solar</t>
  </si>
  <si>
    <t xml:space="preserve">Amount of generated electricity per month </t>
  </si>
  <si>
    <t>123 kWh</t>
  </si>
  <si>
    <t>Achieved - Amount generated electricity 34,668 kWh</t>
  </si>
  <si>
    <t>Capacity Building Training</t>
  </si>
  <si>
    <t>Numbers of local people trained in field training on operation &amp; maintenance and passed post-test (disaggregated by gender).</t>
  </si>
  <si>
    <t>achieved – 70 (46% women)</t>
  </si>
  <si>
    <t>Medium Enterprises</t>
  </si>
  <si>
    <t>Establishment of village electricity enterprise (BUMDES Listrik Desa) or Renewable Energy Service Cooperative (RESCO).</t>
  </si>
  <si>
    <t>achieved – 21 village enterprise have been established or renewed</t>
  </si>
  <si>
    <t>Campaign Participant</t>
  </si>
  <si>
    <t>Number of participants from stakeholder's institutions (government, private, donors, NGOs, regional development banks) receiving dissemination products, cumulative</t>
  </si>
  <si>
    <t xml:space="preserve">Achieved - 1067 people have been engaged </t>
  </si>
  <si>
    <t>Small Enterprises</t>
  </si>
  <si>
    <t>Number of women led businesses in the villages</t>
  </si>
  <si>
    <t xml:space="preserve">30 women led business have been assisted to grow the business </t>
  </si>
  <si>
    <t>Energy (MW added)</t>
  </si>
  <si>
    <t>total capacity of the power plants</t>
  </si>
  <si>
    <t>1.1 MW (duplicate)</t>
  </si>
  <si>
    <t>achieved - total capacity of the 22 power plants is around 1,1 MWp</t>
  </si>
  <si>
    <t>Energy Infrastructure Services</t>
  </si>
  <si>
    <t xml:space="preserve">number of power plant constructed </t>
  </si>
  <si>
    <t>achieved - 22 power plants are operational</t>
  </si>
  <si>
    <t>Other</t>
  </si>
  <si>
    <t>*add indicator on GHG emission reduced/avoided</t>
  </si>
  <si>
    <t>PIP Accelerating Robust Carbon Pricing</t>
  </si>
  <si>
    <t>http://open.undp.org/projects/00142434</t>
  </si>
  <si>
    <t>govt staffs certified as emission reduction verifiers</t>
  </si>
  <si>
    <t>JSB</t>
  </si>
  <si>
    <t>Accelerating just energy transition</t>
  </si>
  <si>
    <t>mitigation actions registered in national registry system</t>
  </si>
  <si>
    <t>Renewable Energy</t>
  </si>
  <si>
    <t>NDC Support</t>
  </si>
  <si>
    <t>Decarbonization</t>
  </si>
  <si>
    <t>National</t>
  </si>
  <si>
    <t>#people being involved in capacity building and policy dialogue</t>
  </si>
  <si>
    <t>Electric Vehicles in Indonesia (ENTREV)</t>
  </si>
  <si>
    <t>https://co.pims.undp.org/project/view?id=6333</t>
  </si>
  <si>
    <t>Transportation and E-mobility Services</t>
  </si>
  <si>
    <t>Number of direct project beneficiaries disaggregated by gender (individual people) [GEF core indicator]</t>
  </si>
  <si>
    <t>GEF</t>
  </si>
  <si>
    <t>VF</t>
  </si>
  <si>
    <t xml:space="preserve">Financing support </t>
  </si>
  <si>
    <t>Volume of investment mobilized and leveraged for low GHG development</t>
  </si>
  <si>
    <t>at least $ 13.4 million</t>
  </si>
  <si>
    <t xml:space="preserve">Achievement (as of May 2024): $2,121,624  </t>
  </si>
  <si>
    <t>Number of direct project beneficiaries from the EV infrastructure intervention, disaggregated by gender (individual people)</t>
  </si>
  <si>
    <t xml:space="preserve">Achievement (as of May 2024): total of 163,967 beneficiaries, including 12,017 women. </t>
  </si>
  <si>
    <t>GHG emissions reduction/avoided</t>
  </si>
  <si>
    <t>473.8 ktCO2</t>
  </si>
  <si>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</si>
  <si>
    <t>ADLIGHT</t>
  </si>
  <si>
    <t>https://co.pims.undp.org/project/view?id=5721</t>
  </si>
  <si>
    <t>Cumulative number of lighting manufacturers who received technical assistance to upgrade production facilities</t>
  </si>
  <si>
    <t xml:space="preserve">Achievement: 10 </t>
  </si>
  <si>
    <t>Energy Efficiency Services</t>
  </si>
  <si>
    <t>To increase the penetration of high quality energy efficient lighting technologies in  Indonesia through the transformation of the national market</t>
  </si>
  <si>
    <t>77.45 GWh</t>
  </si>
  <si>
    <t>Achievement: 74.33 GWh</t>
  </si>
  <si>
    <t>62.58 ktCO2e</t>
  </si>
  <si>
    <t>Achievement: 75.16 ktCO2e</t>
  </si>
  <si>
    <t>Number of women and men participating in capacity building trainings throughout the project</t>
  </si>
  <si>
    <t>60/140 (w/m)</t>
  </si>
  <si>
    <t>Achievement: 103 women, 149 men</t>
  </si>
  <si>
    <t>RE Market Transformation (NAMA)</t>
  </si>
  <si>
    <t>https://co.pims.undp.org/project/view?id=4673</t>
  </si>
  <si>
    <t>Cumulative number of additional households (from baseline) having access to electricity in pilot provinces</t>
  </si>
  <si>
    <t>80000</t>
  </si>
  <si>
    <t>320000 HH</t>
  </si>
  <si>
    <t>Achievement: 327667 HH</t>
  </si>
  <si>
    <t>Cumulative capacity of RE investment projects implemented</t>
  </si>
  <si>
    <t>15 MW (duplicate)</t>
  </si>
  <si>
    <t>Achievement: 30.72 MW</t>
  </si>
  <si>
    <t>Cumulative energy saved from EE in commercial buildings, facilitated by project, MWh</t>
  </si>
  <si>
    <t>8,550 MWh</t>
  </si>
  <si>
    <t>Achievement: 248,952 MWh</t>
  </si>
  <si>
    <t>Market Intervention</t>
  </si>
  <si>
    <t>Cumulative volume of public and private investment mobilized by the SEF, US$ million</t>
  </si>
  <si>
    <t>US$ 25 million</t>
  </si>
  <si>
    <t>Achievement: US$ 57.77 million</t>
  </si>
  <si>
    <t>Scale up energy finance</t>
  </si>
  <si>
    <t>Number of small to medium scale RE/EE projects that were financially supported by Sustainable Energy Fund</t>
  </si>
  <si>
    <t>10 small-medium RE/EE projects</t>
  </si>
  <si>
    <t>Achievement: 11 small-medium RE/EE projects</t>
  </si>
  <si>
    <t>27029 tCO2e</t>
  </si>
  <si>
    <t>Achievement 217509 tCO2e</t>
  </si>
  <si>
    <t>01000330</t>
  </si>
  <si>
    <t>PIP JSB Advancing Indonesia's NDC Targets in the Energy Sector</t>
  </si>
  <si>
    <t>https://open.undp.org/projects/01000330</t>
  </si>
  <si>
    <t>Number of people trained/educated/informed 
through technical transfers, dialogues, 
workshops, campaigns, and other efforts 
(disaggregated by: male, female, youth (15-24) 
and indigenous people)</t>
  </si>
  <si>
    <t>Achievement 3,726 individuals</t>
  </si>
  <si>
    <t>38,3%</t>
  </si>
  <si>
    <t>Government Capacity-Building</t>
  </si>
  <si>
    <t>Digital &amp; Data</t>
  </si>
  <si>
    <t>01000743</t>
  </si>
  <si>
    <t>PIP Just Energy Transition</t>
  </si>
  <si>
    <t>https://open.undp.org/projects/01000743</t>
  </si>
  <si>
    <t>Establishment of Just Transition framework within the Indonesia Just Energy Transition Partnership (JETP) Comprehensive Investment and Policy Plan (CIPP) document</t>
  </si>
  <si>
    <t>1 document</t>
  </si>
  <si>
    <t>In November 2023, the Government of Indonesia launched the JETP CIPP document</t>
  </si>
  <si>
    <t>01002479</t>
  </si>
  <si>
    <t>PIP Gender-Responsive Just Energy Transition</t>
  </si>
  <si>
    <t>https://open.undp.org/projects/01002479</t>
  </si>
  <si>
    <t>Number of participants joining the focus group discussion on gender mainstreaming for just energy transition</t>
  </si>
  <si>
    <t>40 participants</t>
  </si>
  <si>
    <t>Achievement: total 45 participants joined and 37 participant are women</t>
  </si>
  <si>
    <t>00106637</t>
  </si>
  <si>
    <t>Partnership for Action on Green Economy</t>
  </si>
  <si>
    <t>https://www.un-pageindonesia.org/
https://open.undp.org/projects/00105341</t>
  </si>
  <si>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</si>
  <si>
    <t>3 sectors
4 document</t>
  </si>
  <si>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</si>
  <si>
    <t>MPTF</t>
  </si>
  <si>
    <t>Green and Circular Economy</t>
  </si>
  <si>
    <t>National and Regional Level</t>
  </si>
  <si>
    <t>00131053</t>
  </si>
  <si>
    <t xml:space="preserve">Sustainable Infrastructure Programme in Asia </t>
  </si>
  <si>
    <t>https://open.undp.org/projects/00143365</t>
  </si>
  <si>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</si>
  <si>
    <t>4 consultation workshop
2 RDF Studies</t>
  </si>
  <si>
    <t>As of November 2024, the SIPA project has conducted two consultation workshops, and one RDF roadmap assessment/study is currently in progress. The remaining workshops and studies are scheduled for 2025 rest of workshop and studies will be conducted in 2025</t>
  </si>
  <si>
    <t>BMUV-IKI</t>
  </si>
  <si>
    <t>Sustainable Infrastrcuture</t>
  </si>
  <si>
    <t>Category</t>
  </si>
  <si>
    <t>Accel. Clean Energy Access to Reduce Inequality (ACCESS)</t>
  </si>
  <si>
    <r>
      <rPr>
        <sz val="11"/>
        <color rgb="FF000000"/>
        <rFont val="Calibri"/>
      </rPr>
      <t xml:space="preserve">Number of households in targeted villages getting electricity supply generated </t>
    </r>
    <r>
      <rPr>
        <u/>
        <sz val="11"/>
        <color rgb="FF000000"/>
        <rFont val="Calibri"/>
      </rPr>
      <t>from 23 solar PV off-grid power plants (total 1.2 MewaWatt capacity) constructed by project fund</t>
    </r>
    <r>
      <rPr>
        <sz val="11"/>
        <color rgb="FF000000"/>
        <rFont val="Calibri"/>
      </rPr>
      <t xml:space="preserve"> (disaggregated by gender) 
</t>
    </r>
  </si>
  <si>
    <t xml:space="preserve">Baseline 2020
‘0
</t>
  </si>
  <si>
    <t xml:space="preserve">3,025 HH
</t>
  </si>
  <si>
    <t xml:space="preserve">1. Nil. The construction of 23 solar PV power plants is ongoing. Expectedly completed and provide access to electricity for 3,100 households by end of 2023.
</t>
  </si>
  <si>
    <t>Capacity Training</t>
  </si>
  <si>
    <t>‘0</t>
  </si>
  <si>
    <t>achieved – 50 (46% women)</t>
  </si>
  <si>
    <t>‘Seven villages in Indonesia target locations (pre-FS result)</t>
  </si>
  <si>
    <t xml:space="preserve">21 </t>
  </si>
  <si>
    <t>0</t>
  </si>
  <si>
    <t>663</t>
  </si>
  <si>
    <t xml:space="preserve">#govt staffs certified as emission reduction verifiers;
</t>
  </si>
  <si>
    <t>Energy Efficiency</t>
  </si>
  <si>
    <t>#mitigation actions registered in national registry system</t>
  </si>
  <si>
    <t>PIMS+</t>
  </si>
  <si>
    <t>Other Energy Services</t>
  </si>
  <si>
    <t xml:space="preserve">
# Number of women and men participating in capacity building trainings throughout the project; 
</t>
  </si>
  <si>
    <t xml:space="preserve">#30/70;
</t>
  </si>
  <si>
    <t>#Cumulative number of lighting manufacturers who received technical assistance to upgrade production facilities;</t>
  </si>
  <si>
    <t>#6 manufacturers (1 for each association)</t>
  </si>
  <si>
    <t>Achievement 327,667</t>
  </si>
  <si>
    <t>Commensts</t>
  </si>
  <si>
    <t xml:space="preserve">3,025
</t>
  </si>
  <si>
    <r>
      <rPr>
        <b/>
        <sz val="11"/>
        <color rgb="FFFF0000"/>
        <rFont val="Calibri"/>
      </rPr>
      <t xml:space="preserve">Outputs for project 126434 seem low for a $15M project focused all on energy. Can you please check it ? Is this the entire budget of the project ? What is the percentage dedicated to energy activities ? (the currency for the budget need to be in USD) </t>
    </r>
    <r>
      <rPr>
        <b/>
        <sz val="11"/>
        <color rgb="FF4F81BD"/>
        <rFont val="Calibri"/>
      </rPr>
      <t xml:space="preserve"> [Response: USD 9.5 million is allocated for Engineering, Procurement, and Construction of 23 solar PV power plants in 23 locations of remote villages.)</t>
    </r>
  </si>
  <si>
    <t>50 (30% women)</t>
  </si>
  <si>
    <t>21</t>
  </si>
  <si>
    <t>600 participants</t>
  </si>
  <si>
    <t>10 Govt staffs</t>
  </si>
  <si>
    <t>329 mitigation actions registered</t>
  </si>
  <si>
    <t>350 people involved</t>
  </si>
  <si>
    <t>N/A</t>
  </si>
  <si>
    <t xml:space="preserve">"MT: About 3⁄4 of EoP target (241,000 of which 66,000 women)
EoP: Total of 321,612 (of which 87,851 women):
318,186 passengers, 3,246 BSS and CS staff, 180 trained technicians"
</t>
  </si>
  <si>
    <t xml:space="preserve">#43/82;
</t>
  </si>
  <si>
    <t>#10 manufacturers received technical assistance to upgrade production facilities;</t>
  </si>
  <si>
    <t>320000</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</si>
  <si>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</si>
  <si>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</si>
  <si>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</si>
  <si>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</si>
  <si>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</si>
  <si>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</si>
  <si>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</si>
  <si>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</si>
  <si>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</si>
  <si>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</si>
  <si>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</si>
  <si>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</si>
  <si>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</si>
  <si>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</si>
  <si>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</si>
  <si>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</si>
  <si>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</si>
  <si>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</si>
  <si>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Support for the development of market ecosystem </t>
  </si>
  <si>
    <t>Support for the development of medium enterprises in the energy transition market</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</si>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</sst>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15">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FF0000"/>
      <name val="Calibri"/>
      <family val="2"/>
    </font>
    <font>
      <b/>
      <sz val="11"/>
      <color rgb="FFFF0000"/>
      <name val="Calibri"/>
    </font>
    <font>
      <b/>
      <sz val="11"/>
      <color rgb="FF4F81BD"/>
      <name val="Calibri"/>
    </font>
    <font>
      <sz val="11"/>
      <color rgb="FF000000"/>
      <name val="Calibri"/>
    </font>
    <font>
      <u/>
      <sz val="11"/>
      <color rgb="FF000000"/>
      <name val="Calibri"/>
    </font>
    <font>
      <sz val="11"/>
      <color rgb="FF000000"/>
      <name val="Calibri"/>
      <charset val="1"/>
    </font>
    <font>
      <b/>
      <sz val="11"/>
      <color theme="1"/>
      <name val="Calibri"/>
      <scheme val="minor"/>
    </font>
    <font>
      <sz val="11"/>
      <color rgb="FF000000"/>
      <name val="Calibri"/>
      <scheme val="minor"/>
    </font>
    <font>
      <u/>
      <sz val="11"/>
      <color theme="10"/>
      <name val="Calibri"/>
      <family val="2"/>
      <scheme val="minor"/>
    </font>
    <font>
      <i/>
      <sz val="11"/>
      <color rgb="FFFF0000"/>
      <name val="Calibri"/>
      <family val="2"/>
      <scheme val="minor"/>
    </font>
    <font>
      <sz val="11"/>
      <color rgb="FF000000"/>
      <name val="Calibri"/>
      <family val="2"/>
    </font>
  </fonts>
  <fills count="3">
    <fill>
      <patternFill patternType="none"/>
    </fill>
    <fill>
      <patternFill patternType="gray125"/>
    </fill>
    <fill>
      <patternFill patternType="solid">
        <fgColor rgb="FFFFE497"/>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2" fillId="0" borderId="0" applyNumberFormat="0" applyFill="0" applyBorder="0" applyAlignment="0" applyProtection="0"/>
  </cellStyleXfs>
  <cellXfs count="108">
    <xf numFmtId="0" fontId="0" fillId="0" borderId="0" xfId="0"/>
    <xf numFmtId="0" fontId="0" fillId="2" borderId="1" xfId="0" applyFill="1" applyBorder="1" applyAlignment="1">
      <alignment vertical="top" wrapText="1"/>
    </xf>
    <xf numFmtId="0" fontId="2"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vertical="top" wrapText="1"/>
    </xf>
    <xf numFmtId="0" fontId="0" fillId="2" borderId="1" xfId="0" quotePrefix="1" applyFill="1" applyBorder="1" applyAlignment="1">
      <alignment vertical="top" wrapText="1"/>
    </xf>
    <xf numFmtId="0" fontId="4" fillId="0" borderId="0" xfId="0" applyFont="1"/>
    <xf numFmtId="0" fontId="2" fillId="0" borderId="0" xfId="0" applyFont="1" applyAlignment="1">
      <alignment wrapText="1"/>
    </xf>
    <xf numFmtId="0" fontId="5" fillId="0" borderId="0" xfId="0" applyFont="1" applyAlignment="1">
      <alignment wrapText="1"/>
    </xf>
    <xf numFmtId="0" fontId="7" fillId="2" borderId="1" xfId="0" applyFont="1" applyFill="1" applyBorder="1" applyAlignment="1">
      <alignment vertical="top" wrapText="1"/>
    </xf>
    <xf numFmtId="0" fontId="2" fillId="0" borderId="0" xfId="0" applyFont="1"/>
    <xf numFmtId="9" fontId="0" fillId="0" borderId="0" xfId="0" applyNumberFormat="1" applyAlignment="1">
      <alignment wrapText="1"/>
    </xf>
    <xf numFmtId="0" fontId="9" fillId="0" borderId="0" xfId="0" applyFont="1"/>
    <xf numFmtId="0" fontId="10" fillId="0" borderId="1" xfId="0" applyFont="1" applyBorder="1" applyAlignment="1">
      <alignment horizontal="center" vertical="top" wrapText="1"/>
    </xf>
    <xf numFmtId="0" fontId="11" fillId="0" borderId="1" xfId="0" applyFont="1" applyBorder="1" applyAlignment="1">
      <alignment wrapText="1"/>
    </xf>
    <xf numFmtId="0" fontId="0" fillId="0" borderId="5" xfId="0" applyBorder="1" applyAlignment="1">
      <alignment vertical="center" wrapText="1"/>
    </xf>
    <xf numFmtId="0" fontId="0" fillId="0" borderId="5" xfId="0" quotePrefix="1" applyBorder="1" applyAlignment="1">
      <alignmen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vertical="center"/>
    </xf>
    <xf numFmtId="0" fontId="0" fillId="0" borderId="5" xfId="0" applyBorder="1" applyAlignment="1">
      <alignment wrapText="1"/>
    </xf>
    <xf numFmtId="0" fontId="4" fillId="0" borderId="5" xfId="0" applyFont="1" applyBorder="1"/>
    <xf numFmtId="0" fontId="0" fillId="0" borderId="5" xfId="0" applyBorder="1" applyAlignment="1">
      <alignment horizontal="left" vertical="center" wrapText="1"/>
    </xf>
    <xf numFmtId="3" fontId="0" fillId="0" borderId="5" xfId="0" applyNumberForma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horizontal="center"/>
    </xf>
    <xf numFmtId="0" fontId="2" fillId="0" borderId="5" xfId="0" applyFont="1" applyBorder="1"/>
    <xf numFmtId="0" fontId="7" fillId="0" borderId="5" xfId="0" applyFont="1" applyBorder="1" applyAlignment="1">
      <alignment vertical="center" wrapText="1"/>
    </xf>
    <xf numFmtId="0" fontId="13" fillId="0" borderId="5" xfId="0" applyFont="1" applyBorder="1" applyAlignment="1">
      <alignment vertical="center" wrapText="1"/>
    </xf>
    <xf numFmtId="0" fontId="4" fillId="0" borderId="5" xfId="0" quotePrefix="1" applyFont="1" applyBorder="1" applyAlignment="1">
      <alignment vertical="center"/>
    </xf>
    <xf numFmtId="0" fontId="0" fillId="0" borderId="5" xfId="0" quotePrefix="1" applyBorder="1" applyAlignment="1">
      <alignment vertical="top" wrapText="1"/>
    </xf>
    <xf numFmtId="0" fontId="0" fillId="0" borderId="5" xfId="0" applyBorder="1" applyAlignment="1">
      <alignment vertical="top" wrapText="1"/>
    </xf>
    <xf numFmtId="0" fontId="0" fillId="0" borderId="5" xfId="0" applyBorder="1" applyAlignment="1">
      <alignment horizontal="center" vertical="top"/>
    </xf>
    <xf numFmtId="0" fontId="0" fillId="0" borderId="5" xfId="0" applyBorder="1" applyAlignment="1">
      <alignment horizontal="center" vertical="top" wrapText="1"/>
    </xf>
    <xf numFmtId="0" fontId="0" fillId="0" borderId="5" xfId="0" applyBorder="1" applyAlignment="1">
      <alignment vertical="top"/>
    </xf>
    <xf numFmtId="0" fontId="0" fillId="0" borderId="0" xfId="0" applyAlignment="1">
      <alignment vertical="top" wrapText="1"/>
    </xf>
    <xf numFmtId="0" fontId="0" fillId="0" borderId="1" xfId="0" applyBorder="1" applyAlignment="1">
      <alignment vertical="center" wrapText="1"/>
    </xf>
    <xf numFmtId="0" fontId="0" fillId="0" borderId="7" xfId="0" applyBorder="1" applyAlignment="1">
      <alignment vertical="center" wrapText="1"/>
    </xf>
    <xf numFmtId="0" fontId="0" fillId="0" borderId="5" xfId="0" applyBorder="1" applyAlignment="1">
      <alignment horizontal="left" vertical="top" wrapText="1"/>
    </xf>
    <xf numFmtId="0" fontId="0" fillId="0" borderId="5" xfId="0" applyBorder="1" applyAlignment="1">
      <alignment horizontal="left" wrapText="1"/>
    </xf>
    <xf numFmtId="0" fontId="0" fillId="0" borderId="0" xfId="0" applyAlignment="1">
      <alignment horizontal="left" wrapText="1"/>
    </xf>
    <xf numFmtId="0" fontId="0" fillId="0" borderId="5" xfId="0" applyBorder="1" applyAlignment="1">
      <alignment horizontal="right" vertical="center" wrapText="1"/>
    </xf>
    <xf numFmtId="0" fontId="0" fillId="0" borderId="5" xfId="0" quotePrefix="1" applyBorder="1" applyAlignment="1">
      <alignment horizontal="right" vertical="center" wrapText="1"/>
    </xf>
    <xf numFmtId="0" fontId="9" fillId="0" borderId="5" xfId="0" applyFont="1" applyBorder="1" applyAlignment="1">
      <alignment horizontal="right" vertical="center" wrapText="1"/>
    </xf>
    <xf numFmtId="0" fontId="14" fillId="0" borderId="5" xfId="0" applyFont="1" applyBorder="1" applyAlignment="1">
      <alignment horizontal="right" vertical="center" wrapText="1"/>
    </xf>
    <xf numFmtId="3" fontId="0" fillId="0" borderId="5" xfId="0" quotePrefix="1" applyNumberFormat="1" applyBorder="1" applyAlignment="1">
      <alignment horizontal="right" vertical="center" wrapText="1"/>
    </xf>
    <xf numFmtId="0" fontId="0" fillId="0" borderId="5" xfId="0" applyBorder="1" applyAlignment="1">
      <alignment horizontal="right" vertical="top" wrapText="1"/>
    </xf>
    <xf numFmtId="0" fontId="0" fillId="0" borderId="5" xfId="0" applyBorder="1" applyAlignment="1">
      <alignment horizontal="right" wrapText="1"/>
    </xf>
    <xf numFmtId="0" fontId="0" fillId="0" borderId="0" xfId="0" applyAlignment="1">
      <alignment horizontal="right" wrapText="1"/>
    </xf>
    <xf numFmtId="0" fontId="0" fillId="0" borderId="6" xfId="0" applyBorder="1" applyAlignment="1">
      <alignment vertical="center" wrapText="1"/>
    </xf>
    <xf numFmtId="0" fontId="0" fillId="0" borderId="7" xfId="0" quotePrefix="1" applyBorder="1" applyAlignment="1">
      <alignment horizontal="right" vertical="center" wrapText="1"/>
    </xf>
    <xf numFmtId="0" fontId="0" fillId="0" borderId="8" xfId="0" quotePrefix="1" applyBorder="1" applyAlignment="1">
      <alignment horizontal="right" vertical="center" wrapText="1"/>
    </xf>
    <xf numFmtId="0" fontId="0" fillId="0" borderId="9" xfId="0" quotePrefix="1" applyBorder="1" applyAlignment="1">
      <alignment horizontal="right" vertical="center" wrapText="1"/>
    </xf>
    <xf numFmtId="0" fontId="0" fillId="0" borderId="4" xfId="0" applyBorder="1" applyAlignment="1">
      <alignment vertical="center" wrapText="1"/>
    </xf>
    <xf numFmtId="0" fontId="0" fillId="0" borderId="10" xfId="0" applyBorder="1" applyAlignment="1">
      <alignment vertical="center" wrapText="1"/>
    </xf>
    <xf numFmtId="0" fontId="12" fillId="0" borderId="5" xfId="1" applyBorder="1" applyAlignment="1">
      <alignment horizontal="center" vertical="center" wrapText="1"/>
    </xf>
    <xf numFmtId="41" fontId="0" fillId="0" borderId="5" xfId="0" applyNumberFormat="1" applyBorder="1" applyAlignment="1">
      <alignment horizontal="center" vertical="center" wrapText="1"/>
    </xf>
    <xf numFmtId="0" fontId="12" fillId="0" borderId="5" xfId="1" applyBorder="1" applyAlignment="1">
      <alignment horizontal="center" vertical="top" wrapText="1"/>
    </xf>
    <xf numFmtId="0" fontId="0" fillId="0" borderId="5" xfId="0" applyBorder="1" applyAlignment="1">
      <alignment horizontal="center" wrapText="1"/>
    </xf>
    <xf numFmtId="0" fontId="0" fillId="0" borderId="0" xfId="0" applyAlignment="1">
      <alignment horizontal="center" wrapText="1"/>
    </xf>
    <xf numFmtId="41" fontId="0" fillId="0" borderId="5" xfId="0" applyNumberFormat="1" applyBorder="1" applyAlignment="1">
      <alignment horizontal="center" vertical="top" wrapText="1"/>
    </xf>
    <xf numFmtId="41" fontId="0" fillId="0" borderId="12" xfId="0" applyNumberFormat="1" applyBorder="1" applyAlignment="1">
      <alignment horizontal="center" vertical="center" wrapText="1"/>
    </xf>
    <xf numFmtId="41" fontId="0" fillId="0" borderId="11" xfId="0" applyNumberFormat="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0" fontId="3" fillId="0" borderId="12" xfId="1" applyFont="1" applyFill="1" applyBorder="1" applyAlignment="1" applyProtection="1">
      <alignment horizontal="center" vertical="center" wrapText="1"/>
    </xf>
    <xf numFmtId="0" fontId="12" fillId="0" borderId="11" xfId="1" applyFill="1" applyBorder="1" applyAlignment="1" applyProtection="1">
      <alignment horizontal="center" vertical="center" wrapText="1"/>
    </xf>
    <xf numFmtId="0" fontId="12" fillId="0" borderId="12" xfId="1" applyBorder="1" applyAlignment="1">
      <alignment horizontal="center" vertical="center" wrapText="1"/>
    </xf>
    <xf numFmtId="0" fontId="12" fillId="0" borderId="11" xfId="1" applyBorder="1" applyAlignment="1">
      <alignment horizontal="center" vertical="center" wrapText="1"/>
    </xf>
    <xf numFmtId="9" fontId="0" fillId="0" borderId="5" xfId="0" applyNumberFormat="1" applyBorder="1" applyAlignment="1">
      <alignment horizontal="right" vertical="center" wrapText="1"/>
    </xf>
    <xf numFmtId="0" fontId="0" fillId="0" borderId="7" xfId="0" applyBorder="1" applyAlignment="1">
      <alignment horizontal="right" vertical="center" wrapText="1"/>
    </xf>
    <xf numFmtId="0" fontId="0" fillId="0" borderId="1" xfId="0" applyBorder="1" applyAlignment="1">
      <alignment horizontal="right" vertical="center" wrapText="1"/>
    </xf>
    <xf numFmtId="0" fontId="0" fillId="0" borderId="11" xfId="0" applyBorder="1" applyAlignment="1">
      <alignment horizontal="right" vertical="center" wrapText="1"/>
    </xf>
    <xf numFmtId="0" fontId="0" fillId="0" borderId="0" xfId="0" applyAlignment="1">
      <alignment vertical="center" wrapText="1"/>
    </xf>
    <xf numFmtId="0" fontId="0" fillId="0" borderId="0" xfId="0" applyAlignment="1">
      <alignment horizontal="right" vertical="center" wrapText="1"/>
    </xf>
    <xf numFmtId="0" fontId="14" fillId="0" borderId="0" xfId="0" applyFont="1" applyAlignment="1">
      <alignment vertical="center"/>
    </xf>
    <xf numFmtId="41" fontId="0" fillId="0" borderId="7" xfId="0" applyNumberFormat="1" applyBorder="1" applyAlignment="1">
      <alignment horizontal="center" vertical="center" wrapText="1"/>
    </xf>
    <xf numFmtId="41" fontId="0" fillId="0" borderId="12" xfId="0" applyNumberFormat="1" applyBorder="1" applyAlignment="1">
      <alignment horizontal="center" vertical="center" wrapText="1"/>
    </xf>
    <xf numFmtId="41" fontId="0" fillId="0" borderId="11" xfId="0" applyNumberFormat="1" applyBorder="1" applyAlignment="1">
      <alignment horizontal="center" vertical="center" wrapText="1"/>
    </xf>
    <xf numFmtId="0" fontId="0" fillId="0" borderId="7"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0" fontId="3" fillId="0" borderId="7" xfId="1" applyFont="1" applyFill="1" applyBorder="1" applyAlignment="1" applyProtection="1">
      <alignment horizontal="center" vertical="center" wrapText="1"/>
    </xf>
    <xf numFmtId="0" fontId="3" fillId="0" borderId="12" xfId="1" applyFont="1" applyFill="1" applyBorder="1" applyAlignment="1" applyProtection="1">
      <alignment horizontal="center" vertical="center" wrapText="1"/>
    </xf>
    <xf numFmtId="0" fontId="3" fillId="0" borderId="11" xfId="1" applyFont="1" applyFill="1" applyBorder="1" applyAlignment="1" applyProtection="1">
      <alignment horizontal="center" vertical="center" wrapText="1"/>
    </xf>
    <xf numFmtId="0" fontId="12" fillId="0" borderId="7" xfId="1" applyFill="1" applyBorder="1" applyAlignment="1" applyProtection="1">
      <alignment horizontal="center" vertical="center" wrapText="1"/>
    </xf>
    <xf numFmtId="0" fontId="12" fillId="0" borderId="12" xfId="1" applyFill="1" applyBorder="1" applyAlignment="1" applyProtection="1">
      <alignment horizontal="center" vertical="center" wrapText="1"/>
    </xf>
    <xf numFmtId="0" fontId="12" fillId="0" borderId="11" xfId="1" applyFill="1" applyBorder="1" applyAlignment="1" applyProtection="1">
      <alignment horizontal="center" vertical="center" wrapText="1"/>
    </xf>
    <xf numFmtId="0" fontId="12" fillId="0" borderId="7" xfId="1" applyBorder="1" applyAlignment="1">
      <alignment horizontal="center" vertical="center" wrapText="1"/>
    </xf>
    <xf numFmtId="0" fontId="12" fillId="0" borderId="12" xfId="1" applyBorder="1" applyAlignment="1">
      <alignment horizontal="center" vertical="center" wrapText="1"/>
    </xf>
    <xf numFmtId="0" fontId="12" fillId="0" borderId="11" xfId="1" applyBorder="1" applyAlignment="1">
      <alignment horizontal="center"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left" vertical="top" wrapText="1"/>
    </xf>
    <xf numFmtId="0" fontId="3" fillId="0" borderId="2" xfId="1" applyFont="1" applyBorder="1" applyAlignment="1" applyProtection="1">
      <alignment horizontal="left" vertical="top" wrapText="1"/>
    </xf>
    <xf numFmtId="0" fontId="3" fillId="0" borderId="3" xfId="1" applyFont="1" applyBorder="1" applyAlignment="1" applyProtection="1">
      <alignment horizontal="left" vertical="top" wrapText="1"/>
    </xf>
    <xf numFmtId="0" fontId="3" fillId="0" borderId="4" xfId="1" applyFont="1" applyBorder="1" applyAlignment="1" applyProtection="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zul Afifah Arifin" id="{04264E1D-CB01-4A26-8027-80662AEF9834}" userId="dzul.arifin@undp.org" providerId="PeoplePicker"/>
  <person displayName="Heri Tabadepu" id="{9D88A0A3-9F7D-47D5-9EE7-46AA50DAF00C}" userId="heri.tabadepu@undp.org" providerId="PeoplePicker"/>
  <person displayName="Mathilde Sari Gokmauli" id="{A8388F1E-DCBC-4722-A233-40313B3AEA19}" userId="mathilde.gokmauli@undp.org" providerId="PeoplePicker"/>
  <person displayName="Sugiyanto Sugiyanto" id="{F8747D21-6DB8-4458-BF78-7C9B31453FEE}" userId="sugiyanto.sugiyanto@undp.org" providerId="PeoplePicker"/>
  <person displayName="Gwyneth Anne Palmos" id="{A74E45B1-127A-4C91-91F4-02B14EAA5C17}" userId="S::gwyneth.anne.palmos@undp.org::4598e08f-a9dc-48c7-8201-9add67cb183b"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4-11-21T01:49:17.20" personId="{A74E45B1-127A-4C91-91F4-02B14EAA5C17}" id="{8D1850B6-7295-40DA-83A4-1A6D64245AA8}">
    <text>@Mathilde Sari Gokmauli @Sugiyanto Sugiyanto Please update data for ACCESS. Feel free to include relevant indicators that have not been reflected here</text>
    <mentions>
      <mention mentionpersonId="{A8388F1E-DCBC-4722-A233-40313B3AEA19}" mentionId="{026E60F7-5635-4E7D-828B-58AA6519287B}" startIndex="0" length="23"/>
      <mention mentionpersonId="{F8747D21-6DB8-4458-BF78-7C9B31453FEE}" mentionId="{D3F70FF6-EBA6-49BD-89DD-92CF2E8721BC}" startIndex="24" length="20"/>
    </mentions>
  </threadedComment>
  <threadedComment ref="B12" dT="2024-11-21T01:51:52.57" personId="{A74E45B1-127A-4C91-91F4-02B14EAA5C17}" id="{8CCC4E43-5BC1-43AE-8F36-8B20E99C45BE}">
    <text>@Heri Tabadepu @Dzul Afifah Arifin Can you update the information here for the Carbon Pricing Project? Feel free to add relevant indicators not captured here</text>
    <mentions>
      <mention mentionpersonId="{9D88A0A3-9F7D-47D5-9EE7-46AA50DAF00C}" mentionId="{8CA6F148-B60B-4EF3-8175-CE52B20B3D9E}" startIndex="0" length="14"/>
      <mention mentionpersonId="{04264E1D-CB01-4A26-8027-80662AEF9834}" mentionId="{A32A6949-7B15-42A6-AD81-BE662C64A48D}" startIndex="15" length="19"/>
    </mentions>
  </threadedComment>
  <threadedComment ref="B26" dT="2024-11-21T01:53:02.06" personId="{A74E45B1-127A-4C91-91F4-02B14EAA5C17}" id="{74C36888-33F0-4E51-8559-FC66D10B7C5A}">
    <text>@Heri Tabadepu Can you review details for MTRE3 and add/update as necessary?</text>
    <mentions>
      <mention mentionpersonId="{9D88A0A3-9F7D-47D5-9EE7-46AA50DAF00C}" mentionId="{9D2DE073-363F-45CE-9EB8-808C06CE8BC5}" startIndex="0" length="14"/>
    </mentions>
  </threadedComment>
  <threadedComment ref="B33" dT="2024-11-21T02:03:01.47" personId="{A74E45B1-127A-4C91-91F4-02B14EAA5C17}" id="{E195C2DF-08F3-4FAE-AE76-17FBF46E5A37}">
    <text xml:space="preserve">@Heri Tabadepu @Dzul Afifah Arifin Can you help populate data for this project? </text>
    <mentions>
      <mention mentionpersonId="{9D88A0A3-9F7D-47D5-9EE7-46AA50DAF00C}" mentionId="{3AC7304B-C24D-4551-B9A1-A2EEBCCB200B}" startIndex="0" length="14"/>
      <mention mentionpersonId="{04264E1D-CB01-4A26-8027-80662AEF9834}" mentionId="{DCEFBA92-CF3D-4DB2-9C9B-13CAB9FC2EE7}" startIndex="15" length="19"/>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open.undp.org/projects/01000743" TargetMode="External"/><Relationship Id="rId13" Type="http://schemas.microsoft.com/office/2017/10/relationships/threadedComment" Target="../threadedComments/threadedComment1.xml"/><Relationship Id="rId3" Type="http://schemas.openxmlformats.org/officeDocument/2006/relationships/hyperlink" Target="https://co.pims.undp.org/project/view?id=4673" TargetMode="External"/><Relationship Id="rId7" Type="http://schemas.openxmlformats.org/officeDocument/2006/relationships/hyperlink" Target="https://open.undp.org/projects/01002479" TargetMode="External"/><Relationship Id="rId12" Type="http://schemas.openxmlformats.org/officeDocument/2006/relationships/comments" Target="../comments1.xml"/><Relationship Id="rId2" Type="http://schemas.openxmlformats.org/officeDocument/2006/relationships/hyperlink" Target="http://open.undp.org/projects/00142434" TargetMode="External"/><Relationship Id="rId1" Type="http://schemas.openxmlformats.org/officeDocument/2006/relationships/hyperlink" Target="http://open.undp.org/projects/00126434" TargetMode="External"/><Relationship Id="rId6" Type="http://schemas.openxmlformats.org/officeDocument/2006/relationships/hyperlink" Target="https://open.undp.org/projects/01000330" TargetMode="External"/><Relationship Id="rId11" Type="http://schemas.openxmlformats.org/officeDocument/2006/relationships/vmlDrawing" Target="../drawings/vmlDrawing1.vml"/><Relationship Id="rId5" Type="http://schemas.openxmlformats.org/officeDocument/2006/relationships/hyperlink" Target="https://co.pims.undp.org/project/view?id=6333" TargetMode="External"/><Relationship Id="rId10" Type="http://schemas.openxmlformats.org/officeDocument/2006/relationships/hyperlink" Target="https://open.undp.org/projects/00143365" TargetMode="External"/><Relationship Id="rId4" Type="http://schemas.openxmlformats.org/officeDocument/2006/relationships/hyperlink" Target="https://co.pims.undp.org/project/view?id=5721" TargetMode="External"/><Relationship Id="rId9" Type="http://schemas.openxmlformats.org/officeDocument/2006/relationships/hyperlink" Target="https://www.un-pageindonesia.or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open.undp.org/projects/00142434" TargetMode="External"/><Relationship Id="rId1" Type="http://schemas.openxmlformats.org/officeDocument/2006/relationships/hyperlink" Target="http://open.undp.org/projects/0012643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open.undp.org/projects/00142434" TargetMode="External"/><Relationship Id="rId1" Type="http://schemas.openxmlformats.org/officeDocument/2006/relationships/hyperlink" Target="http://open.undp.org/projects/0012643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C8F51-08F6-47E6-92E7-B434FA427851}">
  <dimension ref="A1:U44"/>
  <sheetViews>
    <sheetView tabSelected="1" zoomScale="70" zoomScaleNormal="70" workbookViewId="0">
      <pane xSplit="1" ySplit="1" topLeftCell="F20" activePane="bottomRight" state="frozen"/>
      <selection pane="bottomRight" activeCell="H28" sqref="H28"/>
      <selection pane="bottomLeft"/>
      <selection pane="topRight"/>
    </sheetView>
  </sheetViews>
  <sheetFormatPr defaultColWidth="9.140625" defaultRowHeight="15"/>
  <cols>
    <col min="1" max="1" width="10.140625" style="3" customWidth="1"/>
    <col min="2" max="2" width="20.7109375" style="40" customWidth="1"/>
    <col min="3" max="3" width="20.7109375" style="59" customWidth="1"/>
    <col min="4" max="4" width="13" style="59" customWidth="1"/>
    <col min="5" max="5" width="20.7109375" style="3" customWidth="1"/>
    <col min="6" max="6" width="64.7109375" style="3" customWidth="1"/>
    <col min="7" max="7" width="8.5703125" style="75" bestFit="1" customWidth="1"/>
    <col min="8" max="8" width="36.7109375" style="76" customWidth="1"/>
    <col min="9" max="9" width="32.7109375" style="75" customWidth="1"/>
    <col min="10" max="10" width="9.140625" style="3"/>
    <col min="11" max="11" width="9.140625" style="48"/>
    <col min="12" max="12" width="12.85546875" style="3" bestFit="1" customWidth="1"/>
    <col min="13" max="13" width="9.140625" style="3"/>
    <col min="14" max="14" width="23.28515625" style="3" customWidth="1"/>
    <col min="15" max="15" width="17.5703125" style="3" bestFit="1" customWidth="1"/>
    <col min="16" max="16" width="9.140625" style="3"/>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9.140625" style="3"/>
  </cols>
  <sheetData>
    <row r="1" spans="1:21" ht="45.75">
      <c r="A1" s="24" t="s">
        <v>0</v>
      </c>
      <c r="B1" s="24" t="s">
        <v>1</v>
      </c>
      <c r="C1" s="24" t="s">
        <v>2</v>
      </c>
      <c r="D1" s="24" t="s">
        <v>3</v>
      </c>
      <c r="E1" s="24" t="s">
        <v>4</v>
      </c>
      <c r="F1" s="24" t="s">
        <v>5</v>
      </c>
      <c r="G1" s="24" t="s">
        <v>6</v>
      </c>
      <c r="H1" s="24" t="s">
        <v>7</v>
      </c>
      <c r="I1" s="24" t="s">
        <v>8</v>
      </c>
      <c r="J1" s="24" t="s">
        <v>9</v>
      </c>
      <c r="K1" s="24" t="s">
        <v>10</v>
      </c>
      <c r="L1" s="25" t="s">
        <v>11</v>
      </c>
      <c r="M1" s="25" t="s">
        <v>12</v>
      </c>
      <c r="N1" s="25" t="s">
        <v>13</v>
      </c>
      <c r="O1" s="25" t="s">
        <v>14</v>
      </c>
      <c r="P1" s="25" t="s">
        <v>15</v>
      </c>
      <c r="Q1" s="25" t="s">
        <v>16</v>
      </c>
      <c r="R1" s="25" t="s">
        <v>17</v>
      </c>
      <c r="S1" s="26" t="s">
        <v>18</v>
      </c>
      <c r="T1" s="25" t="s">
        <v>19</v>
      </c>
      <c r="U1" s="26" t="s">
        <v>20</v>
      </c>
    </row>
    <row r="2" spans="1:21" ht="60.75">
      <c r="A2" s="81">
        <v>126434</v>
      </c>
      <c r="B2" s="84" t="s">
        <v>21</v>
      </c>
      <c r="C2" s="87" t="s">
        <v>22</v>
      </c>
      <c r="D2" s="78">
        <v>15028509</v>
      </c>
      <c r="E2" s="15" t="s">
        <v>23</v>
      </c>
      <c r="F2" s="27" t="s">
        <v>24</v>
      </c>
      <c r="G2" s="15">
        <v>0</v>
      </c>
      <c r="H2" s="41" t="s">
        <v>25</v>
      </c>
      <c r="I2" s="15" t="s">
        <v>26</v>
      </c>
      <c r="J2" s="18" t="s">
        <v>27</v>
      </c>
      <c r="K2" s="41"/>
      <c r="L2" s="17" t="s">
        <v>28</v>
      </c>
      <c r="M2" s="17"/>
      <c r="N2" s="18" t="s">
        <v>29</v>
      </c>
      <c r="O2" s="17"/>
      <c r="P2" s="17"/>
      <c r="Q2" s="17"/>
      <c r="R2" s="17"/>
      <c r="S2" s="19" t="s">
        <v>30</v>
      </c>
      <c r="T2" s="17"/>
      <c r="U2" s="19"/>
    </row>
    <row r="3" spans="1:21" ht="30.75">
      <c r="A3" s="82"/>
      <c r="B3" s="85"/>
      <c r="C3" s="88"/>
      <c r="D3" s="79"/>
      <c r="E3" s="15" t="s">
        <v>23</v>
      </c>
      <c r="F3" s="27" t="s">
        <v>31</v>
      </c>
      <c r="G3" s="15">
        <v>0</v>
      </c>
      <c r="H3" s="41" t="s">
        <v>32</v>
      </c>
      <c r="I3" s="15" t="s">
        <v>33</v>
      </c>
      <c r="J3" s="18"/>
      <c r="K3" s="41"/>
      <c r="L3" s="17"/>
      <c r="M3" s="17"/>
      <c r="N3" s="18"/>
      <c r="O3" s="17"/>
      <c r="P3" s="17"/>
      <c r="Q3" s="17"/>
      <c r="R3" s="17"/>
      <c r="S3" s="19"/>
      <c r="T3" s="17"/>
      <c r="U3" s="19"/>
    </row>
    <row r="4" spans="1:21" ht="30.75">
      <c r="A4" s="82"/>
      <c r="B4" s="85"/>
      <c r="C4" s="88"/>
      <c r="D4" s="79"/>
      <c r="E4" s="15" t="s">
        <v>34</v>
      </c>
      <c r="F4" s="15" t="s">
        <v>35</v>
      </c>
      <c r="G4" s="15">
        <v>0</v>
      </c>
      <c r="H4" s="41">
        <v>50</v>
      </c>
      <c r="I4" s="16" t="s">
        <v>36</v>
      </c>
      <c r="J4" s="18"/>
      <c r="K4" s="71">
        <v>0.42</v>
      </c>
      <c r="L4" s="17" t="s">
        <v>28</v>
      </c>
      <c r="M4" s="17"/>
      <c r="N4" s="18" t="s">
        <v>29</v>
      </c>
      <c r="O4" s="17"/>
      <c r="P4" s="17"/>
      <c r="Q4" s="17"/>
      <c r="R4" s="17"/>
      <c r="S4" s="19"/>
      <c r="T4" s="17"/>
      <c r="U4" s="19"/>
    </row>
    <row r="5" spans="1:21" ht="30.75">
      <c r="A5" s="82"/>
      <c r="B5" s="85"/>
      <c r="C5" s="88"/>
      <c r="D5" s="79"/>
      <c r="E5" s="15" t="s">
        <v>37</v>
      </c>
      <c r="F5" s="15" t="s">
        <v>38</v>
      </c>
      <c r="G5" s="15">
        <v>0</v>
      </c>
      <c r="H5" s="42">
        <v>21</v>
      </c>
      <c r="I5" s="16" t="s">
        <v>39</v>
      </c>
      <c r="J5" s="18"/>
      <c r="K5" s="71">
        <v>0.46</v>
      </c>
      <c r="L5" s="17" t="s">
        <v>28</v>
      </c>
      <c r="M5" s="17"/>
      <c r="N5" s="18" t="s">
        <v>29</v>
      </c>
      <c r="O5" s="17"/>
      <c r="P5" s="17"/>
      <c r="Q5" s="17"/>
      <c r="R5" s="17"/>
      <c r="S5" s="19"/>
      <c r="T5" s="17"/>
      <c r="U5" s="19"/>
    </row>
    <row r="6" spans="1:21" ht="45.75">
      <c r="A6" s="82"/>
      <c r="B6" s="85"/>
      <c r="C6" s="88"/>
      <c r="D6" s="79"/>
      <c r="E6" s="15" t="s">
        <v>40</v>
      </c>
      <c r="F6" s="15" t="s">
        <v>41</v>
      </c>
      <c r="G6" s="16">
        <v>0</v>
      </c>
      <c r="H6" s="42">
        <v>600</v>
      </c>
      <c r="I6" s="16" t="s">
        <v>42</v>
      </c>
      <c r="J6" s="18"/>
      <c r="K6" s="41"/>
      <c r="L6" s="17" t="s">
        <v>28</v>
      </c>
      <c r="M6" s="17"/>
      <c r="N6" s="18" t="s">
        <v>29</v>
      </c>
      <c r="O6" s="17"/>
      <c r="P6" s="17"/>
      <c r="Q6" s="17"/>
      <c r="R6" s="17"/>
      <c r="S6" s="19"/>
      <c r="T6" s="17"/>
      <c r="U6" s="19"/>
    </row>
    <row r="7" spans="1:21" ht="30.75">
      <c r="A7" s="82"/>
      <c r="B7" s="85"/>
      <c r="C7" s="88"/>
      <c r="D7" s="79"/>
      <c r="E7" s="15" t="s">
        <v>43</v>
      </c>
      <c r="F7" s="15" t="s">
        <v>44</v>
      </c>
      <c r="G7" s="15">
        <v>0</v>
      </c>
      <c r="H7" s="42">
        <v>22</v>
      </c>
      <c r="I7" s="16" t="s">
        <v>45</v>
      </c>
      <c r="J7" s="18"/>
      <c r="K7" s="71">
        <v>1.36</v>
      </c>
      <c r="L7" s="17" t="s">
        <v>28</v>
      </c>
      <c r="M7" s="17"/>
      <c r="N7" s="18"/>
      <c r="O7" s="17"/>
      <c r="P7" s="17"/>
      <c r="Q7" s="17"/>
      <c r="R7" s="17"/>
      <c r="S7" s="19"/>
      <c r="T7" s="17"/>
      <c r="U7" s="19"/>
    </row>
    <row r="8" spans="1:21" ht="30.75">
      <c r="A8" s="82"/>
      <c r="B8" s="85"/>
      <c r="C8" s="88"/>
      <c r="D8" s="79"/>
      <c r="E8" s="15" t="s">
        <v>46</v>
      </c>
      <c r="F8" s="15" t="s">
        <v>47</v>
      </c>
      <c r="G8" s="16">
        <v>0</v>
      </c>
      <c r="H8" s="42" t="s">
        <v>48</v>
      </c>
      <c r="I8" s="16" t="s">
        <v>49</v>
      </c>
      <c r="J8" s="18"/>
      <c r="K8" s="41"/>
      <c r="L8" s="17" t="s">
        <v>28</v>
      </c>
      <c r="M8" s="17"/>
      <c r="N8" s="18"/>
      <c r="O8" s="17"/>
      <c r="P8" s="17"/>
      <c r="Q8" s="17"/>
      <c r="R8" s="17"/>
      <c r="S8" s="19"/>
      <c r="T8" s="17"/>
      <c r="U8" s="19"/>
    </row>
    <row r="9" spans="1:21" ht="30.75">
      <c r="A9" s="82"/>
      <c r="B9" s="85"/>
      <c r="C9" s="88"/>
      <c r="D9" s="79"/>
      <c r="E9" s="15" t="s">
        <v>50</v>
      </c>
      <c r="F9" s="15" t="s">
        <v>51</v>
      </c>
      <c r="G9" s="16">
        <v>0</v>
      </c>
      <c r="H9" s="42">
        <v>22</v>
      </c>
      <c r="I9" s="16" t="s">
        <v>52</v>
      </c>
      <c r="J9" s="18"/>
      <c r="K9" s="41"/>
      <c r="L9" s="17" t="s">
        <v>28</v>
      </c>
      <c r="M9" s="17"/>
      <c r="N9" s="18"/>
      <c r="O9" s="17"/>
      <c r="P9" s="17"/>
      <c r="Q9" s="17"/>
      <c r="R9" s="17"/>
      <c r="S9" s="19"/>
      <c r="T9" s="17"/>
      <c r="U9" s="19"/>
    </row>
    <row r="10" spans="1:21">
      <c r="A10" s="83"/>
      <c r="B10" s="86"/>
      <c r="C10" s="89"/>
      <c r="D10" s="80"/>
      <c r="E10" s="15" t="s">
        <v>53</v>
      </c>
      <c r="F10" s="28" t="s">
        <v>54</v>
      </c>
      <c r="G10" s="16"/>
      <c r="H10" s="42"/>
      <c r="I10" s="16"/>
      <c r="J10" s="18"/>
      <c r="K10" s="41"/>
      <c r="L10" s="17"/>
      <c r="M10" s="17"/>
      <c r="N10" s="18"/>
      <c r="O10" s="17"/>
      <c r="P10" s="17"/>
      <c r="Q10" s="17"/>
      <c r="R10" s="17"/>
      <c r="S10" s="19"/>
      <c r="T10" s="17"/>
      <c r="U10" s="19"/>
    </row>
    <row r="11" spans="1:21">
      <c r="A11" s="63"/>
      <c r="B11" s="65"/>
      <c r="C11" s="67"/>
      <c r="D11" s="61"/>
      <c r="E11" s="15"/>
      <c r="F11" s="28"/>
      <c r="G11" s="16"/>
      <c r="H11" s="42"/>
      <c r="I11" s="16"/>
      <c r="J11" s="18"/>
      <c r="K11" s="41"/>
      <c r="L11" s="17"/>
      <c r="M11" s="17"/>
      <c r="N11" s="18"/>
      <c r="O11" s="17"/>
      <c r="P11" s="17"/>
      <c r="Q11" s="17"/>
      <c r="R11" s="17"/>
      <c r="S11" s="19"/>
      <c r="T11" s="17"/>
      <c r="U11" s="19"/>
    </row>
    <row r="12" spans="1:21" ht="32.25" customHeight="1">
      <c r="A12" s="81">
        <v>142434</v>
      </c>
      <c r="B12" s="84" t="s">
        <v>55</v>
      </c>
      <c r="C12" s="90" t="s">
        <v>56</v>
      </c>
      <c r="D12" s="78">
        <v>1796132</v>
      </c>
      <c r="E12" s="15" t="s">
        <v>34</v>
      </c>
      <c r="F12" s="15" t="s">
        <v>57</v>
      </c>
      <c r="G12" s="16">
        <v>0</v>
      </c>
      <c r="H12" s="41">
        <v>10</v>
      </c>
      <c r="I12" s="15"/>
      <c r="J12" s="22" t="s">
        <v>58</v>
      </c>
      <c r="K12" s="41"/>
      <c r="L12" s="17" t="s">
        <v>28</v>
      </c>
      <c r="M12" s="17"/>
      <c r="N12" s="18" t="s">
        <v>59</v>
      </c>
      <c r="O12" s="17"/>
      <c r="P12" s="17"/>
      <c r="Q12" s="17"/>
      <c r="R12" s="17"/>
      <c r="S12" s="19"/>
      <c r="T12" s="17"/>
      <c r="U12" s="19"/>
    </row>
    <row r="13" spans="1:21" ht="30.75">
      <c r="A13" s="82"/>
      <c r="B13" s="85"/>
      <c r="C13" s="91"/>
      <c r="D13" s="79"/>
      <c r="E13" s="15" t="s">
        <v>19</v>
      </c>
      <c r="F13" s="15" t="s">
        <v>60</v>
      </c>
      <c r="G13" s="16">
        <v>0</v>
      </c>
      <c r="H13" s="42">
        <v>329</v>
      </c>
      <c r="I13" s="15"/>
      <c r="J13" s="22" t="s">
        <v>58</v>
      </c>
      <c r="K13" s="41"/>
      <c r="L13" s="17" t="s">
        <v>28</v>
      </c>
      <c r="M13" s="17"/>
      <c r="N13" s="18" t="s">
        <v>59</v>
      </c>
      <c r="O13" s="17" t="s">
        <v>61</v>
      </c>
      <c r="P13" s="17"/>
      <c r="Q13" s="17" t="s">
        <v>62</v>
      </c>
      <c r="R13" s="17" t="s">
        <v>63</v>
      </c>
      <c r="S13" s="19"/>
      <c r="T13" s="17" t="s">
        <v>64</v>
      </c>
      <c r="U13" s="19"/>
    </row>
    <row r="14" spans="1:21" ht="30.75">
      <c r="A14" s="83"/>
      <c r="B14" s="86"/>
      <c r="C14" s="92"/>
      <c r="D14" s="80"/>
      <c r="E14" s="15" t="s">
        <v>34</v>
      </c>
      <c r="F14" s="15" t="s">
        <v>65</v>
      </c>
      <c r="G14" s="16">
        <v>0</v>
      </c>
      <c r="H14" s="42">
        <v>350</v>
      </c>
      <c r="I14" s="15"/>
      <c r="J14" s="22" t="s">
        <v>58</v>
      </c>
      <c r="K14" s="41"/>
      <c r="L14" s="17" t="s">
        <v>28</v>
      </c>
      <c r="M14" s="17"/>
      <c r="N14" s="18" t="s">
        <v>59</v>
      </c>
      <c r="O14" s="17"/>
      <c r="P14" s="17"/>
      <c r="Q14" s="17"/>
      <c r="R14" s="17"/>
      <c r="S14" s="19"/>
      <c r="T14" s="17"/>
      <c r="U14" s="19"/>
    </row>
    <row r="15" spans="1:21">
      <c r="A15" s="64"/>
      <c r="B15" s="66"/>
      <c r="C15" s="68"/>
      <c r="D15" s="62"/>
      <c r="E15" s="15"/>
      <c r="F15" s="15"/>
      <c r="G15" s="16"/>
      <c r="H15" s="42"/>
      <c r="I15" s="15"/>
      <c r="J15" s="22"/>
      <c r="K15" s="41"/>
      <c r="L15" s="17"/>
      <c r="M15" s="17"/>
      <c r="N15" s="18"/>
      <c r="O15" s="17"/>
      <c r="P15" s="17"/>
      <c r="Q15" s="17"/>
      <c r="R15" s="17"/>
      <c r="S15" s="19"/>
      <c r="T15" s="17"/>
      <c r="U15" s="19"/>
    </row>
    <row r="16" spans="1:21" ht="45.75">
      <c r="A16" s="15">
        <v>6333</v>
      </c>
      <c r="B16" s="22" t="s">
        <v>66</v>
      </c>
      <c r="C16" s="55" t="s">
        <v>67</v>
      </c>
      <c r="D16" s="56">
        <v>1816500</v>
      </c>
      <c r="E16" s="15" t="s">
        <v>68</v>
      </c>
      <c r="F16" s="15" t="s">
        <v>69</v>
      </c>
      <c r="G16" s="15">
        <v>0</v>
      </c>
      <c r="H16" s="43">
        <v>643224</v>
      </c>
      <c r="I16" s="15"/>
      <c r="J16" s="15" t="s">
        <v>70</v>
      </c>
      <c r="K16" s="71">
        <v>0.24</v>
      </c>
      <c r="L16" s="17" t="s">
        <v>71</v>
      </c>
      <c r="M16" s="17"/>
      <c r="N16" s="18" t="s">
        <v>59</v>
      </c>
      <c r="O16" s="17"/>
      <c r="P16" s="17"/>
      <c r="Q16" s="17"/>
      <c r="R16" s="17"/>
      <c r="S16" s="19"/>
      <c r="T16" s="17"/>
      <c r="U16" s="19"/>
    </row>
    <row r="17" spans="1:21" ht="30.75">
      <c r="A17" s="15"/>
      <c r="B17" s="22"/>
      <c r="C17" s="55"/>
      <c r="D17" s="18"/>
      <c r="E17" s="15" t="s">
        <v>72</v>
      </c>
      <c r="F17" s="15" t="s">
        <v>73</v>
      </c>
      <c r="G17" s="15">
        <v>0</v>
      </c>
      <c r="H17" s="44" t="s">
        <v>74</v>
      </c>
      <c r="I17" s="15" t="s">
        <v>75</v>
      </c>
      <c r="J17" s="15"/>
      <c r="K17" s="71"/>
      <c r="L17" s="17" t="s">
        <v>71</v>
      </c>
      <c r="M17" s="17"/>
      <c r="N17" s="18"/>
      <c r="O17" s="17"/>
      <c r="P17" s="17"/>
      <c r="Q17" s="17"/>
      <c r="R17" s="17"/>
      <c r="S17" s="19"/>
      <c r="T17" s="17"/>
      <c r="U17" s="19"/>
    </row>
    <row r="18" spans="1:21" ht="45.75">
      <c r="A18" s="15"/>
      <c r="B18" s="22"/>
      <c r="C18" s="55"/>
      <c r="D18" s="18"/>
      <c r="E18" s="15" t="s">
        <v>50</v>
      </c>
      <c r="F18" s="15" t="s">
        <v>76</v>
      </c>
      <c r="G18" s="15">
        <v>0</v>
      </c>
      <c r="H18" s="44">
        <v>241000</v>
      </c>
      <c r="I18" s="15" t="s">
        <v>77</v>
      </c>
      <c r="J18" s="15"/>
      <c r="K18" s="71">
        <v>0.3</v>
      </c>
      <c r="L18" s="17" t="s">
        <v>71</v>
      </c>
      <c r="M18" s="17"/>
      <c r="N18" s="18"/>
      <c r="O18" s="17"/>
      <c r="P18" s="17"/>
      <c r="Q18" s="17"/>
      <c r="R18" s="17"/>
      <c r="S18" s="19"/>
      <c r="T18" s="17"/>
      <c r="U18" s="19"/>
    </row>
    <row r="19" spans="1:21" ht="259.5">
      <c r="A19" s="15"/>
      <c r="B19" s="22"/>
      <c r="C19" s="55"/>
      <c r="D19" s="18"/>
      <c r="E19" s="15" t="s">
        <v>53</v>
      </c>
      <c r="F19" s="15" t="s">
        <v>78</v>
      </c>
      <c r="G19" s="15">
        <v>0</v>
      </c>
      <c r="H19" s="44" t="s">
        <v>79</v>
      </c>
      <c r="I19" s="15" t="s">
        <v>80</v>
      </c>
      <c r="J19" s="15"/>
      <c r="K19" s="71"/>
      <c r="L19" s="17" t="s">
        <v>71</v>
      </c>
      <c r="M19" s="17"/>
      <c r="N19" s="18"/>
      <c r="O19" s="17"/>
      <c r="P19" s="17"/>
      <c r="Q19" s="17"/>
      <c r="R19" s="17"/>
      <c r="S19" s="19"/>
      <c r="T19" s="17"/>
      <c r="U19" s="19"/>
    </row>
    <row r="20" spans="1:21">
      <c r="A20" s="15"/>
      <c r="B20" s="22"/>
      <c r="C20" s="55"/>
      <c r="D20" s="18"/>
      <c r="E20" s="15"/>
      <c r="F20" s="15"/>
      <c r="G20" s="15"/>
      <c r="H20" s="44"/>
      <c r="I20" s="15"/>
      <c r="J20" s="15"/>
      <c r="K20" s="71"/>
      <c r="L20" s="17"/>
      <c r="M20" s="17"/>
      <c r="N20" s="18"/>
      <c r="O20" s="17"/>
      <c r="P20" s="17"/>
      <c r="Q20" s="17"/>
      <c r="R20" s="17"/>
      <c r="S20" s="19"/>
      <c r="T20" s="17"/>
      <c r="U20" s="19"/>
    </row>
    <row r="21" spans="1:21" ht="30.75">
      <c r="A21" s="81">
        <v>5721</v>
      </c>
      <c r="B21" s="84" t="s">
        <v>81</v>
      </c>
      <c r="C21" s="93" t="s">
        <v>82</v>
      </c>
      <c r="D21" s="78">
        <v>2633372</v>
      </c>
      <c r="E21" s="15" t="s">
        <v>37</v>
      </c>
      <c r="F21" s="15" t="s">
        <v>83</v>
      </c>
      <c r="G21" s="15">
        <v>0</v>
      </c>
      <c r="H21" s="41">
        <v>6</v>
      </c>
      <c r="I21" s="15" t="s">
        <v>84</v>
      </c>
      <c r="J21" s="22" t="s">
        <v>70</v>
      </c>
      <c r="K21" s="41"/>
      <c r="L21" s="17" t="s">
        <v>71</v>
      </c>
      <c r="M21" s="17"/>
      <c r="N21" s="18" t="s">
        <v>59</v>
      </c>
      <c r="O21" s="17"/>
      <c r="P21" s="17"/>
      <c r="Q21" s="17"/>
      <c r="R21" s="17"/>
      <c r="S21" s="19"/>
      <c r="T21" s="17"/>
      <c r="U21" s="19"/>
    </row>
    <row r="22" spans="1:21" ht="45.75">
      <c r="A22" s="82"/>
      <c r="B22" s="85"/>
      <c r="C22" s="94"/>
      <c r="D22" s="79"/>
      <c r="E22" s="15" t="s">
        <v>85</v>
      </c>
      <c r="F22" s="15" t="s">
        <v>86</v>
      </c>
      <c r="G22" s="15">
        <v>0</v>
      </c>
      <c r="H22" s="41" t="s">
        <v>87</v>
      </c>
      <c r="I22" s="15" t="s">
        <v>88</v>
      </c>
      <c r="J22" s="22"/>
      <c r="K22" s="41"/>
      <c r="L22" s="17" t="s">
        <v>71</v>
      </c>
      <c r="M22" s="17"/>
      <c r="N22" s="18"/>
      <c r="O22" s="17"/>
      <c r="P22" s="17"/>
      <c r="Q22" s="17"/>
      <c r="R22" s="17"/>
      <c r="S22" s="19"/>
      <c r="T22" s="17"/>
      <c r="U22" s="19"/>
    </row>
    <row r="23" spans="1:21">
      <c r="A23" s="82"/>
      <c r="B23" s="85"/>
      <c r="C23" s="94"/>
      <c r="D23" s="79"/>
      <c r="E23" s="15" t="s">
        <v>53</v>
      </c>
      <c r="F23" s="15" t="s">
        <v>78</v>
      </c>
      <c r="G23" s="15">
        <v>0</v>
      </c>
      <c r="H23" s="41" t="s">
        <v>89</v>
      </c>
      <c r="I23" s="15" t="s">
        <v>90</v>
      </c>
      <c r="J23" s="22" t="s">
        <v>70</v>
      </c>
      <c r="K23" s="41"/>
      <c r="L23" s="17" t="s">
        <v>71</v>
      </c>
      <c r="M23" s="17"/>
      <c r="N23" s="18"/>
      <c r="O23" s="17"/>
      <c r="P23" s="17"/>
      <c r="Q23" s="17"/>
      <c r="R23" s="17"/>
      <c r="S23" s="19"/>
      <c r="T23" s="17"/>
      <c r="U23" s="19"/>
    </row>
    <row r="24" spans="1:21" ht="30.75">
      <c r="A24" s="83"/>
      <c r="B24" s="86"/>
      <c r="C24" s="95"/>
      <c r="D24" s="80"/>
      <c r="E24" s="15" t="s">
        <v>34</v>
      </c>
      <c r="F24" s="15" t="s">
        <v>91</v>
      </c>
      <c r="G24" s="15">
        <v>0</v>
      </c>
      <c r="H24" s="41" t="s">
        <v>92</v>
      </c>
      <c r="I24" s="15" t="s">
        <v>93</v>
      </c>
      <c r="J24" s="22"/>
      <c r="K24" s="71">
        <v>0.4</v>
      </c>
      <c r="L24" s="17" t="s">
        <v>71</v>
      </c>
      <c r="M24" s="17"/>
      <c r="N24" s="18"/>
      <c r="O24" s="17"/>
      <c r="P24" s="17"/>
      <c r="Q24" s="17"/>
      <c r="R24" s="17"/>
      <c r="S24" s="19"/>
      <c r="T24" s="17"/>
      <c r="U24" s="19"/>
    </row>
    <row r="25" spans="1:21">
      <c r="A25" s="63"/>
      <c r="B25" s="65"/>
      <c r="C25" s="69"/>
      <c r="D25" s="61"/>
      <c r="E25" s="15"/>
      <c r="F25" s="15"/>
      <c r="G25" s="15"/>
      <c r="H25" s="41"/>
      <c r="I25" s="15"/>
      <c r="J25" s="22"/>
      <c r="K25" s="71"/>
      <c r="L25" s="17"/>
      <c r="M25" s="17"/>
      <c r="N25" s="18"/>
      <c r="O25" s="17"/>
      <c r="P25" s="17"/>
      <c r="Q25" s="17"/>
      <c r="R25" s="17"/>
      <c r="S25" s="19"/>
      <c r="T25" s="17"/>
      <c r="U25" s="19"/>
    </row>
    <row r="26" spans="1:21" ht="30.75">
      <c r="A26" s="81">
        <v>4673</v>
      </c>
      <c r="B26" s="84" t="s">
        <v>94</v>
      </c>
      <c r="C26" s="93" t="s">
        <v>95</v>
      </c>
      <c r="D26" s="78">
        <v>8025000</v>
      </c>
      <c r="E26" s="15" t="s">
        <v>23</v>
      </c>
      <c r="F26" s="15" t="s">
        <v>96</v>
      </c>
      <c r="G26" s="16" t="s">
        <v>97</v>
      </c>
      <c r="H26" s="42" t="s">
        <v>98</v>
      </c>
      <c r="I26" s="15" t="s">
        <v>99</v>
      </c>
      <c r="J26" s="15" t="s">
        <v>70</v>
      </c>
      <c r="K26" s="41"/>
      <c r="L26" s="17" t="s">
        <v>71</v>
      </c>
      <c r="M26" s="17"/>
      <c r="N26" s="18" t="s">
        <v>29</v>
      </c>
      <c r="O26" s="17"/>
      <c r="P26" s="17"/>
      <c r="Q26" s="17"/>
      <c r="R26" s="17"/>
      <c r="S26" s="19"/>
      <c r="T26" s="17"/>
      <c r="U26" s="19"/>
    </row>
    <row r="27" spans="1:21" ht="30.75">
      <c r="A27" s="82"/>
      <c r="B27" s="85"/>
      <c r="C27" s="94"/>
      <c r="D27" s="79"/>
      <c r="E27" s="15" t="s">
        <v>46</v>
      </c>
      <c r="F27" s="15" t="s">
        <v>100</v>
      </c>
      <c r="G27" s="15">
        <v>0</v>
      </c>
      <c r="H27" s="42" t="s">
        <v>101</v>
      </c>
      <c r="I27" s="15" t="s">
        <v>102</v>
      </c>
      <c r="J27" s="15"/>
      <c r="K27" s="41"/>
      <c r="L27" s="17"/>
      <c r="M27" s="17"/>
      <c r="N27" s="18" t="s">
        <v>29</v>
      </c>
      <c r="O27" s="17"/>
      <c r="P27" s="17"/>
      <c r="Q27" s="17"/>
      <c r="R27" s="17"/>
      <c r="S27" s="19"/>
      <c r="T27" s="17"/>
      <c r="U27" s="19"/>
    </row>
    <row r="28" spans="1:21" ht="30.75">
      <c r="A28" s="82"/>
      <c r="B28" s="85"/>
      <c r="C28" s="94"/>
      <c r="D28" s="79"/>
      <c r="E28" s="15" t="s">
        <v>85</v>
      </c>
      <c r="F28" s="15" t="s">
        <v>103</v>
      </c>
      <c r="G28" s="15">
        <v>0</v>
      </c>
      <c r="H28" s="45" t="s">
        <v>104</v>
      </c>
      <c r="I28" s="23" t="s">
        <v>105</v>
      </c>
      <c r="J28" s="15"/>
      <c r="K28" s="41"/>
      <c r="L28" s="17"/>
      <c r="M28" s="17"/>
      <c r="N28" s="18"/>
      <c r="O28" s="17"/>
      <c r="P28" s="17"/>
      <c r="Q28" s="17"/>
      <c r="R28" s="17"/>
      <c r="S28" s="19"/>
      <c r="T28" s="17"/>
      <c r="U28" s="19"/>
    </row>
    <row r="29" spans="1:21" ht="30.75">
      <c r="A29" s="82"/>
      <c r="B29" s="85"/>
      <c r="C29" s="94"/>
      <c r="D29" s="79"/>
      <c r="E29" s="15" t="s">
        <v>106</v>
      </c>
      <c r="F29" s="15" t="s">
        <v>107</v>
      </c>
      <c r="G29" s="15">
        <v>0</v>
      </c>
      <c r="H29" s="50" t="s">
        <v>108</v>
      </c>
      <c r="I29" s="37" t="s">
        <v>109</v>
      </c>
      <c r="J29" s="37"/>
      <c r="K29" s="72"/>
      <c r="L29" s="17"/>
      <c r="M29" s="17"/>
      <c r="N29" s="33" t="s">
        <v>110</v>
      </c>
      <c r="O29" s="17"/>
      <c r="P29" s="17"/>
      <c r="Q29" s="17"/>
      <c r="R29" s="17"/>
      <c r="S29" s="19"/>
      <c r="T29" s="17"/>
      <c r="U29" s="19"/>
    </row>
    <row r="30" spans="1:21" ht="30.75">
      <c r="A30" s="82"/>
      <c r="B30" s="85"/>
      <c r="C30" s="94"/>
      <c r="D30" s="79"/>
      <c r="E30" s="15" t="s">
        <v>43</v>
      </c>
      <c r="F30" s="15" t="s">
        <v>111</v>
      </c>
      <c r="G30" s="49">
        <v>0</v>
      </c>
      <c r="H30" s="52" t="s">
        <v>112</v>
      </c>
      <c r="I30" s="36" t="s">
        <v>113</v>
      </c>
      <c r="J30" s="36"/>
      <c r="K30" s="73"/>
      <c r="L30" s="17"/>
      <c r="M30" s="17"/>
      <c r="N30" s="33"/>
      <c r="O30" s="17"/>
      <c r="P30" s="17"/>
      <c r="Q30" s="17"/>
      <c r="R30" s="17"/>
      <c r="S30" s="19"/>
      <c r="T30" s="17"/>
      <c r="U30" s="19"/>
    </row>
    <row r="31" spans="1:21">
      <c r="A31" s="83"/>
      <c r="B31" s="86"/>
      <c r="C31" s="95"/>
      <c r="D31" s="80"/>
      <c r="E31" s="15" t="s">
        <v>53</v>
      </c>
      <c r="F31" s="15" t="s">
        <v>78</v>
      </c>
      <c r="G31" s="15">
        <v>0</v>
      </c>
      <c r="H31" s="51" t="s">
        <v>114</v>
      </c>
      <c r="I31" s="53" t="s">
        <v>115</v>
      </c>
      <c r="J31" s="54"/>
      <c r="K31" s="74"/>
      <c r="L31" s="17"/>
      <c r="M31" s="17"/>
      <c r="N31" s="18"/>
      <c r="O31" s="17"/>
      <c r="P31" s="17"/>
      <c r="Q31" s="17"/>
      <c r="R31" s="17"/>
      <c r="S31" s="19"/>
      <c r="T31" s="17"/>
      <c r="U31" s="19"/>
    </row>
    <row r="32" spans="1:21">
      <c r="A32" s="64"/>
      <c r="B32" s="66"/>
      <c r="C32" s="70"/>
      <c r="D32" s="62"/>
      <c r="E32" s="15"/>
      <c r="F32" s="15"/>
      <c r="G32" s="15"/>
      <c r="H32" s="51"/>
      <c r="J32" s="54"/>
      <c r="K32" s="74"/>
      <c r="L32" s="17"/>
      <c r="M32" s="17"/>
      <c r="N32" s="18"/>
      <c r="O32" s="17"/>
      <c r="P32" s="17"/>
      <c r="Q32" s="17"/>
      <c r="R32" s="17"/>
      <c r="S32" s="19"/>
      <c r="T32" s="17"/>
      <c r="U32" s="19"/>
    </row>
    <row r="33" spans="1:21" s="35" customFormat="1" ht="76.5">
      <c r="A33" s="30" t="s">
        <v>116</v>
      </c>
      <c r="B33" s="38" t="s">
        <v>117</v>
      </c>
      <c r="C33" s="57" t="s">
        <v>118</v>
      </c>
      <c r="D33" s="60">
        <v>1976199</v>
      </c>
      <c r="E33" s="15" t="s">
        <v>34</v>
      </c>
      <c r="F33" s="31" t="s">
        <v>119</v>
      </c>
      <c r="G33" s="15">
        <v>0</v>
      </c>
      <c r="H33" s="41"/>
      <c r="I33" s="77" t="s">
        <v>120</v>
      </c>
      <c r="J33" s="31" t="s">
        <v>58</v>
      </c>
      <c r="K33" s="46" t="s">
        <v>121</v>
      </c>
      <c r="L33" s="32" t="s">
        <v>28</v>
      </c>
      <c r="M33" s="32"/>
      <c r="N33" s="33" t="s">
        <v>110</v>
      </c>
      <c r="O33" s="32" t="s">
        <v>61</v>
      </c>
      <c r="P33" s="32"/>
      <c r="Q33" s="32" t="s">
        <v>122</v>
      </c>
      <c r="R33" s="32" t="s">
        <v>123</v>
      </c>
      <c r="S33" s="34"/>
      <c r="T33" s="32" t="s">
        <v>64</v>
      </c>
      <c r="U33" s="34"/>
    </row>
    <row r="34" spans="1:21">
      <c r="A34" s="15"/>
      <c r="B34" s="22"/>
      <c r="C34" s="55"/>
      <c r="D34" s="18"/>
      <c r="E34" s="15"/>
      <c r="F34" s="15"/>
      <c r="G34" s="15"/>
      <c r="H34" s="41"/>
      <c r="I34" s="15"/>
      <c r="J34" s="15"/>
      <c r="K34" s="41"/>
      <c r="L34" s="17"/>
      <c r="M34" s="17"/>
      <c r="N34" s="18"/>
      <c r="O34" s="17"/>
      <c r="P34" s="17"/>
      <c r="Q34" s="17"/>
      <c r="R34" s="17"/>
      <c r="S34" s="19"/>
      <c r="T34" s="17"/>
      <c r="U34" s="19"/>
    </row>
    <row r="35" spans="1:21">
      <c r="A35" s="15"/>
      <c r="B35" s="22"/>
      <c r="C35" s="55"/>
      <c r="D35" s="18"/>
      <c r="E35" s="15"/>
      <c r="F35" s="15"/>
      <c r="G35" s="15"/>
      <c r="H35" s="41"/>
      <c r="I35" s="15"/>
      <c r="J35" s="15"/>
      <c r="K35" s="41"/>
      <c r="L35" s="17"/>
      <c r="M35" s="17"/>
      <c r="N35" s="18"/>
      <c r="O35" s="17"/>
      <c r="P35" s="17"/>
      <c r="Q35" s="17"/>
      <c r="R35" s="17"/>
      <c r="S35" s="19"/>
      <c r="T35" s="17"/>
      <c r="U35" s="19"/>
    </row>
    <row r="36" spans="1:21" ht="45.75">
      <c r="A36" s="29" t="s">
        <v>124</v>
      </c>
      <c r="B36" s="22" t="s">
        <v>125</v>
      </c>
      <c r="C36" s="55" t="s">
        <v>126</v>
      </c>
      <c r="D36" s="56">
        <v>150000</v>
      </c>
      <c r="E36" s="15" t="s">
        <v>53</v>
      </c>
      <c r="F36" s="20" t="s">
        <v>127</v>
      </c>
      <c r="G36" s="15">
        <v>0</v>
      </c>
      <c r="H36" s="41" t="s">
        <v>128</v>
      </c>
      <c r="I36" s="15" t="s">
        <v>129</v>
      </c>
      <c r="J36" s="20"/>
      <c r="K36" s="47"/>
      <c r="L36" s="20" t="s">
        <v>28</v>
      </c>
      <c r="M36" s="20"/>
      <c r="N36" s="20"/>
      <c r="O36" s="20"/>
      <c r="P36" s="20"/>
      <c r="Q36" s="20"/>
      <c r="R36" s="20"/>
      <c r="S36" s="20"/>
      <c r="T36" s="20"/>
      <c r="U36" s="20"/>
    </row>
    <row r="37" spans="1:21">
      <c r="A37" s="21"/>
      <c r="B37" s="39"/>
      <c r="C37" s="58"/>
      <c r="D37" s="58"/>
      <c r="E37" s="15"/>
      <c r="F37" s="20"/>
      <c r="G37" s="15"/>
      <c r="H37" s="41"/>
      <c r="I37" s="15"/>
      <c r="J37" s="20"/>
      <c r="K37" s="47"/>
      <c r="L37" s="20"/>
      <c r="M37" s="20"/>
      <c r="N37" s="20"/>
      <c r="O37" s="20"/>
      <c r="P37" s="20"/>
      <c r="Q37" s="20"/>
      <c r="R37" s="20"/>
      <c r="S37" s="20"/>
      <c r="T37" s="20"/>
      <c r="U37" s="20"/>
    </row>
    <row r="38" spans="1:21" s="75" customFormat="1" ht="45.75">
      <c r="A38" s="16" t="s">
        <v>130</v>
      </c>
      <c r="B38" s="22" t="s">
        <v>131</v>
      </c>
      <c r="C38" s="55" t="s">
        <v>132</v>
      </c>
      <c r="D38" s="56">
        <v>150000</v>
      </c>
      <c r="E38" s="15" t="s">
        <v>40</v>
      </c>
      <c r="F38" s="15" t="s">
        <v>133</v>
      </c>
      <c r="G38" s="15">
        <v>0</v>
      </c>
      <c r="H38" s="41" t="s">
        <v>134</v>
      </c>
      <c r="I38" s="15" t="s">
        <v>135</v>
      </c>
      <c r="J38" s="15"/>
      <c r="K38" s="71">
        <v>0.75</v>
      </c>
      <c r="L38" s="15" t="s">
        <v>28</v>
      </c>
      <c r="M38" s="15"/>
      <c r="N38" s="15"/>
      <c r="O38" s="15"/>
      <c r="P38" s="15"/>
      <c r="Q38" s="15"/>
      <c r="R38" s="15"/>
      <c r="S38" s="15"/>
      <c r="T38" s="15"/>
      <c r="U38" s="15"/>
    </row>
    <row r="39" spans="1:21">
      <c r="A39" s="20"/>
      <c r="B39" s="39"/>
      <c r="C39" s="58"/>
      <c r="D39" s="58"/>
      <c r="E39" s="15"/>
      <c r="F39" s="20"/>
      <c r="G39" s="15"/>
      <c r="H39" s="41"/>
      <c r="I39" s="15"/>
      <c r="J39" s="20"/>
      <c r="K39" s="47"/>
      <c r="L39" s="20"/>
      <c r="M39" s="20"/>
      <c r="N39" s="20"/>
      <c r="O39" s="20"/>
      <c r="P39" s="20"/>
      <c r="Q39" s="20"/>
      <c r="R39" s="20"/>
      <c r="S39" s="20"/>
      <c r="T39" s="20"/>
      <c r="U39" s="20"/>
    </row>
    <row r="40" spans="1:21" ht="321">
      <c r="A40" s="16" t="s">
        <v>136</v>
      </c>
      <c r="B40" s="22" t="s">
        <v>137</v>
      </c>
      <c r="C40" s="55" t="s">
        <v>138</v>
      </c>
      <c r="D40" s="56">
        <v>1116810.3600000001</v>
      </c>
      <c r="E40" s="15" t="s">
        <v>19</v>
      </c>
      <c r="F40" s="20" t="s">
        <v>139</v>
      </c>
      <c r="G40" s="15">
        <v>0</v>
      </c>
      <c r="H40" s="41" t="s">
        <v>140</v>
      </c>
      <c r="I40" s="15" t="s">
        <v>141</v>
      </c>
      <c r="J40" s="20" t="s">
        <v>142</v>
      </c>
      <c r="K40" s="47"/>
      <c r="L40" s="20" t="s">
        <v>28</v>
      </c>
      <c r="M40" s="20"/>
      <c r="N40" s="20"/>
      <c r="O40" s="20"/>
      <c r="P40" s="20" t="s">
        <v>143</v>
      </c>
      <c r="Q40" s="20"/>
      <c r="R40" s="20"/>
      <c r="S40" s="20"/>
      <c r="T40" s="20" t="s">
        <v>144</v>
      </c>
      <c r="U40" s="20"/>
    </row>
    <row r="41" spans="1:21">
      <c r="A41" s="20"/>
      <c r="B41" s="39"/>
      <c r="C41" s="58"/>
      <c r="D41" s="58"/>
      <c r="E41" s="15"/>
      <c r="F41" s="20"/>
      <c r="G41" s="15"/>
      <c r="H41" s="41"/>
      <c r="I41" s="15"/>
      <c r="J41" s="20"/>
      <c r="K41" s="47"/>
      <c r="L41" s="20"/>
      <c r="M41" s="20"/>
      <c r="N41" s="20"/>
      <c r="O41" s="20"/>
      <c r="P41" s="20"/>
      <c r="Q41" s="20"/>
      <c r="R41" s="20"/>
      <c r="S41" s="20"/>
      <c r="T41" s="20"/>
      <c r="U41" s="20"/>
    </row>
    <row r="42" spans="1:21" ht="137.25">
      <c r="A42" s="16" t="s">
        <v>145</v>
      </c>
      <c r="B42" s="22" t="s">
        <v>146</v>
      </c>
      <c r="C42" s="55" t="s">
        <v>147</v>
      </c>
      <c r="D42" s="56">
        <v>315717.74</v>
      </c>
      <c r="E42" s="15" t="s">
        <v>19</v>
      </c>
      <c r="F42" s="20" t="s">
        <v>148</v>
      </c>
      <c r="G42" s="15">
        <v>0</v>
      </c>
      <c r="H42" s="41" t="s">
        <v>149</v>
      </c>
      <c r="I42" s="15" t="s">
        <v>150</v>
      </c>
      <c r="J42" s="20" t="s">
        <v>151</v>
      </c>
      <c r="K42" s="47"/>
      <c r="L42" s="20" t="s">
        <v>28</v>
      </c>
      <c r="M42" s="20"/>
      <c r="N42" s="20"/>
      <c r="O42" s="20"/>
      <c r="P42" s="20" t="s">
        <v>152</v>
      </c>
      <c r="Q42" s="20"/>
      <c r="R42" s="20"/>
      <c r="S42" s="20"/>
      <c r="T42" s="20" t="s">
        <v>64</v>
      </c>
      <c r="U42" s="20"/>
    </row>
    <row r="43" spans="1:21">
      <c r="A43" s="20"/>
      <c r="B43" s="39"/>
      <c r="C43" s="58"/>
      <c r="D43" s="58"/>
      <c r="E43" s="15"/>
      <c r="F43" s="20"/>
      <c r="G43" s="15"/>
      <c r="H43" s="41"/>
      <c r="I43" s="15"/>
      <c r="J43" s="20"/>
      <c r="K43" s="47"/>
      <c r="L43" s="20"/>
      <c r="M43" s="20"/>
      <c r="N43" s="20"/>
      <c r="O43" s="20"/>
      <c r="P43" s="20"/>
      <c r="Q43" s="20"/>
      <c r="R43" s="20"/>
      <c r="S43" s="20"/>
      <c r="T43" s="20"/>
      <c r="U43" s="20"/>
    </row>
    <row r="44" spans="1:21">
      <c r="A44" s="20"/>
      <c r="B44" s="39"/>
      <c r="C44" s="58"/>
      <c r="D44" s="58"/>
      <c r="E44" s="15"/>
      <c r="F44" s="20"/>
      <c r="G44" s="15"/>
      <c r="H44" s="41"/>
      <c r="I44" s="15"/>
      <c r="J44" s="20"/>
      <c r="K44" s="47"/>
      <c r="L44" s="20"/>
      <c r="M44" s="20"/>
      <c r="N44" s="20"/>
      <c r="O44" s="20"/>
      <c r="P44" s="20"/>
      <c r="Q44" s="20"/>
      <c r="R44" s="20"/>
      <c r="S44" s="20"/>
      <c r="T44" s="20"/>
      <c r="U44" s="20"/>
    </row>
  </sheetData>
  <mergeCells count="16">
    <mergeCell ref="D12:D14"/>
    <mergeCell ref="D2:D10"/>
    <mergeCell ref="D21:D24"/>
    <mergeCell ref="D26:D31"/>
    <mergeCell ref="A2:A10"/>
    <mergeCell ref="B2:B10"/>
    <mergeCell ref="C2:C10"/>
    <mergeCell ref="A12:A14"/>
    <mergeCell ref="B12:B14"/>
    <mergeCell ref="C12:C14"/>
    <mergeCell ref="B21:B24"/>
    <mergeCell ref="B26:B31"/>
    <mergeCell ref="C21:C24"/>
    <mergeCell ref="C26:C31"/>
    <mergeCell ref="A21:A24"/>
    <mergeCell ref="A26:A31"/>
  </mergeCells>
  <dataValidations count="9">
    <dataValidation type="list" allowBlank="1" showInputMessage="1" showErrorMessage="1" sqref="Q2:Q35" xr:uid="{89DF9B0E-F0F9-4D3A-8ED3-C868504BD11F}">
      <formula1>"NDC Support, National Strategy, Legal Framework,Incentives and Support, Government Capacity-Building, Carbon Pricing and Monitoring, Financing Model, Business Model"</formula1>
    </dataValidation>
    <dataValidation type="list" allowBlank="1" showInputMessage="1" showErrorMessage="1" sqref="P2:P35" xr:uid="{A0C998CC-C8EA-4ABE-AF8D-086FF386049A}">
      <formula1>"AMP, PUDC, Solar4Health, Action Opportunities, Italy UNDP Energy Partnership"</formula1>
    </dataValidation>
    <dataValidation type="list" allowBlank="1" showInputMessage="1" showErrorMessage="1" sqref="N2:N35" xr:uid="{009BAAA6-FB2F-484B-9AF3-58B52DDDC00B}">
      <formula1>"Accelerating just energy transition, Close the gap on energy access, Scale up energy finance"</formula1>
    </dataValidation>
    <dataValidation type="list" allowBlank="1" showInputMessage="1" showErrorMessage="1" sqref="O2:O35" xr:uid="{93C2954B-8D6F-4B41-BB64-7A7FB8F2C484}">
      <formula1>"Electricity Access, Energy Efficiency, Clean Cooking, Renewable Energy, Overall"</formula1>
    </dataValidation>
    <dataValidation type="list" allowBlank="1" showInputMessage="1" showErrorMessage="1" sqref="L2:L35" xr:uid="{C5D05071-5D90-4A13-9D21-B9EBD6EE39FE}">
      <formula1>"Non-VF, VF"</formula1>
    </dataValidation>
    <dataValidation type="list" allowBlank="1" showInputMessage="1" showErrorMessage="1" sqref="M2:M35" xr:uid="{6E7EBC8A-ABDB-42A7-8B65-4EA10A315E1D}">
      <formula1>"Finance, Gender, Efficiency, Just, Health"</formula1>
    </dataValidation>
    <dataValidation type="list" allowBlank="1" showInputMessage="1" showErrorMessage="1" sqref="T2:T35" xr:uid="{AEC6DEB2-D5E4-4B9F-84FF-21A7F99E858B}">
      <formula1>"National, Regional, City, Community"</formula1>
    </dataValidation>
    <dataValidation type="list" allowBlank="1" showInputMessage="1" showErrorMessage="1" sqref="R2:R35" xr:uid="{98C3269F-4DF8-4538-9154-9C48016DCDAB}">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5" xr:uid="{72A5E88B-D3D9-470C-A53D-3E9B1EB09100}">
      <formula1>"Solar, Wind, Bioenergy, Hydro, Geothermal, Waste, Some Sources, Other, Unknown"</formula1>
    </dataValidation>
  </dataValidations>
  <hyperlinks>
    <hyperlink ref="C2" r:id="rId1" xr:uid="{2981B45F-4B0D-405F-91A6-63012678890F}"/>
    <hyperlink ref="C12" r:id="rId2" xr:uid="{363864F6-7D4B-4287-AD36-C2FC6197422D}"/>
    <hyperlink ref="C26" r:id="rId3" xr:uid="{82091ED5-F29D-4345-951E-27BD04C8FB37}"/>
    <hyperlink ref="C21" r:id="rId4" xr:uid="{58A876F6-0A1B-4D17-B147-E67138EDB542}"/>
    <hyperlink ref="C16" r:id="rId5" xr:uid="{422DE5E3-15B2-4E27-BB4C-79128A74AC27}"/>
    <hyperlink ref="C33" r:id="rId6" xr:uid="{FEA99C7D-737E-4A0C-A4EB-88F4D6968550}"/>
    <hyperlink ref="C38" r:id="rId7" xr:uid="{B3B46140-41E7-4E9B-A7FB-007F4393E638}"/>
    <hyperlink ref="C36" r:id="rId8" xr:uid="{74C55B10-8228-4F1D-AB93-D6A186BDEF49}"/>
    <hyperlink ref="C40" r:id="rId9" display="https://www.un-pageindonesia.org/" xr:uid="{3A866736-0ADA-41D9-939C-BCDB6FC6E558}"/>
    <hyperlink ref="C42" r:id="rId10" xr:uid="{D135F87E-3545-491F-9567-80534C335A53}"/>
  </hyperlinks>
  <pageMargins left="0.7" right="0.7" top="0.75" bottom="0.75" header="0.3" footer="0.3"/>
  <legacyDrawing r:id="rId11"/>
  <extLst>
    <ext xmlns:x14="http://schemas.microsoft.com/office/spreadsheetml/2009/9/main" uri="{CCE6A557-97BC-4b89-ADB6-D9C93CAAB3DF}">
      <x14:dataValidations xmlns:xm="http://schemas.microsoft.com/office/excel/2006/main" count="2">
        <x14:dataValidation type="list" allowBlank="1" showInputMessage="1" showErrorMessage="1" xr:uid="{4621629C-C890-4E3E-880E-16538313DB69}">
          <x14:formula1>
            <xm:f>'Beneficiary Categories'!$A$2:$A$16</xm:f>
          </x14:formula1>
          <xm:sqref>E45</xm:sqref>
        </x14:dataValidation>
        <x14:dataValidation type="list" allowBlank="1" showInputMessage="1" showErrorMessage="1" xr:uid="{5EC3B4A4-95B1-4F78-9238-587D34E121D0}">
          <x14:formula1>
            <xm:f>'Beneficiary Categories'!$A$2:$A$22</xm:f>
          </x14:formula1>
          <xm:sqref>E2:E44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A9AF-FA29-4E61-82D7-058611A28862}">
  <dimension ref="A1:T15"/>
  <sheetViews>
    <sheetView workbookViewId="0">
      <selection activeCell="M1" sqref="M1"/>
    </sheetView>
  </sheetViews>
  <sheetFormatPr defaultColWidth="9.140625" defaultRowHeight="14.45"/>
  <cols>
    <col min="1" max="1" width="9.140625" style="3"/>
    <col min="2" max="3" width="20.7109375" style="3" customWidth="1"/>
    <col min="4" max="4" width="9.140625" style="3"/>
    <col min="5" max="5" width="20.7109375" style="3" customWidth="1"/>
    <col min="6" max="6" width="64.7109375" style="3" customWidth="1"/>
    <col min="7" max="8" width="36.7109375" style="3" customWidth="1"/>
    <col min="9" max="9" width="32.7109375" style="3" customWidth="1"/>
    <col min="10" max="16384" width="9.140625" style="3"/>
  </cols>
  <sheetData>
    <row r="1" spans="1:20">
      <c r="A1" s="2" t="s">
        <v>0</v>
      </c>
      <c r="B1" s="2" t="s">
        <v>1</v>
      </c>
      <c r="C1" s="2" t="s">
        <v>2</v>
      </c>
      <c r="D1" s="2" t="s">
        <v>3</v>
      </c>
      <c r="E1" s="2" t="s">
        <v>4</v>
      </c>
      <c r="F1" s="2" t="s">
        <v>5</v>
      </c>
      <c r="G1" s="2" t="s">
        <v>6</v>
      </c>
      <c r="H1" s="2" t="s">
        <v>7</v>
      </c>
      <c r="I1" s="2" t="s">
        <v>8</v>
      </c>
      <c r="J1" s="2" t="s">
        <v>9</v>
      </c>
      <c r="K1" s="10" t="s">
        <v>10</v>
      </c>
      <c r="L1" s="10" t="s">
        <v>153</v>
      </c>
      <c r="M1" s="10"/>
      <c r="N1" s="10"/>
      <c r="O1" s="10" t="s">
        <v>13</v>
      </c>
      <c r="P1" s="10" t="s">
        <v>14</v>
      </c>
      <c r="Q1" s="10" t="s">
        <v>15</v>
      </c>
      <c r="R1" s="10" t="s">
        <v>16</v>
      </c>
      <c r="S1" s="10" t="s">
        <v>17</v>
      </c>
      <c r="T1" s="10"/>
    </row>
    <row r="2" spans="1:20" ht="72.75" customHeight="1">
      <c r="A2" s="96">
        <v>126434</v>
      </c>
      <c r="B2" s="96" t="s">
        <v>154</v>
      </c>
      <c r="C2" s="102" t="s">
        <v>22</v>
      </c>
      <c r="D2" s="96">
        <v>15028509</v>
      </c>
      <c r="E2" s="1" t="s">
        <v>23</v>
      </c>
      <c r="F2" s="9" t="s">
        <v>155</v>
      </c>
      <c r="G2" s="1" t="s">
        <v>156</v>
      </c>
      <c r="H2" s="1" t="s">
        <v>157</v>
      </c>
      <c r="I2" s="1" t="s">
        <v>158</v>
      </c>
      <c r="J2" s="98" t="s">
        <v>27</v>
      </c>
      <c r="L2" s="3" t="s">
        <v>28</v>
      </c>
      <c r="O2" s="3" t="s">
        <v>59</v>
      </c>
      <c r="P2" s="3" t="s">
        <v>23</v>
      </c>
    </row>
    <row r="3" spans="1:20" ht="57.95">
      <c r="A3" s="101"/>
      <c r="B3" s="101"/>
      <c r="C3" s="103"/>
      <c r="D3" s="101"/>
      <c r="E3" s="1" t="s">
        <v>159</v>
      </c>
      <c r="F3" s="1" t="s">
        <v>35</v>
      </c>
      <c r="G3" s="1" t="s">
        <v>160</v>
      </c>
      <c r="H3" s="1">
        <v>50</v>
      </c>
      <c r="I3" s="5" t="s">
        <v>161</v>
      </c>
      <c r="J3" s="99"/>
      <c r="K3" s="11">
        <v>0.3</v>
      </c>
      <c r="L3" s="3" t="s">
        <v>28</v>
      </c>
      <c r="O3" s="3" t="s">
        <v>59</v>
      </c>
      <c r="P3" s="3" t="s">
        <v>23</v>
      </c>
    </row>
    <row r="4" spans="1:20" ht="57.95">
      <c r="A4" s="101"/>
      <c r="B4" s="101"/>
      <c r="C4" s="103"/>
      <c r="D4" s="101"/>
      <c r="E4" s="1" t="s">
        <v>37</v>
      </c>
      <c r="F4" s="1" t="s">
        <v>38</v>
      </c>
      <c r="G4" s="1" t="s">
        <v>162</v>
      </c>
      <c r="H4" s="5">
        <v>21</v>
      </c>
      <c r="I4" s="5" t="s">
        <v>163</v>
      </c>
      <c r="J4" s="99"/>
      <c r="L4" s="3" t="s">
        <v>28</v>
      </c>
      <c r="O4" s="3" t="s">
        <v>59</v>
      </c>
      <c r="P4" s="3" t="s">
        <v>23</v>
      </c>
    </row>
    <row r="5" spans="1:20" ht="57.95">
      <c r="A5" s="97"/>
      <c r="B5" s="97"/>
      <c r="C5" s="104"/>
      <c r="D5" s="97"/>
      <c r="E5" s="1" t="s">
        <v>40</v>
      </c>
      <c r="F5" s="1" t="s">
        <v>41</v>
      </c>
      <c r="G5" s="5" t="s">
        <v>164</v>
      </c>
      <c r="H5" s="5">
        <v>600</v>
      </c>
      <c r="I5" s="5" t="s">
        <v>165</v>
      </c>
      <c r="J5" s="100"/>
      <c r="L5" s="3" t="s">
        <v>28</v>
      </c>
      <c r="O5" s="3" t="s">
        <v>59</v>
      </c>
      <c r="P5" s="3" t="s">
        <v>23</v>
      </c>
    </row>
    <row r="6" spans="1:20" ht="57.95">
      <c r="A6" s="96">
        <v>142434</v>
      </c>
      <c r="B6" s="96" t="s">
        <v>55</v>
      </c>
      <c r="C6" s="102" t="s">
        <v>56</v>
      </c>
      <c r="D6" s="96">
        <v>1796132</v>
      </c>
      <c r="E6" s="1" t="s">
        <v>159</v>
      </c>
      <c r="F6" s="1" t="s">
        <v>166</v>
      </c>
      <c r="G6" s="5" t="s">
        <v>164</v>
      </c>
      <c r="H6" s="1">
        <v>10</v>
      </c>
      <c r="I6" s="1"/>
      <c r="J6" s="96" t="s">
        <v>58</v>
      </c>
      <c r="L6" s="3" t="s">
        <v>28</v>
      </c>
      <c r="O6" s="3" t="s">
        <v>59</v>
      </c>
      <c r="P6" s="3" t="s">
        <v>167</v>
      </c>
    </row>
    <row r="7" spans="1:20" ht="57.95">
      <c r="A7" s="101"/>
      <c r="B7" s="101"/>
      <c r="C7" s="103"/>
      <c r="D7" s="101"/>
      <c r="E7" s="1" t="s">
        <v>19</v>
      </c>
      <c r="F7" s="1" t="s">
        <v>168</v>
      </c>
      <c r="G7" s="5" t="s">
        <v>164</v>
      </c>
      <c r="H7" s="5">
        <v>329</v>
      </c>
      <c r="I7" s="1"/>
      <c r="J7" s="101"/>
      <c r="L7" s="3" t="s">
        <v>28</v>
      </c>
      <c r="O7" s="3" t="s">
        <v>59</v>
      </c>
      <c r="P7" s="3" t="s">
        <v>167</v>
      </c>
      <c r="R7" s="3" t="s">
        <v>62</v>
      </c>
      <c r="S7" s="3" t="s">
        <v>63</v>
      </c>
    </row>
    <row r="8" spans="1:20" ht="57.95">
      <c r="A8" s="97"/>
      <c r="B8" s="97"/>
      <c r="C8" s="104"/>
      <c r="D8" s="97"/>
      <c r="E8" s="1" t="s">
        <v>159</v>
      </c>
      <c r="F8" s="1" t="s">
        <v>65</v>
      </c>
      <c r="G8" s="5" t="s">
        <v>164</v>
      </c>
      <c r="H8" s="5">
        <v>350</v>
      </c>
      <c r="I8" s="1"/>
      <c r="J8" s="97"/>
      <c r="L8" s="3" t="s">
        <v>28</v>
      </c>
      <c r="O8" s="3" t="s">
        <v>59</v>
      </c>
      <c r="P8" s="3" t="s">
        <v>167</v>
      </c>
    </row>
    <row r="9" spans="1:20" ht="57.95">
      <c r="A9" s="4">
        <v>6333</v>
      </c>
      <c r="B9" s="4" t="s">
        <v>66</v>
      </c>
      <c r="C9" s="4" t="s">
        <v>169</v>
      </c>
      <c r="D9" s="4">
        <v>1816500</v>
      </c>
      <c r="E9" s="1" t="s">
        <v>170</v>
      </c>
      <c r="F9" s="1" t="s">
        <v>69</v>
      </c>
      <c r="G9" s="1"/>
      <c r="H9" s="12">
        <v>643224</v>
      </c>
      <c r="I9" s="1"/>
      <c r="J9" s="4" t="s">
        <v>70</v>
      </c>
      <c r="K9" s="11">
        <v>0.24</v>
      </c>
      <c r="L9" s="3" t="s">
        <v>71</v>
      </c>
      <c r="O9" s="3" t="s">
        <v>59</v>
      </c>
      <c r="P9" s="3" t="s">
        <v>167</v>
      </c>
    </row>
    <row r="10" spans="1:20" ht="87">
      <c r="A10" s="96">
        <v>5721</v>
      </c>
      <c r="B10" s="96" t="s">
        <v>81</v>
      </c>
      <c r="C10" s="96" t="s">
        <v>169</v>
      </c>
      <c r="D10" s="96">
        <v>2633372</v>
      </c>
      <c r="E10" s="1" t="s">
        <v>37</v>
      </c>
      <c r="F10" s="1" t="s">
        <v>171</v>
      </c>
      <c r="G10" s="1" t="s">
        <v>172</v>
      </c>
      <c r="H10" s="1">
        <v>125</v>
      </c>
      <c r="I10" s="1"/>
      <c r="J10" s="96" t="s">
        <v>70</v>
      </c>
      <c r="K10" s="11">
        <v>0.34</v>
      </c>
      <c r="L10" s="3" t="s">
        <v>71</v>
      </c>
      <c r="O10" s="3" t="s">
        <v>59</v>
      </c>
      <c r="P10" s="3" t="s">
        <v>167</v>
      </c>
    </row>
    <row r="11" spans="1:20" ht="57.95">
      <c r="A11" s="97"/>
      <c r="B11" s="97"/>
      <c r="C11" s="97"/>
      <c r="D11" s="97"/>
      <c r="E11" s="1" t="s">
        <v>37</v>
      </c>
      <c r="F11" s="1" t="s">
        <v>173</v>
      </c>
      <c r="G11" s="1" t="s">
        <v>174</v>
      </c>
      <c r="H11" s="1">
        <v>10</v>
      </c>
      <c r="I11" s="1"/>
      <c r="J11" s="97"/>
      <c r="L11" s="3" t="s">
        <v>71</v>
      </c>
      <c r="O11" s="3" t="s">
        <v>59</v>
      </c>
      <c r="P11" s="3" t="s">
        <v>167</v>
      </c>
    </row>
    <row r="12" spans="1:20" ht="57.95">
      <c r="A12" s="4">
        <v>4673</v>
      </c>
      <c r="B12" s="4" t="s">
        <v>94</v>
      </c>
      <c r="C12" s="4" t="s">
        <v>169</v>
      </c>
      <c r="D12" s="4">
        <v>8025000</v>
      </c>
      <c r="E12" s="1" t="s">
        <v>23</v>
      </c>
      <c r="F12" s="1" t="s">
        <v>96</v>
      </c>
      <c r="G12" s="5" t="s">
        <v>97</v>
      </c>
      <c r="H12" s="5" t="s">
        <v>98</v>
      </c>
      <c r="I12" s="1" t="s">
        <v>175</v>
      </c>
      <c r="J12" s="4" t="s">
        <v>70</v>
      </c>
      <c r="L12" s="3" t="s">
        <v>71</v>
      </c>
      <c r="O12" s="3" t="s">
        <v>59</v>
      </c>
      <c r="P12" s="3" t="s">
        <v>23</v>
      </c>
    </row>
    <row r="15" spans="1:20">
      <c r="A15" s="6"/>
    </row>
  </sheetData>
  <mergeCells count="15">
    <mergeCell ref="A10:A11"/>
    <mergeCell ref="B10:B11"/>
    <mergeCell ref="C10:C11"/>
    <mergeCell ref="D10:D11"/>
    <mergeCell ref="J2:J5"/>
    <mergeCell ref="J6:J8"/>
    <mergeCell ref="J10:J11"/>
    <mergeCell ref="A2:A5"/>
    <mergeCell ref="B2:B5"/>
    <mergeCell ref="C2:C5"/>
    <mergeCell ref="D2:D5"/>
    <mergeCell ref="A6:A8"/>
    <mergeCell ref="B6:B8"/>
    <mergeCell ref="C6:C8"/>
    <mergeCell ref="D6:D8"/>
  </mergeCells>
  <dataValidations count="5">
    <dataValidation type="list" allowBlank="1" showInputMessage="1" showErrorMessage="1" sqref="O2:O12" xr:uid="{8B8B5941-BDC2-4C7C-9640-F8CE57015C65}">
      <formula1>"Accelerating just energy transition, Close the gap on energy access, Scale up energy finance"</formula1>
    </dataValidation>
    <dataValidation type="list" allowBlank="1" showInputMessage="1" showErrorMessage="1" sqref="P2:P12" xr:uid="{DCBE3D3E-062B-4732-98A0-9F6548056FE9}">
      <formula1>"Electricity Access, Energy Efficiency, Clean Cooking, Renewable Energy"</formula1>
    </dataValidation>
    <dataValidation type="list" allowBlank="1" showInputMessage="1" showErrorMessage="1" sqref="Q2:Q12" xr:uid="{4B84938A-D07A-48D0-9E8B-5D6029576008}">
      <formula1>"AMP, PUDC, Solar4Health, Action Opportunities, Italy UNDP Energy Partnership"</formula1>
    </dataValidation>
    <dataValidation type="list" allowBlank="1" showInputMessage="1" showErrorMessage="1" sqref="R2:R12" xr:uid="{13CA4C93-5D81-4F77-9972-0D5C2A73D215}">
      <formula1>"NDC Support, National Strategy, Legal Framework,Incentives and Support, Government Capacity-Building, Carbon Pricing and Monitoring, Financing Model, Business Model"</formula1>
    </dataValidation>
    <dataValidation type="list" allowBlank="1" showInputMessage="1" showErrorMessage="1" sqref="S2:S12" xr:uid="{CBEA097B-28FD-4943-8336-D7FB45F7D6EA}">
      <formula1>"Electricity Access, Energy Efficiency, Renewable EnergyEnergy Infrastructure,   Transport, Digital &amp; Data, Clean Cooking, Decarbonization, Hydrogen, Off-Grid, On-Grid"</formula1>
    </dataValidation>
  </dataValidations>
  <hyperlinks>
    <hyperlink ref="C2" r:id="rId1" xr:uid="{95E12B0C-8BE7-4139-BE85-2C482C0E36D9}"/>
    <hyperlink ref="C6" r:id="rId2" xr:uid="{481DDCC0-801F-4C6B-A3D4-3A06E7F0E2B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0AADA0-D75C-4E9B-9F44-BDBB9364D67E}">
          <x14:formula1>
            <xm:f>'Beneficiary Categories'!$A$2:$A$16</xm:f>
          </x14:formula1>
          <xm:sqref>E2:E22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opLeftCell="C1" workbookViewId="0">
      <selection activeCell="G4" sqref="G4"/>
    </sheetView>
  </sheetViews>
  <sheetFormatPr defaultColWidth="9.140625" defaultRowHeight="14.45"/>
  <cols>
    <col min="1" max="1" width="9.140625" style="3"/>
    <col min="2" max="3" width="20.7109375" style="3" customWidth="1"/>
    <col min="4" max="5" width="9.140625" style="3"/>
    <col min="6" max="6" width="20.7109375" style="3" customWidth="1"/>
    <col min="7" max="7" width="64.7109375" style="3" customWidth="1"/>
    <col min="8" max="9" width="36.7109375" style="3" customWidth="1"/>
    <col min="10" max="10" width="32.7109375" style="3" customWidth="1"/>
    <col min="11" max="11" width="37.42578125" style="3" customWidth="1"/>
    <col min="12" max="16384" width="9.140625" style="3"/>
  </cols>
  <sheetData>
    <row r="1" spans="1:11">
      <c r="A1" s="2" t="s">
        <v>0</v>
      </c>
      <c r="B1" s="2" t="s">
        <v>1</v>
      </c>
      <c r="C1" s="2" t="s">
        <v>2</v>
      </c>
      <c r="D1" s="2" t="s">
        <v>3</v>
      </c>
      <c r="E1" s="2" t="s">
        <v>9</v>
      </c>
      <c r="F1" s="2" t="s">
        <v>4</v>
      </c>
      <c r="G1" s="2" t="s">
        <v>5</v>
      </c>
      <c r="H1" s="2" t="s">
        <v>6</v>
      </c>
      <c r="I1" s="2" t="s">
        <v>7</v>
      </c>
      <c r="J1" s="2" t="s">
        <v>8</v>
      </c>
      <c r="K1" s="7" t="s">
        <v>176</v>
      </c>
    </row>
    <row r="2" spans="1:11" ht="72.75" customHeight="1">
      <c r="A2" s="96">
        <v>126434</v>
      </c>
      <c r="B2" s="96" t="s">
        <v>154</v>
      </c>
      <c r="C2" s="102" t="s">
        <v>22</v>
      </c>
      <c r="D2" s="96">
        <v>15028509</v>
      </c>
      <c r="E2" s="98" t="s">
        <v>27</v>
      </c>
      <c r="F2" s="1" t="s">
        <v>23</v>
      </c>
      <c r="G2" s="9" t="s">
        <v>155</v>
      </c>
      <c r="H2" s="1" t="s">
        <v>156</v>
      </c>
      <c r="I2" s="1" t="s">
        <v>177</v>
      </c>
      <c r="J2" s="1" t="s">
        <v>158</v>
      </c>
      <c r="K2" s="8" t="s">
        <v>178</v>
      </c>
    </row>
    <row r="3" spans="1:11" ht="29.1">
      <c r="A3" s="101"/>
      <c r="B3" s="101"/>
      <c r="C3" s="103"/>
      <c r="D3" s="101"/>
      <c r="E3" s="99"/>
      <c r="F3" s="1" t="s">
        <v>159</v>
      </c>
      <c r="G3" s="1" t="s">
        <v>35</v>
      </c>
      <c r="H3" s="1" t="s">
        <v>160</v>
      </c>
      <c r="I3" s="1" t="s">
        <v>179</v>
      </c>
      <c r="J3" s="5" t="s">
        <v>161</v>
      </c>
    </row>
    <row r="4" spans="1:11" ht="29.1">
      <c r="A4" s="101"/>
      <c r="B4" s="101"/>
      <c r="C4" s="103"/>
      <c r="D4" s="101"/>
      <c r="E4" s="99"/>
      <c r="F4" s="1" t="s">
        <v>37</v>
      </c>
      <c r="G4" s="1" t="s">
        <v>38</v>
      </c>
      <c r="H4" s="1" t="s">
        <v>162</v>
      </c>
      <c r="I4" s="5" t="s">
        <v>180</v>
      </c>
      <c r="J4" s="5" t="s">
        <v>163</v>
      </c>
    </row>
    <row r="5" spans="1:11" ht="43.5">
      <c r="A5" s="97"/>
      <c r="B5" s="97"/>
      <c r="C5" s="104"/>
      <c r="D5" s="97"/>
      <c r="E5" s="100"/>
      <c r="F5" s="1" t="s">
        <v>40</v>
      </c>
      <c r="G5" s="1" t="s">
        <v>41</v>
      </c>
      <c r="H5" s="5" t="s">
        <v>164</v>
      </c>
      <c r="I5" s="5" t="s">
        <v>181</v>
      </c>
      <c r="J5" s="5" t="s">
        <v>165</v>
      </c>
    </row>
    <row r="6" spans="1:11" ht="43.5">
      <c r="A6" s="96">
        <v>142434</v>
      </c>
      <c r="B6" s="96" t="s">
        <v>55</v>
      </c>
      <c r="C6" s="102" t="s">
        <v>56</v>
      </c>
      <c r="D6" s="96">
        <v>1796132</v>
      </c>
      <c r="E6" s="96" t="s">
        <v>58</v>
      </c>
      <c r="F6" s="1" t="s">
        <v>159</v>
      </c>
      <c r="G6" s="1" t="s">
        <v>166</v>
      </c>
      <c r="H6" s="5" t="s">
        <v>164</v>
      </c>
      <c r="I6" s="1" t="s">
        <v>182</v>
      </c>
      <c r="J6" s="1"/>
    </row>
    <row r="7" spans="1:11">
      <c r="A7" s="101"/>
      <c r="B7" s="101"/>
      <c r="C7" s="103"/>
      <c r="D7" s="101"/>
      <c r="E7" s="101"/>
      <c r="F7" s="1" t="s">
        <v>170</v>
      </c>
      <c r="G7" s="1" t="s">
        <v>168</v>
      </c>
      <c r="H7" s="5" t="s">
        <v>164</v>
      </c>
      <c r="I7" s="5" t="s">
        <v>183</v>
      </c>
      <c r="J7" s="1"/>
    </row>
    <row r="8" spans="1:11">
      <c r="A8" s="97"/>
      <c r="B8" s="97"/>
      <c r="C8" s="104"/>
      <c r="D8" s="97"/>
      <c r="E8" s="97"/>
      <c r="F8" s="1" t="s">
        <v>159</v>
      </c>
      <c r="G8" s="1" t="s">
        <v>65</v>
      </c>
      <c r="H8" s="5" t="s">
        <v>164</v>
      </c>
      <c r="I8" s="5" t="s">
        <v>184</v>
      </c>
      <c r="J8" s="1"/>
    </row>
    <row r="9" spans="1:11" ht="116.1">
      <c r="A9" s="4">
        <v>6333</v>
      </c>
      <c r="B9" s="4" t="s">
        <v>66</v>
      </c>
      <c r="C9" s="4" t="s">
        <v>169</v>
      </c>
      <c r="D9" s="4">
        <v>1816500</v>
      </c>
      <c r="E9" s="4" t="s">
        <v>70</v>
      </c>
      <c r="F9" s="1" t="s">
        <v>53</v>
      </c>
      <c r="G9" s="1" t="s">
        <v>69</v>
      </c>
      <c r="H9" s="1" t="s">
        <v>185</v>
      </c>
      <c r="I9" s="1" t="s">
        <v>186</v>
      </c>
      <c r="J9" s="1"/>
    </row>
    <row r="10" spans="1:11" ht="87">
      <c r="A10" s="96">
        <v>5721</v>
      </c>
      <c r="B10" s="96" t="s">
        <v>81</v>
      </c>
      <c r="C10" s="96" t="s">
        <v>169</v>
      </c>
      <c r="D10" s="96">
        <v>2633372</v>
      </c>
      <c r="E10" s="96" t="s">
        <v>70</v>
      </c>
      <c r="F10" s="1" t="s">
        <v>37</v>
      </c>
      <c r="G10" s="1" t="s">
        <v>171</v>
      </c>
      <c r="H10" s="1" t="s">
        <v>172</v>
      </c>
      <c r="I10" s="1" t="s">
        <v>187</v>
      </c>
      <c r="J10" s="1"/>
    </row>
    <row r="11" spans="1:11" ht="29.1">
      <c r="A11" s="97"/>
      <c r="B11" s="97"/>
      <c r="C11" s="97"/>
      <c r="D11" s="97"/>
      <c r="E11" s="97"/>
      <c r="F11" s="1" t="s">
        <v>37</v>
      </c>
      <c r="G11" s="1" t="s">
        <v>173</v>
      </c>
      <c r="H11" s="1" t="s">
        <v>174</v>
      </c>
      <c r="I11" s="1" t="s">
        <v>188</v>
      </c>
      <c r="J11" s="1"/>
    </row>
    <row r="12" spans="1:11" ht="43.5">
      <c r="A12" s="4">
        <v>4673</v>
      </c>
      <c r="B12" s="4" t="s">
        <v>94</v>
      </c>
      <c r="C12" s="4" t="s">
        <v>169</v>
      </c>
      <c r="D12" s="4">
        <v>8025000</v>
      </c>
      <c r="E12" s="4" t="s">
        <v>70</v>
      </c>
      <c r="F12" s="1" t="s">
        <v>23</v>
      </c>
      <c r="G12" s="1" t="s">
        <v>96</v>
      </c>
      <c r="H12" s="5" t="s">
        <v>97</v>
      </c>
      <c r="I12" s="5" t="s">
        <v>189</v>
      </c>
      <c r="J12" s="1" t="s">
        <v>175</v>
      </c>
    </row>
    <row r="15" spans="1:11">
      <c r="A15" s="6"/>
    </row>
  </sheetData>
  <mergeCells count="15">
    <mergeCell ref="A10:A11"/>
    <mergeCell ref="B10:B11"/>
    <mergeCell ref="C10:C11"/>
    <mergeCell ref="D10:D11"/>
    <mergeCell ref="E10:E11"/>
    <mergeCell ref="B2:B5"/>
    <mergeCell ref="A2:A5"/>
    <mergeCell ref="C2:C5"/>
    <mergeCell ref="D2:D5"/>
    <mergeCell ref="E2:E5"/>
    <mergeCell ref="E6:E8"/>
    <mergeCell ref="D6:D8"/>
    <mergeCell ref="C6:C8"/>
    <mergeCell ref="B6:B8"/>
    <mergeCell ref="A6:A8"/>
  </mergeCells>
  <hyperlinks>
    <hyperlink ref="C2" r:id="rId1" xr:uid="{00000000-0004-0000-0000-000000000000}"/>
    <hyperlink ref="C6" r:id="rId2"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F2:F22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6" workbookViewId="0">
      <selection activeCell="A22" sqref="A22"/>
    </sheetView>
  </sheetViews>
  <sheetFormatPr defaultRowHeight="14.45"/>
  <cols>
    <col min="1" max="2" width="52.7109375" customWidth="1"/>
  </cols>
  <sheetData>
    <row r="1" spans="1:2">
      <c r="A1" s="13" t="s">
        <v>4</v>
      </c>
      <c r="B1" s="13" t="s">
        <v>5</v>
      </c>
    </row>
    <row r="2" spans="1:2" ht="43.5">
      <c r="A2" s="105" t="s">
        <v>23</v>
      </c>
      <c r="B2" s="14" t="s">
        <v>190</v>
      </c>
    </row>
    <row r="3" spans="1:2">
      <c r="A3" s="105" t="s">
        <v>46</v>
      </c>
      <c r="B3" s="14" t="s">
        <v>191</v>
      </c>
    </row>
    <row r="4" spans="1:2" ht="29.1">
      <c r="A4" s="105" t="s">
        <v>192</v>
      </c>
      <c r="B4" s="14" t="s">
        <v>193</v>
      </c>
    </row>
    <row r="5" spans="1:2" ht="29.1">
      <c r="A5" s="105" t="s">
        <v>194</v>
      </c>
      <c r="B5" s="14" t="s">
        <v>195</v>
      </c>
    </row>
    <row r="6" spans="1:2" ht="87">
      <c r="A6" s="105" t="s">
        <v>196</v>
      </c>
      <c r="B6" s="14" t="s">
        <v>197</v>
      </c>
    </row>
    <row r="7" spans="1:2" ht="43.5">
      <c r="A7" s="105" t="s">
        <v>198</v>
      </c>
      <c r="B7" s="14" t="s">
        <v>199</v>
      </c>
    </row>
    <row r="8" spans="1:2" ht="43.5">
      <c r="A8" s="105" t="s">
        <v>200</v>
      </c>
      <c r="B8" s="14" t="s">
        <v>201</v>
      </c>
    </row>
    <row r="9" spans="1:2" ht="43.5">
      <c r="A9" s="105" t="s">
        <v>202</v>
      </c>
      <c r="B9" s="14" t="s">
        <v>203</v>
      </c>
    </row>
    <row r="10" spans="1:2" ht="29.1">
      <c r="A10" s="105" t="s">
        <v>68</v>
      </c>
      <c r="B10" s="106" t="s">
        <v>204</v>
      </c>
    </row>
    <row r="11" spans="1:2" ht="29.1">
      <c r="A11" s="105" t="s">
        <v>85</v>
      </c>
      <c r="B11" s="106" t="s">
        <v>205</v>
      </c>
    </row>
    <row r="12" spans="1:2" ht="43.5">
      <c r="A12" s="105" t="s">
        <v>50</v>
      </c>
      <c r="B12" s="14" t="s">
        <v>206</v>
      </c>
    </row>
    <row r="13" spans="1:2" ht="29.1">
      <c r="A13" s="105" t="s">
        <v>170</v>
      </c>
      <c r="B13" s="106" t="s">
        <v>207</v>
      </c>
    </row>
    <row r="14" spans="1:2">
      <c r="A14" s="105" t="s">
        <v>72</v>
      </c>
      <c r="B14" s="106" t="s">
        <v>208</v>
      </c>
    </row>
    <row r="15" spans="1:2" ht="29.1">
      <c r="A15" s="105" t="s">
        <v>37</v>
      </c>
      <c r="B15" s="106" t="s">
        <v>209</v>
      </c>
    </row>
    <row r="16" spans="1:2" ht="29.1">
      <c r="A16" s="105" t="s">
        <v>43</v>
      </c>
      <c r="B16" s="106" t="s">
        <v>210</v>
      </c>
    </row>
    <row r="17" spans="1:2" ht="29.1">
      <c r="A17" s="105" t="s">
        <v>34</v>
      </c>
      <c r="B17" s="14" t="s">
        <v>211</v>
      </c>
    </row>
    <row r="18" spans="1:2" ht="29.1">
      <c r="A18" s="105" t="s">
        <v>212</v>
      </c>
      <c r="B18" s="106" t="s">
        <v>213</v>
      </c>
    </row>
    <row r="19" spans="1:2" ht="72.599999999999994">
      <c r="A19" s="105" t="s">
        <v>106</v>
      </c>
      <c r="B19" s="106" t="s">
        <v>214</v>
      </c>
    </row>
    <row r="20" spans="1:2" ht="29.1">
      <c r="A20" s="105" t="s">
        <v>40</v>
      </c>
      <c r="B20" s="106" t="s">
        <v>215</v>
      </c>
    </row>
    <row r="21" spans="1:2" ht="43.5">
      <c r="A21" s="105" t="s">
        <v>19</v>
      </c>
      <c r="B21" s="107" t="s">
        <v>216</v>
      </c>
    </row>
    <row r="22" spans="1:2" ht="29.1">
      <c r="A22" s="105" t="s">
        <v>53</v>
      </c>
      <c r="B22" s="106" t="s">
        <v>217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Verania Andria</DisplayName>
        <AccountId>1156</AccountId>
        <AccountType/>
      </UserInfo>
      <UserInfo>
        <DisplayName>Sujala Pant</DisplayName>
        <AccountId>1225</AccountId>
        <AccountType/>
      </UserInfo>
      <UserInfo>
        <DisplayName>Akiko Yamamoto</DisplayName>
        <AccountId>84</AccountId>
        <AccountType/>
      </UserInfo>
      <UserInfo>
        <DisplayName>Stefano Pistolese</DisplayName>
        <AccountId>772</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830B-D252-4AE4-BDBD-976B65B8A87C}"/>
</file>

<file path=customXml/itemProps2.xml><?xml version="1.0" encoding="utf-8"?>
<ds:datastoreItem xmlns:ds="http://schemas.openxmlformats.org/officeDocument/2006/customXml" ds:itemID="{A2031F88-137D-4398-9974-44E9D22D0D48}"/>
</file>

<file path=customXml/itemProps3.xml><?xml version="1.0" encoding="utf-8"?>
<ds:datastoreItem xmlns:ds="http://schemas.openxmlformats.org/officeDocument/2006/customXml" ds:itemID="{4E04AC16-9AB0-44B4-AB84-2B0CEAD143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2025-02-27T22:42:18Z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