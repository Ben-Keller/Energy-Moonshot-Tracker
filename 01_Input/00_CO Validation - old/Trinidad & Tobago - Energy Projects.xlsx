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314" documentId="11_17A891D81675D87D65C4FD40FDCD662C781F2CF6" xr6:coauthVersionLast="47" xr6:coauthVersionMax="47" xr10:uidLastSave="{0BC83590-1BFB-443A-B514-6B957CC38231}"/>
  <bookViews>
    <workbookView xWindow="-110" yWindow="-110" windowWidth="19420" windowHeight="10300" firstSheet="3" activeTab="3" xr2:uid="{00000000-000D-0000-FFFF-FFFF00000000}"/>
  </bookViews>
  <sheets>
    <sheet name="Projects (2)" sheetId="3" state="hidden" r:id="rId1"/>
    <sheet name="Projects" sheetId="1" state="hidden" r:id="rId2"/>
    <sheet name="Projects (3)" sheetId="4"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4" l="1"/>
</calcChain>
</file>

<file path=xl/sharedStrings.xml><?xml version="1.0" encoding="utf-8"?>
<sst xmlns="http://schemas.openxmlformats.org/spreadsheetml/2006/main" count="470" uniqueCount="153">
  <si>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</si>
  <si>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</si>
  <si>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</si>
  <si>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</si>
  <si>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</si>
  <si>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</si>
  <si>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</si>
  <si>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</si>
  <si>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</si>
  <si>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</si>
  <si>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</si>
  <si>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</si>
  <si>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</si>
  <si>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</si>
  <si>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</si>
  <si>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</si>
  <si>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</si>
  <si>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</si>
  <si>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</si>
  <si>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</si>
  <si>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</si>
  <si>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5957, 117647</t>
  </si>
  <si>
    <t>Energy Efficiency through the Development of Low-carbon RAC Technologies in Trinidad and Tobago</t>
  </si>
  <si>
    <t>https://open.undp.org/projects/00117647 https://co.pims.undp.org/project/view?id=5957</t>
  </si>
  <si>
    <t>Capacity Building Training</t>
  </si>
  <si>
    <t xml:space="preserve">Number of direct project beneficiaries disaggregated by gender as co-benefit of GEF investment during the project implementation period.  </t>
  </si>
  <si>
    <t>Total:    145 (100%)
Men:     100   (69%)
Women: 45   (31%)</t>
  </si>
  <si>
    <t>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is on track. The number of persons trained and in attendance at awareness sessions were collected and reported on by the Project Management Unit.  This information was de-aggregated by gender and recorded in a project beneficiaries database. The breakdown is as follows:
Total:    268 (100%)
Men:     193 (74%)
Women: 73 (25%)</t>
  </si>
  <si>
    <t>GEF</t>
  </si>
  <si>
    <t>VF</t>
  </si>
  <si>
    <t>Accelerating just energy transition</t>
  </si>
  <si>
    <t>Energy Efficiency</t>
  </si>
  <si>
    <t>Number of trained professionals and technicians directly linked to the project execution to sustainable RAC technologies and the reduction of GHG emissions.</t>
  </si>
  <si>
    <t>The mid-term figure of 50 professionals met. The project is moving toward its end-of-project target of 150. This output seeks to build capacities for project investment analysis and customized financing mechanisms in the financial sector to support market change for energy efficient RAC systems strengthened</t>
  </si>
  <si>
    <t xml:space="preserve">Regulations and code of practice for DCS and CCHP published by the T&amp;T Government.  </t>
  </si>
  <si>
    <t>The Refrigeration Code of Trinidad and Tobago is now in its final stages of approval and includes DCS and CCHP.  District Cooling content is also included in the Trinidad and Tobago National Cooling Strategy.</t>
  </si>
  <si>
    <t>National Strategy</t>
  </si>
  <si>
    <t>National</t>
  </si>
  <si>
    <t>Tier 1</t>
  </si>
  <si>
    <t>Incentives and Support</t>
  </si>
  <si>
    <t>Standards &amp; Labelling (S&amp;L) regulations for RAC technologies developed, approved and ready for enforcement by the T&amp;T Bureau of Standards (TTBS).</t>
  </si>
  <si>
    <t>This indicator is on track to being achieved. The Trinidad and Tobago Bureau of Standards (TTBS) adopted the Minimum Energy Performance Standards (MEPs) developed regionally by CARICOM Regional Organization for Standards and Quality (CROSQ).  The standards are currently voluntary and support is being provided by the project to transition them  to complusory.
- Standards Energy Labelling - Air Conditioners – Requirements (TTS/CRS 59:2021) and
- TTS/CRS 57:2021- Energy Labelling - Refrigerating Appliances – Requirements</t>
  </si>
  <si>
    <t>GHG Emissions Reduction</t>
  </si>
  <si>
    <t>(GEF Core Indicator 6.2):
Number of GHG emissions avoided over the investment period of the project (direct). tons CO2eq</t>
  </si>
  <si>
    <t>This indicator is on track.  The CO2 emissions model implemented by the Environmental Policy and Planning Division of the Ministry of Planning and Development (MPD) was used to track the emissions savings, based on monitoring project outcomes and outputs. Import data received from the Ministry of Trade and Industry was analyzed, and annual reports were prepared. To date, the CO2 emissions avoided are reported as 292,894 tons CO2eq.  This represents emissions avoided due to refrigerant replacement.</t>
  </si>
  <si>
    <t>Number of financial and market mechanisms for the development of low-carbon RAC technologies.</t>
  </si>
  <si>
    <t xml:space="preserve">This indicator is on-track.  An analysis of existing tax systems was completed, and a draft fiscal incentive report was completed to promote energy-efficient technologies for the refrigeration and air-conditioning sectors. Stakeholder consultations are in process. </t>
  </si>
  <si>
    <t>Renewable Energy</t>
  </si>
  <si>
    <t>Carbon Pricing and Monitoring</t>
  </si>
  <si>
    <t>Decarbonization</t>
  </si>
  <si>
    <t>Energy Efficiency Services</t>
  </si>
  <si>
    <t>(GEF Core Indicator 6.3):
Energy saved GWh (equivalent to 3.6 million mega joules).</t>
  </si>
  <si>
    <t xml:space="preserve">This indicator is on-track.  An analysis of imports initially done by the PMU was conducted based on imports initiated by the PMU of R-290 split units since the data was available to the project through UNDP procurement and the Trinidad and Tobago Bureau of Standards.  The project will continue to provide support to the Trinidad and Tobago Bureau of Standards (TTBS) to implement a system so as to provide additional data for this indicator and inputs for policymakers.  Additional stakeholders to engaged include the Ministry of Trade and Industry and Customs and Excise. </t>
  </si>
  <si>
    <t>to the CO: Please estimate number of beneficiaries.</t>
  </si>
  <si>
    <t xml:space="preserve"> Global Climate Change Alliance Plus Trinidad and Tobago  “Support to the  Implementation of Trinidad and Tobago’s Nationally Determined Contribution”</t>
  </si>
  <si>
    <t>https://open.undp.org/projects/00112038</t>
  </si>
  <si>
    <t>Electricity Access</t>
  </si>
  <si>
    <t>Number of Beneficiaries receiving electricity from solar PV</t>
  </si>
  <si>
    <t xml:space="preserve">12 sites had solar PV systems installed on their rooftops that would enable electricity from a renewable energy source to be consumed; 700 beneficiaries (direct usage) estimated to date </t>
  </si>
  <si>
    <t>European Commission</t>
  </si>
  <si>
    <t>Non-VF</t>
  </si>
  <si>
    <t>Energy (MW added)</t>
  </si>
  <si>
    <t>Total number of kilowatts (kW) of renewable energy added</t>
  </si>
  <si>
    <t>108 kW of solar PV was added from a total of 12 installations</t>
  </si>
  <si>
    <t>Close the gap on energy access</t>
  </si>
  <si>
    <t>Number of site beneficiaries training in operation and maintenance of solar PV systems</t>
  </si>
  <si>
    <t>33 persons thus far were trained in O&amp;M of the solar PV systems</t>
  </si>
  <si>
    <t>Number of Reports submitted to the government Ministry related to Policy development</t>
  </si>
  <si>
    <t>4 reports were developed thus far for the government</t>
  </si>
  <si>
    <t>Number of people reached with messages on the benefits of using RE and EE</t>
  </si>
  <si>
    <t>20,000 persons were reached thus far with messages related to RE &amp; EE</t>
  </si>
  <si>
    <t>TRI/SGP/OP7/YI/CORE/CC/22/09</t>
  </si>
  <si>
    <t>Improving community climate resilience in Matelot by implementing green solutions to address its electricity, water and food limitations.</t>
  </si>
  <si>
    <t>No. of activities supported by installation</t>
  </si>
  <si>
    <t xml:space="preserve">This projects aims to install a solar system at the Matelot Police Youth Club to address the electricity shortages in the area. The system will support the club's computer lab and hydroponics systems. </t>
  </si>
  <si>
    <t>5957/ 117647</t>
  </si>
  <si>
    <t>https://open.undp.org/projects/00117647</t>
  </si>
  <si>
    <t>Capacity Training</t>
  </si>
  <si>
    <t>Total:    250 (100%)
Men:   150    (60%)
Women: 100 (40%)</t>
  </si>
  <si>
    <t>Entrepreneurship Training</t>
  </si>
  <si>
    <t>Other Energy Services</t>
  </si>
  <si>
    <t>(GEF Core Indicator 6.2):
Number of GHG emissions avoided over the investment period of the project (direct).</t>
  </si>
  <si>
    <t>651,000 CO2eq</t>
  </si>
  <si>
    <t xml:space="preserve">12 sites; 2400 beneficiaries </t>
  </si>
  <si>
    <t>80-180</t>
  </si>
  <si>
    <t>Campaign Participant</t>
  </si>
  <si>
    <t>26,000USD</t>
  </si>
  <si>
    <t xml:space="preserve">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has been achieved. The number of persons trained and in attendance at awareness sessions were collected and reported on by the Project Management Unit.  This information was de-aggregated by gender and recorded in a project beneficiaries database. The breakdown is as follows:
Total participants: 584 (100%)
Men: 381 (65%)
Women: 203 (35%)
</t>
  </si>
  <si>
    <t>Gender</t>
  </si>
  <si>
    <t>This indicator has been achieved. The number of trained professionals and technicians stands at 161. The project continues to build capacities for project investment analysis and customized financing mechanisms in the financial sector to support market change for energy efficient RAC systems.</t>
  </si>
  <si>
    <t>Efficiency</t>
  </si>
  <si>
    <t>This indicator has been achieved.  The Trinidad and Tobago Bureau of Standards has developed and published the Refrigeration Code of the Trinidad and Tobago Bureau of Standards. Its title is "Refrigeration and Airconditioning Sector ( TTS-663_2023). The code includes District Cooling Systems (DCS) and Combined Cooling, Heating, and Power Systems (CCHP)</t>
  </si>
  <si>
    <t>This indicator has been achieved. The Trinidad and Tobago Bureau of Standards (TTBS) adopted the Minimum Energy Performance Standards (MEPs) developed regionally by CARICOM Regional Organization for Standards and Quality (CROSQ), and it has been implemented as a voluntary standard. The project will assist TTBS in transitioning the standard to compulsory leveraging the support of the project's Legal Expert and MEPs Specialist.
The standards implemented are as follows:
- Standards Energy Labelling - Air Conditioners – Requirements (TTS/CRS 59:2021) and
- TTS/CRS 57:2021- Energy Labelling - Refrigerating Appliances – Requirements</t>
  </si>
  <si>
    <t xml:space="preserve">This indicator has been met. The Environmental Policy and Planning Division (EPPD) of the Ministry of Planning and Development (MPD) continuously monitors this indicator through an established CO2 emissions model, which relies on meticulous tracking of project outcomes and outputs. The total number of GHG emissions avoided to date is 752,656 CO2eq </t>
  </si>
  <si>
    <t>This indicator has been achieved. The report on Fiscal incentives and the market Analysis for the RAC sector have been completed. These and the Procurement Roadmap developed through the project are the financial and market mechanisms for developing low-carbon RAC technologies in Trinidad and Tobago.</t>
  </si>
  <si>
    <t>Finance</t>
  </si>
  <si>
    <t xml:space="preserve">This indicator is on-track. An analysis of data sourced from the Trinidad and Tobago Bureau of Standards (TTBS) annual reports on RAC equipment from 2021 to 2024 was perfomed by the PMU. The data was categorized into two groups: Refrigeration Equipment and Air-conditioners. Over the period from 2021 to 2024, the total energy savings achieved through the adoption of energy-saving measures in RAC equipment amounted to 15.91 GWh. The project will continue to provide support to the Trinidad and Tobago Bureau of Standards (TTBS) to implement a system so as to provide additional data for this indicator and inputs for policymakers. </t>
  </si>
  <si>
    <t>2400
(1200 women)</t>
  </si>
  <si>
    <t>Twelve (12) sites had solar PV systems installed on their rooftops enbling electricity from a renewable energy source to be consumed. Data collected through site usage forms indicated direct usage beneficiaries estimated to date amounts to 12,786 persons (5,887 men, 6899 women).</t>
  </si>
  <si>
    <t>Just</t>
  </si>
  <si>
    <t>NDC Support</t>
  </si>
  <si>
    <t>Solar</t>
  </si>
  <si>
    <t>Project Description: The project aims at an increased availability and use of energy from renewable sources and at improved efficiency levels in the consumption of energy. To this end, the 
project will include installation of solar energy systems in public utilities and remote communities with 
increased capacity to maintain solar power systems; provide technical assistance for the operationalization 
of the new, Renewable Energy (RE)/Energy Efficiency (EE)–conducive policy, legislative and regulatory 
framework; and support the design and implementation of a public awareness-raising campaign on Energy 
Efficiency, Correct Pricing and Renewable Energy</t>
  </si>
  <si>
    <t>108 kW of solar PV was added from a total of 12 installations. It is expected that a futher 37 kW of solar PV will be added in 2025.</t>
  </si>
  <si>
    <t>36
(12 women)</t>
  </si>
  <si>
    <t>92 persons (43 women) thus far were trained in operation and maintenance of the solar PV systems</t>
  </si>
  <si>
    <t>Number of Capacity Building Activities related to RE and EE</t>
  </si>
  <si>
    <t>Four (4) capacity building sessions were conducted in the following areas: 
1.  Feed-In Tariff (FIT) Implementation Plan for Trinidad and Tobago
2. Renewable Energy Power Purchase Agreements
3. Renewable Energy Financial Modelling 
4. The Renewable Energy Policy &amp; Implementation Plan for Trinidad and Tobago</t>
  </si>
  <si>
    <t>Government Capacity-Building</t>
  </si>
  <si>
    <t xml:space="preserve">Number of technical papers to support the operationalization of 
policies and regulations </t>
  </si>
  <si>
    <t>Five (5) technical reports were produced. These included:
1. The Development of a Renewable Energy (RE) Feed-In Tariff (FIT) Implementation Plan for Trinidad and Tobago
2. A Baseline Report for Renewable Energy and Energy Efficiency Implementation Assessments
3. A Report on Assessment and Recommendations for a Renewable Energy and Energy Efficiency Incentive Programme
4. A Report on a Public-Private Partnership Model for Funding Renewable Energy and Energy Efficiency Projects 
5. A Draft Renewable Energy Policy for Trinidad and Tobago and Implementation Plan
Female beneficiaries: N/A</t>
  </si>
  <si>
    <t>Legal Framework</t>
  </si>
  <si>
    <t>Reach 100,000 people with messages on the benefits of using renewable energy and energy efficiency, with 20,000 people already reached in Trinidad and Tobago.</t>
  </si>
  <si>
    <t>Public awareness campaign reached 166,530 persons were reached with messages related to RE/EE/ Energy Pricing. Number of Female beneficiaries: 101,570.</t>
  </si>
  <si>
    <t>Overall</t>
  </si>
  <si>
    <t xml:space="preserve">34 tons per annum </t>
  </si>
  <si>
    <t xml:space="preserve">https://sgp.undp.org/spacial-itemid-projects-landing-page/spacial-itemid-project-search-results/spacial-itemid-project-detailpage.html?view=projectdetail&amp;id=32045 </t>
  </si>
  <si>
    <t xml:space="preserve">The project was able to implement solar system in the Matelot Police Youth Club, a building which had not had electricity for over six years. The activities included installation of the a 5kwh solar system, 2 solar hydroponics and a rainwater harvester. These installations now all the club house to facilitate workshops that positively engage 15 women and 50 youths of the community (27 girls and 23 boys) e.g. music, carpentry, etc.. The indirect beneficiaries are the entire community of Matelot, which are 200 people who can now access electricy in case of outages, which occur at least 2-3 times a week. </t>
  </si>
  <si>
    <t xml:space="preserve">GEF SGP </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</si>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</sst>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amily val="2"/>
    </font>
    <font>
      <sz val="10"/>
      <color rgb="FF000000"/>
      <name val="Arial"/>
      <family val="2"/>
    </font>
    <font>
      <sz val="11"/>
      <color rgb="FF000000"/>
      <name val="Calibri"/>
    </font>
    <font>
      <sz val="11"/>
      <color rgb="FF000000"/>
      <name val="Calibri"/>
      <family val="2"/>
      <scheme val="minor"/>
    </font>
    <font>
      <sz val="10"/>
      <color rgb="FFFF0000"/>
      <name val="Helvetica Neue"/>
      <charset val="1"/>
    </font>
    <font>
      <b/>
      <sz val="11"/>
      <color theme="1"/>
      <name val="Calibri"/>
      <scheme val="minor"/>
    </font>
    <font>
      <sz val="11"/>
      <color rgb="FF000000"/>
      <name val="Calibri"/>
      <scheme val="minor"/>
    </font>
    <font>
      <b/>
      <sz val="11"/>
      <color rgb="FFFF0000"/>
      <name val="Calibri"/>
      <family val="2"/>
      <scheme val="minor"/>
    </font>
    <font>
      <sz val="11"/>
      <color theme="1"/>
      <name val="Calibri"/>
      <family val="2"/>
      <scheme val="minor"/>
    </font>
    <font>
      <sz val="11"/>
      <color rgb="FF00B050"/>
      <name val="Calibri"/>
    </font>
    <font>
      <sz val="10"/>
      <color rgb="FF000000"/>
      <name val="Arial"/>
    </font>
    <font>
      <sz val="10"/>
      <color rgb="FFFF0000"/>
      <name val="Helvetica Neue"/>
    </font>
    <font>
      <sz val="11"/>
      <name val="Calibri"/>
    </font>
    <font>
      <u/>
      <sz val="11"/>
      <name val="Calibri"/>
      <family val="2"/>
      <scheme val="minor"/>
    </font>
    <font>
      <sz val="11"/>
      <name val="Calibri"/>
      <family val="2"/>
      <scheme val="minor"/>
    </font>
    <font>
      <sz val="10"/>
      <name val="Helvetica Neue"/>
    </font>
    <font>
      <sz val="10"/>
      <name val="Arial"/>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6"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3" fillId="0" borderId="0" applyNumberFormat="0" applyFill="0" applyBorder="0" applyAlignment="0" applyProtection="0"/>
    <xf numFmtId="9" fontId="12" fillId="0" borderId="0" applyFont="0" applyFill="0" applyBorder="0" applyAlignment="0" applyProtection="0"/>
  </cellStyleXfs>
  <cellXfs count="152">
    <xf numFmtId="0" fontId="0" fillId="0" borderId="0" xfId="0"/>
    <xf numFmtId="0" fontId="2" fillId="0" borderId="2" xfId="0" applyFont="1" applyBorder="1" applyAlignment="1">
      <alignment horizontal="center" vertical="top"/>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0" xfId="0" applyFont="1" applyAlignment="1">
      <alignment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3" xfId="0" applyFont="1" applyBorder="1" applyAlignment="1">
      <alignment horizontal="left" vertical="center"/>
    </xf>
    <xf numFmtId="0" fontId="5" fillId="0" borderId="3"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6" fillId="0" borderId="3" xfId="0" applyFont="1" applyBorder="1" applyAlignment="1">
      <alignment horizontal="left" vertical="center" wrapText="1"/>
    </xf>
    <xf numFmtId="0" fontId="4" fillId="0" borderId="3"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4" fillId="0" borderId="1" xfId="0" applyFont="1" applyBorder="1" applyAlignment="1">
      <alignment horizontal="right" vertical="center"/>
    </xf>
    <xf numFmtId="0" fontId="0" fillId="2" borderId="0" xfId="0" applyFill="1"/>
    <xf numFmtId="0" fontId="2" fillId="0" borderId="0" xfId="0" applyFont="1"/>
    <xf numFmtId="0" fontId="4" fillId="3" borderId="1" xfId="0" applyFont="1" applyFill="1" applyBorder="1" applyAlignment="1">
      <alignment horizontal="center" vertical="center" wrapText="1"/>
    </xf>
    <xf numFmtId="0" fontId="7" fillId="3" borderId="0" xfId="0" applyFont="1" applyFill="1"/>
    <xf numFmtId="0" fontId="0" fillId="3" borderId="0" xfId="0" applyFill="1"/>
    <xf numFmtId="0" fontId="4" fillId="3" borderId="1" xfId="0" applyFont="1" applyFill="1" applyBorder="1" applyAlignment="1">
      <alignment vertical="center" wrapText="1"/>
    </xf>
    <xf numFmtId="0" fontId="3" fillId="0" borderId="1" xfId="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wrapText="1"/>
    </xf>
    <xf numFmtId="0" fontId="0" fillId="0" borderId="1" xfId="0" applyBorder="1" applyAlignment="1">
      <alignment wrapText="1"/>
    </xf>
    <xf numFmtId="0" fontId="7" fillId="3" borderId="1" xfId="0" applyFont="1" applyFill="1" applyBorder="1" applyAlignment="1">
      <alignment wrapText="1"/>
    </xf>
    <xf numFmtId="0" fontId="8" fillId="3" borderId="1" xfId="0" applyFont="1" applyFill="1" applyBorder="1" applyAlignment="1">
      <alignment vertical="center" wrapText="1"/>
    </xf>
    <xf numFmtId="0" fontId="0" fillId="3" borderId="1" xfId="0" applyFill="1" applyBorder="1" applyAlignment="1">
      <alignment wrapText="1"/>
    </xf>
    <xf numFmtId="164" fontId="4" fillId="0" borderId="1"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3" fillId="0" borderId="5" xfId="1" applyFill="1" applyBorder="1" applyAlignment="1">
      <alignment horizontal="center" vertical="center" wrapText="1"/>
    </xf>
    <xf numFmtId="164" fontId="4" fillId="0" borderId="5"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164" fontId="4" fillId="0" borderId="4" xfId="0" applyNumberFormat="1" applyFont="1" applyBorder="1" applyAlignment="1">
      <alignment horizontal="center" vertical="center" wrapText="1"/>
    </xf>
    <xf numFmtId="0" fontId="3" fillId="0" borderId="8" xfId="1" applyFill="1" applyBorder="1" applyAlignment="1">
      <alignment horizontal="center" vertical="center" wrapText="1"/>
    </xf>
    <xf numFmtId="0" fontId="3" fillId="0" borderId="9" xfId="1" applyFill="1" applyBorder="1" applyAlignment="1">
      <alignment horizontal="center" vertical="center" wrapText="1"/>
    </xf>
    <xf numFmtId="0" fontId="0" fillId="0" borderId="10" xfId="0" applyBorder="1" applyAlignment="1">
      <alignment wrapText="1"/>
    </xf>
    <xf numFmtId="0" fontId="0" fillId="0" borderId="6" xfId="0" applyBorder="1" applyAlignment="1">
      <alignment wrapText="1"/>
    </xf>
    <xf numFmtId="0" fontId="8" fillId="3" borderId="6" xfId="0" applyFont="1" applyFill="1" applyBorder="1" applyAlignment="1">
      <alignment vertical="center" wrapText="1"/>
    </xf>
    <xf numFmtId="0" fontId="0" fillId="0" borderId="5" xfId="0" applyBorder="1" applyAlignment="1">
      <alignment wrapText="1"/>
    </xf>
    <xf numFmtId="0" fontId="0" fillId="0" borderId="4" xfId="0" applyBorder="1" applyAlignment="1">
      <alignment horizontal="center" wrapText="1"/>
    </xf>
    <xf numFmtId="0" fontId="0" fillId="0" borderId="5" xfId="0" applyBorder="1" applyAlignment="1">
      <alignment horizont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0" fillId="0" borderId="3" xfId="0" applyBorder="1" applyAlignment="1">
      <alignment vertical="center" wrapText="1"/>
    </xf>
    <xf numFmtId="164" fontId="0" fillId="0" borderId="3" xfId="0" applyNumberFormat="1" applyBorder="1" applyAlignment="1">
      <alignment vertical="center" wrapText="1"/>
    </xf>
    <xf numFmtId="9" fontId="0" fillId="0" borderId="10" xfId="0" applyNumberFormat="1" applyBorder="1" applyAlignment="1">
      <alignment vertical="center" wrapText="1"/>
    </xf>
    <xf numFmtId="0" fontId="0" fillId="0" borderId="4" xfId="0" applyBorder="1" applyAlignment="1">
      <alignment vertical="center" wrapText="1"/>
    </xf>
    <xf numFmtId="0" fontId="4" fillId="0" borderId="6" xfId="0" applyFont="1" applyBorder="1" applyAlignment="1">
      <alignment vertical="center" wrapText="1"/>
    </xf>
    <xf numFmtId="0" fontId="2" fillId="0" borderId="3" xfId="0" applyFont="1" applyBorder="1" applyAlignment="1">
      <alignment horizontal="center" vertical="top" wrapText="1"/>
    </xf>
    <xf numFmtId="0" fontId="0" fillId="0" borderId="5"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164" fontId="0" fillId="0" borderId="4" xfId="0" applyNumberFormat="1" applyBorder="1" applyAlignment="1">
      <alignment vertical="center" wrapText="1"/>
    </xf>
    <xf numFmtId="164" fontId="0" fillId="0" borderId="5" xfId="0" applyNumberFormat="1" applyBorder="1" applyAlignment="1">
      <alignment vertical="center" wrapText="1"/>
    </xf>
    <xf numFmtId="0" fontId="3" fillId="0" borderId="8" xfId="1" applyBorder="1" applyAlignment="1">
      <alignment vertical="center" wrapText="1"/>
    </xf>
    <xf numFmtId="0" fontId="3" fillId="0" borderId="9" xfId="1" applyBorder="1" applyAlignment="1">
      <alignment vertical="center" wrapText="1"/>
    </xf>
    <xf numFmtId="0" fontId="7" fillId="3" borderId="10" xfId="0" applyFont="1" applyFill="1" applyBorder="1" applyAlignment="1">
      <alignment wrapText="1"/>
    </xf>
    <xf numFmtId="0" fontId="8" fillId="0" borderId="6" xfId="0" applyFont="1" applyBorder="1" applyAlignment="1">
      <alignment vertical="center" wrapText="1"/>
    </xf>
    <xf numFmtId="0" fontId="8" fillId="0" borderId="1" xfId="0" applyFont="1" applyBorder="1" applyAlignment="1">
      <alignment horizontal="left" vertical="center" wrapText="1"/>
    </xf>
    <xf numFmtId="3" fontId="4" fillId="3" borderId="1" xfId="0" applyNumberFormat="1" applyFont="1" applyFill="1" applyBorder="1" applyAlignment="1">
      <alignment horizontal="right" vertical="center" wrapText="1"/>
    </xf>
    <xf numFmtId="0" fontId="0" fillId="0" borderId="1" xfId="0" applyBorder="1" applyAlignment="1">
      <alignment horizontal="center" vertical="center"/>
    </xf>
    <xf numFmtId="0" fontId="9" fillId="0" borderId="1" xfId="0" applyFont="1" applyBorder="1" applyAlignment="1">
      <alignment horizontal="center" vertical="top" wrapText="1"/>
    </xf>
    <xf numFmtId="0" fontId="10"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7" xfId="0" applyFont="1" applyBorder="1" applyAlignment="1">
      <alignment horizontal="center"/>
    </xf>
    <xf numFmtId="0" fontId="2" fillId="0" borderId="3" xfId="0" applyFont="1" applyBorder="1"/>
    <xf numFmtId="0" fontId="0" fillId="0" borderId="10" xfId="0" applyBorder="1" applyAlignment="1">
      <alignment horizontal="center" vertical="center"/>
    </xf>
    <xf numFmtId="0" fontId="0" fillId="0" borderId="6" xfId="0" applyBorder="1" applyAlignment="1">
      <alignment horizontal="center" vertical="center" wrapText="1"/>
    </xf>
    <xf numFmtId="0" fontId="0" fillId="0" borderId="1" xfId="0" applyBorder="1" applyAlignment="1">
      <alignment vertical="center"/>
    </xf>
    <xf numFmtId="0" fontId="0" fillId="0" borderId="6" xfId="0" applyBorder="1" applyAlignment="1">
      <alignment horizontal="center" vertical="top" wrapText="1"/>
    </xf>
    <xf numFmtId="0" fontId="3" fillId="0" borderId="7" xfId="1" applyBorder="1" applyAlignment="1">
      <alignment vertical="center" wrapText="1"/>
    </xf>
    <xf numFmtId="0" fontId="11" fillId="0" borderId="10" xfId="0" applyFont="1" applyBorder="1" applyAlignment="1">
      <alignment horizontal="center" vertical="center"/>
    </xf>
    <xf numFmtId="0" fontId="0" fillId="3" borderId="0" xfId="0" applyFill="1" applyAlignment="1">
      <alignment vertical="center"/>
    </xf>
    <xf numFmtId="0" fontId="6" fillId="0" borderId="1" xfId="0" applyFont="1" applyBorder="1" applyAlignment="1">
      <alignment vertical="center" wrapText="1"/>
    </xf>
    <xf numFmtId="0" fontId="13" fillId="0" borderId="1" xfId="0" applyFont="1" applyBorder="1" applyAlignment="1">
      <alignment vertical="center" wrapText="1"/>
    </xf>
    <xf numFmtId="0" fontId="6" fillId="0" borderId="6" xfId="0" applyFont="1" applyBorder="1" applyAlignment="1">
      <alignment vertical="center" wrapText="1"/>
    </xf>
    <xf numFmtId="0" fontId="14" fillId="0" borderId="1" xfId="0" applyFont="1" applyBorder="1" applyAlignment="1">
      <alignment vertical="center" wrapText="1"/>
    </xf>
    <xf numFmtId="0" fontId="14" fillId="3" borderId="1" xfId="0" applyFont="1" applyFill="1" applyBorder="1" applyAlignment="1">
      <alignment vertical="center" wrapText="1"/>
    </xf>
    <xf numFmtId="0" fontId="13" fillId="3" borderId="1" xfId="0" applyFont="1" applyFill="1" applyBorder="1" applyAlignment="1">
      <alignment vertical="center" wrapText="1"/>
    </xf>
    <xf numFmtId="0" fontId="15" fillId="3" borderId="6" xfId="0" applyFont="1" applyFill="1" applyBorder="1" applyAlignment="1">
      <alignment vertical="center" wrapText="1"/>
    </xf>
    <xf numFmtId="0" fontId="16" fillId="4" borderId="8" xfId="0" applyFont="1" applyFill="1" applyBorder="1" applyAlignment="1">
      <alignment horizontal="center" vertical="center" wrapText="1"/>
    </xf>
    <xf numFmtId="0" fontId="16" fillId="4" borderId="8" xfId="0" applyFont="1" applyFill="1" applyBorder="1" applyAlignment="1">
      <alignment horizontal="left" vertical="center" wrapText="1"/>
    </xf>
    <xf numFmtId="0" fontId="17" fillId="4" borderId="8" xfId="1" applyFont="1" applyFill="1" applyBorder="1" applyAlignment="1">
      <alignment horizontal="center" vertical="center" wrapText="1"/>
    </xf>
    <xf numFmtId="164" fontId="16" fillId="4" borderId="4" xfId="0" applyNumberFormat="1" applyFont="1" applyFill="1" applyBorder="1" applyAlignment="1">
      <alignment horizontal="center" vertical="center" wrapText="1"/>
    </xf>
    <xf numFmtId="0" fontId="18" fillId="4" borderId="6" xfId="0" applyFont="1" applyFill="1" applyBorder="1" applyAlignment="1">
      <alignment horizontal="center" vertical="top" wrapText="1"/>
    </xf>
    <xf numFmtId="0" fontId="16" fillId="4" borderId="1" xfId="0" applyFont="1" applyFill="1" applyBorder="1" applyAlignment="1">
      <alignment horizontal="left" vertical="center" wrapText="1"/>
    </xf>
    <xf numFmtId="0" fontId="16" fillId="4" borderId="1" xfId="0" applyFont="1" applyFill="1" applyBorder="1" applyAlignment="1">
      <alignment horizontal="center" vertical="center" wrapText="1"/>
    </xf>
    <xf numFmtId="0" fontId="18" fillId="4" borderId="1" xfId="0" applyFont="1" applyFill="1" applyBorder="1" applyAlignment="1">
      <alignment wrapText="1"/>
    </xf>
    <xf numFmtId="9" fontId="18" fillId="4" borderId="10" xfId="0" applyNumberFormat="1" applyFont="1" applyFill="1" applyBorder="1" applyAlignment="1">
      <alignment wrapText="1"/>
    </xf>
    <xf numFmtId="0" fontId="18" fillId="4" borderId="10"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6" xfId="0" applyFont="1" applyFill="1" applyBorder="1" applyAlignment="1">
      <alignment horizontal="center" vertical="center" wrapText="1"/>
    </xf>
    <xf numFmtId="0" fontId="18" fillId="4" borderId="1" xfId="0" applyFont="1" applyFill="1" applyBorder="1" applyAlignment="1">
      <alignment vertical="center"/>
    </xf>
    <xf numFmtId="0" fontId="18" fillId="4" borderId="0" xfId="0" applyFont="1" applyFill="1"/>
    <xf numFmtId="0" fontId="18" fillId="4" borderId="4" xfId="0" applyFont="1" applyFill="1" applyBorder="1" applyAlignment="1">
      <alignment horizontal="center" wrapText="1"/>
    </xf>
    <xf numFmtId="0" fontId="18" fillId="4" borderId="6" xfId="0" applyFont="1" applyFill="1" applyBorder="1" applyAlignment="1">
      <alignment wrapText="1"/>
    </xf>
    <xf numFmtId="0" fontId="18" fillId="4" borderId="10" xfId="0" applyFont="1" applyFill="1" applyBorder="1" applyAlignment="1">
      <alignment wrapText="1"/>
    </xf>
    <xf numFmtId="0" fontId="19" fillId="4" borderId="6" xfId="0" applyFont="1" applyFill="1" applyBorder="1" applyAlignment="1">
      <alignment vertical="center" wrapText="1"/>
    </xf>
    <xf numFmtId="0" fontId="19" fillId="4" borderId="1" xfId="0" applyFont="1" applyFill="1" applyBorder="1" applyAlignment="1">
      <alignment horizontal="left" vertical="center" wrapText="1"/>
    </xf>
    <xf numFmtId="0" fontId="16" fillId="4" borderId="9" xfId="0" applyFont="1" applyFill="1" applyBorder="1" applyAlignment="1">
      <alignment horizontal="center" vertical="center" wrapText="1"/>
    </xf>
    <xf numFmtId="0" fontId="16" fillId="4" borderId="9" xfId="0" applyFont="1" applyFill="1" applyBorder="1" applyAlignment="1">
      <alignment horizontal="left" vertical="center" wrapText="1"/>
    </xf>
    <xf numFmtId="0" fontId="17" fillId="4" borderId="9" xfId="1" applyFont="1" applyFill="1" applyBorder="1" applyAlignment="1">
      <alignment horizontal="center" vertical="center" wrapText="1"/>
    </xf>
    <xf numFmtId="164" fontId="16" fillId="4" borderId="5" xfId="0" applyNumberFormat="1" applyFont="1" applyFill="1" applyBorder="1" applyAlignment="1">
      <alignment horizontal="center" vertical="center" wrapText="1"/>
    </xf>
    <xf numFmtId="0" fontId="18" fillId="4" borderId="5" xfId="0" applyFont="1" applyFill="1" applyBorder="1" applyAlignment="1">
      <alignment horizontal="center" wrapText="1"/>
    </xf>
    <xf numFmtId="0" fontId="16" fillId="4" borderId="5" xfId="0" applyFont="1" applyFill="1" applyBorder="1" applyAlignment="1">
      <alignment horizontal="center" vertical="center" wrapText="1"/>
    </xf>
    <xf numFmtId="0" fontId="16" fillId="4" borderId="5" xfId="0" applyFont="1" applyFill="1" applyBorder="1" applyAlignment="1">
      <alignment horizontal="left" vertical="center" wrapText="1"/>
    </xf>
    <xf numFmtId="0" fontId="17" fillId="4" borderId="5" xfId="1" applyFont="1" applyFill="1" applyBorder="1" applyAlignment="1">
      <alignment horizontal="center" vertical="center" wrapText="1"/>
    </xf>
    <xf numFmtId="0" fontId="18" fillId="4" borderId="5" xfId="0" applyFont="1" applyFill="1" applyBorder="1" applyAlignment="1">
      <alignment wrapText="1"/>
    </xf>
    <xf numFmtId="0" fontId="17" fillId="4" borderId="1" xfId="1" applyFont="1" applyFill="1" applyBorder="1" applyAlignment="1">
      <alignment horizontal="center" vertical="center" wrapText="1"/>
    </xf>
    <xf numFmtId="164" fontId="16" fillId="4" borderId="1" xfId="0" applyNumberFormat="1" applyFont="1" applyFill="1" applyBorder="1" applyAlignment="1">
      <alignment horizontal="center" vertical="center" wrapText="1"/>
    </xf>
    <xf numFmtId="3" fontId="16" fillId="4" borderId="1" xfId="0" applyNumberFormat="1" applyFont="1" applyFill="1" applyBorder="1" applyAlignment="1">
      <alignment horizontal="center" vertical="center" wrapText="1"/>
    </xf>
    <xf numFmtId="9" fontId="18" fillId="4" borderId="1" xfId="0" applyNumberFormat="1" applyFont="1" applyFill="1" applyBorder="1" applyAlignment="1">
      <alignment wrapText="1"/>
    </xf>
    <xf numFmtId="0" fontId="16" fillId="4" borderId="6" xfId="0" applyFont="1" applyFill="1" applyBorder="1" applyAlignment="1">
      <alignment vertical="center" wrapText="1"/>
    </xf>
    <xf numFmtId="0" fontId="20" fillId="4" borderId="1" xfId="0" applyFont="1" applyFill="1" applyBorder="1" applyAlignment="1">
      <alignment vertical="center" wrapText="1"/>
    </xf>
    <xf numFmtId="0" fontId="6" fillId="3" borderId="1" xfId="0" applyFont="1" applyFill="1" applyBorder="1" applyAlignment="1">
      <alignment horizontal="center" vertical="center" wrapText="1"/>
    </xf>
    <xf numFmtId="0" fontId="3" fillId="3" borderId="1" xfId="1" applyFill="1" applyBorder="1" applyAlignment="1">
      <alignment vertical="center" wrapText="1"/>
    </xf>
    <xf numFmtId="3" fontId="6" fillId="3" borderId="1" xfId="0" applyNumberFormat="1" applyFont="1" applyFill="1" applyBorder="1" applyAlignment="1">
      <alignment horizontal="right" vertical="center" wrapText="1"/>
    </xf>
    <xf numFmtId="0" fontId="0" fillId="3" borderId="1" xfId="0" applyFill="1" applyBorder="1" applyAlignment="1">
      <alignment vertical="center" wrapText="1"/>
    </xf>
    <xf numFmtId="9" fontId="0" fillId="3" borderId="1" xfId="2" applyFont="1" applyFill="1" applyBorder="1" applyAlignment="1">
      <alignment vertical="center" wrapText="1"/>
    </xf>
    <xf numFmtId="0" fontId="0" fillId="0" borderId="1" xfId="0" applyBorder="1" applyAlignment="1">
      <alignment vertical="center" wrapText="1"/>
    </xf>
    <xf numFmtId="0" fontId="6" fillId="0" borderId="0" xfId="0" applyFont="1" applyAlignment="1">
      <alignment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3" xfId="0" applyBorder="1" applyAlignment="1">
      <alignment horizontal="left" vertical="center" wrapText="1"/>
    </xf>
    <xf numFmtId="0" fontId="3" fillId="0" borderId="1" xfId="1" applyBorder="1" applyAlignment="1">
      <alignment horizontal="center" vertical="center" wrapText="1"/>
    </xf>
    <xf numFmtId="0" fontId="3" fillId="0" borderId="3" xfId="1" applyBorder="1" applyAlignment="1">
      <alignment horizontal="center" vertical="center" wrapText="1"/>
    </xf>
    <xf numFmtId="164" fontId="0" fillId="0" borderId="1" xfId="0" applyNumberFormat="1" applyBorder="1" applyAlignment="1">
      <alignment horizontal="center" vertical="center"/>
    </xf>
    <xf numFmtId="164" fontId="0" fillId="0" borderId="3" xfId="0" applyNumberForma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3" fillId="0" borderId="1" xfId="1" applyFill="1" applyBorder="1" applyAlignment="1">
      <alignment horizontal="center" vertical="center" wrapText="1"/>
    </xf>
    <xf numFmtId="0" fontId="3" fillId="0" borderId="3" xfId="1" applyFill="1" applyBorder="1" applyAlignment="1">
      <alignment horizontal="center" vertical="center" wrapText="1"/>
    </xf>
    <xf numFmtId="164" fontId="4" fillId="0" borderId="1" xfId="0" applyNumberFormat="1" applyFont="1" applyBorder="1" applyAlignment="1">
      <alignment horizontal="center" vertical="center"/>
    </xf>
    <xf numFmtId="164" fontId="4" fillId="0" borderId="3"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ipervínculo" xfId="1" builtinId="8"/>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pen.undp.org/projects/00112038" TargetMode="External"/><Relationship Id="rId1" Type="http://schemas.openxmlformats.org/officeDocument/2006/relationships/hyperlink" Target="https://open.undp.org/projects/00117647%20https:/co.pims.undp.org/project/view?id=5957"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12038" TargetMode="External"/><Relationship Id="rId1" Type="http://schemas.openxmlformats.org/officeDocument/2006/relationships/hyperlink" Target="https://open.undp.org/projects/0011764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sgp.undp.org/spacial-itemid-projects-landing-page/spacial-itemid-project-search-results/spacial-itemid-project-detailpage.html?view=projectdetail&amp;id=32045" TargetMode="External"/><Relationship Id="rId2" Type="http://schemas.openxmlformats.org/officeDocument/2006/relationships/hyperlink" Target="https://open.undp.org/projects/00112038" TargetMode="External"/><Relationship Id="rId1" Type="http://schemas.openxmlformats.org/officeDocument/2006/relationships/hyperlink" Target="https://open.undp.org/projects/00117647%20https:/co.pims.undp.org/project/view?id=59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5A78-CC0D-479B-BC59-0746D0D8BAF3}">
  <dimension ref="A1:AF27"/>
  <sheetViews>
    <sheetView workbookViewId="0">
      <pane xSplit="1" ySplit="1" topLeftCell="B2" activePane="bottomRight" state="frozen"/>
      <selection pane="bottomRight" activeCell="G2" sqref="G2"/>
      <selection pane="bottomLeft"/>
      <selection pane="topRight"/>
    </sheetView>
  </sheetViews>
  <sheetFormatPr defaultRowHeight="14.45"/>
  <cols>
    <col min="1" max="1" width="30.42578125" bestFit="1" customWidth="1"/>
    <col min="2" max="2" width="32.7109375" customWidth="1"/>
    <col min="3" max="3" width="20.7109375" customWidth="1"/>
    <col min="4" max="4" width="14.7109375" bestFit="1" customWidth="1"/>
    <col min="5" max="5" width="14.7109375" customWidth="1"/>
    <col min="6" max="6" width="20.7109375" customWidth="1"/>
    <col min="7" max="8" width="12.7109375" customWidth="1"/>
    <col min="9" max="9" width="55.5703125" customWidth="1"/>
    <col min="11" max="11" width="13.5703125" customWidth="1"/>
    <col min="12" max="12" width="12.85546875" bestFit="1" customWidth="1"/>
    <col min="13" max="13" width="4.28515625" bestFit="1" customWidth="1"/>
    <col min="14" max="14" width="14.42578125" bestFit="1" customWidth="1"/>
    <col min="15" max="15" width="15.5703125" customWidth="1"/>
    <col min="16" max="17" width="26.140625" customWidth="1"/>
    <col min="18" max="18" width="18.140625" bestFit="1" customWidth="1"/>
    <col min="19" max="19" width="18.5703125" customWidth="1"/>
    <col min="20" max="20" width="19.7109375" customWidth="1"/>
    <col min="21" max="21" width="16.7109375" bestFit="1" customWidth="1"/>
  </cols>
  <sheetData>
    <row r="1" spans="1:32" ht="29.1">
      <c r="A1" s="58" t="s">
        <v>0</v>
      </c>
      <c r="B1" s="58" t="s">
        <v>1</v>
      </c>
      <c r="C1" s="58" t="s">
        <v>2</v>
      </c>
      <c r="D1" s="58" t="s">
        <v>3</v>
      </c>
      <c r="E1" s="26" t="s">
        <v>4</v>
      </c>
      <c r="F1" s="26" t="s">
        <v>5</v>
      </c>
      <c r="G1" s="26" t="s">
        <v>6</v>
      </c>
      <c r="H1" s="26" t="s">
        <v>7</v>
      </c>
      <c r="I1" s="26" t="s">
        <v>8</v>
      </c>
      <c r="J1" s="27" t="s">
        <v>9</v>
      </c>
      <c r="K1" s="27" t="s">
        <v>10</v>
      </c>
      <c r="L1" s="74" t="s">
        <v>11</v>
      </c>
      <c r="M1" s="75" t="s">
        <v>12</v>
      </c>
      <c r="N1" s="74" t="s">
        <v>13</v>
      </c>
      <c r="O1" s="74" t="s">
        <v>14</v>
      </c>
      <c r="P1" s="75" t="s">
        <v>15</v>
      </c>
      <c r="Q1" s="75" t="s">
        <v>16</v>
      </c>
      <c r="R1" s="76" t="s">
        <v>17</v>
      </c>
      <c r="S1" s="77" t="s">
        <v>18</v>
      </c>
      <c r="T1" s="76" t="s">
        <v>19</v>
      </c>
      <c r="U1" s="77" t="s">
        <v>20</v>
      </c>
    </row>
    <row r="2" spans="1:32" ht="204.75" customHeight="1">
      <c r="A2" s="60" t="s">
        <v>21</v>
      </c>
      <c r="B2" s="60" t="s">
        <v>22</v>
      </c>
      <c r="C2" s="82" t="s">
        <v>23</v>
      </c>
      <c r="D2" s="54">
        <v>5152392</v>
      </c>
      <c r="E2" s="81" t="s">
        <v>24</v>
      </c>
      <c r="F2" s="16" t="s">
        <v>25</v>
      </c>
      <c r="G2" s="16" t="s">
        <v>26</v>
      </c>
      <c r="H2" s="16">
        <v>250</v>
      </c>
      <c r="I2" s="16" t="s">
        <v>27</v>
      </c>
      <c r="J2" s="28" t="s">
        <v>28</v>
      </c>
      <c r="K2" s="55">
        <v>0.4</v>
      </c>
      <c r="L2" s="83" t="s">
        <v>29</v>
      </c>
      <c r="M2" s="71"/>
      <c r="N2" s="79" t="s">
        <v>30</v>
      </c>
      <c r="O2" s="71"/>
      <c r="P2" s="71"/>
      <c r="Q2" s="71"/>
      <c r="R2" s="71"/>
      <c r="S2" s="80"/>
      <c r="T2" s="71"/>
      <c r="U2" s="80"/>
      <c r="X2" s="53" t="s">
        <v>29</v>
      </c>
      <c r="Y2" s="45"/>
      <c r="Z2" s="28"/>
      <c r="AA2" s="28" t="s">
        <v>30</v>
      </c>
      <c r="AB2" s="28" t="s">
        <v>31</v>
      </c>
      <c r="AC2" s="71"/>
      <c r="AD2" s="28"/>
      <c r="AE2" s="28"/>
      <c r="AF2" s="28"/>
    </row>
    <row r="3" spans="1:32" ht="108" customHeight="1">
      <c r="A3" s="61"/>
      <c r="B3" s="61"/>
      <c r="C3" s="65"/>
      <c r="D3" s="63"/>
      <c r="E3" s="81" t="s">
        <v>24</v>
      </c>
      <c r="F3" s="16" t="s">
        <v>32</v>
      </c>
      <c r="G3" s="16">
        <v>0</v>
      </c>
      <c r="H3" s="16">
        <v>150</v>
      </c>
      <c r="I3" s="16" t="s">
        <v>33</v>
      </c>
      <c r="J3" s="28" t="s">
        <v>28</v>
      </c>
      <c r="K3" s="44"/>
      <c r="L3" s="83" t="s">
        <v>29</v>
      </c>
      <c r="M3" s="71"/>
      <c r="N3" s="79" t="s">
        <v>30</v>
      </c>
      <c r="O3" s="71"/>
      <c r="P3" s="71"/>
      <c r="Q3" s="71"/>
      <c r="R3" s="71"/>
      <c r="S3" s="80"/>
      <c r="T3" s="71"/>
      <c r="U3" s="80"/>
      <c r="X3" s="56"/>
      <c r="Y3" s="45"/>
      <c r="Z3" s="28"/>
      <c r="AA3" s="28" t="s">
        <v>30</v>
      </c>
      <c r="AB3" s="28" t="s">
        <v>31</v>
      </c>
      <c r="AC3" s="71"/>
      <c r="AD3" s="28"/>
      <c r="AE3" s="28"/>
      <c r="AF3" s="28"/>
    </row>
    <row r="4" spans="1:32" ht="72.599999999999994">
      <c r="A4" s="61"/>
      <c r="B4" s="61"/>
      <c r="C4" s="65"/>
      <c r="D4" s="63"/>
      <c r="E4" s="81" t="s">
        <v>19</v>
      </c>
      <c r="F4" s="16" t="s">
        <v>34</v>
      </c>
      <c r="G4" s="16">
        <v>0</v>
      </c>
      <c r="H4" s="16">
        <v>1</v>
      </c>
      <c r="I4" s="16" t="s">
        <v>35</v>
      </c>
      <c r="J4" s="28" t="s">
        <v>28</v>
      </c>
      <c r="K4" s="44"/>
      <c r="L4" s="83" t="s">
        <v>29</v>
      </c>
      <c r="M4" s="71"/>
      <c r="N4" s="79" t="s">
        <v>30</v>
      </c>
      <c r="O4" s="71" t="s">
        <v>31</v>
      </c>
      <c r="P4" s="71"/>
      <c r="Q4" s="71" t="s">
        <v>36</v>
      </c>
      <c r="R4" s="71" t="s">
        <v>31</v>
      </c>
      <c r="S4" s="80"/>
      <c r="T4" s="71" t="s">
        <v>37</v>
      </c>
      <c r="U4" s="80"/>
      <c r="X4" s="56"/>
      <c r="Y4" s="45"/>
      <c r="Z4" s="28"/>
      <c r="AA4" s="28" t="s">
        <v>30</v>
      </c>
      <c r="AB4" s="28" t="s">
        <v>31</v>
      </c>
      <c r="AC4" s="71" t="s">
        <v>38</v>
      </c>
      <c r="AD4" s="28"/>
      <c r="AE4" s="28" t="s">
        <v>39</v>
      </c>
      <c r="AF4" s="28" t="s">
        <v>31</v>
      </c>
    </row>
    <row r="5" spans="1:32" ht="158.25" customHeight="1">
      <c r="A5" s="61"/>
      <c r="B5" s="61"/>
      <c r="C5" s="65"/>
      <c r="D5" s="63"/>
      <c r="E5" s="81" t="s">
        <v>19</v>
      </c>
      <c r="F5" s="16" t="s">
        <v>40</v>
      </c>
      <c r="G5" s="16">
        <v>3</v>
      </c>
      <c r="H5" s="16">
        <v>5</v>
      </c>
      <c r="I5" s="16" t="s">
        <v>41</v>
      </c>
      <c r="J5" s="28" t="s">
        <v>28</v>
      </c>
      <c r="K5" s="44"/>
      <c r="L5" s="83" t="s">
        <v>29</v>
      </c>
      <c r="M5" s="71"/>
      <c r="N5" s="79" t="s">
        <v>30</v>
      </c>
      <c r="O5" s="71" t="s">
        <v>31</v>
      </c>
      <c r="P5" s="71"/>
      <c r="Q5" s="71" t="s">
        <v>36</v>
      </c>
      <c r="R5" s="71" t="s">
        <v>31</v>
      </c>
      <c r="S5" s="80"/>
      <c r="T5" s="71" t="s">
        <v>37</v>
      </c>
      <c r="U5" s="80"/>
      <c r="X5" s="56"/>
      <c r="Y5" s="45"/>
      <c r="Z5" s="28"/>
      <c r="AA5" s="28" t="s">
        <v>30</v>
      </c>
      <c r="AB5" s="28" t="s">
        <v>31</v>
      </c>
      <c r="AC5" s="71" t="s">
        <v>38</v>
      </c>
      <c r="AD5" s="28"/>
      <c r="AE5" s="28" t="s">
        <v>39</v>
      </c>
      <c r="AF5" s="28" t="s">
        <v>31</v>
      </c>
    </row>
    <row r="6" spans="1:32" ht="144" customHeight="1">
      <c r="A6" s="61"/>
      <c r="B6" s="61"/>
      <c r="C6" s="65"/>
      <c r="D6" s="63"/>
      <c r="E6" s="57" t="s">
        <v>42</v>
      </c>
      <c r="F6" s="50" t="s">
        <v>43</v>
      </c>
      <c r="G6" s="16">
        <v>0</v>
      </c>
      <c r="H6" s="50">
        <v>651000</v>
      </c>
      <c r="I6" s="16" t="s">
        <v>44</v>
      </c>
      <c r="J6" s="28" t="s">
        <v>28</v>
      </c>
      <c r="K6" s="44"/>
      <c r="L6" s="83" t="s">
        <v>29</v>
      </c>
      <c r="M6" s="71"/>
      <c r="N6" s="79" t="s">
        <v>30</v>
      </c>
      <c r="O6" s="71"/>
      <c r="P6" s="71"/>
      <c r="Q6" s="71"/>
      <c r="R6" s="71"/>
      <c r="S6" s="80"/>
      <c r="T6" s="71"/>
      <c r="U6" s="80"/>
      <c r="X6" s="56"/>
      <c r="Y6" s="45"/>
      <c r="Z6" s="28"/>
      <c r="AA6" s="28" t="s">
        <v>30</v>
      </c>
      <c r="AB6" s="28" t="s">
        <v>31</v>
      </c>
      <c r="AC6" s="71"/>
      <c r="AD6" s="28"/>
      <c r="AE6" s="28"/>
      <c r="AF6" s="28"/>
    </row>
    <row r="7" spans="1:32" ht="78.75" customHeight="1">
      <c r="A7" s="61"/>
      <c r="B7" s="61"/>
      <c r="C7" s="65"/>
      <c r="D7" s="63"/>
      <c r="E7" s="81" t="s">
        <v>19</v>
      </c>
      <c r="F7" s="50" t="s">
        <v>45</v>
      </c>
      <c r="G7" s="16">
        <v>0</v>
      </c>
      <c r="H7" s="50">
        <v>2</v>
      </c>
      <c r="I7" s="16" t="s">
        <v>46</v>
      </c>
      <c r="J7" s="28" t="s">
        <v>28</v>
      </c>
      <c r="K7" s="44"/>
      <c r="L7" s="83" t="s">
        <v>29</v>
      </c>
      <c r="M7" s="71"/>
      <c r="N7" s="79" t="s">
        <v>30</v>
      </c>
      <c r="O7" s="71" t="s">
        <v>47</v>
      </c>
      <c r="P7" s="71"/>
      <c r="Q7" s="71" t="s">
        <v>48</v>
      </c>
      <c r="R7" s="71" t="s">
        <v>49</v>
      </c>
      <c r="S7" s="80"/>
      <c r="T7" s="71" t="s">
        <v>37</v>
      </c>
      <c r="U7" s="80"/>
      <c r="X7" s="56"/>
      <c r="Y7" s="45"/>
      <c r="Z7" s="28"/>
      <c r="AA7" s="28" t="s">
        <v>30</v>
      </c>
      <c r="AB7" s="28" t="s">
        <v>31</v>
      </c>
      <c r="AC7" s="71" t="s">
        <v>38</v>
      </c>
      <c r="AD7" s="28"/>
      <c r="AE7" s="28" t="s">
        <v>39</v>
      </c>
      <c r="AF7" s="28" t="s">
        <v>31</v>
      </c>
    </row>
    <row r="8" spans="1:32" s="22" customFormat="1" ht="155.25" customHeight="1">
      <c r="A8" s="62"/>
      <c r="B8" s="62"/>
      <c r="C8" s="66"/>
      <c r="D8" s="64"/>
      <c r="E8" s="81" t="s">
        <v>50</v>
      </c>
      <c r="F8" s="51" t="s">
        <v>51</v>
      </c>
      <c r="G8" s="24">
        <v>0</v>
      </c>
      <c r="H8" s="24">
        <v>3600000</v>
      </c>
      <c r="I8" s="52" t="s">
        <v>52</v>
      </c>
      <c r="J8" s="29" t="s">
        <v>28</v>
      </c>
      <c r="K8" s="67"/>
      <c r="L8" s="83" t="s">
        <v>29</v>
      </c>
      <c r="M8" s="71"/>
      <c r="N8" s="79" t="s">
        <v>30</v>
      </c>
      <c r="O8" s="71"/>
      <c r="P8" s="71"/>
      <c r="Q8" s="71"/>
      <c r="R8" s="71"/>
      <c r="S8" s="80"/>
      <c r="T8" s="71"/>
      <c r="U8" s="80"/>
      <c r="X8" s="59"/>
      <c r="Y8" s="46" t="s">
        <v>53</v>
      </c>
      <c r="Z8" s="29"/>
      <c r="AA8" s="28" t="s">
        <v>30</v>
      </c>
      <c r="AB8" s="28" t="s">
        <v>31</v>
      </c>
      <c r="AC8" s="71"/>
      <c r="AD8" s="28"/>
      <c r="AE8" s="28"/>
      <c r="AF8" s="28"/>
    </row>
    <row r="9" spans="1:32" ht="91.5" customHeight="1">
      <c r="A9" s="37">
        <v>112038</v>
      </c>
      <c r="B9" s="39" t="s">
        <v>54</v>
      </c>
      <c r="C9" s="42" t="s">
        <v>55</v>
      </c>
      <c r="D9" s="41">
        <v>2665440</v>
      </c>
      <c r="E9" s="81" t="s">
        <v>56</v>
      </c>
      <c r="F9" s="3" t="s">
        <v>57</v>
      </c>
      <c r="G9" s="6">
        <v>0</v>
      </c>
      <c r="H9" s="6">
        <v>2400</v>
      </c>
      <c r="I9" s="3" t="s">
        <v>58</v>
      </c>
      <c r="J9" s="28" t="s">
        <v>59</v>
      </c>
      <c r="K9" s="44"/>
      <c r="L9" s="78" t="s">
        <v>60</v>
      </c>
      <c r="M9" s="71"/>
      <c r="N9" s="79" t="s">
        <v>30</v>
      </c>
      <c r="O9" s="71"/>
      <c r="P9" s="71"/>
      <c r="Q9" s="71"/>
      <c r="R9" s="71"/>
      <c r="S9" s="80"/>
      <c r="T9" s="71"/>
      <c r="U9" s="80"/>
      <c r="X9" s="48" t="s">
        <v>60</v>
      </c>
      <c r="Y9" s="45"/>
      <c r="Z9" s="28"/>
      <c r="AA9" s="28" t="s">
        <v>30</v>
      </c>
      <c r="AB9" s="28" t="s">
        <v>56</v>
      </c>
      <c r="AC9" s="71"/>
      <c r="AD9" s="28"/>
      <c r="AE9" s="28"/>
      <c r="AF9" s="28"/>
    </row>
    <row r="10" spans="1:32" s="23" customFormat="1" ht="57.95">
      <c r="A10" s="37"/>
      <c r="B10" s="39"/>
      <c r="C10" s="42"/>
      <c r="D10" s="41"/>
      <c r="E10" s="81" t="s">
        <v>61</v>
      </c>
      <c r="F10" s="3" t="s">
        <v>62</v>
      </c>
      <c r="G10" s="6">
        <v>0</v>
      </c>
      <c r="H10" s="6">
        <v>0.108</v>
      </c>
      <c r="I10" s="3" t="s">
        <v>63</v>
      </c>
      <c r="J10" s="28" t="s">
        <v>59</v>
      </c>
      <c r="K10" s="44"/>
      <c r="L10" s="78" t="s">
        <v>60</v>
      </c>
      <c r="M10" s="71"/>
      <c r="N10" s="79" t="s">
        <v>30</v>
      </c>
      <c r="O10" s="71"/>
      <c r="P10" s="71"/>
      <c r="Q10" s="71"/>
      <c r="R10" s="71"/>
      <c r="S10" s="80"/>
      <c r="T10" s="71"/>
      <c r="U10" s="80"/>
      <c r="X10" s="48"/>
      <c r="Y10" s="68"/>
      <c r="Z10" s="69"/>
      <c r="AA10" s="28" t="s">
        <v>64</v>
      </c>
      <c r="AB10" s="28" t="s">
        <v>47</v>
      </c>
      <c r="AC10" s="71"/>
      <c r="AD10" s="28"/>
      <c r="AE10" s="28"/>
      <c r="AF10" s="28"/>
    </row>
    <row r="11" spans="1:32" ht="72.599999999999994">
      <c r="A11" s="38"/>
      <c r="B11" s="40"/>
      <c r="C11" s="43"/>
      <c r="D11" s="36"/>
      <c r="E11" s="81" t="s">
        <v>24</v>
      </c>
      <c r="F11" s="3" t="s">
        <v>65</v>
      </c>
      <c r="G11" s="6">
        <v>0</v>
      </c>
      <c r="H11" s="6">
        <v>36</v>
      </c>
      <c r="I11" s="3" t="s">
        <v>66</v>
      </c>
      <c r="J11" s="28" t="s">
        <v>59</v>
      </c>
      <c r="K11" s="44"/>
      <c r="L11" s="78" t="s">
        <v>60</v>
      </c>
      <c r="M11" s="71"/>
      <c r="N11" s="79" t="s">
        <v>30</v>
      </c>
      <c r="O11" s="71"/>
      <c r="P11" s="71"/>
      <c r="Q11" s="71"/>
      <c r="R11" s="71"/>
      <c r="S11" s="80"/>
      <c r="T11" s="71"/>
      <c r="U11" s="80"/>
      <c r="X11" s="49"/>
      <c r="Y11" s="45"/>
      <c r="Z11" s="28"/>
      <c r="AA11" s="28" t="s">
        <v>30</v>
      </c>
      <c r="AB11" s="28" t="s">
        <v>31</v>
      </c>
      <c r="AC11" s="71"/>
      <c r="AD11" s="28"/>
      <c r="AE11" s="28"/>
      <c r="AF11" s="28"/>
    </row>
    <row r="12" spans="1:32" ht="76.5" hidden="1" customHeight="1">
      <c r="A12" s="33"/>
      <c r="B12" s="34"/>
      <c r="C12" s="35"/>
      <c r="D12" s="36"/>
      <c r="E12" s="81"/>
      <c r="F12" s="3" t="s">
        <v>67</v>
      </c>
      <c r="G12" s="6">
        <v>0</v>
      </c>
      <c r="H12" s="6">
        <v>5</v>
      </c>
      <c r="I12" s="3" t="s">
        <v>68</v>
      </c>
      <c r="J12" s="28"/>
      <c r="K12" s="28"/>
      <c r="L12" s="78" t="s">
        <v>60</v>
      </c>
      <c r="M12" s="71"/>
      <c r="N12" s="79" t="s">
        <v>30</v>
      </c>
      <c r="O12" s="71"/>
      <c r="P12" s="71"/>
      <c r="Q12" s="71"/>
      <c r="R12" s="71"/>
      <c r="S12" s="80"/>
      <c r="T12" s="71"/>
      <c r="U12" s="80"/>
      <c r="X12" s="47"/>
      <c r="Y12" s="28"/>
      <c r="Z12" s="28"/>
      <c r="AA12" s="28" t="s">
        <v>30</v>
      </c>
      <c r="AB12" s="28" t="s">
        <v>31</v>
      </c>
      <c r="AC12" s="71"/>
      <c r="AD12" s="28"/>
      <c r="AE12" s="28"/>
      <c r="AF12" s="28"/>
    </row>
    <row r="13" spans="1:32" ht="76.5" hidden="1" customHeight="1">
      <c r="A13" s="6"/>
      <c r="B13" s="3"/>
      <c r="C13" s="25"/>
      <c r="D13" s="32"/>
      <c r="E13" s="81"/>
      <c r="F13" s="3" t="s">
        <v>69</v>
      </c>
      <c r="G13" s="6">
        <v>0</v>
      </c>
      <c r="H13" s="6">
        <v>100000</v>
      </c>
      <c r="I13" s="3" t="s">
        <v>70</v>
      </c>
      <c r="J13" s="28"/>
      <c r="K13" s="28"/>
      <c r="L13" s="78" t="s">
        <v>60</v>
      </c>
      <c r="M13" s="71"/>
      <c r="N13" s="79" t="s">
        <v>30</v>
      </c>
      <c r="O13" s="71"/>
      <c r="P13" s="71"/>
      <c r="Q13" s="71"/>
      <c r="R13" s="71"/>
      <c r="S13" s="80"/>
      <c r="T13" s="71"/>
      <c r="U13" s="80"/>
      <c r="X13" s="28"/>
      <c r="Y13" s="28"/>
      <c r="Z13" s="28"/>
      <c r="AA13" s="28" t="s">
        <v>30</v>
      </c>
      <c r="AB13" s="28" t="s">
        <v>31</v>
      </c>
      <c r="AC13" s="71"/>
      <c r="AD13" s="28"/>
      <c r="AE13" s="28"/>
      <c r="AF13" s="28"/>
    </row>
    <row r="14" spans="1:32" s="23" customFormat="1" ht="99.95">
      <c r="A14" s="21" t="s">
        <v>71</v>
      </c>
      <c r="B14" s="24" t="s">
        <v>72</v>
      </c>
      <c r="C14" s="24"/>
      <c r="D14" s="70">
        <v>26000</v>
      </c>
      <c r="E14" s="81"/>
      <c r="F14" s="24" t="s">
        <v>73</v>
      </c>
      <c r="G14" s="21">
        <v>0</v>
      </c>
      <c r="H14" s="21">
        <v>2</v>
      </c>
      <c r="I14" s="24" t="s">
        <v>74</v>
      </c>
      <c r="J14" s="31"/>
      <c r="K14" s="31"/>
      <c r="L14" s="78" t="s">
        <v>60</v>
      </c>
      <c r="M14" s="71"/>
      <c r="N14" s="79" t="s">
        <v>30</v>
      </c>
      <c r="O14" s="71"/>
      <c r="P14" s="71"/>
      <c r="Q14" s="71"/>
      <c r="R14" s="71"/>
      <c r="S14" s="80"/>
      <c r="T14" s="71"/>
      <c r="U14" s="80"/>
      <c r="X14" s="31"/>
      <c r="Y14" s="30" t="s">
        <v>53</v>
      </c>
      <c r="Z14" s="31"/>
      <c r="AA14" s="28" t="s">
        <v>30</v>
      </c>
      <c r="AB14" s="28" t="s">
        <v>56</v>
      </c>
      <c r="AC14" s="71"/>
      <c r="AD14" s="28"/>
      <c r="AE14" s="28"/>
      <c r="AF14" s="28"/>
    </row>
    <row r="21" spans="3:3">
      <c r="C21" s="5"/>
    </row>
    <row r="22" spans="3:3">
      <c r="C22" s="5"/>
    </row>
    <row r="23" spans="3:3">
      <c r="C23" s="5"/>
    </row>
    <row r="24" spans="3:3">
      <c r="C24" s="5"/>
    </row>
    <row r="25" spans="3:3">
      <c r="C25" s="5"/>
    </row>
    <row r="26" spans="3:3">
      <c r="C26" s="5"/>
    </row>
    <row r="27" spans="3:3">
      <c r="C27" s="5"/>
    </row>
  </sheetData>
  <dataValidations count="12">
    <dataValidation type="list" allowBlank="1" showInputMessage="1" showErrorMessage="1" sqref="AB2:AB14 P15:Q16" xr:uid="{12178506-5FC5-428D-A564-71FA3531E472}">
      <formula1>"Electricity Access, Energy Efficiency, Clean Cooking, Renewable Energy"</formula1>
    </dataValidation>
    <dataValidation type="list" allowBlank="1" showInputMessage="1" showErrorMessage="1" sqref="AD2:AD14 P2:P14" xr:uid="{AE7E8FD3-BEA5-454F-A90F-A9BF43555C68}">
      <formula1>"AMP, PUDC, Solar4Health, Action Opportunities, Italy UNDP Energy Partnership"</formula1>
    </dataValidation>
    <dataValidation type="list" allowBlank="1" showInputMessage="1" showErrorMessage="1" sqref="AC2:AC14" xr:uid="{6701C865-3636-44C1-9338-D12997C2ECB0}">
      <formula1>"Tier 1, Tier 2, Tier 3"</formula1>
    </dataValidation>
    <dataValidation type="list" allowBlank="1" showInputMessage="1" showErrorMessage="1" sqref="O15:O16 AA2:AA14 N2:N14" xr:uid="{264DB59F-77FB-4279-822C-C68FBF87AB99}">
      <formula1>"Accelerating just energy transition, Close the gap on energy access, Scale up energy finance"</formula1>
    </dataValidation>
    <dataValidation type="list" allowBlank="1" showInputMessage="1" showErrorMessage="1" sqref="S15:S25 AE2:AE14 Q2:Q14" xr:uid="{C2E60004-863E-42DB-8247-47D25A274EEC}">
      <formula1>"NDC Support, National Strategy, Legal Framework,Incentives and Support, Government Capacity-Building, Carbon Pricing and Monitoring, Financing Model, Business Model"</formula1>
    </dataValidation>
    <dataValidation type="list" allowBlank="1" showInputMessage="1" showErrorMessage="1" sqref="T15:T28 AF2:AF14" xr:uid="{9D5A342C-92A2-4BC5-B8C2-D85B2129C4F8}">
      <formula1>"Electricity Access, Energy Efficiency, Renewable EnergyEnergy Infrastructure,   Transport, Digital &amp; Data, Clean Cooking, Decarbonization, Hydrogen, Off-Grid, On-Grid"</formula1>
    </dataValidation>
    <dataValidation type="list" allowBlank="1" showInputMessage="1" showErrorMessage="1" sqref="O2:O14" xr:uid="{0E8DB0AD-3B45-47F1-8119-7AC385940FF4}">
      <formula1>"Electricity Access, Energy Efficiency, Clean Cooking, Renewable Energy, Overall"</formula1>
    </dataValidation>
    <dataValidation type="list" allowBlank="1" showInputMessage="1" showErrorMessage="1" sqref="M2:M14" xr:uid="{82368FA2-DD38-4B97-9751-99A26295EB92}">
      <formula1>"Finance, Gender, Efficiency, Just, Health"</formula1>
    </dataValidation>
    <dataValidation type="list" allowBlank="1" showInputMessage="1" showErrorMessage="1" sqref="T2:T14" xr:uid="{09650F3B-BD78-4A2D-999F-0F67E831FA4D}">
      <formula1>"National, Regional, City, Community"</formula1>
    </dataValidation>
    <dataValidation type="list" allowBlank="1" showInputMessage="1" showErrorMessage="1" sqref="L2:L14" xr:uid="{3106FED4-6A7C-4F6D-BB86-B72014336F66}">
      <formula1>"Non-VF, VF"</formula1>
    </dataValidation>
    <dataValidation type="list" allowBlank="1" showInputMessage="1" showErrorMessage="1" sqref="R2:R14" xr:uid="{414C981E-AB0F-4D20-90D1-E16D753ED9A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4" xr:uid="{75088528-4CAA-41C6-B991-FE7879C4A39C}">
      <formula1>"Solar, Wind, Bioenergy, Hydro, Geothermal, Waste, Some Sources, Other, Unknown"</formula1>
    </dataValidation>
  </dataValidations>
  <hyperlinks>
    <hyperlink ref="C2" r:id="rId1" xr:uid="{A054B303-EE44-4747-B786-B68076E272F3}"/>
    <hyperlink ref="C9" r:id="rId2" xr:uid="{E45FF329-DF09-4E83-A587-09A58773A46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4613267-D773-46FA-BF15-1911E220CA94}">
          <x14:formula1>
            <xm:f>'Beneficiary Categories'!$A$2:$A$22</xm:f>
          </x14:formula1>
          <xm:sqref>E2:E5 E7:E14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opLeftCell="B1" workbookViewId="0">
      <selection activeCell="J1" sqref="J1"/>
    </sheetView>
  </sheetViews>
  <sheetFormatPr defaultRowHeight="14.45"/>
  <cols>
    <col min="1" max="1" width="30.42578125" bestFit="1" customWidth="1"/>
    <col min="2" max="3" width="20.7109375" customWidth="1"/>
    <col min="4" max="4" width="14.7109375" bestFit="1"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20" t="s">
        <v>9</v>
      </c>
    </row>
    <row r="2" spans="1:10" ht="290.10000000000002">
      <c r="A2" s="133" t="s">
        <v>75</v>
      </c>
      <c r="B2" s="135" t="s">
        <v>22</v>
      </c>
      <c r="C2" s="137" t="s">
        <v>76</v>
      </c>
      <c r="D2" s="139">
        <v>5152392</v>
      </c>
      <c r="E2" s="2" t="s">
        <v>77</v>
      </c>
      <c r="F2" s="3" t="s">
        <v>25</v>
      </c>
      <c r="G2" s="3" t="s">
        <v>26</v>
      </c>
      <c r="H2" s="3" t="s">
        <v>78</v>
      </c>
      <c r="I2" s="3" t="s">
        <v>27</v>
      </c>
    </row>
    <row r="3" spans="1:10" ht="144.94999999999999">
      <c r="A3" s="133"/>
      <c r="B3" s="135"/>
      <c r="C3" s="137"/>
      <c r="D3" s="139"/>
      <c r="E3" s="2" t="s">
        <v>79</v>
      </c>
      <c r="F3" s="3" t="s">
        <v>32</v>
      </c>
      <c r="G3" s="7">
        <v>0</v>
      </c>
      <c r="H3" s="7">
        <v>150</v>
      </c>
      <c r="I3" s="3" t="s">
        <v>33</v>
      </c>
    </row>
    <row r="4" spans="1:10" ht="87">
      <c r="A4" s="133"/>
      <c r="B4" s="135"/>
      <c r="C4" s="137"/>
      <c r="D4" s="139"/>
      <c r="E4" s="2" t="s">
        <v>19</v>
      </c>
      <c r="F4" s="3" t="s">
        <v>34</v>
      </c>
      <c r="G4" s="7">
        <v>0</v>
      </c>
      <c r="H4" s="6">
        <v>1</v>
      </c>
      <c r="I4" s="3" t="s">
        <v>35</v>
      </c>
    </row>
    <row r="5" spans="1:10" ht="246.6">
      <c r="A5" s="133"/>
      <c r="B5" s="135"/>
      <c r="C5" s="137"/>
      <c r="D5" s="139"/>
      <c r="E5" s="2" t="s">
        <v>19</v>
      </c>
      <c r="F5" s="3" t="s">
        <v>40</v>
      </c>
      <c r="G5" s="7">
        <v>3</v>
      </c>
      <c r="H5" s="6">
        <v>5</v>
      </c>
      <c r="I5" s="3" t="s">
        <v>41</v>
      </c>
    </row>
    <row r="6" spans="1:10" ht="217.5">
      <c r="A6" s="133"/>
      <c r="B6" s="135"/>
      <c r="C6" s="137"/>
      <c r="D6" s="139"/>
      <c r="E6" s="2" t="s">
        <v>80</v>
      </c>
      <c r="F6" s="4" t="s">
        <v>81</v>
      </c>
      <c r="G6" s="7">
        <v>0</v>
      </c>
      <c r="H6" s="9" t="s">
        <v>82</v>
      </c>
      <c r="I6" s="3" t="s">
        <v>44</v>
      </c>
    </row>
    <row r="7" spans="1:10" ht="116.1">
      <c r="A7" s="133"/>
      <c r="B7" s="135"/>
      <c r="C7" s="137"/>
      <c r="D7" s="139"/>
      <c r="E7" s="3" t="s">
        <v>19</v>
      </c>
      <c r="F7" s="4" t="s">
        <v>45</v>
      </c>
      <c r="G7" s="7">
        <v>0</v>
      </c>
      <c r="H7" s="8">
        <v>2</v>
      </c>
      <c r="I7" s="3" t="s">
        <v>46</v>
      </c>
    </row>
    <row r="8" spans="1:10" ht="246.6">
      <c r="A8" s="134"/>
      <c r="B8" s="136"/>
      <c r="C8" s="138"/>
      <c r="D8" s="140"/>
      <c r="E8" s="10" t="s">
        <v>80</v>
      </c>
      <c r="F8" s="11" t="s">
        <v>51</v>
      </c>
      <c r="G8" s="12">
        <v>0</v>
      </c>
      <c r="H8" s="13">
        <v>22</v>
      </c>
      <c r="I8" s="14" t="s">
        <v>52</v>
      </c>
    </row>
    <row r="9" spans="1:10" ht="91.5" customHeight="1">
      <c r="A9" s="141">
        <v>110728</v>
      </c>
      <c r="B9" s="143" t="s">
        <v>54</v>
      </c>
      <c r="C9" s="145" t="s">
        <v>55</v>
      </c>
      <c r="D9" s="147">
        <v>2665440</v>
      </c>
      <c r="E9" s="2" t="s">
        <v>56</v>
      </c>
      <c r="F9" s="3" t="s">
        <v>57</v>
      </c>
      <c r="G9" s="6">
        <v>0</v>
      </c>
      <c r="H9" s="6" t="s">
        <v>83</v>
      </c>
      <c r="I9" s="3" t="s">
        <v>58</v>
      </c>
    </row>
    <row r="10" spans="1:10" ht="57.95">
      <c r="A10" s="141"/>
      <c r="B10" s="143"/>
      <c r="C10" s="145"/>
      <c r="D10" s="147"/>
      <c r="E10" s="2" t="s">
        <v>61</v>
      </c>
      <c r="F10" s="3" t="s">
        <v>62</v>
      </c>
      <c r="G10" s="6">
        <v>0</v>
      </c>
      <c r="H10" s="6" t="s">
        <v>84</v>
      </c>
      <c r="I10" s="3" t="s">
        <v>63</v>
      </c>
    </row>
    <row r="11" spans="1:10" ht="72.599999999999994">
      <c r="A11" s="141"/>
      <c r="B11" s="143"/>
      <c r="C11" s="145"/>
      <c r="D11" s="147"/>
      <c r="E11" s="2" t="s">
        <v>77</v>
      </c>
      <c r="F11" s="3" t="s">
        <v>65</v>
      </c>
      <c r="G11" s="6">
        <v>0</v>
      </c>
      <c r="H11" s="6">
        <v>36</v>
      </c>
      <c r="I11" s="3" t="s">
        <v>66</v>
      </c>
    </row>
    <row r="12" spans="1:10" ht="72.599999999999994">
      <c r="A12" s="141"/>
      <c r="B12" s="143"/>
      <c r="C12" s="145"/>
      <c r="D12" s="147"/>
      <c r="E12" s="2" t="s">
        <v>19</v>
      </c>
      <c r="F12" s="3" t="s">
        <v>67</v>
      </c>
      <c r="G12" s="6">
        <v>0</v>
      </c>
      <c r="H12" s="6">
        <v>5</v>
      </c>
      <c r="I12" s="3" t="s">
        <v>68</v>
      </c>
    </row>
    <row r="13" spans="1:10" ht="57.95">
      <c r="A13" s="142"/>
      <c r="B13" s="144"/>
      <c r="C13" s="146"/>
      <c r="D13" s="148"/>
      <c r="E13" s="10" t="s">
        <v>85</v>
      </c>
      <c r="F13" s="15" t="s">
        <v>69</v>
      </c>
      <c r="G13" s="13">
        <v>0</v>
      </c>
      <c r="H13" s="12">
        <v>100000</v>
      </c>
      <c r="I13" s="15" t="s">
        <v>70</v>
      </c>
    </row>
    <row r="14" spans="1:10" ht="101.45">
      <c r="A14" s="7" t="s">
        <v>71</v>
      </c>
      <c r="B14" s="16" t="s">
        <v>72</v>
      </c>
      <c r="C14" s="17"/>
      <c r="D14" s="18" t="s">
        <v>86</v>
      </c>
      <c r="E14" s="17" t="s">
        <v>56</v>
      </c>
      <c r="F14" s="16" t="s">
        <v>73</v>
      </c>
      <c r="G14" s="7">
        <v>0</v>
      </c>
      <c r="H14" s="7">
        <v>2</v>
      </c>
      <c r="I14" s="16" t="s">
        <v>74</v>
      </c>
      <c r="J14" s="19"/>
    </row>
    <row r="21" spans="3:3">
      <c r="C21" s="5"/>
    </row>
    <row r="22" spans="3:3">
      <c r="C22" s="5"/>
    </row>
    <row r="23" spans="3:3">
      <c r="C23" s="5"/>
    </row>
    <row r="24" spans="3:3">
      <c r="C24" s="5"/>
    </row>
    <row r="25" spans="3:3">
      <c r="C25" s="5"/>
    </row>
    <row r="26" spans="3:3">
      <c r="C26" s="5"/>
    </row>
    <row r="27" spans="3:3">
      <c r="C27" s="5"/>
    </row>
  </sheetData>
  <mergeCells count="8">
    <mergeCell ref="A2:A8"/>
    <mergeCell ref="B2:B8"/>
    <mergeCell ref="C2:C8"/>
    <mergeCell ref="D2:D8"/>
    <mergeCell ref="A9:A13"/>
    <mergeCell ref="B9:B13"/>
    <mergeCell ref="C9:C13"/>
    <mergeCell ref="D9:D13"/>
  </mergeCells>
  <hyperlinks>
    <hyperlink ref="C2" r:id="rId1" xr:uid="{BDC8E0C5-9CB5-4B90-9801-C1808415BFFE}"/>
    <hyperlink ref="C9" r:id="rId2" xr:uid="{D7040D50-6D20-4257-A9C1-17F8EF5A467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04FC-24B7-4D13-BB8F-0840C2BE331C}">
  <dimension ref="A1:AF31"/>
  <sheetViews>
    <sheetView topLeftCell="E18" workbookViewId="0">
      <selection activeCell="A13" sqref="A13:XFD13"/>
    </sheetView>
  </sheetViews>
  <sheetFormatPr defaultRowHeight="15"/>
  <cols>
    <col min="1" max="1" width="12.7109375" customWidth="1"/>
    <col min="2" max="2" width="32.7109375" customWidth="1"/>
    <col min="3" max="3" width="20.7109375" customWidth="1"/>
    <col min="4" max="4" width="17" bestFit="1" customWidth="1"/>
    <col min="5" max="5" width="14.7109375" customWidth="1"/>
    <col min="6" max="6" width="24.28515625" customWidth="1"/>
    <col min="7" max="8" width="12.7109375" customWidth="1"/>
    <col min="9" max="9" width="55.42578125" customWidth="1"/>
    <col min="10" max="10" width="11" customWidth="1"/>
    <col min="11" max="11" width="13.42578125" customWidth="1"/>
    <col min="12" max="12" width="12.7109375" bestFit="1" customWidth="1"/>
    <col min="13" max="13" width="11" bestFit="1" customWidth="1"/>
    <col min="14" max="14" width="14.42578125" bestFit="1" customWidth="1"/>
    <col min="15" max="15" width="15.42578125" customWidth="1"/>
    <col min="16" max="17" width="26.140625" customWidth="1"/>
    <col min="18" max="18" width="18.140625" bestFit="1" customWidth="1"/>
    <col min="19" max="19" width="18.42578125" customWidth="1"/>
    <col min="20" max="20" width="19.7109375" customWidth="1"/>
    <col min="21" max="21" width="16.7109375" bestFit="1" customWidth="1"/>
  </cols>
  <sheetData>
    <row r="1" spans="1:32" ht="30.75">
      <c r="A1" s="58" t="s">
        <v>0</v>
      </c>
      <c r="B1" s="58" t="s">
        <v>1</v>
      </c>
      <c r="C1" s="58" t="s">
        <v>2</v>
      </c>
      <c r="D1" s="58" t="s">
        <v>3</v>
      </c>
      <c r="E1" s="26" t="s">
        <v>4</v>
      </c>
      <c r="F1" s="26" t="s">
        <v>5</v>
      </c>
      <c r="G1" s="26" t="s">
        <v>6</v>
      </c>
      <c r="H1" s="26" t="s">
        <v>7</v>
      </c>
      <c r="I1" s="26" t="s">
        <v>8</v>
      </c>
      <c r="J1" s="27" t="s">
        <v>9</v>
      </c>
      <c r="K1" s="27" t="s">
        <v>10</v>
      </c>
      <c r="L1" s="74" t="s">
        <v>11</v>
      </c>
      <c r="M1" s="75" t="s">
        <v>12</v>
      </c>
      <c r="N1" s="74" t="s">
        <v>13</v>
      </c>
      <c r="O1" s="74" t="s">
        <v>14</v>
      </c>
      <c r="P1" s="75" t="s">
        <v>15</v>
      </c>
      <c r="Q1" s="75" t="s">
        <v>16</v>
      </c>
      <c r="R1" s="76" t="s">
        <v>17</v>
      </c>
      <c r="S1" s="77" t="s">
        <v>18</v>
      </c>
      <c r="T1" s="76" t="s">
        <v>19</v>
      </c>
      <c r="U1" s="77" t="s">
        <v>20</v>
      </c>
    </row>
    <row r="2" spans="1:32" ht="213">
      <c r="A2" s="60" t="s">
        <v>21</v>
      </c>
      <c r="B2" s="60" t="s">
        <v>22</v>
      </c>
      <c r="C2" s="82" t="s">
        <v>23</v>
      </c>
      <c r="D2" s="54">
        <v>5152392</v>
      </c>
      <c r="E2" s="81" t="s">
        <v>24</v>
      </c>
      <c r="F2" s="85" t="s">
        <v>25</v>
      </c>
      <c r="G2" s="85" t="s">
        <v>26</v>
      </c>
      <c r="H2" s="85">
        <v>250</v>
      </c>
      <c r="I2" s="86" t="s">
        <v>87</v>
      </c>
      <c r="J2" s="28" t="s">
        <v>28</v>
      </c>
      <c r="K2" s="55">
        <v>0.35</v>
      </c>
      <c r="L2" s="83" t="s">
        <v>29</v>
      </c>
      <c r="M2" s="71" t="s">
        <v>88</v>
      </c>
      <c r="N2" s="79" t="s">
        <v>30</v>
      </c>
      <c r="O2" s="71"/>
      <c r="P2" s="71"/>
      <c r="Q2" s="71"/>
      <c r="R2" s="71"/>
      <c r="S2" s="80"/>
      <c r="T2" s="71"/>
      <c r="U2" s="80"/>
      <c r="X2" s="53" t="s">
        <v>29</v>
      </c>
      <c r="Y2" s="45"/>
      <c r="Z2" s="28"/>
      <c r="AA2" s="28" t="s">
        <v>30</v>
      </c>
      <c r="AB2" s="28" t="s">
        <v>31</v>
      </c>
      <c r="AC2" s="71"/>
      <c r="AD2" s="28"/>
      <c r="AE2" s="28"/>
      <c r="AF2" s="28"/>
    </row>
    <row r="3" spans="1:32" ht="121.5">
      <c r="A3" s="61"/>
      <c r="B3" s="61"/>
      <c r="C3" s="65"/>
      <c r="D3" s="63"/>
      <c r="E3" s="81" t="s">
        <v>24</v>
      </c>
      <c r="F3" s="85" t="s">
        <v>32</v>
      </c>
      <c r="G3" s="85">
        <v>0</v>
      </c>
      <c r="H3" s="85">
        <v>150</v>
      </c>
      <c r="I3" s="86" t="s">
        <v>89</v>
      </c>
      <c r="J3" s="28" t="s">
        <v>28</v>
      </c>
      <c r="K3" s="44"/>
      <c r="L3" s="83" t="s">
        <v>29</v>
      </c>
      <c r="M3" s="71" t="s">
        <v>90</v>
      </c>
      <c r="N3" s="79" t="s">
        <v>30</v>
      </c>
      <c r="O3" s="71"/>
      <c r="P3" s="71"/>
      <c r="Q3" s="71"/>
      <c r="R3" s="71"/>
      <c r="S3" s="80"/>
      <c r="T3" s="71"/>
      <c r="U3" s="80"/>
      <c r="X3" s="56"/>
      <c r="Y3" s="45"/>
      <c r="Z3" s="28"/>
      <c r="AA3" s="28" t="s">
        <v>30</v>
      </c>
      <c r="AB3" s="28" t="s">
        <v>31</v>
      </c>
      <c r="AC3" s="71"/>
      <c r="AD3" s="28"/>
      <c r="AE3" s="28"/>
      <c r="AF3" s="28"/>
    </row>
    <row r="4" spans="1:32" ht="106.5">
      <c r="A4" s="61"/>
      <c r="B4" s="61"/>
      <c r="C4" s="65"/>
      <c r="D4" s="63"/>
      <c r="E4" s="81" t="s">
        <v>19</v>
      </c>
      <c r="F4" s="85" t="s">
        <v>34</v>
      </c>
      <c r="G4" s="85">
        <v>0</v>
      </c>
      <c r="H4" s="85">
        <v>1</v>
      </c>
      <c r="I4" s="86" t="s">
        <v>91</v>
      </c>
      <c r="J4" s="28" t="s">
        <v>28</v>
      </c>
      <c r="K4" s="44"/>
      <c r="L4" s="83" t="s">
        <v>29</v>
      </c>
      <c r="M4" s="71" t="s">
        <v>90</v>
      </c>
      <c r="N4" s="79" t="s">
        <v>30</v>
      </c>
      <c r="O4" s="71" t="s">
        <v>31</v>
      </c>
      <c r="P4" s="71"/>
      <c r="Q4" s="71" t="s">
        <v>36</v>
      </c>
      <c r="R4" s="71" t="s">
        <v>31</v>
      </c>
      <c r="S4" s="80"/>
      <c r="T4" s="71" t="s">
        <v>37</v>
      </c>
      <c r="U4" s="80"/>
      <c r="X4" s="56"/>
      <c r="Y4" s="45"/>
      <c r="Z4" s="28"/>
      <c r="AA4" s="28" t="s">
        <v>30</v>
      </c>
      <c r="AB4" s="28" t="s">
        <v>31</v>
      </c>
      <c r="AC4" s="71" t="s">
        <v>38</v>
      </c>
      <c r="AD4" s="28"/>
      <c r="AE4" s="28" t="s">
        <v>39</v>
      </c>
      <c r="AF4" s="28" t="s">
        <v>31</v>
      </c>
    </row>
    <row r="5" spans="1:32" ht="198">
      <c r="A5" s="61"/>
      <c r="B5" s="61"/>
      <c r="C5" s="65"/>
      <c r="D5" s="63"/>
      <c r="E5" s="81" t="s">
        <v>19</v>
      </c>
      <c r="F5" s="85" t="s">
        <v>40</v>
      </c>
      <c r="G5" s="85">
        <v>3</v>
      </c>
      <c r="H5" s="85">
        <v>5</v>
      </c>
      <c r="I5" s="86" t="s">
        <v>92</v>
      </c>
      <c r="J5" s="28" t="s">
        <v>28</v>
      </c>
      <c r="K5" s="44"/>
      <c r="L5" s="83" t="s">
        <v>29</v>
      </c>
      <c r="M5" s="71" t="s">
        <v>90</v>
      </c>
      <c r="N5" s="79" t="s">
        <v>30</v>
      </c>
      <c r="O5" s="71" t="s">
        <v>31</v>
      </c>
      <c r="P5" s="71"/>
      <c r="Q5" s="71" t="s">
        <v>36</v>
      </c>
      <c r="R5" s="71" t="s">
        <v>31</v>
      </c>
      <c r="S5" s="80"/>
      <c r="T5" s="71" t="s">
        <v>37</v>
      </c>
      <c r="U5" s="80"/>
      <c r="X5" s="56"/>
      <c r="Y5" s="45"/>
      <c r="Z5" s="28"/>
      <c r="AA5" s="28" t="s">
        <v>30</v>
      </c>
      <c r="AB5" s="28" t="s">
        <v>31</v>
      </c>
      <c r="AC5" s="71" t="s">
        <v>38</v>
      </c>
      <c r="AD5" s="28"/>
      <c r="AE5" s="28" t="s">
        <v>39</v>
      </c>
      <c r="AF5" s="28" t="s">
        <v>31</v>
      </c>
    </row>
    <row r="6" spans="1:32" ht="106.5">
      <c r="A6" s="61"/>
      <c r="B6" s="61"/>
      <c r="C6" s="65"/>
      <c r="D6" s="63"/>
      <c r="E6" s="87" t="s">
        <v>42</v>
      </c>
      <c r="F6" s="88" t="s">
        <v>43</v>
      </c>
      <c r="G6" s="85">
        <v>0</v>
      </c>
      <c r="H6" s="88">
        <v>651000</v>
      </c>
      <c r="I6" s="86" t="s">
        <v>93</v>
      </c>
      <c r="J6" s="28" t="s">
        <v>28</v>
      </c>
      <c r="K6" s="44"/>
      <c r="L6" s="83" t="s">
        <v>29</v>
      </c>
      <c r="M6" s="71" t="s">
        <v>90</v>
      </c>
      <c r="N6" s="79" t="s">
        <v>30</v>
      </c>
      <c r="O6" s="71"/>
      <c r="P6" s="71"/>
      <c r="Q6" s="71"/>
      <c r="R6" s="71"/>
      <c r="S6" s="80"/>
      <c r="T6" s="71"/>
      <c r="U6" s="80"/>
      <c r="X6" s="56"/>
      <c r="Y6" s="45"/>
      <c r="Z6" s="28"/>
      <c r="AA6" s="28" t="s">
        <v>30</v>
      </c>
      <c r="AB6" s="28" t="s">
        <v>31</v>
      </c>
      <c r="AC6" s="71"/>
      <c r="AD6" s="28"/>
      <c r="AE6" s="28"/>
      <c r="AF6" s="28"/>
    </row>
    <row r="7" spans="1:32" ht="91.5">
      <c r="A7" s="61"/>
      <c r="B7" s="61"/>
      <c r="C7" s="65"/>
      <c r="D7" s="63"/>
      <c r="E7" s="81" t="s">
        <v>19</v>
      </c>
      <c r="F7" s="88" t="s">
        <v>45</v>
      </c>
      <c r="G7" s="85">
        <v>0</v>
      </c>
      <c r="H7" s="88">
        <v>2</v>
      </c>
      <c r="I7" s="86" t="s">
        <v>94</v>
      </c>
      <c r="J7" s="28" t="s">
        <v>28</v>
      </c>
      <c r="K7" s="44"/>
      <c r="L7" s="83" t="s">
        <v>29</v>
      </c>
      <c r="M7" s="71" t="s">
        <v>95</v>
      </c>
      <c r="N7" s="79" t="s">
        <v>30</v>
      </c>
      <c r="O7" s="71" t="s">
        <v>47</v>
      </c>
      <c r="P7" s="71"/>
      <c r="Q7" s="71" t="s">
        <v>48</v>
      </c>
      <c r="R7" s="71" t="s">
        <v>49</v>
      </c>
      <c r="S7" s="80"/>
      <c r="T7" s="71" t="s">
        <v>37</v>
      </c>
      <c r="U7" s="80"/>
      <c r="X7" s="56"/>
      <c r="Y7" s="45"/>
      <c r="Z7" s="28"/>
      <c r="AA7" s="28" t="s">
        <v>30</v>
      </c>
      <c r="AB7" s="28" t="s">
        <v>31</v>
      </c>
      <c r="AC7" s="71" t="s">
        <v>38</v>
      </c>
      <c r="AD7" s="28"/>
      <c r="AE7" s="28" t="s">
        <v>39</v>
      </c>
      <c r="AF7" s="28" t="s">
        <v>31</v>
      </c>
    </row>
    <row r="8" spans="1:32" s="22" customFormat="1" ht="167.25">
      <c r="A8" s="62"/>
      <c r="B8" s="62"/>
      <c r="C8" s="66"/>
      <c r="D8" s="64"/>
      <c r="E8" s="81" t="s">
        <v>50</v>
      </c>
      <c r="F8" s="89" t="s">
        <v>51</v>
      </c>
      <c r="G8" s="52">
        <v>0</v>
      </c>
      <c r="H8" s="52">
        <v>22</v>
      </c>
      <c r="I8" s="90" t="s">
        <v>96</v>
      </c>
      <c r="J8" s="29" t="s">
        <v>28</v>
      </c>
      <c r="K8" s="67"/>
      <c r="L8" s="83" t="s">
        <v>29</v>
      </c>
      <c r="M8" s="71" t="s">
        <v>90</v>
      </c>
      <c r="N8" s="79" t="s">
        <v>30</v>
      </c>
      <c r="O8" s="71"/>
      <c r="P8" s="71"/>
      <c r="Q8" s="71"/>
      <c r="R8" s="71"/>
      <c r="S8" s="80"/>
      <c r="T8" s="71"/>
      <c r="U8" s="80"/>
      <c r="X8" s="59"/>
      <c r="Y8" s="91" t="s">
        <v>53</v>
      </c>
      <c r="Z8" s="29"/>
      <c r="AA8" s="28" t="s">
        <v>30</v>
      </c>
      <c r="AB8" s="28" t="s">
        <v>31</v>
      </c>
      <c r="AC8" s="71"/>
      <c r="AD8" s="28"/>
      <c r="AE8" s="28"/>
      <c r="AF8" s="28"/>
    </row>
    <row r="9" spans="1:32" ht="76.5">
      <c r="A9" s="92">
        <v>112038</v>
      </c>
      <c r="B9" s="93" t="s">
        <v>54</v>
      </c>
      <c r="C9" s="94" t="s">
        <v>55</v>
      </c>
      <c r="D9" s="95">
        <v>2665440</v>
      </c>
      <c r="E9" s="96" t="s">
        <v>56</v>
      </c>
      <c r="F9" s="97" t="s">
        <v>57</v>
      </c>
      <c r="G9" s="98">
        <v>0</v>
      </c>
      <c r="H9" s="98" t="s">
        <v>97</v>
      </c>
      <c r="I9" s="97" t="s">
        <v>98</v>
      </c>
      <c r="J9" s="99" t="s">
        <v>59</v>
      </c>
      <c r="K9" s="100">
        <v>0.54</v>
      </c>
      <c r="L9" s="101" t="s">
        <v>60</v>
      </c>
      <c r="M9" s="102" t="s">
        <v>99</v>
      </c>
      <c r="N9" s="103" t="s">
        <v>30</v>
      </c>
      <c r="O9" s="102"/>
      <c r="P9" s="102"/>
      <c r="Q9" s="102" t="s">
        <v>100</v>
      </c>
      <c r="R9" s="102"/>
      <c r="S9" s="104" t="s">
        <v>101</v>
      </c>
      <c r="T9" s="102"/>
      <c r="U9" s="104"/>
      <c r="V9" s="105"/>
      <c r="W9" s="105"/>
      <c r="X9" s="106" t="s">
        <v>60</v>
      </c>
      <c r="Y9" s="107"/>
      <c r="Z9" s="99"/>
      <c r="AA9" s="99" t="s">
        <v>30</v>
      </c>
      <c r="AB9" s="99" t="s">
        <v>56</v>
      </c>
      <c r="AC9" s="102"/>
      <c r="AD9" s="99"/>
      <c r="AE9" s="99"/>
      <c r="AF9" s="99"/>
    </row>
    <row r="10" spans="1:32" s="23" customFormat="1" ht="336">
      <c r="A10" s="92"/>
      <c r="B10" s="93" t="s">
        <v>102</v>
      </c>
      <c r="C10" s="94"/>
      <c r="D10" s="95"/>
      <c r="E10" s="96" t="s">
        <v>61</v>
      </c>
      <c r="F10" s="97" t="s">
        <v>62</v>
      </c>
      <c r="G10" s="98">
        <v>0</v>
      </c>
      <c r="H10" s="98">
        <v>0.108</v>
      </c>
      <c r="I10" s="97" t="s">
        <v>103</v>
      </c>
      <c r="J10" s="99" t="s">
        <v>59</v>
      </c>
      <c r="K10" s="108"/>
      <c r="L10" s="101" t="s">
        <v>60</v>
      </c>
      <c r="M10" s="102" t="s">
        <v>99</v>
      </c>
      <c r="N10" s="103" t="s">
        <v>30</v>
      </c>
      <c r="O10" s="102" t="s">
        <v>47</v>
      </c>
      <c r="P10" s="102"/>
      <c r="Q10" s="102" t="s">
        <v>100</v>
      </c>
      <c r="R10" s="102"/>
      <c r="S10" s="104" t="s">
        <v>101</v>
      </c>
      <c r="T10" s="102"/>
      <c r="U10" s="104"/>
      <c r="V10" s="105"/>
      <c r="W10" s="105"/>
      <c r="X10" s="106"/>
      <c r="Y10" s="109"/>
      <c r="Z10" s="110"/>
      <c r="AA10" s="99" t="s">
        <v>64</v>
      </c>
      <c r="AB10" s="99" t="s">
        <v>47</v>
      </c>
      <c r="AC10" s="102"/>
      <c r="AD10" s="99"/>
      <c r="AE10" s="99"/>
      <c r="AF10" s="99"/>
    </row>
    <row r="11" spans="1:32" ht="76.5">
      <c r="A11" s="111"/>
      <c r="B11" s="112"/>
      <c r="C11" s="113"/>
      <c r="D11" s="114"/>
      <c r="E11" s="96" t="s">
        <v>24</v>
      </c>
      <c r="F11" s="97" t="s">
        <v>65</v>
      </c>
      <c r="G11" s="98">
        <v>0</v>
      </c>
      <c r="H11" s="98" t="s">
        <v>104</v>
      </c>
      <c r="I11" s="97" t="s">
        <v>105</v>
      </c>
      <c r="J11" s="99" t="s">
        <v>59</v>
      </c>
      <c r="K11" s="108"/>
      <c r="L11" s="101" t="s">
        <v>60</v>
      </c>
      <c r="M11" s="102" t="s">
        <v>99</v>
      </c>
      <c r="N11" s="103" t="s">
        <v>30</v>
      </c>
      <c r="O11" s="102"/>
      <c r="P11" s="102"/>
      <c r="Q11" s="102" t="s">
        <v>39</v>
      </c>
      <c r="R11" s="102"/>
      <c r="S11" s="104"/>
      <c r="T11" s="102"/>
      <c r="U11" s="104"/>
      <c r="V11" s="105"/>
      <c r="W11" s="105"/>
      <c r="X11" s="115"/>
      <c r="Y11" s="107"/>
      <c r="Z11" s="99"/>
      <c r="AA11" s="99" t="s">
        <v>30</v>
      </c>
      <c r="AB11" s="99" t="s">
        <v>31</v>
      </c>
      <c r="AC11" s="102"/>
      <c r="AD11" s="99"/>
      <c r="AE11" s="99"/>
      <c r="AF11" s="99"/>
    </row>
    <row r="12" spans="1:32" ht="76.5">
      <c r="A12" s="116"/>
      <c r="B12" s="117"/>
      <c r="C12" s="118"/>
      <c r="D12" s="114"/>
      <c r="E12" s="96" t="s">
        <v>24</v>
      </c>
      <c r="F12" s="97" t="s">
        <v>67</v>
      </c>
      <c r="G12" s="98">
        <v>0</v>
      </c>
      <c r="H12" s="98">
        <v>5</v>
      </c>
      <c r="I12" s="97" t="s">
        <v>68</v>
      </c>
      <c r="J12" s="99"/>
      <c r="K12" s="99"/>
      <c r="L12" s="101" t="s">
        <v>60</v>
      </c>
      <c r="M12" s="102" t="s">
        <v>99</v>
      </c>
      <c r="N12" s="103" t="s">
        <v>30</v>
      </c>
      <c r="O12" s="102"/>
      <c r="P12" s="102"/>
      <c r="Q12" s="102"/>
      <c r="R12" s="102"/>
      <c r="S12" s="104"/>
      <c r="T12" s="102"/>
      <c r="U12" s="104"/>
      <c r="V12" s="105"/>
      <c r="W12" s="105"/>
      <c r="X12" s="119"/>
      <c r="Y12" s="99"/>
      <c r="Z12" s="99"/>
      <c r="AA12" s="99" t="s">
        <v>30</v>
      </c>
      <c r="AB12" s="99" t="s">
        <v>31</v>
      </c>
      <c r="AC12" s="102"/>
      <c r="AD12" s="99"/>
      <c r="AE12" s="99"/>
      <c r="AF12" s="99"/>
    </row>
    <row r="13" spans="1:32" ht="60.75">
      <c r="A13" s="98"/>
      <c r="B13" s="97"/>
      <c r="C13" s="120"/>
      <c r="D13" s="121"/>
      <c r="E13" s="96" t="s">
        <v>24</v>
      </c>
      <c r="F13" s="97" t="s">
        <v>69</v>
      </c>
      <c r="G13" s="98">
        <v>0</v>
      </c>
      <c r="H13" s="98">
        <v>100000</v>
      </c>
      <c r="I13" s="97" t="s">
        <v>70</v>
      </c>
      <c r="J13" s="99"/>
      <c r="K13" s="99"/>
      <c r="L13" s="101" t="s">
        <v>60</v>
      </c>
      <c r="M13" s="102" t="s">
        <v>99</v>
      </c>
      <c r="N13" s="103" t="s">
        <v>30</v>
      </c>
      <c r="O13" s="102"/>
      <c r="P13" s="102"/>
      <c r="Q13" s="102"/>
      <c r="R13" s="102"/>
      <c r="S13" s="104"/>
      <c r="T13" s="102"/>
      <c r="U13" s="104"/>
      <c r="V13" s="105"/>
      <c r="W13" s="105"/>
      <c r="X13" s="99"/>
      <c r="Y13" s="99"/>
      <c r="Z13" s="99"/>
      <c r="AA13" s="99" t="s">
        <v>30</v>
      </c>
      <c r="AB13" s="99" t="s">
        <v>31</v>
      </c>
      <c r="AC13" s="102"/>
      <c r="AD13" s="99"/>
      <c r="AE13" s="99"/>
      <c r="AF13" s="99"/>
    </row>
    <row r="14" spans="1:32" ht="121.5">
      <c r="A14" s="98"/>
      <c r="B14" s="97"/>
      <c r="C14" s="120"/>
      <c r="D14" s="121"/>
      <c r="E14" s="96" t="s">
        <v>24</v>
      </c>
      <c r="F14" s="97" t="s">
        <v>106</v>
      </c>
      <c r="G14" s="98">
        <v>0</v>
      </c>
      <c r="H14" s="98">
        <v>4</v>
      </c>
      <c r="I14" s="97" t="s">
        <v>107</v>
      </c>
      <c r="J14" s="99"/>
      <c r="K14" s="99"/>
      <c r="L14" s="101" t="s">
        <v>60</v>
      </c>
      <c r="M14" s="102" t="s">
        <v>99</v>
      </c>
      <c r="N14" s="103" t="s">
        <v>30</v>
      </c>
      <c r="O14" s="102" t="s">
        <v>47</v>
      </c>
      <c r="P14" s="102"/>
      <c r="Q14" s="102" t="s">
        <v>108</v>
      </c>
      <c r="R14" s="102"/>
      <c r="S14" s="104"/>
      <c r="T14" s="102"/>
      <c r="U14" s="104"/>
      <c r="V14" s="105"/>
      <c r="W14" s="105"/>
      <c r="X14" s="99"/>
      <c r="Y14" s="99"/>
      <c r="Z14" s="99"/>
      <c r="AA14" s="99"/>
      <c r="AB14" s="102"/>
      <c r="AD14" s="99"/>
      <c r="AE14" s="99"/>
      <c r="AF14" s="99"/>
    </row>
    <row r="15" spans="1:32" ht="198">
      <c r="A15" s="98"/>
      <c r="B15" s="97"/>
      <c r="C15" s="120"/>
      <c r="D15" s="121"/>
      <c r="E15" s="96" t="s">
        <v>19</v>
      </c>
      <c r="F15" s="97" t="s">
        <v>109</v>
      </c>
      <c r="G15" s="98">
        <v>0</v>
      </c>
      <c r="H15" s="98">
        <v>5</v>
      </c>
      <c r="I15" s="97" t="s">
        <v>110</v>
      </c>
      <c r="J15" s="99"/>
      <c r="K15" s="99"/>
      <c r="L15" s="101" t="s">
        <v>60</v>
      </c>
      <c r="M15" s="102" t="s">
        <v>99</v>
      </c>
      <c r="N15" s="103" t="s">
        <v>30</v>
      </c>
      <c r="O15" s="102" t="s">
        <v>47</v>
      </c>
      <c r="P15" s="102"/>
      <c r="Q15" s="102" t="s">
        <v>111</v>
      </c>
      <c r="R15" s="102"/>
      <c r="S15" s="104"/>
      <c r="T15" s="102" t="s">
        <v>37</v>
      </c>
      <c r="U15" s="104"/>
      <c r="V15" s="105"/>
      <c r="W15" s="105"/>
      <c r="X15" s="99"/>
      <c r="Y15" s="99"/>
      <c r="Z15" s="99"/>
      <c r="AA15" s="99"/>
      <c r="AB15" s="99"/>
      <c r="AC15" s="102"/>
      <c r="AD15" s="99"/>
      <c r="AE15" s="99"/>
      <c r="AF15" s="99"/>
    </row>
    <row r="16" spans="1:32" ht="121.5">
      <c r="A16" s="98"/>
      <c r="B16" s="97"/>
      <c r="C16" s="120"/>
      <c r="D16" s="121"/>
      <c r="E16" s="96" t="s">
        <v>85</v>
      </c>
      <c r="F16" s="97" t="s">
        <v>112</v>
      </c>
      <c r="G16" s="98">
        <v>0</v>
      </c>
      <c r="H16" s="122">
        <v>100000</v>
      </c>
      <c r="I16" s="97" t="s">
        <v>113</v>
      </c>
      <c r="J16" s="99"/>
      <c r="K16" s="123">
        <v>0.61</v>
      </c>
      <c r="L16" s="101" t="s">
        <v>60</v>
      </c>
      <c r="M16" s="102" t="s">
        <v>99</v>
      </c>
      <c r="N16" s="103" t="s">
        <v>30</v>
      </c>
      <c r="O16" s="102" t="s">
        <v>114</v>
      </c>
      <c r="P16" s="102"/>
      <c r="Q16" s="102" t="s">
        <v>36</v>
      </c>
      <c r="R16" s="102" t="s">
        <v>47</v>
      </c>
      <c r="S16" s="104"/>
      <c r="T16" s="102" t="s">
        <v>37</v>
      </c>
      <c r="U16" s="104"/>
      <c r="V16" s="105"/>
      <c r="W16" s="105"/>
      <c r="X16" s="99"/>
      <c r="Y16" s="99"/>
      <c r="Z16" s="99"/>
      <c r="AA16" s="99"/>
      <c r="AB16" s="99"/>
      <c r="AC16" s="102"/>
      <c r="AD16" s="99"/>
      <c r="AE16" s="99"/>
      <c r="AF16" s="99"/>
    </row>
    <row r="17" spans="1:32" ht="30.75">
      <c r="A17" s="98"/>
      <c r="B17" s="97"/>
      <c r="C17" s="120"/>
      <c r="D17" s="121"/>
      <c r="E17" s="124" t="s">
        <v>42</v>
      </c>
      <c r="F17" s="125"/>
      <c r="G17" s="98">
        <v>0</v>
      </c>
      <c r="H17" s="125"/>
      <c r="I17" s="97" t="s">
        <v>115</v>
      </c>
      <c r="J17" s="99"/>
      <c r="K17" s="99"/>
      <c r="L17" s="101" t="s">
        <v>60</v>
      </c>
      <c r="M17" s="102" t="s">
        <v>99</v>
      </c>
      <c r="N17" s="103"/>
      <c r="O17" s="102"/>
      <c r="P17" s="102"/>
      <c r="Q17" s="102" t="s">
        <v>100</v>
      </c>
      <c r="R17" s="102"/>
      <c r="S17" s="104"/>
      <c r="T17" s="102"/>
      <c r="U17" s="104"/>
      <c r="V17" s="105"/>
      <c r="W17" s="105"/>
      <c r="X17" s="99"/>
      <c r="Y17" s="99"/>
      <c r="Z17" s="99"/>
      <c r="AA17" s="99"/>
      <c r="AB17" s="99"/>
      <c r="AC17" s="102"/>
      <c r="AD17" s="99"/>
      <c r="AE17" s="99"/>
      <c r="AF17" s="99"/>
    </row>
    <row r="18" spans="1:32" s="84" customFormat="1" ht="152.25">
      <c r="A18" s="126" t="s">
        <v>71</v>
      </c>
      <c r="B18" s="52" t="s">
        <v>72</v>
      </c>
      <c r="C18" s="127" t="s">
        <v>116</v>
      </c>
      <c r="D18" s="128">
        <v>26000</v>
      </c>
      <c r="E18" s="79" t="s">
        <v>56</v>
      </c>
      <c r="F18" s="52" t="s">
        <v>73</v>
      </c>
      <c r="G18" s="126">
        <v>0</v>
      </c>
      <c r="H18" s="126">
        <v>200</v>
      </c>
      <c r="I18" s="52" t="s">
        <v>117</v>
      </c>
      <c r="J18" s="129" t="s">
        <v>118</v>
      </c>
      <c r="K18" s="130">
        <f>(27+15)/67</f>
        <v>0.62686567164179108</v>
      </c>
      <c r="L18" s="78" t="s">
        <v>29</v>
      </c>
      <c r="M18" s="71" t="s">
        <v>90</v>
      </c>
      <c r="N18" s="79" t="s">
        <v>64</v>
      </c>
      <c r="O18" s="71" t="s">
        <v>56</v>
      </c>
      <c r="P18" s="71"/>
      <c r="Q18" s="71"/>
      <c r="R18" s="71"/>
      <c r="S18" s="80"/>
      <c r="T18" s="71"/>
      <c r="U18" s="80"/>
      <c r="X18" s="129"/>
      <c r="Y18" s="30" t="s">
        <v>53</v>
      </c>
      <c r="Z18" s="129"/>
      <c r="AA18" s="131" t="s">
        <v>30</v>
      </c>
      <c r="AB18" s="131" t="s">
        <v>56</v>
      </c>
      <c r="AC18" s="71"/>
      <c r="AD18" s="131"/>
      <c r="AE18" s="131"/>
      <c r="AF18" s="131"/>
    </row>
    <row r="25" spans="1:32">
      <c r="C25" s="132"/>
    </row>
    <row r="26" spans="1:32">
      <c r="C26" s="132"/>
    </row>
    <row r="27" spans="1:32">
      <c r="C27" s="132"/>
    </row>
    <row r="28" spans="1:32">
      <c r="C28" s="132"/>
    </row>
    <row r="29" spans="1:32">
      <c r="C29" s="132"/>
    </row>
    <row r="30" spans="1:32">
      <c r="C30" s="132"/>
    </row>
    <row r="31" spans="1:32">
      <c r="C31" s="132"/>
    </row>
  </sheetData>
  <dataValidations count="13">
    <dataValidation type="list" allowBlank="1" showInputMessage="1" showErrorMessage="1" sqref="P19:Q20 AB2:AB18" xr:uid="{AEC86146-C095-4E09-B1B0-13459C32A4C0}">
      <formula1>"Electricity Access, Energy Efficiency, Clean Cooking, Renewable Energy"</formula1>
    </dataValidation>
    <dataValidation type="list" allowBlank="1" showInputMessage="1" showErrorMessage="1" sqref="P2:P18 AD2:AD18" xr:uid="{B9803342-1FF2-4DA6-9372-1D76BD207C06}">
      <formula1>"AMP, PUDC, Solar4Health, Action Opportunities, Italy UNDP Energy Partnership"</formula1>
    </dataValidation>
    <dataValidation type="list" allowBlank="1" showInputMessage="1" showErrorMessage="1" sqref="O19:O20 N2:N18 AA2:AA18" xr:uid="{8B2C8F2E-AE12-4684-8F76-2CB6106B85BF}">
      <formula1>"Accelerating just energy transition, Close the gap on energy access, Scale up energy finance"</formula1>
    </dataValidation>
    <dataValidation type="list" allowBlank="1" showInputMessage="1" showErrorMessage="1" sqref="S19:S29 Q2:Q18 AE2:AE18" xr:uid="{508038E3-60F3-48F1-A83F-7166C2F1592F}">
      <formula1>"NDC Support, National Strategy, Legal Framework,Incentives and Support, Government Capacity-Building, Carbon Pricing and Monitoring, Financing Model, Business Model"</formula1>
    </dataValidation>
    <dataValidation type="list" allowBlank="1" showInputMessage="1" showErrorMessage="1" sqref="T19:T32 AF2:AF18" xr:uid="{3C7D347C-284B-4766-B258-7D87F1E945A7}">
      <formula1>"Electricity Access, Energy Efficiency, Renewable EnergyEnergy Infrastructure,   Transport, Digital &amp; Data, Clean Cooking, Decarbonization, Hydrogen, Off-Grid, On-Grid"</formula1>
    </dataValidation>
    <dataValidation type="list" allowBlank="1" showInputMessage="1" showErrorMessage="1" sqref="O2:O18" xr:uid="{FBCF090D-AA1E-4D00-9B80-8D91060492A6}">
      <formula1>"Electricity Access, Energy Efficiency, Clean Cooking, Renewable Energy, Overall"</formula1>
    </dataValidation>
    <dataValidation type="list" allowBlank="1" showInputMessage="1" showErrorMessage="1" sqref="M2:M18" xr:uid="{46328FA5-EE5D-4C04-BD25-FE8EB21A87F8}">
      <formula1>"Finance, Gender, Efficiency, Just, Health"</formula1>
    </dataValidation>
    <dataValidation type="list" allowBlank="1" showInputMessage="1" showErrorMessage="1" sqref="T2:T18" xr:uid="{3A76D258-0A26-45F2-A3F3-715A1D507E12}">
      <formula1>"National, Regional, City, Community"</formula1>
    </dataValidation>
    <dataValidation type="list" allowBlank="1" showInputMessage="1" showErrorMessage="1" sqref="L2:L18" xr:uid="{1CEC30F7-4943-455D-ACAB-6887E8EBA589}">
      <formula1>"Non-VF, VF"</formula1>
    </dataValidation>
    <dataValidation type="list" allowBlank="1" showInputMessage="1" showErrorMessage="1" sqref="R2:R18" xr:uid="{01BB03C9-3946-406B-BA09-3E427F069545}">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8" xr:uid="{9A24D61D-8532-4025-BB2E-8E5C939FD3B9}">
      <formula1>"Solar, Wind, Bioenergy, Hydro, Geothermal, Waste, Some Sources, Other, Unknown"</formula1>
    </dataValidation>
    <dataValidation type="list" allowBlank="1" showInputMessage="1" showErrorMessage="1" sqref="AC2:AC13 AB14 AC15:AC18" xr:uid="{877DD6BF-3291-4236-B017-CA736978590E}">
      <formula1>"Tier 1, Tier 2, Tier 3"</formula1>
    </dataValidation>
    <dataValidation type="list" allowBlank="1" showInputMessage="1" showErrorMessage="1" sqref="E2:E5 E7:E16" xr:uid="{33F76EFD-AD55-4B69-978A-D8A8ECD8EE3E}">
      <formula1>$A$2:$A$22</formula1>
    </dataValidation>
  </dataValidations>
  <hyperlinks>
    <hyperlink ref="C2" r:id="rId1" xr:uid="{ECBF53F7-5E7A-4FEE-A95A-7B3E3A5720AC}"/>
    <hyperlink ref="C9" r:id="rId2" xr:uid="{EE72C64C-3166-4964-9C25-24A6429EE0AE}"/>
    <hyperlink ref="C18" r:id="rId3" xr:uid="{CBFA03A0-AD72-4692-966C-69BEF40C361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4.45"/>
  <cols>
    <col min="1" max="2" width="52.7109375" customWidth="1"/>
  </cols>
  <sheetData>
    <row r="1" spans="1:2">
      <c r="A1" s="72" t="s">
        <v>4</v>
      </c>
      <c r="B1" s="72" t="s">
        <v>5</v>
      </c>
    </row>
    <row r="2" spans="1:2" ht="43.5">
      <c r="A2" s="149" t="s">
        <v>56</v>
      </c>
      <c r="B2" s="73" t="s">
        <v>119</v>
      </c>
    </row>
    <row r="3" spans="1:2">
      <c r="A3" s="149" t="s">
        <v>61</v>
      </c>
      <c r="B3" s="73" t="s">
        <v>120</v>
      </c>
    </row>
    <row r="4" spans="1:2" ht="29.1">
      <c r="A4" s="149" t="s">
        <v>121</v>
      </c>
      <c r="B4" s="73" t="s">
        <v>122</v>
      </c>
    </row>
    <row r="5" spans="1:2" ht="29.1">
      <c r="A5" s="149" t="s">
        <v>123</v>
      </c>
      <c r="B5" s="73" t="s">
        <v>124</v>
      </c>
    </row>
    <row r="6" spans="1:2" ht="87">
      <c r="A6" s="149" t="s">
        <v>125</v>
      </c>
      <c r="B6" s="73" t="s">
        <v>126</v>
      </c>
    </row>
    <row r="7" spans="1:2" ht="43.5">
      <c r="A7" s="149" t="s">
        <v>127</v>
      </c>
      <c r="B7" s="73" t="s">
        <v>128</v>
      </c>
    </row>
    <row r="8" spans="1:2" ht="43.5">
      <c r="A8" s="149" t="s">
        <v>129</v>
      </c>
      <c r="B8" s="73" t="s">
        <v>130</v>
      </c>
    </row>
    <row r="9" spans="1:2" ht="43.5">
      <c r="A9" s="149" t="s">
        <v>131</v>
      </c>
      <c r="B9" s="73" t="s">
        <v>132</v>
      </c>
    </row>
    <row r="10" spans="1:2" ht="29.1">
      <c r="A10" s="149" t="s">
        <v>133</v>
      </c>
      <c r="B10" s="150" t="s">
        <v>134</v>
      </c>
    </row>
    <row r="11" spans="1:2" ht="29.1">
      <c r="A11" s="149" t="s">
        <v>50</v>
      </c>
      <c r="B11" s="150" t="s">
        <v>135</v>
      </c>
    </row>
    <row r="12" spans="1:2" ht="43.5">
      <c r="A12" s="149" t="s">
        <v>136</v>
      </c>
      <c r="B12" s="73" t="s">
        <v>137</v>
      </c>
    </row>
    <row r="13" spans="1:2" ht="29.1">
      <c r="A13" s="149" t="s">
        <v>80</v>
      </c>
      <c r="B13" s="150" t="s">
        <v>138</v>
      </c>
    </row>
    <row r="14" spans="1:2">
      <c r="A14" s="149" t="s">
        <v>139</v>
      </c>
      <c r="B14" s="150" t="s">
        <v>140</v>
      </c>
    </row>
    <row r="15" spans="1:2" ht="29.1">
      <c r="A15" s="149" t="s">
        <v>141</v>
      </c>
      <c r="B15" s="150" t="s">
        <v>142</v>
      </c>
    </row>
    <row r="16" spans="1:2" ht="29.1">
      <c r="A16" s="149" t="s">
        <v>143</v>
      </c>
      <c r="B16" s="150" t="s">
        <v>144</v>
      </c>
    </row>
    <row r="17" spans="1:2" ht="29.1">
      <c r="A17" s="149" t="s">
        <v>24</v>
      </c>
      <c r="B17" s="73" t="s">
        <v>145</v>
      </c>
    </row>
    <row r="18" spans="1:2" ht="29.1">
      <c r="A18" s="149" t="s">
        <v>79</v>
      </c>
      <c r="B18" s="150" t="s">
        <v>146</v>
      </c>
    </row>
    <row r="19" spans="1:2" ht="72.599999999999994">
      <c r="A19" s="149" t="s">
        <v>147</v>
      </c>
      <c r="B19" s="150" t="s">
        <v>148</v>
      </c>
    </row>
    <row r="20" spans="1:2" ht="29.1">
      <c r="A20" s="149" t="s">
        <v>85</v>
      </c>
      <c r="B20" s="150" t="s">
        <v>149</v>
      </c>
    </row>
    <row r="21" spans="1:2" ht="43.5">
      <c r="A21" s="149" t="s">
        <v>19</v>
      </c>
      <c r="B21" s="151" t="s">
        <v>150</v>
      </c>
    </row>
    <row r="22" spans="1:2" ht="29.1">
      <c r="A22" s="149" t="s">
        <v>151</v>
      </c>
      <c r="B22" s="150" t="s">
        <v>152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AC1A98-C21D-4D7B-9D3E-59462D5655A1}"/>
</file>

<file path=customXml/itemProps2.xml><?xml version="1.0" encoding="utf-8"?>
<ds:datastoreItem xmlns:ds="http://schemas.openxmlformats.org/officeDocument/2006/customXml" ds:itemID="{7A004395-6E39-4F77-B900-4574E2DB0C85}"/>
</file>

<file path=customXml/itemProps3.xml><?xml version="1.0" encoding="utf-8"?>
<ds:datastoreItem xmlns:ds="http://schemas.openxmlformats.org/officeDocument/2006/customXml" ds:itemID="{D9DC77E2-72A3-4783-AE1C-D17056907E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2024-11-22T22:34:05Z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