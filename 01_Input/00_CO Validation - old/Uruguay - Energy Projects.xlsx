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2"/>
  <workbookPr defaultThemeVersion="124226"/>
  <mc:AlternateContent xmlns:mc="http://schemas.openxmlformats.org/markup-compatibility/2006">
    <mc:Choice Requires="x15">
      <x15ac:absPath xmlns:x15ac="http://schemas.microsoft.com/office/spreadsheetml/2010/11/ac" url="https://undp-my.sharepoint.com/personal/francisco_pons_undp_org/Documents/Desktop/"/>
    </mc:Choice>
  </mc:AlternateContent>
  <xr:revisionPtr revIDLastSave="0" documentId="8_{7C89B3B1-5FEB-4733-9B03-79A0C66BAFF9}" xr6:coauthVersionLast="47" xr6:coauthVersionMax="47" xr10:uidLastSave="{00000000-0000-0000-0000-000000000000}"/>
  <bookViews>
    <workbookView xWindow="-110" yWindow="-110" windowWidth="19420" windowHeight="104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<sst xmlns="http://schemas.openxmlformats.org/spreadsheetml/2006/main" count="232" uniqueCount="113">
  <si>
    <t>Project ID</t>
  </si>
  <si>
    <t>Title</t>
  </si>
  <si>
    <t>Link</t>
  </si>
  <si>
    <t>Project Description</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</si>
  <si>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</si>
  <si>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</si>
  <si>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</si>
  <si>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</si>
  <si>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</si>
  <si>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</si>
  <si>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</si>
  <si>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</si>
  <si>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</si>
  <si>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</si>
  <si>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</si>
  <si>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</si>
  <si>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</si>
  <si>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</si>
  <si>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</si>
  <si>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</si>
  <si>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</si>
  <si>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</si>
  <si>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Gender Marker</t>
  </si>
  <si>
    <t xml:space="preserve">ONU/21/001 Innovative Finance for Clean Tech Solutions in Uruguay´s Renewable Energy Sector: The Renewable Energy Innovation Fund (REIF)
</t>
  </si>
  <si>
    <t>https://open.undp.org/projects/00137005</t>
  </si>
  <si>
    <t>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t>
  </si>
  <si>
    <t>Transportation and E-mobility Services</t>
  </si>
  <si>
    <t>1,000,000 anual users of the public transport system that would be positively impacted with the new electric buses</t>
  </si>
  <si>
    <t>JP:10000000
UNDP: 804250</t>
  </si>
  <si>
    <t>Joint SDG Fund</t>
  </si>
  <si>
    <t>Non-VF</t>
  </si>
  <si>
    <t>Close the gap on energy access</t>
  </si>
  <si>
    <t>Energy Efficiency</t>
  </si>
  <si>
    <t>Incentives and Support</t>
  </si>
  <si>
    <t>GEN2</t>
  </si>
  <si>
    <t>Electricity Access</t>
  </si>
  <si>
    <t>5000 people vinculated to the hydrogen development</t>
  </si>
  <si>
    <t>Renewable Energy</t>
  </si>
  <si>
    <t>National Strategy</t>
  </si>
  <si>
    <t>Other</t>
  </si>
  <si>
    <t>Energy Efficiency Services</t>
  </si>
  <si>
    <t>100,000 approximated stakeholders related to the activity areas of feasibility studies</t>
  </si>
  <si>
    <t>Financing leveraged by REIF from local financial institutions (USD)</t>
  </si>
  <si>
    <t>n/a since it depends on the type of investment projects pending to be approved by the fund. However, we estimate 10 private projects during the first year</t>
  </si>
  <si>
    <t>Financing Model</t>
  </si>
  <si>
    <t>GHG Emissions Reduction</t>
  </si>
  <si>
    <t>kt of CO2 equivalent</t>
  </si>
  <si>
    <t>URU/17/G32 MOVÉS: Towards a sustainable and efficient urban mobility system in Uruguay</t>
  </si>
  <si>
    <t>https://www.undp.org/es/uruguay/proyectos/moves-hacia-un-sistema-de-movilidad-urbana-sostenible-y-eficiente-en-uruguay</t>
  </si>
  <si>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</si>
  <si>
    <t>13 new partnerships developed for improving energy efficiency in transport</t>
  </si>
  <si>
    <t>Partnerships signed between government and companies interested in using EVs.</t>
  </si>
  <si>
    <t>Global Environment Fund Truste</t>
  </si>
  <si>
    <t>VF</t>
  </si>
  <si>
    <t>Accelerating Just Energy Transition</t>
  </si>
  <si>
    <t xml:space="preserve">Financing support </t>
  </si>
  <si>
    <t>Number of e-buses co-financed and operational</t>
  </si>
  <si>
    <t>New e-bus subsidy increased from original scope of 5 to 32 e-buses now in use, with $14M co-investments.</t>
  </si>
  <si>
    <t>Number of companies participating in e-vehicle trials</t>
  </si>
  <si>
    <t>Rental trials for e-bikes/tricycles in logistics. 3 years of 100% EV sales growth.</t>
  </si>
  <si>
    <t>Number of formalized coordination bodies on transport energy efficiency</t>
  </si>
  <si>
    <t>Established National Commission on Transport Energy Efficiency to ensure sustainability of results.</t>
  </si>
  <si>
    <t>Number of revised regulations supporting e-mobility</t>
  </si>
  <si>
    <t>Revised policies on tax, incentives, vehicle labeling, battery/ end-of-life management, etc.</t>
  </si>
  <si>
    <t>Category</t>
  </si>
  <si>
    <t>Comments</t>
  </si>
  <si>
    <t>ONU/21/001 Financiación innovadora para soluciones de tecnología limpia en el sector de las energías renovables de Uruguay: El Fondo de Innovación de Energías Renovables (REIF)</t>
  </si>
  <si>
    <t>Other Energy Services</t>
  </si>
  <si>
    <t>Scale up energy finance</t>
  </si>
  <si>
    <t>Hydrogen</t>
  </si>
  <si>
    <t>Transport</t>
  </si>
  <si>
    <t>Renewable EnergyEnergy Infrastructure</t>
  </si>
  <si>
    <t>Cumulative number of electric buses</t>
  </si>
  <si>
    <t xml:space="preserve">Can you please provide in the Notes an estimate of number of beneficiaries that you can reach trough this indicator ? </t>
  </si>
  <si>
    <t>Green hydrogen strategy and regulation development (gender-responsive). Number of regulatory needs assessment completed</t>
  </si>
  <si>
    <t>Electromobility technology knowledge and capacities developed. Number of feasibility studies for electric vehicles penetration in different activity sectors</t>
  </si>
  <si>
    <t>Capacity Training</t>
  </si>
  <si>
    <t xml:space="preserve">Needs beneficiary estimates listed in target for policies, with explanation to Notes.
</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</si>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</sst>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409]* #,##0.00_);_([$$-409]* \(#,##0.00\);_([$$-409]*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font>
    <font>
      <b/>
      <sz val="11"/>
      <color rgb="FFFF0000"/>
      <name val="Calibri"/>
      <family val="2"/>
      <scheme val="minor"/>
    </font>
    <font>
      <sz val="11"/>
      <color rgb="FF000000"/>
      <name val="Calibri"/>
      <charset val="1"/>
    </font>
    <font>
      <b/>
      <sz val="11"/>
      <color theme="1"/>
      <name val="Calibri"/>
      <scheme val="minor"/>
    </font>
    <font>
      <sz val="11"/>
      <color rgb="FF000000"/>
      <name val="Calibri"/>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100">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3" fontId="2" fillId="0" borderId="1" xfId="0" applyNumberFormat="1" applyFont="1" applyBorder="1" applyAlignment="1">
      <alignment horizontal="center" vertical="top"/>
    </xf>
    <xf numFmtId="43" fontId="0" fillId="0" borderId="0" xfId="0" applyNumberFormat="1" applyAlignment="1">
      <alignment vertical="top"/>
    </xf>
    <xf numFmtId="0" fontId="3" fillId="0" borderId="0" xfId="1" applyAlignment="1" applyProtection="1"/>
    <xf numFmtId="0" fontId="0" fillId="0" borderId="0" xfId="0" applyAlignment="1">
      <alignment wrapText="1"/>
    </xf>
    <xf numFmtId="0" fontId="2" fillId="0" borderId="0" xfId="0" applyFont="1" applyAlignment="1">
      <alignment vertical="top"/>
    </xf>
    <xf numFmtId="43" fontId="0" fillId="0" borderId="0" xfId="0" applyNumberFormat="1" applyAlignment="1">
      <alignment wrapText="1"/>
    </xf>
    <xf numFmtId="0" fontId="0" fillId="0" borderId="0" xfId="0" applyAlignment="1">
      <alignment horizontal="left" vertical="center"/>
    </xf>
    <xf numFmtId="0" fontId="0" fillId="0" borderId="0" xfId="0" applyAlignment="1">
      <alignment horizontal="left" vertical="center" wrapText="1"/>
    </xf>
    <xf numFmtId="0" fontId="4" fillId="0" borderId="0" xfId="0" applyFont="1" applyAlignment="1">
      <alignment wrapText="1"/>
    </xf>
    <xf numFmtId="0" fontId="5" fillId="0" borderId="0" xfId="0" applyFont="1" applyAlignment="1">
      <alignment vertical="top"/>
    </xf>
    <xf numFmtId="3" fontId="0" fillId="0" borderId="0" xfId="0" applyNumberFormat="1" applyAlignment="1">
      <alignment horizontal="left" vertical="center" wrapText="1"/>
    </xf>
    <xf numFmtId="0" fontId="2" fillId="0" borderId="0" xfId="0" applyFont="1"/>
    <xf numFmtId="0" fontId="2" fillId="0" borderId="1" xfId="0" applyFont="1" applyBorder="1" applyAlignment="1">
      <alignment vertical="top"/>
    </xf>
    <xf numFmtId="0" fontId="2" fillId="0" borderId="1" xfId="0" applyFont="1" applyBorder="1"/>
    <xf numFmtId="0" fontId="0" fillId="0" borderId="1" xfId="0" applyBorder="1" applyAlignment="1">
      <alignment horizontal="left" vertical="center" wrapText="1"/>
    </xf>
    <xf numFmtId="3" fontId="0" fillId="0" borderId="1" xfId="0" applyNumberFormat="1" applyBorder="1" applyAlignment="1">
      <alignment horizontal="left" vertical="center" wrapText="1"/>
    </xf>
    <xf numFmtId="0" fontId="2" fillId="0" borderId="3" xfId="0" applyFont="1" applyBorder="1" applyAlignment="1">
      <alignment horizontal="center" vertical="top"/>
    </xf>
    <xf numFmtId="43" fontId="2" fillId="0" borderId="3" xfId="0" applyNumberFormat="1" applyFont="1" applyBorder="1" applyAlignment="1">
      <alignment horizontal="center" vertical="top"/>
    </xf>
    <xf numFmtId="0" fontId="0" fillId="0" borderId="4" xfId="0" applyBorder="1" applyAlignment="1">
      <alignment vertical="center" wrapText="1"/>
    </xf>
    <xf numFmtId="0" fontId="3" fillId="0" borderId="4" xfId="1" applyBorder="1" applyAlignment="1" applyProtection="1">
      <alignment vertical="center" wrapText="1"/>
    </xf>
    <xf numFmtId="43" fontId="0" fillId="0" borderId="3" xfId="0" applyNumberFormat="1" applyBorder="1" applyAlignment="1">
      <alignment vertical="center" wrapText="1"/>
    </xf>
    <xf numFmtId="0" fontId="0" fillId="0" borderId="2" xfId="0" applyBorder="1" applyAlignment="1">
      <alignment vertical="center" wrapText="1"/>
    </xf>
    <xf numFmtId="0" fontId="6" fillId="0" borderId="1" xfId="0" applyFont="1" applyBorder="1" applyAlignment="1">
      <alignment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0" fillId="0" borderId="5" xfId="0" applyBorder="1" applyAlignment="1">
      <alignment vertical="center" wrapText="1"/>
    </xf>
    <xf numFmtId="43" fontId="0" fillId="0" borderId="7" xfId="0" applyNumberFormat="1" applyBorder="1" applyAlignment="1">
      <alignment vertical="center" wrapText="1"/>
    </xf>
    <xf numFmtId="0" fontId="0" fillId="0" borderId="6" xfId="0" applyBorder="1" applyAlignment="1">
      <alignment vertical="center" wrapText="1"/>
    </xf>
    <xf numFmtId="43" fontId="0" fillId="0" borderId="8" xfId="0" applyNumberFormat="1" applyBorder="1" applyAlignment="1">
      <alignment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9" xfId="0"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vertical="center"/>
    </xf>
    <xf numFmtId="164" fontId="2" fillId="0" borderId="3" xfId="0" applyNumberFormat="1" applyFont="1" applyBorder="1" applyAlignment="1">
      <alignment horizontal="center" vertical="center" wrapText="1"/>
    </xf>
    <xf numFmtId="164" fontId="0" fillId="0" borderId="0" xfId="0" applyNumberFormat="1" applyAlignment="1">
      <alignment vertical="top"/>
    </xf>
    <xf numFmtId="0" fontId="9" fillId="0" borderId="1" xfId="0" applyFont="1" applyBorder="1"/>
    <xf numFmtId="0" fontId="0" fillId="0" borderId="1" xfId="0" applyBorder="1" applyAlignment="1">
      <alignment vertical="top"/>
    </xf>
    <xf numFmtId="0" fontId="0" fillId="0" borderId="10" xfId="0" applyBorder="1" applyAlignment="1">
      <alignment vertical="center" wrapText="1"/>
    </xf>
    <xf numFmtId="0" fontId="0" fillId="0" borderId="3" xfId="0" applyBorder="1" applyAlignment="1">
      <alignment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wrapText="1"/>
    </xf>
    <xf numFmtId="0" fontId="0" fillId="0" borderId="3" xfId="0" applyBorder="1" applyAlignment="1">
      <alignment vertical="center"/>
    </xf>
    <xf numFmtId="0" fontId="0" fillId="0" borderId="9" xfId="0" applyBorder="1" applyAlignment="1">
      <alignment vertical="center"/>
    </xf>
    <xf numFmtId="0" fontId="0" fillId="0" borderId="4" xfId="0" applyBorder="1" applyAlignment="1">
      <alignment vertical="center"/>
    </xf>
    <xf numFmtId="0" fontId="0" fillId="0" borderId="9" xfId="0" applyBorder="1" applyAlignment="1">
      <alignment vertical="top"/>
    </xf>
    <xf numFmtId="0" fontId="2" fillId="0" borderId="4" xfId="0" applyFont="1" applyBorder="1"/>
    <xf numFmtId="0" fontId="0" fillId="0" borderId="8" xfId="0" applyBorder="1" applyAlignment="1">
      <alignment vertical="top"/>
    </xf>
    <xf numFmtId="0" fontId="0" fillId="0" borderId="1" xfId="0" applyBorder="1" applyAlignment="1">
      <alignment horizontal="center" vertical="center" wrapText="1"/>
    </xf>
    <xf numFmtId="0" fontId="9" fillId="0" borderId="1" xfId="0" applyFont="1" applyBorder="1" applyAlignment="1">
      <alignment wrapText="1"/>
    </xf>
    <xf numFmtId="0" fontId="0" fillId="0" borderId="3" xfId="0" applyBorder="1" applyAlignment="1">
      <alignment horizontal="center" vertical="center" wrapText="1"/>
    </xf>
    <xf numFmtId="0" fontId="0" fillId="0" borderId="2" xfId="0" applyBorder="1" applyAlignment="1">
      <alignment vertical="top"/>
    </xf>
    <xf numFmtId="9" fontId="10"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3" fillId="0" borderId="3" xfId="1" applyBorder="1" applyAlignment="1" applyProtection="1">
      <alignment vertical="center" wrapText="1"/>
    </xf>
    <xf numFmtId="0" fontId="10" fillId="0" borderId="3" xfId="1" applyFont="1" applyBorder="1" applyAlignment="1" applyProtection="1">
      <alignment vertical="center" wrapText="1"/>
    </xf>
    <xf numFmtId="43" fontId="0" fillId="0" borderId="4" xfId="0" applyNumberFormat="1" applyBorder="1" applyAlignment="1">
      <alignment vertical="center" wrapText="1"/>
    </xf>
    <xf numFmtId="0" fontId="0" fillId="0" borderId="7" xfId="0" applyBorder="1" applyAlignment="1">
      <alignment vertical="center" wrapText="1"/>
    </xf>
    <xf numFmtId="0" fontId="3" fillId="0" borderId="7" xfId="1" applyBorder="1" applyAlignment="1" applyProtection="1">
      <alignment vertical="center" wrapText="1"/>
    </xf>
    <xf numFmtId="0" fontId="10" fillId="0" borderId="7" xfId="1" applyFont="1" applyBorder="1" applyAlignment="1" applyProtection="1">
      <alignment vertical="center" wrapText="1"/>
    </xf>
    <xf numFmtId="43" fontId="0" fillId="0" borderId="5" xfId="0" applyNumberFormat="1" applyBorder="1" applyAlignment="1">
      <alignment vertical="center" wrapText="1"/>
    </xf>
    <xf numFmtId="0" fontId="0" fillId="0" borderId="8" xfId="0" applyBorder="1" applyAlignment="1">
      <alignment vertical="center" wrapText="1"/>
    </xf>
    <xf numFmtId="0" fontId="3" fillId="0" borderId="8" xfId="1" applyBorder="1" applyAlignment="1" applyProtection="1">
      <alignment vertical="center" wrapText="1"/>
    </xf>
    <xf numFmtId="0" fontId="10" fillId="0" borderId="8" xfId="1" applyFont="1" applyBorder="1" applyAlignment="1" applyProtection="1">
      <alignment vertical="center" wrapText="1"/>
    </xf>
    <xf numFmtId="43" fontId="0" fillId="0" borderId="6" xfId="0" applyNumberFormat="1" applyBorder="1" applyAlignment="1">
      <alignment vertical="center" wrapText="1"/>
    </xf>
    <xf numFmtId="0" fontId="9" fillId="0" borderId="3" xfId="0" applyFont="1" applyBorder="1" applyAlignment="1">
      <alignment vertical="center"/>
    </xf>
    <xf numFmtId="0" fontId="9" fillId="0" borderId="3" xfId="0" applyFont="1" applyBorder="1" applyAlignment="1">
      <alignment vertical="center" wrapText="1"/>
    </xf>
    <xf numFmtId="0" fontId="3" fillId="0" borderId="3" xfId="1" applyFill="1" applyBorder="1" applyAlignment="1">
      <alignment vertical="center" wrapText="1"/>
    </xf>
    <xf numFmtId="0" fontId="10" fillId="0" borderId="3" xfId="1" applyFont="1" applyFill="1" applyBorder="1" applyAlignment="1">
      <alignment vertical="center" wrapText="1"/>
    </xf>
    <xf numFmtId="43" fontId="9" fillId="0" borderId="3" xfId="0" applyNumberFormat="1" applyFont="1" applyBorder="1" applyAlignment="1">
      <alignment vertical="center"/>
    </xf>
    <xf numFmtId="0" fontId="9" fillId="0" borderId="7" xfId="0" applyFont="1" applyBorder="1" applyAlignment="1">
      <alignment vertical="center"/>
    </xf>
    <xf numFmtId="0" fontId="9" fillId="0" borderId="7" xfId="0" applyFont="1" applyBorder="1" applyAlignment="1">
      <alignment vertical="center" wrapText="1"/>
    </xf>
    <xf numFmtId="0" fontId="3" fillId="0" borderId="7" xfId="1" applyFill="1" applyBorder="1" applyAlignment="1">
      <alignment vertical="center" wrapText="1"/>
    </xf>
    <xf numFmtId="0" fontId="10" fillId="0" borderId="7" xfId="1" applyFont="1" applyFill="1" applyBorder="1" applyAlignment="1">
      <alignment vertical="center" wrapText="1"/>
    </xf>
    <xf numFmtId="43" fontId="9" fillId="0" borderId="7" xfId="0" applyNumberFormat="1" applyFont="1" applyBorder="1" applyAlignment="1">
      <alignment vertical="center"/>
    </xf>
    <xf numFmtId="0" fontId="9" fillId="0" borderId="8" xfId="0" applyFont="1" applyBorder="1" applyAlignment="1">
      <alignment vertical="center"/>
    </xf>
    <xf numFmtId="0" fontId="9" fillId="0" borderId="8" xfId="0" applyFont="1" applyBorder="1" applyAlignment="1">
      <alignment vertical="center" wrapText="1"/>
    </xf>
    <xf numFmtId="0" fontId="3" fillId="0" borderId="8" xfId="1" applyFill="1" applyBorder="1" applyAlignment="1">
      <alignment vertical="center" wrapText="1"/>
    </xf>
    <xf numFmtId="0" fontId="10" fillId="0" borderId="8" xfId="1" applyFont="1" applyFill="1" applyBorder="1" applyAlignment="1">
      <alignment vertical="center" wrapText="1"/>
    </xf>
    <xf numFmtId="43" fontId="9" fillId="0" borderId="8" xfId="0" applyNumberFormat="1" applyFont="1" applyBorder="1" applyAlignment="1">
      <alignment vertical="center"/>
    </xf>
    <xf numFmtId="164" fontId="0" fillId="0" borderId="7" xfId="0" applyNumberForma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undp.org/es/uruguay/proyectos/moves-hacia-un-sistema-de-movilidad-urbana-sostenible-y-eficiente-en-uruguay" TargetMode="External"/><Relationship Id="rId1" Type="http://schemas.openxmlformats.org/officeDocument/2006/relationships/hyperlink" Target="https://open.undp.org/projects/0013700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undp.org/projects/00137005"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undp.org/projects/00137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42D0-818B-46E8-BEA7-6F8BDF1BD29A}">
  <dimension ref="A1:W12"/>
  <sheetViews>
    <sheetView tabSelected="1" zoomScale="70" zoomScaleNormal="70" workbookViewId="0">
      <pane ySplit="1" topLeftCell="C5" activePane="bottomLeft" state="frozen"/>
      <selection pane="bottomLeft" activeCell="F1" sqref="F1:F1048576"/>
    </sheetView>
  </sheetViews>
  <sheetFormatPr defaultColWidth="8.85546875" defaultRowHeight="15"/>
  <cols>
    <col min="1" max="1" width="15.7109375" style="2" customWidth="1"/>
    <col min="2" max="4" width="41.7109375" style="2" customWidth="1"/>
    <col min="5" max="5" width="14.7109375" style="49" bestFit="1" customWidth="1"/>
    <col min="6" max="6" width="28.5703125" style="2" customWidth="1"/>
    <col min="7" max="7" width="47.85546875" style="1" customWidth="1"/>
    <col min="8" max="8" width="8.5703125" style="3" bestFit="1" customWidth="1"/>
    <col min="9" max="9" width="8.7109375" style="1" bestFit="1" customWidth="1"/>
    <col min="10" max="10" width="21.42578125" style="2" customWidth="1"/>
    <col min="11" max="11" width="15" style="2" customWidth="1"/>
    <col min="12" max="12" width="10.7109375" style="2" customWidth="1"/>
    <col min="13" max="13" width="12.85546875" style="2" bestFit="1" customWidth="1"/>
    <col min="14" max="14" width="8.42578125" style="2" customWidth="1"/>
    <col min="15" max="15" width="14.42578125" style="2" bestFit="1" customWidth="1"/>
    <col min="16" max="16" width="17.5703125" style="2" bestFit="1" customWidth="1"/>
    <col min="17" max="17" width="11.7109375" style="2" customWidth="1"/>
    <col min="18" max="18" width="16.5703125" style="2" bestFit="1" customWidth="1"/>
    <col min="19" max="19" width="18.140625" style="2" bestFit="1" customWidth="1"/>
    <col min="20" max="20" width="11" style="2" customWidth="1"/>
    <col min="21" max="21" width="29" style="2" customWidth="1"/>
    <col min="22" max="22" width="20.140625" style="2" customWidth="1"/>
    <col min="23" max="23" width="14.7109375" style="2" bestFit="1" customWidth="1"/>
    <col min="24" max="16384" width="8.85546875" style="2"/>
  </cols>
  <sheetData>
    <row r="1" spans="1:23" ht="30.75">
      <c r="A1" s="35" t="s">
        <v>0</v>
      </c>
      <c r="B1" s="35" t="s">
        <v>1</v>
      </c>
      <c r="C1" s="35" t="s">
        <v>2</v>
      </c>
      <c r="D1" s="35" t="s">
        <v>3</v>
      </c>
      <c r="E1" s="48" t="s">
        <v>4</v>
      </c>
      <c r="F1" s="36" t="s">
        <v>5</v>
      </c>
      <c r="G1" s="36" t="s">
        <v>6</v>
      </c>
      <c r="H1" s="36" t="s">
        <v>7</v>
      </c>
      <c r="I1" s="36" t="s">
        <v>8</v>
      </c>
      <c r="J1" s="37" t="s">
        <v>9</v>
      </c>
      <c r="K1" s="37" t="s">
        <v>10</v>
      </c>
      <c r="L1" s="37" t="s">
        <v>11</v>
      </c>
      <c r="M1" s="41" t="s">
        <v>12</v>
      </c>
      <c r="N1" s="42" t="s">
        <v>13</v>
      </c>
      <c r="O1" s="41" t="s">
        <v>14</v>
      </c>
      <c r="P1" s="41" t="s">
        <v>15</v>
      </c>
      <c r="Q1" s="42" t="s">
        <v>16</v>
      </c>
      <c r="R1" s="42" t="s">
        <v>17</v>
      </c>
      <c r="S1" s="43" t="s">
        <v>18</v>
      </c>
      <c r="T1" s="44" t="s">
        <v>19</v>
      </c>
      <c r="U1" s="43" t="s">
        <v>20</v>
      </c>
      <c r="V1" s="61" t="s">
        <v>21</v>
      </c>
      <c r="W1" s="19" t="s">
        <v>22</v>
      </c>
    </row>
    <row r="2" spans="1:23" ht="74.25" customHeight="1">
      <c r="A2" s="53">
        <v>127688</v>
      </c>
      <c r="B2" s="53" t="s">
        <v>23</v>
      </c>
      <c r="C2" s="70" t="s">
        <v>24</v>
      </c>
      <c r="D2" s="71" t="s">
        <v>25</v>
      </c>
      <c r="E2" s="72">
        <v>804250</v>
      </c>
      <c r="F2" s="27" t="s">
        <v>26</v>
      </c>
      <c r="G2" s="28" t="s">
        <v>27</v>
      </c>
      <c r="H2" s="50">
        <v>0</v>
      </c>
      <c r="I2" s="50">
        <v>1000000</v>
      </c>
      <c r="J2" s="26" t="s">
        <v>28</v>
      </c>
      <c r="K2" s="29" t="s">
        <v>29</v>
      </c>
      <c r="L2" s="67">
        <v>0.61</v>
      </c>
      <c r="M2" s="45" t="s">
        <v>30</v>
      </c>
      <c r="N2" s="38"/>
      <c r="O2" s="46" t="s">
        <v>31</v>
      </c>
      <c r="P2" s="38" t="s">
        <v>32</v>
      </c>
      <c r="Q2" s="38"/>
      <c r="R2" s="63" t="s">
        <v>33</v>
      </c>
      <c r="S2" s="38"/>
      <c r="T2" s="47"/>
      <c r="U2" s="38"/>
      <c r="V2" s="58"/>
      <c r="W2" s="62" t="s">
        <v>34</v>
      </c>
    </row>
    <row r="3" spans="1:23" ht="45.75">
      <c r="A3" s="73"/>
      <c r="B3" s="73"/>
      <c r="C3" s="74"/>
      <c r="D3" s="75"/>
      <c r="E3" s="76"/>
      <c r="F3" s="27" t="s">
        <v>35</v>
      </c>
      <c r="G3" s="28" t="s">
        <v>36</v>
      </c>
      <c r="H3" s="50">
        <v>0</v>
      </c>
      <c r="I3" s="50">
        <v>5000</v>
      </c>
      <c r="J3" s="21"/>
      <c r="K3" s="29"/>
      <c r="L3" s="30"/>
      <c r="M3" s="45"/>
      <c r="N3" s="38"/>
      <c r="O3" s="46" t="s">
        <v>31</v>
      </c>
      <c r="P3" s="38" t="s">
        <v>37</v>
      </c>
      <c r="Q3" s="38"/>
      <c r="R3" s="63" t="s">
        <v>38</v>
      </c>
      <c r="S3" s="38"/>
      <c r="T3" s="47" t="s">
        <v>39</v>
      </c>
      <c r="U3" s="38"/>
      <c r="V3" s="58"/>
      <c r="W3" s="51" t="s">
        <v>34</v>
      </c>
    </row>
    <row r="4" spans="1:23" ht="60.75">
      <c r="A4" s="73"/>
      <c r="B4" s="73"/>
      <c r="C4" s="74"/>
      <c r="D4" s="75"/>
      <c r="E4" s="76"/>
      <c r="F4" s="27" t="s">
        <v>40</v>
      </c>
      <c r="G4" s="28" t="s">
        <v>41</v>
      </c>
      <c r="H4" s="50">
        <v>0</v>
      </c>
      <c r="I4" s="50">
        <v>100000</v>
      </c>
      <c r="J4" s="20" t="s">
        <v>41</v>
      </c>
      <c r="K4" s="29"/>
      <c r="L4" s="67">
        <v>0.35</v>
      </c>
      <c r="M4" s="45"/>
      <c r="N4" s="38"/>
      <c r="O4" s="46" t="s">
        <v>31</v>
      </c>
      <c r="P4" s="38" t="s">
        <v>32</v>
      </c>
      <c r="Q4" s="38"/>
      <c r="R4" s="63" t="s">
        <v>33</v>
      </c>
      <c r="S4" s="38"/>
      <c r="T4" s="47"/>
      <c r="U4" s="38"/>
      <c r="V4" s="58"/>
      <c r="W4" s="51" t="s">
        <v>34</v>
      </c>
    </row>
    <row r="5" spans="1:23" ht="106.5">
      <c r="A5" s="77"/>
      <c r="B5" s="77"/>
      <c r="C5" s="78"/>
      <c r="D5" s="79"/>
      <c r="E5" s="80"/>
      <c r="F5" s="52" t="s">
        <v>20</v>
      </c>
      <c r="G5" s="53" t="s">
        <v>42</v>
      </c>
      <c r="H5" s="50">
        <v>0</v>
      </c>
      <c r="I5" s="50">
        <v>5670350</v>
      </c>
      <c r="J5" s="53" t="s">
        <v>43</v>
      </c>
      <c r="K5" s="53"/>
      <c r="L5" s="67">
        <v>0.31</v>
      </c>
      <c r="M5" s="54"/>
      <c r="N5" s="55"/>
      <c r="O5" s="56" t="s">
        <v>31</v>
      </c>
      <c r="P5" s="55" t="s">
        <v>37</v>
      </c>
      <c r="Q5" s="55"/>
      <c r="R5" s="65" t="s">
        <v>44</v>
      </c>
      <c r="S5" s="55" t="s">
        <v>37</v>
      </c>
      <c r="T5" s="57"/>
      <c r="U5" s="55"/>
      <c r="V5" s="59"/>
      <c r="W5" s="51" t="s">
        <v>34</v>
      </c>
    </row>
    <row r="6" spans="1:23">
      <c r="A6" s="73"/>
      <c r="B6" s="73"/>
      <c r="C6" s="74"/>
      <c r="D6" s="75"/>
      <c r="E6" s="76"/>
      <c r="F6" s="96" t="s">
        <v>45</v>
      </c>
      <c r="G6" s="53" t="s">
        <v>46</v>
      </c>
      <c r="H6" s="50"/>
      <c r="I6" s="50">
        <v>804250</v>
      </c>
      <c r="J6" s="53"/>
      <c r="K6" s="53"/>
      <c r="L6" s="67"/>
      <c r="M6" s="54"/>
      <c r="N6" s="55"/>
      <c r="O6" s="56"/>
      <c r="P6" s="55"/>
      <c r="Q6" s="55"/>
      <c r="R6" s="65"/>
      <c r="S6" s="55"/>
      <c r="T6" s="57"/>
      <c r="U6" s="55"/>
      <c r="V6" s="59"/>
      <c r="W6" s="51"/>
    </row>
    <row r="7" spans="1:23" ht="60.75" customHeight="1">
      <c r="A7" s="81">
        <v>101784</v>
      </c>
      <c r="B7" s="82" t="s">
        <v>47</v>
      </c>
      <c r="C7" s="83" t="s">
        <v>48</v>
      </c>
      <c r="D7" s="84" t="s">
        <v>49</v>
      </c>
      <c r="E7" s="85">
        <v>1720933</v>
      </c>
      <c r="F7" s="29" t="s">
        <v>40</v>
      </c>
      <c r="G7" s="64" t="s">
        <v>50</v>
      </c>
      <c r="H7" s="50">
        <v>0</v>
      </c>
      <c r="I7" s="50">
        <v>13</v>
      </c>
      <c r="J7" s="64" t="s">
        <v>51</v>
      </c>
      <c r="K7" s="64" t="s">
        <v>52</v>
      </c>
      <c r="L7" s="50"/>
      <c r="M7" s="68" t="s">
        <v>53</v>
      </c>
      <c r="N7" s="50"/>
      <c r="O7" s="69" t="s">
        <v>54</v>
      </c>
      <c r="P7" s="38" t="s">
        <v>32</v>
      </c>
      <c r="Q7" s="51"/>
      <c r="R7" s="65" t="s">
        <v>33</v>
      </c>
      <c r="S7" s="51"/>
      <c r="T7" s="51"/>
      <c r="U7" s="51"/>
      <c r="V7" s="60"/>
      <c r="W7" s="51" t="s">
        <v>34</v>
      </c>
    </row>
    <row r="8" spans="1:23" ht="76.5">
      <c r="A8" s="86"/>
      <c r="B8" s="87"/>
      <c r="C8" s="88"/>
      <c r="D8" s="89"/>
      <c r="E8" s="90"/>
      <c r="F8" s="29" t="s">
        <v>55</v>
      </c>
      <c r="G8" s="64" t="s">
        <v>56</v>
      </c>
      <c r="H8" s="50">
        <v>5</v>
      </c>
      <c r="I8" s="50">
        <v>32</v>
      </c>
      <c r="J8" s="64" t="s">
        <v>57</v>
      </c>
      <c r="K8" s="64"/>
      <c r="L8" s="50"/>
      <c r="M8" s="68"/>
      <c r="N8" s="50"/>
      <c r="O8" s="69" t="s">
        <v>54</v>
      </c>
      <c r="P8" s="38" t="s">
        <v>32</v>
      </c>
      <c r="Q8" s="51"/>
      <c r="R8" s="65" t="s">
        <v>44</v>
      </c>
      <c r="S8" s="51"/>
      <c r="T8" s="51"/>
      <c r="U8" s="51"/>
      <c r="V8" s="60"/>
      <c r="W8" s="51" t="s">
        <v>34</v>
      </c>
    </row>
    <row r="9" spans="1:23" ht="60.75">
      <c r="A9" s="86"/>
      <c r="B9" s="87"/>
      <c r="C9" s="88"/>
      <c r="D9" s="89"/>
      <c r="E9" s="90"/>
      <c r="F9" s="29" t="s">
        <v>26</v>
      </c>
      <c r="G9" s="64" t="s">
        <v>58</v>
      </c>
      <c r="H9" s="50">
        <v>0</v>
      </c>
      <c r="I9" s="50">
        <v>130</v>
      </c>
      <c r="J9" s="64" t="s">
        <v>59</v>
      </c>
      <c r="K9" s="64"/>
      <c r="L9" s="50"/>
      <c r="M9" s="68"/>
      <c r="N9" s="50"/>
      <c r="O9" s="69" t="s">
        <v>54</v>
      </c>
      <c r="P9" s="38" t="s">
        <v>37</v>
      </c>
      <c r="Q9" s="51"/>
      <c r="R9" s="65" t="s">
        <v>33</v>
      </c>
      <c r="S9" s="51"/>
      <c r="T9" s="51"/>
      <c r="U9" s="51"/>
      <c r="V9" s="60"/>
      <c r="W9" s="51" t="s">
        <v>34</v>
      </c>
    </row>
    <row r="10" spans="1:23" ht="76.5">
      <c r="A10" s="86"/>
      <c r="B10" s="87"/>
      <c r="C10" s="88"/>
      <c r="D10" s="89"/>
      <c r="E10" s="90"/>
      <c r="F10" s="29" t="s">
        <v>20</v>
      </c>
      <c r="G10" s="64" t="s">
        <v>60</v>
      </c>
      <c r="H10" s="50">
        <v>0</v>
      </c>
      <c r="I10" s="50">
        <v>1</v>
      </c>
      <c r="J10" s="64" t="s">
        <v>61</v>
      </c>
      <c r="K10" s="64"/>
      <c r="L10" s="50"/>
      <c r="M10" s="68"/>
      <c r="N10" s="50"/>
      <c r="O10" s="69" t="s">
        <v>54</v>
      </c>
      <c r="P10" s="38" t="s">
        <v>32</v>
      </c>
      <c r="Q10" s="51"/>
      <c r="R10" s="65" t="s">
        <v>38</v>
      </c>
      <c r="S10" s="51"/>
      <c r="T10" s="51"/>
      <c r="U10" s="51"/>
      <c r="V10" s="60"/>
      <c r="W10" s="51" t="s">
        <v>34</v>
      </c>
    </row>
    <row r="11" spans="1:23" ht="76.5">
      <c r="A11" s="91"/>
      <c r="B11" s="92"/>
      <c r="C11" s="93"/>
      <c r="D11" s="94"/>
      <c r="E11" s="95"/>
      <c r="F11" s="29" t="s">
        <v>20</v>
      </c>
      <c r="G11" s="64" t="s">
        <v>62</v>
      </c>
      <c r="H11" s="50">
        <v>4</v>
      </c>
      <c r="I11" s="50">
        <v>8</v>
      </c>
      <c r="J11" s="64" t="s">
        <v>63</v>
      </c>
      <c r="K11" s="64"/>
      <c r="L11" s="50"/>
      <c r="M11" s="68"/>
      <c r="N11" s="50"/>
      <c r="O11" s="69" t="s">
        <v>54</v>
      </c>
      <c r="P11" s="38" t="s">
        <v>37</v>
      </c>
      <c r="Q11" s="60"/>
      <c r="R11" s="63" t="s">
        <v>38</v>
      </c>
      <c r="S11" s="66"/>
      <c r="T11" s="51"/>
      <c r="U11" s="51"/>
      <c r="V11" s="60"/>
      <c r="W11" s="51" t="s">
        <v>34</v>
      </c>
    </row>
    <row r="12" spans="1:23">
      <c r="A12" s="73"/>
      <c r="B12" s="73"/>
      <c r="C12" s="74"/>
      <c r="D12" s="75"/>
      <c r="E12" s="76"/>
      <c r="F12" s="96" t="s">
        <v>45</v>
      </c>
      <c r="G12" s="53" t="s">
        <v>46</v>
      </c>
      <c r="H12" s="50"/>
      <c r="I12" s="50">
        <v>5816</v>
      </c>
      <c r="J12" s="53"/>
      <c r="K12" s="53"/>
      <c r="L12" s="67"/>
      <c r="M12" s="54"/>
      <c r="N12" s="55"/>
      <c r="O12" s="56"/>
      <c r="P12" s="55"/>
      <c r="Q12" s="55"/>
      <c r="R12" s="65"/>
      <c r="S12" s="55"/>
      <c r="T12" s="57"/>
      <c r="U12" s="55"/>
      <c r="V12" s="59"/>
      <c r="W12" s="51"/>
    </row>
  </sheetData>
  <dataValidations count="9">
    <dataValidation type="list" allowBlank="1" showInputMessage="1" showErrorMessage="1" sqref="R2:R12" xr:uid="{5D93EBFF-16C8-4329-839F-03302C8F7520}">
      <formula1>"NDC Support, National Strategy, Legal Framework,Incentives and Support, Government Capacity-Building, Carbon Pricing and Monitoring, Financing Model, Business Model"</formula1>
    </dataValidation>
    <dataValidation type="list" allowBlank="1" showInputMessage="1" showErrorMessage="1" sqref="Q2:Q6 Q12" xr:uid="{F5137EC0-9FAD-4D4D-B8F7-37A7F05F7D83}">
      <formula1>"AMP, PUDC, Solar4Health, Action Opportunities, Italy UNDP Energy Partnership"</formula1>
    </dataValidation>
    <dataValidation type="list" allowBlank="1" showInputMessage="1" showErrorMessage="1" sqref="O2:O6 O12" xr:uid="{5FC097BC-6E9F-410C-9FEE-8643A4EC11BD}">
      <formula1>"Accelerating just energy transition, Close the gap on energy access, Scale up energy finance"</formula1>
    </dataValidation>
    <dataValidation type="list" allowBlank="1" showInputMessage="1" showErrorMessage="1" sqref="P2:P12" xr:uid="{396C138D-AC95-4329-AFA0-8701CDC6AF53}">
      <formula1>"Electricity Access, Energy Efficiency, Clean Cooking, Renewable Energy, Overall"</formula1>
    </dataValidation>
    <dataValidation type="list" allowBlank="1" showInputMessage="1" showErrorMessage="1" sqref="N2:N6 N12" xr:uid="{7822E810-027A-4BFE-BD4C-808273C036CE}">
      <formula1>"Finance, Gender, Efficiency, Just, Health"</formula1>
    </dataValidation>
    <dataValidation type="list" allowBlank="1" showInputMessage="1" showErrorMessage="1" sqref="U2:U6 U12" xr:uid="{9AA9BD5E-7CEB-442C-A565-7096A7D8E1F3}">
      <formula1>"National, Regional, City, Community"</formula1>
    </dataValidation>
    <dataValidation type="list" allowBlank="1" showInputMessage="1" showErrorMessage="1" sqref="M2:M6 M12" xr:uid="{EB839E9D-0FA9-4AB6-8415-8F65D2864653}">
      <formula1>"Non-VF, VF"</formula1>
    </dataValidation>
    <dataValidation type="list" allowBlank="1" showInputMessage="1" showErrorMessage="1" sqref="S2:S6 S12" xr:uid="{D2B7A7CE-C158-4C1A-B713-28074B7A112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6 T12" xr:uid="{E357C178-F4F2-4BA6-902A-D89DEF7DAFEC}">
      <formula1>"Solar, Wind, Bioenergy, Hydro, Geothermal, Waste, Some Sources, Other, Unknown"</formula1>
    </dataValidation>
  </dataValidations>
  <hyperlinks>
    <hyperlink ref="C2" r:id="rId1" xr:uid="{2D6E577A-3B00-4EC6-BE6C-BF3479043251}"/>
    <hyperlink ref="C7" r:id="rId2" xr:uid="{C77DA398-7847-4A50-94B3-709EDED234A1}"/>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BBD69D51-BE5E-4C1B-BDB6-1A2D02810B48}">
          <x14:formula1>
            <xm:f>'Beneficiary Categories'!$A$2:$A$22</xm:f>
          </x14:formula1>
          <xm:sqref>F2:F12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04C2-D034-4312-89B2-B554344956C8}">
  <dimension ref="A1:T9"/>
  <sheetViews>
    <sheetView zoomScale="70" zoomScaleNormal="70" workbookViewId="0">
      <pane ySplit="1" topLeftCell="D2" activePane="bottomLeft" state="frozen"/>
      <selection pane="bottomLeft" activeCell="D2" sqref="D2"/>
    </sheetView>
  </sheetViews>
  <sheetFormatPr defaultColWidth="8.85546875" defaultRowHeight="15"/>
  <cols>
    <col min="1" max="1" width="15.7109375" style="2" customWidth="1"/>
    <col min="2" max="3" width="41.7109375" style="2" customWidth="1"/>
    <col min="4" max="4" width="23.85546875" style="7" customWidth="1"/>
    <col min="5" max="5" width="28.5703125" style="2" customWidth="1"/>
    <col min="6" max="6" width="47.85546875" style="1" customWidth="1"/>
    <col min="7" max="7" width="19.85546875" style="3" customWidth="1"/>
    <col min="8" max="8" width="15.85546875" style="1" customWidth="1"/>
    <col min="9" max="9" width="21.42578125" style="2" customWidth="1"/>
    <col min="10" max="10" width="23.85546875" style="2" customWidth="1"/>
    <col min="11" max="17" width="8.85546875" style="2"/>
    <col min="18" max="18" width="11" style="2" customWidth="1"/>
    <col min="19" max="19" width="29" style="2" customWidth="1"/>
    <col min="20" max="16384" width="8.85546875" style="2"/>
  </cols>
  <sheetData>
    <row r="1" spans="1:20">
      <c r="A1" s="22" t="s">
        <v>0</v>
      </c>
      <c r="B1" s="22" t="s">
        <v>1</v>
      </c>
      <c r="C1" s="22" t="s">
        <v>2</v>
      </c>
      <c r="D1" s="23" t="s">
        <v>4</v>
      </c>
      <c r="E1" s="4" t="s">
        <v>5</v>
      </c>
      <c r="F1" s="5" t="s">
        <v>6</v>
      </c>
      <c r="G1" s="4" t="s">
        <v>7</v>
      </c>
      <c r="H1" s="5" t="s">
        <v>8</v>
      </c>
      <c r="I1" s="18" t="s">
        <v>9</v>
      </c>
      <c r="J1" s="18" t="s">
        <v>10</v>
      </c>
      <c r="K1" s="19" t="s">
        <v>11</v>
      </c>
      <c r="L1" s="19" t="s">
        <v>64</v>
      </c>
      <c r="M1" s="19" t="s">
        <v>65</v>
      </c>
      <c r="N1" s="19"/>
      <c r="O1" s="19" t="s">
        <v>14</v>
      </c>
      <c r="P1" s="19" t="s">
        <v>15</v>
      </c>
      <c r="Q1" s="19" t="s">
        <v>16</v>
      </c>
      <c r="R1" s="19" t="s">
        <v>17</v>
      </c>
      <c r="S1" s="19" t="s">
        <v>18</v>
      </c>
      <c r="T1" s="17"/>
    </row>
    <row r="2" spans="1:20" ht="60.75">
      <c r="A2" s="24">
        <v>127688</v>
      </c>
      <c r="B2" s="24" t="s">
        <v>66</v>
      </c>
      <c r="C2" s="25" t="s">
        <v>24</v>
      </c>
      <c r="D2" s="26" t="s">
        <v>28</v>
      </c>
      <c r="E2" s="27" t="s">
        <v>67</v>
      </c>
      <c r="F2" s="28" t="s">
        <v>27</v>
      </c>
      <c r="G2" s="20"/>
      <c r="H2" s="20">
        <v>1000000</v>
      </c>
      <c r="I2" s="29"/>
      <c r="J2" s="29" t="s">
        <v>29</v>
      </c>
      <c r="K2" s="30"/>
      <c r="L2" s="29" t="s">
        <v>30</v>
      </c>
      <c r="M2" s="29"/>
      <c r="N2" s="29"/>
      <c r="O2" s="29" t="s">
        <v>68</v>
      </c>
      <c r="P2" s="29" t="s">
        <v>32</v>
      </c>
      <c r="Q2" s="29"/>
      <c r="R2" s="29"/>
      <c r="S2" s="29"/>
    </row>
    <row r="3" spans="1:20" ht="45.75">
      <c r="A3" s="31"/>
      <c r="B3" s="31"/>
      <c r="C3" s="31"/>
      <c r="D3" s="32"/>
      <c r="E3" s="27" t="s">
        <v>20</v>
      </c>
      <c r="F3" s="28" t="s">
        <v>36</v>
      </c>
      <c r="G3" s="20">
        <v>0</v>
      </c>
      <c r="H3" s="20">
        <v>5000</v>
      </c>
      <c r="I3" s="21"/>
      <c r="J3" s="29" t="s">
        <v>29</v>
      </c>
      <c r="K3" s="30"/>
      <c r="L3" s="29" t="s">
        <v>30</v>
      </c>
      <c r="M3" s="29"/>
      <c r="N3" s="29"/>
      <c r="O3" s="29" t="s">
        <v>68</v>
      </c>
      <c r="P3" s="29" t="s">
        <v>32</v>
      </c>
      <c r="Q3" s="29"/>
      <c r="R3" s="29" t="s">
        <v>33</v>
      </c>
      <c r="S3" s="29" t="s">
        <v>69</v>
      </c>
    </row>
    <row r="4" spans="1:20" ht="60.75">
      <c r="A4" s="31"/>
      <c r="B4" s="31"/>
      <c r="C4" s="31"/>
      <c r="D4" s="32"/>
      <c r="E4" s="27" t="s">
        <v>20</v>
      </c>
      <c r="F4" s="28" t="s">
        <v>41</v>
      </c>
      <c r="G4" s="20">
        <v>0</v>
      </c>
      <c r="H4" s="20">
        <v>100000</v>
      </c>
      <c r="I4" s="20" t="s">
        <v>41</v>
      </c>
      <c r="J4" s="29" t="s">
        <v>29</v>
      </c>
      <c r="K4" s="30"/>
      <c r="L4" s="29" t="s">
        <v>30</v>
      </c>
      <c r="M4" s="29"/>
      <c r="N4" s="29"/>
      <c r="O4" s="29" t="s">
        <v>68</v>
      </c>
      <c r="P4" s="29" t="s">
        <v>32</v>
      </c>
      <c r="Q4" s="29"/>
      <c r="R4" s="29" t="s">
        <v>33</v>
      </c>
      <c r="S4" s="29" t="s">
        <v>70</v>
      </c>
    </row>
    <row r="5" spans="1:20" ht="106.5">
      <c r="A5" s="33"/>
      <c r="B5" s="33"/>
      <c r="C5" s="33"/>
      <c r="D5" s="34"/>
      <c r="E5" s="27" t="s">
        <v>20</v>
      </c>
      <c r="F5" s="29" t="s">
        <v>42</v>
      </c>
      <c r="G5" s="20">
        <v>0</v>
      </c>
      <c r="H5" s="20"/>
      <c r="I5" s="29" t="s">
        <v>43</v>
      </c>
      <c r="J5" s="29" t="s">
        <v>29</v>
      </c>
      <c r="K5" s="30"/>
      <c r="L5" s="29" t="s">
        <v>30</v>
      </c>
      <c r="M5" s="29"/>
      <c r="N5" s="29"/>
      <c r="O5" s="29" t="s">
        <v>68</v>
      </c>
      <c r="P5" s="29" t="s">
        <v>32</v>
      </c>
      <c r="Q5" s="29"/>
      <c r="R5" s="29" t="s">
        <v>33</v>
      </c>
      <c r="S5" s="29" t="s">
        <v>71</v>
      </c>
    </row>
    <row r="8" spans="1:20">
      <c r="B8" s="14"/>
    </row>
    <row r="9" spans="1:20">
      <c r="B9" s="15"/>
    </row>
  </sheetData>
  <dataValidations count="5">
    <dataValidation type="list" allowBlank="1" showInputMessage="1" showErrorMessage="1" sqref="O2:O5" xr:uid="{B9866457-849E-469B-AA8A-36A115DD52DA}">
      <formula1>"Accelerating just energy transition, Close the gap on energy access, Scale up energy finance"</formula1>
    </dataValidation>
    <dataValidation type="list" allowBlank="1" showInputMessage="1" showErrorMessage="1" sqref="P2:P5" xr:uid="{45412793-E9D3-49BD-B3F0-58C366F88630}">
      <formula1>"Electricity Access, Energy Efficiency, Clean Cooking, Renewable Energy"</formula1>
    </dataValidation>
    <dataValidation type="list" allowBlank="1" showInputMessage="1" showErrorMessage="1" sqref="Q2:Q5" xr:uid="{AFE761C2-90EC-49B8-BBAB-50DFC00FA559}">
      <formula1>"AMP, PUDC, Solar4Health, Action Opportunities, Italy UNDP Energy Partnership"</formula1>
    </dataValidation>
    <dataValidation type="list" allowBlank="1" showInputMessage="1" showErrorMessage="1" sqref="R2:R5" xr:uid="{943A8A1A-03A3-49C8-BA7A-D9737B500D74}">
      <formula1>"NDC Support, National Strategy, Legal Framework,Incentives and Support, Government Capacity-Building, Carbon Pricing and Monitoring, Financing Model, Business Model"</formula1>
    </dataValidation>
    <dataValidation type="list" allowBlank="1" showInputMessage="1" showErrorMessage="1" sqref="S2:S5" xr:uid="{A67242AE-8839-43B3-891B-EAEE7A71DAFA}">
      <formula1>"Electricity Access, Energy Efficiency, Renewable EnergyEnergy Infrastructure,   Transport, Digital &amp; Data, Clean Cooking, Decarbonization, Hydrogen, Off-Grid, On-Grid"</formula1>
    </dataValidation>
  </dataValidations>
  <hyperlinks>
    <hyperlink ref="C2" r:id="rId1" xr:uid="{9B9B0502-9550-40B9-B572-A070BE125339}"/>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73FFED3B-9903-4B82-838B-16B0CDA2E3BD}">
          <x14:formula1>
            <xm:f>'Beneficiary Categories'!$A$2:$A$16</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zoomScale="70" zoomScaleNormal="70" workbookViewId="0">
      <pane ySplit="1" topLeftCell="C2" activePane="bottomLeft" state="frozen"/>
      <selection pane="bottomLeft" activeCell="C2" sqref="C2"/>
    </sheetView>
  </sheetViews>
  <sheetFormatPr defaultColWidth="8.85546875" defaultRowHeight="14.45"/>
  <cols>
    <col min="1" max="1" width="15.7109375" style="2" customWidth="1"/>
    <col min="2" max="3" width="41.7109375" style="2" customWidth="1"/>
    <col min="4" max="4" width="23.85546875" style="7" customWidth="1"/>
    <col min="5" max="5" width="28.5703125" style="2" customWidth="1"/>
    <col min="6" max="6" width="35" style="1" customWidth="1"/>
    <col min="7" max="7" width="19.85546875" style="3" customWidth="1"/>
    <col min="8" max="8" width="15.85546875" style="1" customWidth="1"/>
    <col min="9" max="9" width="21.42578125" style="2" customWidth="1"/>
    <col min="10" max="16384" width="8.85546875" style="2"/>
  </cols>
  <sheetData>
    <row r="1" spans="1:11" ht="15">
      <c r="A1" s="4" t="s">
        <v>0</v>
      </c>
      <c r="B1" s="4" t="s">
        <v>1</v>
      </c>
      <c r="C1" s="4" t="s">
        <v>2</v>
      </c>
      <c r="D1" s="6" t="s">
        <v>4</v>
      </c>
      <c r="E1" s="4" t="s">
        <v>5</v>
      </c>
      <c r="F1" s="5" t="s">
        <v>6</v>
      </c>
      <c r="G1" s="4" t="s">
        <v>7</v>
      </c>
      <c r="H1" s="5" t="s">
        <v>8</v>
      </c>
      <c r="I1" s="10" t="s">
        <v>9</v>
      </c>
      <c r="J1" s="10" t="s">
        <v>10</v>
      </c>
    </row>
    <row r="2" spans="1:11" ht="91.5">
      <c r="A2">
        <v>127688</v>
      </c>
      <c r="B2" s="9" t="s">
        <v>66</v>
      </c>
      <c r="C2" s="8" t="s">
        <v>24</v>
      </c>
      <c r="D2" s="11" t="s">
        <v>28</v>
      </c>
      <c r="E2" t="s">
        <v>39</v>
      </c>
      <c r="F2" t="s">
        <v>72</v>
      </c>
      <c r="G2" s="12">
        <v>33</v>
      </c>
      <c r="H2" s="12">
        <v>150</v>
      </c>
      <c r="I2" s="1" t="s">
        <v>27</v>
      </c>
      <c r="J2" s="2" t="s">
        <v>29</v>
      </c>
      <c r="K2" s="15" t="s">
        <v>73</v>
      </c>
    </row>
    <row r="3" spans="1:11" ht="60.75">
      <c r="E3" t="s">
        <v>20</v>
      </c>
      <c r="F3" s="1" t="s">
        <v>74</v>
      </c>
      <c r="G3" s="12">
        <v>0</v>
      </c>
      <c r="H3" s="13">
        <v>2</v>
      </c>
      <c r="I3" s="16" t="s">
        <v>36</v>
      </c>
      <c r="J3" s="2" t="s">
        <v>29</v>
      </c>
      <c r="K3" s="15" t="s">
        <v>73</v>
      </c>
    </row>
    <row r="4" spans="1:11" ht="60.75">
      <c r="E4" t="s">
        <v>20</v>
      </c>
      <c r="F4" s="1" t="s">
        <v>75</v>
      </c>
      <c r="G4" s="12">
        <v>0</v>
      </c>
      <c r="H4" s="13">
        <v>3</v>
      </c>
      <c r="I4" s="13" t="s">
        <v>41</v>
      </c>
      <c r="J4" s="2" t="s">
        <v>29</v>
      </c>
      <c r="K4" s="15" t="s">
        <v>73</v>
      </c>
    </row>
    <row r="5" spans="1:11" ht="106.5">
      <c r="E5" t="s">
        <v>76</v>
      </c>
      <c r="F5" s="1" t="s">
        <v>42</v>
      </c>
      <c r="G5" s="12">
        <v>0</v>
      </c>
      <c r="H5" s="13">
        <v>14000000</v>
      </c>
      <c r="I5" s="1" t="s">
        <v>43</v>
      </c>
      <c r="J5" s="2" t="s">
        <v>29</v>
      </c>
      <c r="K5" s="15" t="s">
        <v>73</v>
      </c>
    </row>
    <row r="8" spans="1:11" ht="45.75">
      <c r="B8" s="14" t="s">
        <v>77</v>
      </c>
    </row>
    <row r="9" spans="1:11" ht="15">
      <c r="B9" s="15"/>
    </row>
  </sheetData>
  <hyperlinks>
    <hyperlink ref="C2" r:id="rId1" xr:uid="{33B6A49B-E057-471E-8BA5-38EE39182A1E}"/>
  </hyperlinks>
  <pageMargins left="0.7" right="0.7" top="0.75" bottom="0.75" header="0.3" footer="0.3"/>
  <pageSetup orientation="portrait" horizontalDpi="0" verticalDpi="0"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21" sqref="B21"/>
    </sheetView>
  </sheetViews>
  <sheetFormatPr defaultColWidth="8.85546875" defaultRowHeight="15" customHeight="1"/>
  <cols>
    <col min="1" max="1" width="30.42578125" customWidth="1"/>
    <col min="2" max="2" width="96" customWidth="1"/>
  </cols>
  <sheetData>
    <row r="1" spans="1:2">
      <c r="A1" s="39" t="s">
        <v>5</v>
      </c>
      <c r="B1" s="39" t="s">
        <v>6</v>
      </c>
    </row>
    <row r="2" spans="1:2" ht="30.75">
      <c r="A2" s="97" t="s">
        <v>35</v>
      </c>
      <c r="B2" s="40" t="s">
        <v>78</v>
      </c>
    </row>
    <row r="3" spans="1:2">
      <c r="A3" s="97" t="s">
        <v>79</v>
      </c>
      <c r="B3" s="40" t="s">
        <v>80</v>
      </c>
    </row>
    <row r="4" spans="1:2" ht="30.75">
      <c r="A4" s="97" t="s">
        <v>81</v>
      </c>
      <c r="B4" s="40" t="s">
        <v>82</v>
      </c>
    </row>
    <row r="5" spans="1:2">
      <c r="A5" s="97" t="s">
        <v>83</v>
      </c>
      <c r="B5" s="40" t="s">
        <v>84</v>
      </c>
    </row>
    <row r="6" spans="1:2" ht="45.75">
      <c r="A6" s="97" t="s">
        <v>85</v>
      </c>
      <c r="B6" s="40" t="s">
        <v>86</v>
      </c>
    </row>
    <row r="7" spans="1:2" ht="30.75">
      <c r="A7" s="97" t="s">
        <v>87</v>
      </c>
      <c r="B7" s="40" t="s">
        <v>88</v>
      </c>
    </row>
    <row r="8" spans="1:2" ht="30.75">
      <c r="A8" s="97" t="s">
        <v>89</v>
      </c>
      <c r="B8" s="40" t="s">
        <v>90</v>
      </c>
    </row>
    <row r="9" spans="1:2" ht="30.75">
      <c r="A9" s="97" t="s">
        <v>91</v>
      </c>
      <c r="B9" s="40" t="s">
        <v>92</v>
      </c>
    </row>
    <row r="10" spans="1:2" ht="30.75">
      <c r="A10" s="97" t="s">
        <v>26</v>
      </c>
      <c r="B10" s="98" t="s">
        <v>93</v>
      </c>
    </row>
    <row r="11" spans="1:2">
      <c r="A11" s="97" t="s">
        <v>40</v>
      </c>
      <c r="B11" s="98" t="s">
        <v>94</v>
      </c>
    </row>
    <row r="12" spans="1:2" ht="30.75">
      <c r="A12" s="97" t="s">
        <v>95</v>
      </c>
      <c r="B12" s="40" t="s">
        <v>96</v>
      </c>
    </row>
    <row r="13" spans="1:2">
      <c r="A13" s="97" t="s">
        <v>67</v>
      </c>
      <c r="B13" s="98" t="s">
        <v>97</v>
      </c>
    </row>
    <row r="14" spans="1:2">
      <c r="A14" s="97" t="s">
        <v>55</v>
      </c>
      <c r="B14" s="98" t="s">
        <v>98</v>
      </c>
    </row>
    <row r="15" spans="1:2">
      <c r="A15" s="97" t="s">
        <v>99</v>
      </c>
      <c r="B15" s="98" t="s">
        <v>100</v>
      </c>
    </row>
    <row r="16" spans="1:2">
      <c r="A16" s="97" t="s">
        <v>101</v>
      </c>
      <c r="B16" s="98" t="s">
        <v>102</v>
      </c>
    </row>
    <row r="17" spans="1:2">
      <c r="A17" s="97" t="s">
        <v>103</v>
      </c>
      <c r="B17" s="40" t="s">
        <v>104</v>
      </c>
    </row>
    <row r="18" spans="1:2">
      <c r="A18" s="97" t="s">
        <v>105</v>
      </c>
      <c r="B18" s="98" t="s">
        <v>106</v>
      </c>
    </row>
    <row r="19" spans="1:2" ht="45.75">
      <c r="A19" s="97" t="s">
        <v>107</v>
      </c>
      <c r="B19" s="98" t="s">
        <v>108</v>
      </c>
    </row>
    <row r="20" spans="1:2">
      <c r="A20" s="97" t="s">
        <v>109</v>
      </c>
      <c r="B20" s="98" t="s">
        <v>110</v>
      </c>
    </row>
    <row r="21" spans="1:2" ht="30.75">
      <c r="A21" s="97" t="s">
        <v>20</v>
      </c>
      <c r="B21" s="99" t="s">
        <v>111</v>
      </c>
    </row>
    <row r="22" spans="1:2">
      <c r="A22" s="97" t="s">
        <v>39</v>
      </c>
      <c r="B22" s="98"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CF273B-330E-42C5-89D3-401E827D2BBE}"/>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2023-05-05T09:33:41Z</dcterms:created>
  <dcterms:modified xsi:type="dcterms:W3CDTF">2025-06-18T14:12:29Z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