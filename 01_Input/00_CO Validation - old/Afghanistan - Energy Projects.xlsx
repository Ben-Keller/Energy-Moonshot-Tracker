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4"/>
  <workbookPr defaultThemeVersion="124226"/>
  <mc:AlternateContent xmlns:mc="http://schemas.openxmlformats.org/markup-compatibility/2006">
    <mc:Choice Requires="x15">
      <x15ac:absPath xmlns:x15ac="http://schemas.microsoft.com/office/spreadsheetml/2010/11/ac" url="https://undp.sharepoint.com/sites/UNDPSustainableEnergyHub/Shared Documents/General/0. CURRENT FOLDER - Sustainable Energy Hub/05. Accounting for Progress to 500M/7. CO Validation/"/>
    </mc:Choice>
  </mc:AlternateContent>
  <xr:revisionPtr revIDLastSave="524" documentId="11_F15850ED0455DC3797A53417E9CD7CB278855C13" xr6:coauthVersionLast="47" xr6:coauthVersionMax="47" xr10:uidLastSave="{F22B25E7-A228-47DE-817F-C07707A0B880}"/>
  <bookViews>
    <workbookView minimized="1" xWindow="7575" yWindow="-15780" windowWidth="15375" windowHeight="7785"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 i="4" l="1"/>
  <c r="K4" i="3"/>
  <c r="K4" i="1"/>
</calcChain>
</file>

<file path=xl/sharedStrings.xml><?xml version="1.0" encoding="utf-8"?>
<sst xmlns="http://schemas.openxmlformats.org/spreadsheetml/2006/main" count="301" uniqueCount="137">
  <si>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</si>
  <si>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</si>
  <si>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</si>
  <si>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</si>
  <si>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</si>
  <si>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</si>
  <si>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</si>
  <si>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</si>
  <si>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</si>
  <si>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</si>
  <si>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</si>
  <si>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</si>
  <si>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</si>
  <si>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</si>
  <si>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</si>
  <si>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</si>
  <si>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</si>
  <si>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</si>
  <si>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</si>
  <si>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</si>
  <si>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</si>
  <si>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Project Document</t>
  </si>
  <si>
    <t>Rural Energy Market Transform (AREMTI)</t>
  </si>
  <si>
    <t>https://open.undp.org/projects/00132059</t>
  </si>
  <si>
    <t>Energy (MW added)</t>
  </si>
  <si>
    <t>Renewable energy capacity installed</t>
  </si>
  <si>
    <t>Absent RE mini-grids for energy access in the selected areas</t>
  </si>
  <si>
    <r>
      <rPr>
        <sz val="11"/>
        <color rgb="FF000000"/>
        <rFont val="Calibri"/>
      </rPr>
      <t xml:space="preserve">Project is on hold by GCF due to the change of regime in the country. </t>
    </r>
    <r>
      <rPr>
        <sz val="11"/>
        <color rgb="FFFF0000"/>
        <rFont val="Calibri"/>
      </rPr>
      <t>As of 2021, the project had ended due to uncertain reasons and did not complete its duration as per the ProDoc.</t>
    </r>
  </si>
  <si>
    <t>GCF (including 17,198,843) , UNDP, Ministry of Rural Rehabilitation and
Development (MRRD)</t>
  </si>
  <si>
    <t>VF</t>
  </si>
  <si>
    <t>Close the gap on energy access</t>
  </si>
  <si>
    <t>Solar</t>
  </si>
  <si>
    <t>yes</t>
  </si>
  <si>
    <t xml:space="preserve"> Sustainable Energy Services for Education and Health in Afghanistan (SESEHA)</t>
  </si>
  <si>
    <t>https://open.undp.org/projects/00147445</t>
  </si>
  <si>
    <t>Health Services</t>
  </si>
  <si>
    <t>Number of people, who benefitted from services from clean, affordable and sustainable energy (disaggregated by sex)</t>
  </si>
  <si>
    <t>The baseline is access to electricity is less than 6 hours of average supply in selected 18 provinces in Phase I. Site specific baselines being established as a part of the current Inception Phase through an independent assessment of target public facilities in both education and health sectors based on a technical criteria.</t>
  </si>
  <si>
    <t xml:space="preserve">Phase I: Target number of public facilities – approx. 792 ; Health facilities – 92 and Education facilities – 700 
~ tentative/likely reach of 0.5 - 1 million people for both sectors (~ at least 0.5 million women ) 
The financing agreement with KfW was signed on 22 December 2022 and went into a funding pause until March 2023 due to DFA decrees on women education and employment. The project kick off held on April 26-27, 2023 and is the first energy project utilizing development funding in Afghanistan post August 2021 crisis (the project contributes to the levy to UNRC) 
(Total contribution for 66 months from 1 Januray 2023 to 30 June 2028 ) </t>
  </si>
  <si>
    <t>BMZ (Federal Ministry for Economic Cooperation and Development) through KFW (German Development Bank)</t>
  </si>
  <si>
    <t>Non-VF</t>
  </si>
  <si>
    <t>Health</t>
  </si>
  <si>
    <t>Accelerating just energy transition</t>
  </si>
  <si>
    <t>ABADEI 2.0</t>
  </si>
  <si>
    <t> </t>
  </si>
  <si>
    <t>Electricity Access</t>
  </si>
  <si>
    <t>Number of basic facilities powered through renewable energy, disaggregated by type of facility ( e.g. health, education, sanitation) and location
Number of households who gained access to clean
and affordable energy (including women headed immunocompromised and or disabled households)</t>
  </si>
  <si>
    <t xml:space="preserve">Total number of beneficiaries : 1,188,687 (Female: 414,661)
Energy Kits: 6,446 (Health facilities: 37 ;
Education Facility: 52; Community members: 6357)
Energy system installed: 687
(Health Facility: 202; Educational Institutions (Including religious) : 483; Community: 2)
Baseline is ABADEI-1.0 achievement until 31 March 2023
  1000 (Target 2023)
 150,000 (Target 2023)
</t>
  </si>
  <si>
    <t>Government of Japan</t>
  </si>
  <si>
    <t>ABADEI 1.0 (PIP)</t>
  </si>
  <si>
    <t>https://open.undp.org/projects/00138844</t>
  </si>
  <si>
    <t>Number of individuals who gained access to clean and affordable energy  (disaggregated by sex)</t>
  </si>
  <si>
    <t>11000 HH</t>
  </si>
  <si>
    <t>Government of Japan, UNDP</t>
  </si>
  <si>
    <t>Clean Cooking</t>
  </si>
  <si>
    <t>10000 HH</t>
  </si>
  <si>
    <t xml:space="preserve">Strengthening Community Safety Well-being and Humanitarian Security in Afghanistan </t>
  </si>
  <si>
    <t>Medium Enterprises</t>
  </si>
  <si>
    <t>Solarization of production facilities of 60 selected SMEs</t>
  </si>
  <si>
    <t>Afghanistan Sustainable Energy for Rural Development (ASERD)</t>
  </si>
  <si>
    <t>Number of households with access to energy, disaggregated by female headed households</t>
  </si>
  <si>
    <t>40000 HH</t>
  </si>
  <si>
    <t>200000 HH</t>
  </si>
  <si>
    <r>
      <rPr>
        <sz val="11"/>
        <color rgb="FF000000"/>
        <rFont val="Calibri"/>
      </rPr>
      <t xml:space="preserve">ASERD project was operationally completed in 2020. The beneficiaries continue to be served through this project and has increased since the commissioning of the minigrid.  </t>
    </r>
    <r>
      <rPr>
        <sz val="11"/>
        <color rgb="FFFF0000"/>
        <rFont val="Calibri"/>
      </rPr>
      <t>Provide access to 1,608,000 households with energy, including female-headed households, through the Afghanistan Sustainable Energy for Rural Development (ASERD) project. The project has ended in of 2022</t>
    </r>
  </si>
  <si>
    <t>Republic of Korea, UNDP, Canada, Spain</t>
  </si>
  <si>
    <t>Community-based Agriculture and Development Project</t>
  </si>
  <si>
    <t>https://open.undp.org/projects/00122244</t>
  </si>
  <si>
    <t>Energy Transition</t>
  </si>
  <si>
    <t xml:space="preserve">Number of farmers who benefited from the provision of solar dryers
Number of production companies supported through the installation of solar energy systems
</t>
  </si>
  <si>
    <t>A total of 1,551 farmers across various regions benefited from the provision of solar dryers, enabling them to employ improved drying technologies. Additionally, nine production companies (seven male-owned and two female-owned) were supported in adopting green energy solutions through the installation of 783 kW of solar energy systems tailored to their production needs. Furthermore, 171 greenhouses were rehabilitated and upgraded to utilize solar technology, with the solar systems collectively generating 85 kW of power.</t>
  </si>
  <si>
    <t>Us Int'L Narcotics &amp; Law Enfmnt Affairs</t>
  </si>
  <si>
    <t>NON-VF</t>
  </si>
  <si>
    <t>Category</t>
  </si>
  <si>
    <t>US$21,398,843</t>
  </si>
  <si>
    <t>Project is on hold by GCF due to the change of regime in the country</t>
  </si>
  <si>
    <t>GCF(including US$17,198,843) , UNDP, Ministry of Rural Rehabilitation and
Development (MRRD)</t>
  </si>
  <si>
    <t>Renewable Energy</t>
  </si>
  <si>
    <t>US$60,110,220</t>
  </si>
  <si>
    <t>BMZ(Federal Ministry for Economic Cooperation and Development) through KFW (German Development Bank)</t>
  </si>
  <si>
    <t>h</t>
  </si>
  <si>
    <t>US$8,726,624</t>
  </si>
  <si>
    <t>Health Services; Education Services</t>
  </si>
  <si>
    <t>Total number of beneficiaries : 1,188,687 (Female: 414,661)
Energy Kits: 6,446 (Health facilities: 37 ;
Education Facility: 52; Community members: 6357)
Energy system installed: 687
(Health Facility: 202; Educational Institutions (Including religious) : 483; Community: 2)</t>
  </si>
  <si>
    <t xml:space="preserve"> US$12,895,159 </t>
  </si>
  <si>
    <t xml:space="preserve">Electricity Access </t>
  </si>
  <si>
    <t>11,000 households</t>
  </si>
  <si>
    <t>10,000 HH</t>
  </si>
  <si>
    <t xml:space="preserve"> US$1,253,880 </t>
  </si>
  <si>
    <t xml:space="preserve"> US$12,846,044 </t>
  </si>
  <si>
    <t>40,000 households</t>
  </si>
  <si>
    <t>200,000 households</t>
  </si>
  <si>
    <t xml:space="preserve">ASERD project was operationally completed in 2020. The beneficiaries continue to be served through this project and has increased since the commissioning of the minigrid. </t>
  </si>
  <si>
    <t xml:space="preserve">US$21,398,843 (including US$17,198,843 from GCF) </t>
  </si>
  <si>
    <t>2.6 MW solar mini-grids</t>
  </si>
  <si>
    <t>GCF, UNDP, Ministry of Rural Rehabilitation and
Development (MRRD)</t>
  </si>
  <si>
    <t xml:space="preserve">US$60,110,220 (Total contribution for 66 months from 1 Januray 2023 to 30 June 2028 ) </t>
  </si>
  <si>
    <t xml:space="preserve">Phase I: Target number of public facilities – approx. 792 ; Health facilities – 92 and Education facilities – 700 
~ tentative/likely reach of 0.5 - 1 million people for both sectors (~ at least 0.5 million women ) </t>
  </si>
  <si>
    <t xml:space="preserve">The financing agreement with KfW was signed on 22 December 2022 and went into a funding pause until March 2023 due to DFA decrees on women education and employment. The project kick off held on April 26-27, 2023 and is the first energy project utilizing development funding in Afghanistan post August 2021 crisis (the project contributes to the levy to UNRC) </t>
  </si>
  <si>
    <t xml:space="preserve">US$8,726,624 (Total for 2023 year) </t>
  </si>
  <si>
    <t xml:space="preserve"> 
 1000 (Target 2023)
150,000 (Target 2023)
</t>
  </si>
  <si>
    <t>Baseline is ABADEI-1.0 achievement until 31 March 2023</t>
  </si>
  <si>
    <t>10 PV System: 11,000 household
cooking devices: 10,000 HHs</t>
  </si>
  <si>
    <t>Number of people, disaggregated by sex, who gain access to clean electricity (direct access to electricity, lighting, cooling, etc.) </t>
  </si>
  <si>
    <t>Number of MW installed capacity</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</si>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</sst>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1"/>
      <color theme="1"/>
      <name val="Calibri"/>
      <scheme val="minor"/>
    </font>
    <font>
      <b/>
      <sz val="11"/>
      <color theme="1"/>
      <name val="Calibri"/>
      <family val="2"/>
      <scheme val="minor"/>
    </font>
    <font>
      <sz val="11"/>
      <color rgb="FF000000"/>
      <name val="Calibri"/>
      <family val="2"/>
    </font>
    <font>
      <sz val="11"/>
      <name val="Calibri"/>
      <family val="2"/>
    </font>
    <font>
      <u/>
      <sz val="11"/>
      <color theme="10"/>
      <name val="Calibri"/>
      <family val="2"/>
      <scheme val="minor"/>
    </font>
    <font>
      <b/>
      <sz val="11"/>
      <color theme="1"/>
      <name val="Calibri"/>
      <scheme val="minor"/>
    </font>
    <font>
      <sz val="11"/>
      <color rgb="FF000000"/>
      <name val="Calibri"/>
      <scheme val="minor"/>
    </font>
    <font>
      <sz val="11"/>
      <color rgb="FF000000"/>
      <name val="Calibri"/>
    </font>
    <font>
      <sz val="11"/>
      <color rgb="FFFF0000"/>
      <name val="Calibri"/>
    </font>
  </fonts>
  <fills count="4">
    <fill>
      <patternFill patternType="none"/>
    </fill>
    <fill>
      <patternFill patternType="gray125"/>
    </fill>
    <fill>
      <patternFill patternType="solid">
        <fgColor rgb="FFFFC000"/>
        <bgColor indexed="64"/>
      </patternFill>
    </fill>
    <fill>
      <patternFill patternType="solid">
        <fgColor rgb="FFFFFF00"/>
        <bgColor indexed="64"/>
      </patternFill>
    </fill>
  </fills>
  <borders count="17">
    <border>
      <left/>
      <right/>
      <top/>
      <bottom/>
      <diagonal/>
    </border>
    <border>
      <left style="thin">
        <color auto="1"/>
      </left>
      <right style="thin">
        <color auto="1"/>
      </right>
      <top style="thin">
        <color auto="1"/>
      </top>
      <bottom style="thin">
        <color auto="1"/>
      </bottom>
      <diagonal/>
    </border>
    <border>
      <left/>
      <right/>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indexed="64"/>
      </right>
      <top/>
      <bottom/>
      <diagonal/>
    </border>
    <border>
      <left/>
      <right/>
      <top style="thin">
        <color rgb="FF000000"/>
      </top>
      <bottom style="thin">
        <color rgb="FF000000"/>
      </bottom>
      <diagonal/>
    </border>
  </borders>
  <cellStyleXfs count="2">
    <xf numFmtId="0" fontId="0" fillId="0" borderId="0"/>
    <xf numFmtId="0" fontId="5" fillId="0" borderId="0" applyNumberFormat="0" applyFill="0" applyBorder="0" applyAlignment="0" applyProtection="0"/>
  </cellStyleXfs>
  <cellXfs count="63">
    <xf numFmtId="0" fontId="0" fillId="0" borderId="0" xfId="0"/>
    <xf numFmtId="0" fontId="2" fillId="0" borderId="1" xfId="0" applyFont="1" applyBorder="1" applyAlignment="1">
      <alignment horizontal="center" vertical="top"/>
    </xf>
    <xf numFmtId="0" fontId="2" fillId="0" borderId="2" xfId="0" applyFont="1" applyBorder="1"/>
    <xf numFmtId="0" fontId="3" fillId="0" borderId="1" xfId="0" applyFont="1" applyBorder="1" applyAlignment="1">
      <alignment vertical="center" wrapText="1"/>
    </xf>
    <xf numFmtId="0" fontId="3" fillId="0" borderId="3" xfId="0" applyFont="1" applyBorder="1" applyAlignment="1">
      <alignment vertical="center" wrapText="1"/>
    </xf>
    <xf numFmtId="0" fontId="0" fillId="0" borderId="0" xfId="0" applyAlignment="1">
      <alignment vertical="center"/>
    </xf>
    <xf numFmtId="0" fontId="4" fillId="0" borderId="1" xfId="0" applyFont="1" applyBorder="1" applyAlignment="1">
      <alignment vertical="center" wrapText="1"/>
    </xf>
    <xf numFmtId="0" fontId="3" fillId="0" borderId="0" xfId="0" applyFont="1" applyAlignment="1">
      <alignment vertical="center" wrapText="1"/>
    </xf>
    <xf numFmtId="0" fontId="3" fillId="0" borderId="4" xfId="0" applyFont="1" applyBorder="1" applyAlignment="1">
      <alignment vertical="center" wrapText="1"/>
    </xf>
    <xf numFmtId="0" fontId="3" fillId="0" borderId="5" xfId="0" applyFont="1" applyBorder="1" applyAlignment="1">
      <alignment vertical="center" wrapText="1"/>
    </xf>
    <xf numFmtId="0" fontId="3" fillId="0" borderId="5" xfId="0" applyFont="1" applyBorder="1" applyAlignment="1">
      <alignment vertical="center"/>
    </xf>
    <xf numFmtId="0" fontId="4" fillId="0" borderId="5" xfId="0" applyFont="1" applyBorder="1" applyAlignment="1">
      <alignment vertical="center" wrapText="1"/>
    </xf>
    <xf numFmtId="0" fontId="3" fillId="0" borderId="3" xfId="0" applyFont="1" applyBorder="1" applyAlignment="1">
      <alignment vertical="center"/>
    </xf>
    <xf numFmtId="0" fontId="2" fillId="2" borderId="2" xfId="0" applyFont="1" applyFill="1" applyBorder="1"/>
    <xf numFmtId="0" fontId="2" fillId="2" borderId="1" xfId="0" applyFont="1" applyFill="1" applyBorder="1" applyAlignment="1">
      <alignment horizontal="center" vertical="top"/>
    </xf>
    <xf numFmtId="0" fontId="2" fillId="0" borderId="0" xfId="0" applyFont="1"/>
    <xf numFmtId="0" fontId="3" fillId="0" borderId="1" xfId="0" applyFont="1" applyBorder="1" applyAlignment="1">
      <alignment horizontal="center" vertical="center" wrapText="1"/>
    </xf>
    <xf numFmtId="0" fontId="3" fillId="0" borderId="3" xfId="0" applyFont="1" applyBorder="1" applyAlignment="1">
      <alignment horizontal="center" vertical="center" wrapText="1"/>
    </xf>
    <xf numFmtId="0" fontId="5" fillId="0" borderId="3" xfId="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0" fillId="0" borderId="8" xfId="0" applyBorder="1" applyAlignment="1">
      <alignment horizontal="center" vertical="center"/>
    </xf>
    <xf numFmtId="0" fontId="3" fillId="0" borderId="0" xfId="0" applyFont="1" applyAlignment="1">
      <alignment horizontal="center" vertical="center" wrapText="1"/>
    </xf>
    <xf numFmtId="0" fontId="4" fillId="0" borderId="1" xfId="0" applyFont="1" applyBorder="1" applyAlignment="1">
      <alignment horizontal="center" vertical="center" wrapText="1"/>
    </xf>
    <xf numFmtId="9" fontId="0" fillId="0" borderId="8" xfId="0" applyNumberFormat="1" applyBorder="1" applyAlignment="1">
      <alignment horizontal="center" vertical="center"/>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5" xfId="0" applyFont="1" applyBorder="1" applyAlignment="1">
      <alignment horizontal="center" vertical="center"/>
    </xf>
    <xf numFmtId="0" fontId="4" fillId="0" borderId="5" xfId="0" applyFont="1" applyBorder="1" applyAlignment="1">
      <alignment horizontal="center" vertical="center" wrapText="1"/>
    </xf>
    <xf numFmtId="0" fontId="3" fillId="0" borderId="10" xfId="0" applyFont="1" applyBorder="1" applyAlignment="1">
      <alignment horizontal="center" vertical="center" wrapText="1"/>
    </xf>
    <xf numFmtId="10" fontId="0" fillId="0" borderId="8" xfId="0" applyNumberFormat="1" applyBorder="1" applyAlignment="1">
      <alignment horizontal="center" vertical="center"/>
    </xf>
    <xf numFmtId="0" fontId="3" fillId="0" borderId="11" xfId="0" applyFont="1" applyBorder="1" applyAlignment="1">
      <alignment horizontal="center" vertical="center" wrapText="1"/>
    </xf>
    <xf numFmtId="0" fontId="3" fillId="0" borderId="3" xfId="0" applyFon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0" fontId="0" fillId="0" borderId="8" xfId="0" applyBorder="1" applyAlignment="1">
      <alignment horizontal="center" vertical="center" wrapText="1"/>
    </xf>
    <xf numFmtId="0" fontId="3" fillId="0" borderId="15" xfId="0" applyFont="1" applyBorder="1" applyAlignment="1">
      <alignment horizontal="center" vertical="center" wrapText="1"/>
    </xf>
    <xf numFmtId="0" fontId="2" fillId="0" borderId="6" xfId="0" applyFont="1" applyBorder="1" applyAlignment="1">
      <alignment horizontal="center" vertical="top"/>
    </xf>
    <xf numFmtId="0" fontId="2" fillId="0" borderId="2" xfId="0" applyFont="1" applyBorder="1" applyAlignment="1">
      <alignment horizontal="center"/>
    </xf>
    <xf numFmtId="0" fontId="2" fillId="0" borderId="8" xfId="0" applyFont="1" applyBorder="1" applyAlignment="1">
      <alignment horizontal="center"/>
    </xf>
    <xf numFmtId="0" fontId="2" fillId="0" borderId="14" xfId="0" applyFont="1" applyBorder="1" applyAlignment="1">
      <alignment horizontal="center"/>
    </xf>
    <xf numFmtId="0" fontId="3" fillId="0" borderId="7" xfId="0" applyFont="1" applyBorder="1" applyAlignment="1">
      <alignment horizontal="center" vertical="center" wrapText="1"/>
    </xf>
    <xf numFmtId="0" fontId="5" fillId="0" borderId="15" xfId="1" applyBorder="1" applyAlignment="1">
      <alignment horizontal="center" vertical="center"/>
    </xf>
    <xf numFmtId="0" fontId="3" fillId="0" borderId="15" xfId="0" applyFont="1" applyBorder="1" applyAlignment="1">
      <alignment horizontal="center" vertical="center"/>
    </xf>
    <xf numFmtId="0" fontId="3" fillId="0" borderId="12"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16" xfId="0" applyFont="1" applyBorder="1" applyAlignment="1">
      <alignment horizontal="center" vertical="center"/>
    </xf>
    <xf numFmtId="0" fontId="3" fillId="0" borderId="13" xfId="0" applyFont="1" applyBorder="1" applyAlignment="1">
      <alignment horizontal="center" vertical="center"/>
    </xf>
    <xf numFmtId="0" fontId="6" fillId="0" borderId="8" xfId="0" applyFont="1" applyBorder="1" applyAlignment="1">
      <alignment horizontal="center" vertical="top" wrapText="1"/>
    </xf>
    <xf numFmtId="0" fontId="7" fillId="0" borderId="8" xfId="0" applyFont="1" applyBorder="1" applyAlignment="1">
      <alignment wrapText="1"/>
    </xf>
    <xf numFmtId="0" fontId="2" fillId="0" borderId="8" xfId="0" applyFont="1" applyBorder="1"/>
    <xf numFmtId="0" fontId="0" fillId="0" borderId="8" xfId="0" applyBorder="1" applyAlignment="1">
      <alignment vertical="center"/>
    </xf>
    <xf numFmtId="0" fontId="2" fillId="0" borderId="12" xfId="0" applyFont="1" applyBorder="1" applyAlignment="1">
      <alignment horizontal="center"/>
    </xf>
    <xf numFmtId="0" fontId="8" fillId="0" borderId="3" xfId="0" applyFont="1" applyBorder="1" applyAlignment="1">
      <alignment horizontal="center" vertical="center" wrapText="1"/>
    </xf>
    <xf numFmtId="0" fontId="8" fillId="0" borderId="1" xfId="0" applyFont="1" applyBorder="1" applyAlignment="1">
      <alignment horizontal="center" vertical="center" wrapText="1"/>
    </xf>
    <xf numFmtId="0" fontId="0" fillId="0" borderId="0" xfId="0" applyAlignment="1">
      <alignment horizontal="center" vertical="center" wrapText="1"/>
    </xf>
    <xf numFmtId="0" fontId="5" fillId="0" borderId="0" xfId="1" applyAlignment="1">
      <alignment horizontal="center" vertical="center" wrapText="1"/>
    </xf>
    <xf numFmtId="0" fontId="0" fillId="0" borderId="0" xfId="0" applyAlignment="1">
      <alignment horizontal="left" vertical="center" wrapText="1"/>
    </xf>
    <xf numFmtId="0" fontId="0" fillId="0" borderId="0" xfId="0" applyFill="1" applyAlignment="1">
      <alignment vertical="center"/>
    </xf>
    <xf numFmtId="0" fontId="1" fillId="0" borderId="8" xfId="0" applyFont="1" applyBorder="1" applyAlignment="1">
      <alignment horizontal="left" vertical="center" wrapText="1"/>
    </xf>
    <xf numFmtId="0" fontId="1" fillId="3" borderId="8" xfId="0" applyFont="1" applyFill="1" applyBorder="1" applyAlignment="1">
      <alignment wrapText="1"/>
    </xf>
    <xf numFmtId="0" fontId="1" fillId="0" borderId="8" xfId="0" applyFont="1" applyBorder="1" applyAlignment="1">
      <alignment wrapText="1"/>
    </xf>
    <xf numFmtId="0" fontId="1" fillId="0" borderId="8"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open.undp.org/projects/00138844" TargetMode="External"/><Relationship Id="rId2" Type="http://schemas.openxmlformats.org/officeDocument/2006/relationships/hyperlink" Target="https://open.undp.org/projects/00147445" TargetMode="External"/><Relationship Id="rId1" Type="http://schemas.openxmlformats.org/officeDocument/2006/relationships/hyperlink" Target="https://open.undp.org/projects/00132059" TargetMode="External"/><Relationship Id="rId4" Type="http://schemas.openxmlformats.org/officeDocument/2006/relationships/hyperlink" Target="https://open.undp.org/projects/0012224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48C11-585E-45FB-A282-B510B4253AB6}">
  <dimension ref="A1:V9"/>
  <sheetViews>
    <sheetView showGridLines="0" tabSelected="1" workbookViewId="0">
      <pane xSplit="3" ySplit="1" topLeftCell="D2" activePane="bottomRight" state="frozen"/>
      <selection pane="bottomRight" activeCell="Y4" sqref="Y4"/>
      <selection pane="bottomLeft"/>
      <selection pane="topRight"/>
    </sheetView>
  </sheetViews>
  <sheetFormatPr defaultRowHeight="15"/>
  <cols>
    <col min="2" max="2" width="34.28515625" customWidth="1"/>
    <col min="3" max="3" width="20.7109375" customWidth="1"/>
    <col min="4" max="4" width="13.42578125" bestFit="1" customWidth="1"/>
    <col min="5" max="5" width="20.7109375" customWidth="1"/>
    <col min="6" max="6" width="45.42578125" customWidth="1"/>
    <col min="7" max="7" width="44.140625" customWidth="1"/>
    <col min="8" max="8" width="36.85546875" customWidth="1"/>
    <col min="9" max="9" width="50.28515625" customWidth="1"/>
    <col min="10" max="10" width="32.85546875" customWidth="1"/>
    <col min="11" max="11" width="17.42578125" customWidth="1"/>
    <col min="12" max="12" width="12.85546875" bestFit="1" customWidth="1"/>
    <col min="13" max="13" width="17.42578125" customWidth="1"/>
    <col min="14" max="15" width="19" customWidth="1"/>
    <col min="17" max="17" width="16.5703125" bestFit="1" customWidth="1"/>
    <col min="18" max="18" width="18.140625" bestFit="1" customWidth="1"/>
    <col min="19" max="19" width="11.28515625" bestFit="1" customWidth="1"/>
    <col min="20" max="20" width="30.28515625" bestFit="1" customWidth="1"/>
    <col min="21" max="21" width="16.7109375" bestFit="1" customWidth="1"/>
  </cols>
  <sheetData>
    <row r="1" spans="1:22">
      <c r="A1" s="1" t="s">
        <v>0</v>
      </c>
      <c r="B1" s="1" t="s">
        <v>1</v>
      </c>
      <c r="C1" s="1" t="s">
        <v>2</v>
      </c>
      <c r="D1" s="1" t="s">
        <v>3</v>
      </c>
      <c r="E1" s="1" t="s">
        <v>4</v>
      </c>
      <c r="F1" s="37" t="s">
        <v>5</v>
      </c>
      <c r="G1" s="1" t="s">
        <v>6</v>
      </c>
      <c r="H1" s="1" t="s">
        <v>7</v>
      </c>
      <c r="I1" s="1" t="s">
        <v>8</v>
      </c>
      <c r="J1" s="38" t="s">
        <v>9</v>
      </c>
      <c r="K1" s="39" t="s">
        <v>10</v>
      </c>
      <c r="L1" s="39" t="s">
        <v>11</v>
      </c>
      <c r="M1" s="40" t="s">
        <v>12</v>
      </c>
      <c r="N1" s="39" t="s">
        <v>13</v>
      </c>
      <c r="O1" s="39" t="s">
        <v>14</v>
      </c>
      <c r="P1" s="39" t="s">
        <v>15</v>
      </c>
      <c r="Q1" s="39" t="s">
        <v>16</v>
      </c>
      <c r="R1" s="52" t="s">
        <v>17</v>
      </c>
      <c r="S1" s="50" t="s">
        <v>18</v>
      </c>
      <c r="T1" s="52" t="s">
        <v>19</v>
      </c>
      <c r="U1" s="50" t="s">
        <v>20</v>
      </c>
      <c r="V1" t="s">
        <v>21</v>
      </c>
    </row>
    <row r="2" spans="1:22" s="5" customFormat="1" ht="60.75">
      <c r="A2" s="16">
        <v>132059</v>
      </c>
      <c r="B2" s="17" t="s">
        <v>22</v>
      </c>
      <c r="C2" s="18" t="s">
        <v>23</v>
      </c>
      <c r="D2" s="17">
        <v>21398843</v>
      </c>
      <c r="E2" s="21" t="s">
        <v>24</v>
      </c>
      <c r="F2" s="19" t="s">
        <v>25</v>
      </c>
      <c r="G2" s="17" t="s">
        <v>26</v>
      </c>
      <c r="H2" s="17">
        <v>2.6</v>
      </c>
      <c r="I2" s="53" t="s">
        <v>27</v>
      </c>
      <c r="J2" s="20" t="s">
        <v>28</v>
      </c>
      <c r="K2" s="21"/>
      <c r="L2" s="33" t="s">
        <v>29</v>
      </c>
      <c r="M2" s="21"/>
      <c r="N2" s="34" t="s">
        <v>30</v>
      </c>
      <c r="O2" s="21"/>
      <c r="P2" s="21"/>
      <c r="Q2" s="21"/>
      <c r="R2" s="21"/>
      <c r="S2" s="51" t="s">
        <v>31</v>
      </c>
      <c r="T2" s="33"/>
      <c r="U2" s="51"/>
      <c r="V2" s="5" t="s">
        <v>32</v>
      </c>
    </row>
    <row r="3" spans="1:22" s="5" customFormat="1" ht="229.5">
      <c r="A3" s="16">
        <v>147445</v>
      </c>
      <c r="B3" s="17" t="s">
        <v>33</v>
      </c>
      <c r="C3" s="18" t="s">
        <v>34</v>
      </c>
      <c r="D3" s="17">
        <v>60110220</v>
      </c>
      <c r="E3" s="21" t="s">
        <v>35</v>
      </c>
      <c r="F3" s="22" t="s">
        <v>36</v>
      </c>
      <c r="G3" s="23" t="s">
        <v>37</v>
      </c>
      <c r="H3" s="22">
        <v>1000000</v>
      </c>
      <c r="I3" s="16" t="s">
        <v>38</v>
      </c>
      <c r="J3" s="20" t="s">
        <v>39</v>
      </c>
      <c r="K3" s="24">
        <v>0.5</v>
      </c>
      <c r="L3" s="33" t="s">
        <v>40</v>
      </c>
      <c r="M3" s="21" t="s">
        <v>41</v>
      </c>
      <c r="N3" s="35" t="s">
        <v>42</v>
      </c>
      <c r="O3" s="21"/>
      <c r="P3" s="21"/>
      <c r="Q3" s="21"/>
      <c r="R3" s="21"/>
      <c r="S3" s="51"/>
      <c r="T3" s="33"/>
      <c r="U3" s="51"/>
      <c r="V3" s="58" t="s">
        <v>32</v>
      </c>
    </row>
    <row r="4" spans="1:22" s="5" customFormat="1" ht="259.5">
      <c r="A4" s="25">
        <v>1000372</v>
      </c>
      <c r="B4" s="26" t="s">
        <v>43</v>
      </c>
      <c r="C4" s="27" t="s">
        <v>44</v>
      </c>
      <c r="D4" s="28">
        <v>8726624</v>
      </c>
      <c r="E4" s="21" t="s">
        <v>45</v>
      </c>
      <c r="F4" s="17" t="s">
        <v>46</v>
      </c>
      <c r="G4" s="26"/>
      <c r="H4" s="17">
        <v>1188687</v>
      </c>
      <c r="I4" s="36" t="s">
        <v>47</v>
      </c>
      <c r="J4" s="29" t="s">
        <v>48</v>
      </c>
      <c r="K4" s="30">
        <f>414661/1188687</f>
        <v>0.34883951788822459</v>
      </c>
      <c r="L4" s="33" t="s">
        <v>40</v>
      </c>
      <c r="M4" s="21" t="s">
        <v>41</v>
      </c>
      <c r="N4" s="35" t="s">
        <v>42</v>
      </c>
      <c r="O4" s="21"/>
      <c r="P4" s="21"/>
      <c r="Q4" s="21"/>
      <c r="R4" s="21"/>
      <c r="S4" s="51" t="s">
        <v>31</v>
      </c>
      <c r="T4" s="33"/>
      <c r="U4" s="51"/>
      <c r="V4" s="58" t="s">
        <v>32</v>
      </c>
    </row>
    <row r="5" spans="1:22" s="5" customFormat="1" ht="30.75">
      <c r="A5" s="41">
        <v>138844</v>
      </c>
      <c r="B5" s="36" t="s">
        <v>49</v>
      </c>
      <c r="C5" s="42" t="s">
        <v>50</v>
      </c>
      <c r="D5" s="43">
        <v>12895159</v>
      </c>
      <c r="E5" s="21" t="s">
        <v>45</v>
      </c>
      <c r="F5" s="26" t="s">
        <v>51</v>
      </c>
      <c r="G5" s="27">
        <v>0</v>
      </c>
      <c r="H5" s="29" t="s">
        <v>52</v>
      </c>
      <c r="I5" s="19"/>
      <c r="J5" s="29" t="s">
        <v>53</v>
      </c>
      <c r="K5" s="21"/>
      <c r="L5" s="33" t="s">
        <v>40</v>
      </c>
      <c r="M5" s="21"/>
      <c r="N5" s="35" t="s">
        <v>42</v>
      </c>
      <c r="O5" s="21"/>
      <c r="P5" s="21"/>
      <c r="Q5" s="21"/>
      <c r="R5" s="21"/>
      <c r="S5" s="51" t="s">
        <v>31</v>
      </c>
      <c r="T5" s="33"/>
      <c r="U5" s="51"/>
      <c r="V5" s="58" t="s">
        <v>32</v>
      </c>
    </row>
    <row r="6" spans="1:22" s="5" customFormat="1" ht="30.75">
      <c r="A6" s="44"/>
      <c r="B6" s="45"/>
      <c r="C6" s="46"/>
      <c r="D6" s="47"/>
      <c r="E6" s="21" t="s">
        <v>54</v>
      </c>
      <c r="F6" s="26" t="s">
        <v>51</v>
      </c>
      <c r="G6" s="27">
        <v>0</v>
      </c>
      <c r="H6" s="26" t="s">
        <v>55</v>
      </c>
      <c r="I6" s="22"/>
      <c r="J6" s="31" t="s">
        <v>53</v>
      </c>
      <c r="K6" s="21"/>
      <c r="L6" s="33" t="s">
        <v>40</v>
      </c>
      <c r="M6" s="21"/>
      <c r="N6" s="35" t="s">
        <v>42</v>
      </c>
      <c r="O6" s="21"/>
      <c r="P6" s="21"/>
      <c r="Q6" s="21"/>
      <c r="R6" s="21"/>
      <c r="S6" s="51"/>
      <c r="T6" s="33"/>
      <c r="U6" s="51"/>
      <c r="V6" s="58"/>
    </row>
    <row r="7" spans="1:22" s="5" customFormat="1" ht="45.75">
      <c r="A7" s="25">
        <v>143651</v>
      </c>
      <c r="B7" s="26" t="s">
        <v>56</v>
      </c>
      <c r="C7" s="27" t="s">
        <v>44</v>
      </c>
      <c r="D7" s="27">
        <v>1253880</v>
      </c>
      <c r="E7" s="21" t="s">
        <v>57</v>
      </c>
      <c r="F7" s="26" t="s">
        <v>58</v>
      </c>
      <c r="G7" s="27">
        <v>0</v>
      </c>
      <c r="H7" s="27">
        <v>60</v>
      </c>
      <c r="I7" s="32" t="s">
        <v>44</v>
      </c>
      <c r="J7" s="29" t="s">
        <v>48</v>
      </c>
      <c r="K7" s="21"/>
      <c r="L7" s="33" t="s">
        <v>40</v>
      </c>
      <c r="M7" s="21"/>
      <c r="N7" s="35" t="s">
        <v>42</v>
      </c>
      <c r="O7" s="21"/>
      <c r="P7" s="21"/>
      <c r="Q7" s="21"/>
      <c r="R7" s="21"/>
      <c r="S7" s="51"/>
      <c r="T7" s="33"/>
      <c r="U7" s="51"/>
      <c r="V7" s="58" t="s">
        <v>32</v>
      </c>
    </row>
    <row r="8" spans="1:22" s="5" customFormat="1" ht="121.5">
      <c r="A8" s="25">
        <v>88841</v>
      </c>
      <c r="B8" s="26" t="s">
        <v>59</v>
      </c>
      <c r="C8" s="26" t="s">
        <v>44</v>
      </c>
      <c r="D8" s="26">
        <v>12846044</v>
      </c>
      <c r="E8" s="21" t="s">
        <v>45</v>
      </c>
      <c r="F8" s="26" t="s">
        <v>60</v>
      </c>
      <c r="G8" s="26" t="s">
        <v>61</v>
      </c>
      <c r="H8" s="26" t="s">
        <v>62</v>
      </c>
      <c r="I8" s="54" t="s">
        <v>63</v>
      </c>
      <c r="J8" s="29" t="s">
        <v>64</v>
      </c>
      <c r="K8" s="21"/>
      <c r="L8" s="33" t="s">
        <v>40</v>
      </c>
      <c r="M8" s="21"/>
      <c r="N8" s="35" t="s">
        <v>42</v>
      </c>
      <c r="O8" s="21"/>
      <c r="P8" s="21"/>
      <c r="Q8" s="21"/>
      <c r="R8" s="21"/>
      <c r="S8" s="51" t="s">
        <v>31</v>
      </c>
      <c r="T8" s="33"/>
      <c r="U8" s="51"/>
      <c r="V8" s="5" t="s">
        <v>32</v>
      </c>
    </row>
    <row r="9" spans="1:22" s="55" customFormat="1" ht="65.25" customHeight="1">
      <c r="A9" s="55">
        <v>122244</v>
      </c>
      <c r="B9" s="55" t="s">
        <v>65</v>
      </c>
      <c r="C9" s="56" t="s">
        <v>66</v>
      </c>
      <c r="D9" s="55">
        <v>30892000</v>
      </c>
      <c r="E9" s="55" t="s">
        <v>67</v>
      </c>
      <c r="F9" s="55" t="s">
        <v>68</v>
      </c>
      <c r="G9" s="55">
        <v>0</v>
      </c>
      <c r="H9" s="55">
        <v>1551</v>
      </c>
      <c r="I9" s="55" t="s">
        <v>69</v>
      </c>
      <c r="J9" s="55" t="s">
        <v>70</v>
      </c>
      <c r="L9" s="55" t="s">
        <v>71</v>
      </c>
      <c r="V9" s="57" t="s">
        <v>32</v>
      </c>
    </row>
  </sheetData>
  <dataValidations count="9">
    <dataValidation type="list" allowBlank="1" showInputMessage="1" showErrorMessage="1" sqref="Q2:Q8" xr:uid="{29873F1D-B532-42B2-9DAB-2A15FCFB5A42}">
      <formula1>"NDC Support, National Strategy, Legal Framework,Incentives and Support, Government Capacity-Building, Carbon Pricing and Monitoring, Financing Model, Business Model"</formula1>
    </dataValidation>
    <dataValidation type="list" allowBlank="1" showInputMessage="1" showErrorMessage="1" sqref="P2:P8" xr:uid="{13618977-53EA-4311-9C6D-51F8C3C1C68B}">
      <formula1>"AMP, PUDC, Solar4Health, Action Opportunities, Italy UNDP Energy Partnership"</formula1>
    </dataValidation>
    <dataValidation type="list" allowBlank="1" showInputMessage="1" showErrorMessage="1" sqref="N2:N8" xr:uid="{0FDF284A-DBCE-4AEE-94BF-BAB2513830E6}">
      <formula1>"Accelerating just energy transition, Close the gap on energy access, Scale up energy finance"</formula1>
    </dataValidation>
    <dataValidation type="list" allowBlank="1" showInputMessage="1" showErrorMessage="1" sqref="O2:O8" xr:uid="{9053B9D4-4EF1-444E-8B26-777293BABD8E}">
      <formula1>"Electricity Access, Energy Efficiency, Clean Cooking, Renewable Energy, Overall"</formula1>
    </dataValidation>
    <dataValidation type="list" allowBlank="1" showInputMessage="1" showErrorMessage="1" sqref="T2:T8" xr:uid="{2C1642AC-EA25-4126-8CD0-9B781B07C615}">
      <formula1>"National, Regional, City, Community"</formula1>
    </dataValidation>
    <dataValidation type="list" allowBlank="1" showInputMessage="1" showErrorMessage="1" sqref="M2:M8" xr:uid="{A46AAF85-7D24-44AF-905B-0DFC8D9BA122}">
      <formula1>"Finance, Gender, Efficiency, Just, Health"</formula1>
    </dataValidation>
    <dataValidation type="list" allowBlank="1" showInputMessage="1" showErrorMessage="1" sqref="L2:L8" xr:uid="{0263D686-F7B8-4069-A2DA-7077A594CEBA}">
      <formula1>"Non-VF, VF"</formula1>
    </dataValidation>
    <dataValidation type="list" allowBlank="1" showInputMessage="1" showErrorMessage="1" sqref="S2:S8" xr:uid="{5445013B-A1F2-465F-8135-05645E95E0C2}">
      <formula1>"Solar, Wind, Bioenergy, Hydro, Geothermal, Waste, Other, Unknown"</formula1>
    </dataValidation>
    <dataValidation type="list" allowBlank="1" showInputMessage="1" showErrorMessage="1" sqref="R2:R8" xr:uid="{292A6FCC-702F-4B2A-AA55-83224500E73F}">
      <formula1>"Electricity Access, Energy Efficiency, Renewable Energy, Infrastructure,  Transport, Digital &amp; Data, Clean Cooking, Decarbonization, Hydrogen, Off-Grid, On-Grid, Research &amp; Innovation, Grant &amp; Investment"</formula1>
    </dataValidation>
  </dataValidations>
  <hyperlinks>
    <hyperlink ref="C2" r:id="rId1" xr:uid="{F8E4AF3E-3875-449F-AE46-045B99B3C0F4}"/>
    <hyperlink ref="C3" r:id="rId2" xr:uid="{F4ADE16B-21DF-474B-A783-E640CF4F7836}"/>
    <hyperlink ref="C5" r:id="rId3" xr:uid="{1D5C3B35-1BED-40FB-B553-082F4DAAB98A}"/>
    <hyperlink ref="C9" r:id="rId4" xr:uid="{F0F67EBB-6906-4E7D-922A-BACEE09275BF}"/>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2F11084-96A1-4E9C-922C-4902F4C82D20}">
          <x14:formula1>
            <xm:f>'Beneficiary Categories'!$A$2:$A$22</xm:f>
          </x14:formula1>
          <xm:sqref>E2:E8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473D3-3271-4419-96A4-87621AB83DF7}">
  <dimension ref="A1:R8"/>
  <sheetViews>
    <sheetView topLeftCell="C1" workbookViewId="0">
      <selection activeCell="E2" sqref="E2"/>
    </sheetView>
  </sheetViews>
  <sheetFormatPr defaultRowHeight="15"/>
  <cols>
    <col min="2" max="2" width="34.28515625" customWidth="1"/>
    <col min="3" max="3" width="20.7109375" customWidth="1"/>
    <col min="4" max="4" width="26.140625" customWidth="1"/>
    <col min="5" max="5" width="20.7109375" customWidth="1"/>
    <col min="6" max="6" width="45.42578125" customWidth="1"/>
    <col min="7" max="7" width="44.140625" customWidth="1"/>
    <col min="8" max="8" width="24" customWidth="1"/>
    <col min="9" max="9" width="50.28515625" customWidth="1"/>
    <col min="10" max="10" width="32.85546875" customWidth="1"/>
    <col min="11" max="11" width="17.42578125" customWidth="1"/>
    <col min="12" max="12" width="12" customWidth="1"/>
    <col min="13" max="13" width="17.42578125" customWidth="1"/>
    <col min="14" max="15" width="19" customWidth="1"/>
  </cols>
  <sheetData>
    <row r="1" spans="1:18">
      <c r="A1" s="14" t="s">
        <v>0</v>
      </c>
      <c r="B1" s="1" t="s">
        <v>1</v>
      </c>
      <c r="C1" s="1" t="s">
        <v>2</v>
      </c>
      <c r="D1" s="14" t="s">
        <v>3</v>
      </c>
      <c r="E1" s="14" t="s">
        <v>4</v>
      </c>
      <c r="F1" s="1" t="s">
        <v>5</v>
      </c>
      <c r="G1" s="14" t="s">
        <v>6</v>
      </c>
      <c r="H1" s="14" t="s">
        <v>7</v>
      </c>
      <c r="I1" s="1" t="s">
        <v>8</v>
      </c>
      <c r="J1" s="13" t="s">
        <v>9</v>
      </c>
      <c r="K1" s="13" t="s">
        <v>10</v>
      </c>
      <c r="L1" s="13" t="s">
        <v>72</v>
      </c>
      <c r="M1" s="15" t="s">
        <v>12</v>
      </c>
      <c r="N1" s="15" t="s">
        <v>13</v>
      </c>
      <c r="O1" s="15" t="s">
        <v>14</v>
      </c>
      <c r="P1" s="15" t="s">
        <v>15</v>
      </c>
      <c r="Q1" s="15" t="s">
        <v>16</v>
      </c>
      <c r="R1" s="15" t="s">
        <v>17</v>
      </c>
    </row>
    <row r="2" spans="1:18" s="5" customFormat="1" ht="60.75">
      <c r="A2" s="3">
        <v>132059</v>
      </c>
      <c r="B2" s="4" t="s">
        <v>22</v>
      </c>
      <c r="C2" s="4"/>
      <c r="D2" s="4" t="s">
        <v>73</v>
      </c>
      <c r="E2" t="s">
        <v>24</v>
      </c>
      <c r="F2" s="4" t="s">
        <v>25</v>
      </c>
      <c r="G2" s="4" t="s">
        <v>26</v>
      </c>
      <c r="H2" s="4">
        <v>2.6</v>
      </c>
      <c r="I2" s="4" t="s">
        <v>74</v>
      </c>
      <c r="J2" s="4" t="s">
        <v>75</v>
      </c>
      <c r="L2" s="5" t="s">
        <v>40</v>
      </c>
      <c r="N2" s="5" t="s">
        <v>30</v>
      </c>
      <c r="O2" s="5" t="s">
        <v>76</v>
      </c>
    </row>
    <row r="3" spans="1:18" s="5" customFormat="1" ht="229.5">
      <c r="A3" s="3">
        <v>147445</v>
      </c>
      <c r="B3" s="4" t="s">
        <v>33</v>
      </c>
      <c r="C3" s="4" t="s">
        <v>44</v>
      </c>
      <c r="D3" s="4" t="s">
        <v>77</v>
      </c>
      <c r="E3" s="4" t="s">
        <v>35</v>
      </c>
      <c r="F3" s="7" t="s">
        <v>36</v>
      </c>
      <c r="G3" s="6" t="s">
        <v>37</v>
      </c>
      <c r="H3" s="7">
        <v>1000000</v>
      </c>
      <c r="I3" s="3" t="s">
        <v>38</v>
      </c>
      <c r="J3" s="4" t="s">
        <v>78</v>
      </c>
      <c r="K3" s="5">
        <v>50</v>
      </c>
      <c r="L3" s="5" t="s">
        <v>40</v>
      </c>
      <c r="M3" s="5" t="s">
        <v>79</v>
      </c>
      <c r="N3" s="5" t="s">
        <v>42</v>
      </c>
      <c r="O3" s="5" t="s">
        <v>45</v>
      </c>
    </row>
    <row r="4" spans="1:18" s="5" customFormat="1" ht="259.5">
      <c r="A4" s="8">
        <v>1000372</v>
      </c>
      <c r="B4" s="9" t="s">
        <v>43</v>
      </c>
      <c r="C4" s="10" t="s">
        <v>44</v>
      </c>
      <c r="D4" s="11" t="s">
        <v>80</v>
      </c>
      <c r="E4" s="9" t="s">
        <v>81</v>
      </c>
      <c r="F4" s="4" t="s">
        <v>46</v>
      </c>
      <c r="G4" s="9" t="s">
        <v>82</v>
      </c>
      <c r="H4" s="4">
        <v>1188687</v>
      </c>
      <c r="I4" s="9" t="s">
        <v>47</v>
      </c>
      <c r="J4" s="9" t="s">
        <v>48</v>
      </c>
      <c r="K4" s="5">
        <f>414661/1188687</f>
        <v>0.34883951788822459</v>
      </c>
      <c r="L4" s="5" t="s">
        <v>40</v>
      </c>
      <c r="M4" s="5" t="s">
        <v>79</v>
      </c>
      <c r="N4" s="5" t="s">
        <v>42</v>
      </c>
      <c r="O4" s="5" t="s">
        <v>45</v>
      </c>
    </row>
    <row r="5" spans="1:18" s="5" customFormat="1" ht="30.75">
      <c r="A5" s="8">
        <v>138844</v>
      </c>
      <c r="B5" s="9" t="s">
        <v>49</v>
      </c>
      <c r="C5" s="10" t="s">
        <v>44</v>
      </c>
      <c r="D5" s="10" t="s">
        <v>83</v>
      </c>
      <c r="E5" s="10" t="s">
        <v>84</v>
      </c>
      <c r="F5" s="9" t="s">
        <v>51</v>
      </c>
      <c r="G5" s="10">
        <v>0</v>
      </c>
      <c r="H5" s="9" t="s">
        <v>85</v>
      </c>
      <c r="I5" s="7"/>
      <c r="J5" s="8" t="s">
        <v>53</v>
      </c>
      <c r="L5" s="5" t="s">
        <v>40</v>
      </c>
      <c r="N5" s="5" t="s">
        <v>42</v>
      </c>
      <c r="O5" s="5" t="s">
        <v>45</v>
      </c>
    </row>
    <row r="6" spans="1:18" s="5" customFormat="1" ht="30.75">
      <c r="A6" s="8"/>
      <c r="B6" s="9"/>
      <c r="C6" s="10"/>
      <c r="D6" s="10"/>
      <c r="E6" s="10" t="s">
        <v>54</v>
      </c>
      <c r="F6" s="9" t="s">
        <v>51</v>
      </c>
      <c r="G6" s="10">
        <v>0</v>
      </c>
      <c r="H6" s="9" t="s">
        <v>86</v>
      </c>
      <c r="I6" s="7"/>
      <c r="J6" s="8" t="s">
        <v>53</v>
      </c>
      <c r="L6" s="5" t="s">
        <v>40</v>
      </c>
      <c r="N6" s="5" t="s">
        <v>42</v>
      </c>
      <c r="O6" s="5" t="s">
        <v>54</v>
      </c>
    </row>
    <row r="7" spans="1:18" s="5" customFormat="1" ht="45.75">
      <c r="A7" s="8">
        <v>143651</v>
      </c>
      <c r="B7" s="9" t="s">
        <v>56</v>
      </c>
      <c r="C7" s="10" t="s">
        <v>44</v>
      </c>
      <c r="D7" s="10" t="s">
        <v>87</v>
      </c>
      <c r="E7" s="10" t="s">
        <v>57</v>
      </c>
      <c r="F7" s="9" t="s">
        <v>58</v>
      </c>
      <c r="G7" s="10">
        <v>0</v>
      </c>
      <c r="H7" s="10">
        <v>60</v>
      </c>
      <c r="I7" s="12" t="s">
        <v>44</v>
      </c>
      <c r="J7" s="9" t="s">
        <v>48</v>
      </c>
      <c r="L7" s="5" t="s">
        <v>40</v>
      </c>
      <c r="N7" s="5" t="s">
        <v>30</v>
      </c>
      <c r="O7" s="5" t="s">
        <v>76</v>
      </c>
    </row>
    <row r="8" spans="1:18" s="5" customFormat="1" ht="60.75">
      <c r="A8" s="8">
        <v>88841</v>
      </c>
      <c r="B8" s="9" t="s">
        <v>59</v>
      </c>
      <c r="C8" s="9" t="s">
        <v>44</v>
      </c>
      <c r="D8" s="9" t="s">
        <v>88</v>
      </c>
      <c r="E8" s="9" t="s">
        <v>45</v>
      </c>
      <c r="F8" s="9" t="s">
        <v>60</v>
      </c>
      <c r="G8" s="9" t="s">
        <v>89</v>
      </c>
      <c r="H8" s="9" t="s">
        <v>90</v>
      </c>
      <c r="I8" s="3" t="s">
        <v>91</v>
      </c>
      <c r="J8" s="9" t="s">
        <v>64</v>
      </c>
      <c r="L8" s="5" t="s">
        <v>40</v>
      </c>
      <c r="N8" s="5" t="s">
        <v>42</v>
      </c>
      <c r="O8" s="5" t="s">
        <v>54</v>
      </c>
    </row>
  </sheetData>
  <dataValidations count="5">
    <dataValidation type="list" allowBlank="1" showInputMessage="1" showErrorMessage="1" sqref="N2:N8" xr:uid="{5F8BD2FA-CBB4-4263-AF2C-B0C1FAA9C75E}">
      <formula1>"Accelerating just energy transition, Close the gap on energy access, Scale up energy finance"</formula1>
    </dataValidation>
    <dataValidation type="list" allowBlank="1" showInputMessage="1" showErrorMessage="1" sqref="O2:O8" xr:uid="{D1287795-5792-4336-80FE-50551B993BBF}">
      <formula1>"Electricity Access, Energy Efficiency, Clean Cooking, Renewable Energy"</formula1>
    </dataValidation>
    <dataValidation type="list" allowBlank="1" showInputMessage="1" showErrorMessage="1" sqref="P2:P8" xr:uid="{60D63F7D-6537-4316-AA42-F3DAB076E7FE}">
      <formula1>"AMP, PUDC, Solar4Health, Action Opportunities, Italy UNDP Energy Partnership"</formula1>
    </dataValidation>
    <dataValidation type="list" allowBlank="1" showInputMessage="1" showErrorMessage="1" sqref="Q2:Q8" xr:uid="{D584422E-4088-459D-86EF-D3CC5743B10A}">
      <formula1>"NDC Support, National Strategy, Legal Framework,Incentives and Support, Government Capacity-Building, Carbon Pricing and Monitoring, Financing Model, Business Model"</formula1>
    </dataValidation>
    <dataValidation type="list" allowBlank="1" showInputMessage="1" showErrorMessage="1" sqref="R2:R8" xr:uid="{2CE3D138-4D57-4991-84C3-06E5BB11B8B1}">
      <formula1>"Electricity Access, Energy Efficiency, Renewable EnergyEnergy Infrastructure,   Transport, Digital &amp; Data, Clean Cooking, Decarbonization, Hydrogen, Off-Grid, On-Grid"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
  <sheetViews>
    <sheetView workbookViewId="0">
      <selection activeCell="E1" sqref="E1"/>
    </sheetView>
  </sheetViews>
  <sheetFormatPr defaultRowHeight="15"/>
  <cols>
    <col min="2" max="2" width="34.28515625" customWidth="1"/>
    <col min="3" max="3" width="20.7109375" customWidth="1"/>
    <col min="4" max="4" width="26.140625" customWidth="1"/>
    <col min="5" max="5" width="20.7109375" customWidth="1"/>
    <col min="6" max="6" width="45.42578125" customWidth="1"/>
    <col min="7" max="7" width="47" customWidth="1"/>
    <col min="8" max="8" width="36.85546875" customWidth="1"/>
    <col min="9" max="9" width="50.28515625" customWidth="1"/>
    <col min="10" max="10" width="32.85546875" customWidth="1"/>
    <col min="11" max="11" width="17.42578125" customWidth="1"/>
    <col min="12" max="12" width="12" customWidth="1"/>
  </cols>
  <sheetData>
    <row r="1" spans="1:12">
      <c r="A1" s="1" t="s">
        <v>0</v>
      </c>
      <c r="B1" s="1" t="s">
        <v>1</v>
      </c>
      <c r="C1" s="1" t="s">
        <v>2</v>
      </c>
      <c r="D1" s="1" t="s">
        <v>3</v>
      </c>
      <c r="E1" s="1" t="s">
        <v>4</v>
      </c>
      <c r="F1" s="1" t="s">
        <v>5</v>
      </c>
      <c r="G1" s="1" t="s">
        <v>6</v>
      </c>
      <c r="H1" s="1" t="s">
        <v>7</v>
      </c>
      <c r="I1" s="1" t="s">
        <v>8</v>
      </c>
      <c r="J1" s="2" t="s">
        <v>9</v>
      </c>
      <c r="K1" s="2" t="s">
        <v>10</v>
      </c>
      <c r="L1" s="2" t="s">
        <v>72</v>
      </c>
    </row>
    <row r="2" spans="1:12" s="5" customFormat="1" ht="45">
      <c r="A2" s="3">
        <v>132059</v>
      </c>
      <c r="B2" s="4" t="s">
        <v>22</v>
      </c>
      <c r="C2" s="4"/>
      <c r="D2" s="4" t="s">
        <v>92</v>
      </c>
      <c r="E2" s="4" t="s">
        <v>45</v>
      </c>
      <c r="F2" s="4" t="s">
        <v>25</v>
      </c>
      <c r="G2" s="4" t="s">
        <v>26</v>
      </c>
      <c r="H2" s="4" t="s">
        <v>93</v>
      </c>
      <c r="I2" s="4" t="s">
        <v>74</v>
      </c>
      <c r="J2" s="4" t="s">
        <v>94</v>
      </c>
      <c r="L2" s="5" t="s">
        <v>40</v>
      </c>
    </row>
    <row r="3" spans="1:12" s="5" customFormat="1" ht="105">
      <c r="A3" s="3">
        <v>147445</v>
      </c>
      <c r="B3" s="4" t="s">
        <v>33</v>
      </c>
      <c r="C3" s="4" t="s">
        <v>44</v>
      </c>
      <c r="D3" s="4" t="s">
        <v>95</v>
      </c>
      <c r="E3" s="4" t="s">
        <v>45</v>
      </c>
      <c r="F3" s="7" t="s">
        <v>36</v>
      </c>
      <c r="G3" s="6" t="s">
        <v>37</v>
      </c>
      <c r="H3" s="7" t="s">
        <v>96</v>
      </c>
      <c r="I3" s="3" t="s">
        <v>97</v>
      </c>
      <c r="J3" s="4" t="s">
        <v>78</v>
      </c>
      <c r="L3" s="5" t="s">
        <v>40</v>
      </c>
    </row>
    <row r="4" spans="1:12" s="5" customFormat="1" ht="210">
      <c r="A4" s="8">
        <v>1000372</v>
      </c>
      <c r="B4" s="9" t="s">
        <v>43</v>
      </c>
      <c r="C4" s="10" t="s">
        <v>44</v>
      </c>
      <c r="D4" s="11" t="s">
        <v>98</v>
      </c>
      <c r="E4" s="9" t="s">
        <v>45</v>
      </c>
      <c r="F4" s="4" t="s">
        <v>46</v>
      </c>
      <c r="G4" s="9" t="s">
        <v>82</v>
      </c>
      <c r="H4" s="4" t="s">
        <v>99</v>
      </c>
      <c r="I4" s="9" t="s">
        <v>100</v>
      </c>
      <c r="J4" s="9" t="s">
        <v>48</v>
      </c>
      <c r="K4" s="5">
        <f>414661/1188687</f>
        <v>0.34883951788822459</v>
      </c>
      <c r="L4" s="5" t="s">
        <v>40</v>
      </c>
    </row>
    <row r="5" spans="1:12" s="5" customFormat="1" ht="45">
      <c r="A5" s="8">
        <v>138844</v>
      </c>
      <c r="B5" s="9" t="s">
        <v>49</v>
      </c>
      <c r="C5" s="10" t="s">
        <v>44</v>
      </c>
      <c r="D5" s="10" t="s">
        <v>83</v>
      </c>
      <c r="E5" s="10" t="s">
        <v>84</v>
      </c>
      <c r="F5" s="9" t="s">
        <v>51</v>
      </c>
      <c r="G5" s="10">
        <v>0</v>
      </c>
      <c r="H5" s="9" t="s">
        <v>101</v>
      </c>
      <c r="I5" s="7"/>
      <c r="J5" s="8" t="s">
        <v>53</v>
      </c>
      <c r="L5" s="5" t="s">
        <v>40</v>
      </c>
    </row>
    <row r="6" spans="1:12" s="5" customFormat="1" ht="45">
      <c r="A6" s="8">
        <v>143651</v>
      </c>
      <c r="B6" s="9" t="s">
        <v>56</v>
      </c>
      <c r="C6" s="10" t="s">
        <v>44</v>
      </c>
      <c r="D6" s="10" t="s">
        <v>87</v>
      </c>
      <c r="E6" s="10" t="s">
        <v>84</v>
      </c>
      <c r="F6" s="9" t="s">
        <v>58</v>
      </c>
      <c r="G6" s="10">
        <v>0</v>
      </c>
      <c r="H6" s="10">
        <v>60</v>
      </c>
      <c r="I6" s="12" t="s">
        <v>44</v>
      </c>
      <c r="J6" s="9" t="s">
        <v>48</v>
      </c>
      <c r="L6" s="5" t="s">
        <v>40</v>
      </c>
    </row>
    <row r="7" spans="1:12" s="5" customFormat="1" ht="60">
      <c r="A7" s="8">
        <v>88841</v>
      </c>
      <c r="B7" s="9" t="s">
        <v>59</v>
      </c>
      <c r="C7" s="9" t="s">
        <v>44</v>
      </c>
      <c r="D7" s="9" t="s">
        <v>88</v>
      </c>
      <c r="E7" s="9" t="s">
        <v>45</v>
      </c>
      <c r="F7" s="9" t="s">
        <v>60</v>
      </c>
      <c r="G7" s="9" t="s">
        <v>89</v>
      </c>
      <c r="H7" s="9" t="s">
        <v>90</v>
      </c>
      <c r="I7" s="3" t="s">
        <v>91</v>
      </c>
      <c r="J7" s="9" t="s">
        <v>64</v>
      </c>
      <c r="L7" s="5" t="s">
        <v>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election activeCell="B4" sqref="B4"/>
    </sheetView>
  </sheetViews>
  <sheetFormatPr defaultRowHeight="60.75" customHeight="1"/>
  <cols>
    <col min="1" max="1" width="35.5703125" bestFit="1" customWidth="1"/>
    <col min="2" max="2" width="98.85546875" bestFit="1" customWidth="1"/>
  </cols>
  <sheetData>
    <row r="1" spans="1:2" ht="15">
      <c r="A1" s="48" t="s">
        <v>4</v>
      </c>
      <c r="B1" s="48" t="s">
        <v>5</v>
      </c>
    </row>
    <row r="2" spans="1:2" ht="30.75">
      <c r="A2" s="59" t="s">
        <v>45</v>
      </c>
      <c r="B2" s="49" t="s">
        <v>102</v>
      </c>
    </row>
    <row r="3" spans="1:2" ht="15">
      <c r="A3" s="59" t="s">
        <v>24</v>
      </c>
      <c r="B3" s="49" t="s">
        <v>103</v>
      </c>
    </row>
    <row r="4" spans="1:2" ht="30.75">
      <c r="A4" s="59" t="s">
        <v>54</v>
      </c>
      <c r="B4" s="49" t="s">
        <v>104</v>
      </c>
    </row>
    <row r="5" spans="1:2" ht="15">
      <c r="A5" s="59" t="s">
        <v>105</v>
      </c>
      <c r="B5" s="49" t="s">
        <v>106</v>
      </c>
    </row>
    <row r="6" spans="1:2" ht="45.75">
      <c r="A6" s="59" t="s">
        <v>107</v>
      </c>
      <c r="B6" s="49" t="s">
        <v>108</v>
      </c>
    </row>
    <row r="7" spans="1:2" ht="30.75">
      <c r="A7" s="59" t="s">
        <v>35</v>
      </c>
      <c r="B7" s="49" t="s">
        <v>109</v>
      </c>
    </row>
    <row r="8" spans="1:2" ht="30.75">
      <c r="A8" s="59" t="s">
        <v>110</v>
      </c>
      <c r="B8" s="49" t="s">
        <v>111</v>
      </c>
    </row>
    <row r="9" spans="1:2" ht="30.75">
      <c r="A9" s="59" t="s">
        <v>112</v>
      </c>
      <c r="B9" s="49" t="s">
        <v>113</v>
      </c>
    </row>
    <row r="10" spans="1:2" ht="15">
      <c r="A10" s="59" t="s">
        <v>114</v>
      </c>
      <c r="B10" s="60"/>
    </row>
    <row r="11" spans="1:2" ht="15">
      <c r="A11" s="59" t="s">
        <v>115</v>
      </c>
      <c r="B11" s="61" t="s">
        <v>116</v>
      </c>
    </row>
    <row r="12" spans="1:2" ht="30.75">
      <c r="A12" s="59" t="s">
        <v>117</v>
      </c>
      <c r="B12" s="49" t="s">
        <v>118</v>
      </c>
    </row>
    <row r="13" spans="1:2" ht="15">
      <c r="A13" s="59" t="s">
        <v>119</v>
      </c>
      <c r="B13" s="61" t="s">
        <v>120</v>
      </c>
    </row>
    <row r="14" spans="1:2" ht="15">
      <c r="A14" s="59" t="s">
        <v>121</v>
      </c>
      <c r="B14" s="61" t="s">
        <v>122</v>
      </c>
    </row>
    <row r="15" spans="1:2" ht="15">
      <c r="A15" s="59" t="s">
        <v>57</v>
      </c>
      <c r="B15" s="61" t="s">
        <v>123</v>
      </c>
    </row>
    <row r="16" spans="1:2" ht="15">
      <c r="A16" s="59" t="s">
        <v>124</v>
      </c>
      <c r="B16" s="61" t="s">
        <v>125</v>
      </c>
    </row>
    <row r="17" spans="1:2" ht="15">
      <c r="A17" s="59" t="s">
        <v>126</v>
      </c>
      <c r="B17" s="49" t="s">
        <v>127</v>
      </c>
    </row>
    <row r="18" spans="1:2" ht="15">
      <c r="A18" s="59" t="s">
        <v>128</v>
      </c>
      <c r="B18" s="61" t="s">
        <v>129</v>
      </c>
    </row>
    <row r="19" spans="1:2" ht="45.75">
      <c r="A19" s="59" t="s">
        <v>130</v>
      </c>
      <c r="B19" s="61" t="s">
        <v>131</v>
      </c>
    </row>
    <row r="20" spans="1:2" ht="15">
      <c r="A20" s="59" t="s">
        <v>132</v>
      </c>
      <c r="B20" s="61" t="s">
        <v>133</v>
      </c>
    </row>
    <row r="21" spans="1:2" ht="30.75">
      <c r="A21" s="59" t="s">
        <v>19</v>
      </c>
      <c r="B21" s="62" t="s">
        <v>134</v>
      </c>
    </row>
    <row r="22" spans="1:2" ht="15">
      <c r="A22" s="59" t="s">
        <v>135</v>
      </c>
      <c r="B22" s="61" t="s">
        <v>136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515C72A-9C02-46AF-A4B9-D8CA5C77DC7A}"/>
</file>

<file path=customXml/itemProps2.xml><?xml version="1.0" encoding="utf-8"?>
<ds:datastoreItem xmlns:ds="http://schemas.openxmlformats.org/officeDocument/2006/customXml" ds:itemID="{E370EEFA-763F-46E4-A8EB-13455592D94A}"/>
</file>

<file path=customXml/itemProps3.xml><?xml version="1.0" encoding="utf-8"?>
<ds:datastoreItem xmlns:ds="http://schemas.openxmlformats.org/officeDocument/2006/customXml" ds:itemID="{2AFC8C42-075D-4074-8DAB-BA554EA501E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Folashade Jaiyeola</cp:lastModifiedBy>
  <cp:revision/>
  <dcterms:created xsi:type="dcterms:W3CDTF">2023-05-05T09:33:41Z</dcterms:created>
  <dcterms:modified xsi:type="dcterms:W3CDTF">2024-11-07T15:40:35Z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