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276" documentId="11_88B88E8063A92BE234E2B46DF208AF432449C9CC" xr6:coauthVersionLast="47" xr6:coauthVersionMax="47" xr10:uidLastSave="{5E4CABAE-4C2D-47B2-93FF-B6F0C889793C}"/>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4" l="1"/>
</calcChain>
</file>

<file path=xl/sharedStrings.xml><?xml version="1.0" encoding="utf-8"?>
<sst xmlns="http://schemas.openxmlformats.org/spreadsheetml/2006/main" count="339" uniqueCount="109">
  <si>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</si>
  <si>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</si>
  <si>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</si>
  <si>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</si>
  <si>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</si>
  <si>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</si>
  <si>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</si>
  <si>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</si>
  <si>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</si>
  <si>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</si>
  <si>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</si>
  <si>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</si>
  <si>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</si>
  <si>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</si>
  <si>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</si>
  <si>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</si>
  <si>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</si>
  <si>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</si>
  <si>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</si>
  <si>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</si>
  <si>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</si>
  <si>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PASBET</t>
  </si>
  <si>
    <t>PIMS+</t>
  </si>
  <si>
    <t>Electricity Access</t>
  </si>
  <si>
    <t>No. of direct project beneficiaries disaggregated by gender (individual people)</t>
  </si>
  <si>
    <t>GEF</t>
  </si>
  <si>
    <t>VF</t>
  </si>
  <si>
    <t>Close the gap on energy access</t>
  </si>
  <si>
    <t>No. of established and commercially operated sustainable woody biomass production facilities.</t>
  </si>
  <si>
    <t>In total there are 3 new sustainable woody biomass production facilities expected to be completed by the end of the project, one in each province of Punjab, Sindh and Balochistan)</t>
  </si>
  <si>
    <t>Energy (MW added)</t>
  </si>
  <si>
    <t>MW</t>
  </si>
  <si>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</si>
  <si>
    <t>Cumulative number of new jobs created in the application of sustainable biomass energy technologies and techniques in the rural areas.</t>
  </si>
  <si>
    <t>No. of people with jobs in rural areas. Refined activity participation rates in rural areas: 47.1% (Male 68.4%, female 25.6%). Govt of Pakistan Labour Force Survey 2017/18</t>
  </si>
  <si>
    <t>Cumulative number of sustainable biomass energy projects in rural areas that are facilitated by approved and effectively enforced policies and laws/regulations that promote the commercial production and use of sustainable biomass-based energy.</t>
  </si>
  <si>
    <t>Cumulative number of rural villages that develop and implement energy-integrated development plans that include the commercial production and utilization of sustainable woody biomass.</t>
  </si>
  <si>
    <t>This is 10 villages in each 4 provinces</t>
  </si>
  <si>
    <t>No. of developed, approved, enforced, and implemented concrete regulations and policy instruments as part of the RE law to include market-based targets of biomass-based energy, particularly woody biomass</t>
  </si>
  <si>
    <t>All five (5) policies that are approved, implemented, and enforced in line with the targets of Biomass based power generation included in the National RE Policy.</t>
  </si>
  <si>
    <t>Renewable Energy</t>
  </si>
  <si>
    <t>Legal Framework</t>
  </si>
  <si>
    <t>National</t>
  </si>
  <si>
    <t>Cumulative no. of standards for equipment to use woody biomass for energy generation and EE utilization established and enforced</t>
  </si>
  <si>
    <t>Standards opted by relevant authorities and provincial authorities as part of the procurement</t>
  </si>
  <si>
    <t xml:space="preserve">Climate Promise-II </t>
  </si>
  <si>
    <t>Develop Electric Vehicle Regulatory Framwork</t>
  </si>
  <si>
    <t xml:space="preserve">Electric Vehicle Regulatory Framework to be formulated and approved by 2023 </t>
  </si>
  <si>
    <t xml:space="preserve">Climate Promise </t>
  </si>
  <si>
    <t>Non-VF</t>
  </si>
  <si>
    <t>Accelerating just energy transition</t>
  </si>
  <si>
    <t>NDC Support</t>
  </si>
  <si>
    <t>Transport</t>
  </si>
  <si>
    <t xml:space="preserve">Develop/Revise Building Energy Codes for Pakistan </t>
  </si>
  <si>
    <t>Building Energy Codes to be formulated/revised  and approved by 2023</t>
  </si>
  <si>
    <t>Infrastructure</t>
  </si>
  <si>
    <t>Develop National Green Hydrogen Strategy</t>
  </si>
  <si>
    <t>To be formulated in 2023-2024</t>
  </si>
  <si>
    <t xml:space="preserve">Identify energy specific priority actions at provincial level </t>
  </si>
  <si>
    <t xml:space="preserve">Energy specific priority actions are identified in NDC Implementation Plan-currently under endorsement process </t>
  </si>
  <si>
    <t>Category</t>
  </si>
  <si>
    <t>Comments</t>
  </si>
  <si>
    <t>In total there are 3 new sustainable woody biomass production facilities are expected to be completed by the end of the project, one in each province of Punjab, Sindh and Balochistan)</t>
  </si>
  <si>
    <t>Entrepreneurship Training</t>
  </si>
  <si>
    <t>Incentives and Support</t>
  </si>
  <si>
    <t>Renewable EnergyEnergy Infrastructure</t>
  </si>
  <si>
    <t>Energy Efficiency</t>
  </si>
  <si>
    <t xml:space="preserve">The number of beneficiaries is to be reached under the project as the project document is to be signed in June after the finalization of ESMF and Updating SESP documents. </t>
  </si>
  <si>
    <t>Cumulative Biomass-based electricity in rural areas in Pakistan, GWh</t>
  </si>
  <si>
    <t>98.2ktoe</t>
  </si>
  <si>
    <t>Other</t>
  </si>
  <si>
    <t>Project Implementation Ongoing</t>
  </si>
  <si>
    <t>Other Energy Services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</si>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</sst>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sz val="11"/>
      <color rgb="FF1F4E78"/>
      <name val="Calibri"/>
      <family val="2"/>
      <scheme val="minor"/>
    </font>
    <font>
      <sz val="10"/>
      <color theme="1"/>
      <name val="Calibri"/>
      <family val="2"/>
      <charset val="1"/>
    </font>
    <font>
      <sz val="11"/>
      <color rgb="FF000000"/>
      <name val="Calibri"/>
      <family val="2"/>
    </font>
    <font>
      <sz val="10"/>
      <color rgb="FFFF0000"/>
      <name val="Helvetica Neue"/>
      <charset val="1"/>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3">
    <xf numFmtId="0" fontId="0" fillId="0" borderId="0" xfId="0"/>
    <xf numFmtId="0" fontId="2" fillId="0" borderId="1" xfId="0" applyFont="1" applyBorder="1" applyAlignment="1">
      <alignment horizontal="center" vertical="top"/>
    </xf>
    <xf numFmtId="0" fontId="2" fillId="0" borderId="0" xfId="0" applyFont="1"/>
    <xf numFmtId="0" fontId="4" fillId="0" borderId="0" xfId="0" applyFont="1" applyAlignment="1">
      <alignment wrapText="1"/>
    </xf>
    <xf numFmtId="0" fontId="0" fillId="0" borderId="0" xfId="0" applyAlignment="1">
      <alignment wrapText="1"/>
    </xf>
    <xf numFmtId="0" fontId="0" fillId="0" borderId="0" xfId="0" applyAlignment="1">
      <alignment vertical="top"/>
    </xf>
    <xf numFmtId="0" fontId="4" fillId="0" borderId="0" xfId="0" applyFont="1" applyAlignment="1">
      <alignment vertical="top" wrapText="1"/>
    </xf>
    <xf numFmtId="0" fontId="0" fillId="0" borderId="0" xfId="0" applyAlignment="1">
      <alignment vertical="top" wrapText="1"/>
    </xf>
    <xf numFmtId="0" fontId="4" fillId="0" borderId="0" xfId="0" applyFont="1" applyAlignment="1">
      <alignment vertical="top"/>
    </xf>
    <xf numFmtId="0" fontId="5" fillId="0" borderId="0" xfId="0" applyFont="1"/>
    <xf numFmtId="3" fontId="5" fillId="0" borderId="0" xfId="0" applyNumberFormat="1" applyFont="1"/>
    <xf numFmtId="0" fontId="5" fillId="0" borderId="0" xfId="0" applyFont="1" applyAlignment="1">
      <alignment wrapText="1"/>
    </xf>
    <xf numFmtId="0" fontId="6" fillId="0" borderId="3" xfId="0" applyFont="1" applyBorder="1" applyAlignment="1">
      <alignment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8" xfId="0" applyBorder="1" applyAlignment="1">
      <alignment vertical="center" wrapText="1"/>
    </xf>
    <xf numFmtId="0" fontId="0" fillId="0" borderId="5"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4" fillId="0" borderId="3" xfId="0" applyFont="1" applyBorder="1" applyAlignment="1">
      <alignment vertical="center" wrapText="1"/>
    </xf>
    <xf numFmtId="0" fontId="5" fillId="0" borderId="8" xfId="0" applyFont="1" applyBorder="1" applyAlignment="1">
      <alignment vertical="center" wrapText="1"/>
    </xf>
    <xf numFmtId="3" fontId="5" fillId="0" borderId="5" xfId="0" applyNumberFormat="1" applyFont="1" applyBorder="1" applyAlignment="1">
      <alignment vertical="center" wrapText="1"/>
    </xf>
    <xf numFmtId="0" fontId="5" fillId="0" borderId="4"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3" fontId="5" fillId="0" borderId="7" xfId="0" applyNumberFormat="1" applyFont="1" applyBorder="1" applyAlignment="1">
      <alignment vertical="center" wrapText="1"/>
    </xf>
    <xf numFmtId="0" fontId="5" fillId="0" borderId="10" xfId="0" applyFont="1" applyBorder="1" applyAlignment="1">
      <alignment vertical="center" wrapText="1"/>
    </xf>
    <xf numFmtId="3" fontId="5" fillId="0" borderId="6" xfId="0" applyNumberFormat="1" applyFont="1" applyBorder="1" applyAlignment="1">
      <alignment vertical="center" wrapText="1"/>
    </xf>
    <xf numFmtId="0" fontId="0" fillId="0" borderId="0" xfId="0" applyAlignment="1">
      <alignment vertical="center"/>
    </xf>
    <xf numFmtId="0" fontId="0" fillId="2" borderId="4" xfId="0" applyFill="1" applyBorder="1" applyAlignment="1">
      <alignment vertical="center" wrapText="1"/>
    </xf>
    <xf numFmtId="0" fontId="4" fillId="2" borderId="3" xfId="0" applyFont="1" applyFill="1" applyBorder="1" applyAlignment="1">
      <alignment vertical="center" wrapText="1"/>
    </xf>
    <xf numFmtId="0" fontId="0" fillId="2" borderId="3" xfId="0" applyFill="1" applyBorder="1" applyAlignment="1">
      <alignment vertical="center" wrapText="1"/>
    </xf>
    <xf numFmtId="10" fontId="0" fillId="0" borderId="3" xfId="0" applyNumberFormat="1" applyBorder="1" applyAlignment="1">
      <alignment vertical="center" wrapText="1"/>
    </xf>
    <xf numFmtId="0" fontId="0" fillId="0" borderId="3" xfId="0" applyBorder="1" applyAlignment="1">
      <alignment horizontal="center" vertical="center"/>
    </xf>
    <xf numFmtId="0" fontId="7" fillId="0" borderId="3" xfId="0" applyFont="1" applyBorder="1" applyAlignment="1">
      <alignment horizontal="center" vertical="top" wrapText="1"/>
    </xf>
    <xf numFmtId="0" fontId="8" fillId="0" borderId="3" xfId="0" applyFont="1" applyBorder="1" applyAlignment="1">
      <alignment wrapText="1"/>
    </xf>
    <xf numFmtId="0" fontId="2" fillId="0" borderId="3" xfId="0" applyFont="1" applyBorder="1" applyAlignment="1">
      <alignment horizontal="center"/>
    </xf>
    <xf numFmtId="0" fontId="2" fillId="0" borderId="5" xfId="0" applyFont="1" applyBorder="1" applyAlignment="1">
      <alignment horizontal="center"/>
    </xf>
    <xf numFmtId="0" fontId="2" fillId="0" borderId="8" xfId="0" applyFont="1" applyBorder="1" applyAlignment="1">
      <alignment horizontal="center"/>
    </xf>
    <xf numFmtId="0" fontId="2" fillId="0" borderId="5" xfId="0" applyFont="1" applyBorder="1"/>
    <xf numFmtId="0" fontId="0" fillId="0" borderId="11" xfId="0" applyBorder="1" applyAlignment="1">
      <alignment horizontal="center" vertical="center"/>
    </xf>
    <xf numFmtId="0" fontId="0" fillId="0" borderId="4" xfId="0" applyBorder="1" applyAlignment="1">
      <alignment horizontal="center" vertical="center" wrapText="1"/>
    </xf>
    <xf numFmtId="0" fontId="0" fillId="0" borderId="3" xfId="0" applyBorder="1" applyAlignment="1">
      <alignment vertical="center"/>
    </xf>
    <xf numFmtId="9" fontId="0" fillId="0" borderId="3" xfId="0" applyNumberFormat="1" applyBorder="1" applyAlignment="1">
      <alignment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72647-CAAE-4638-A285-C0075EDDEB06}">
  <dimension ref="A1:U13"/>
  <sheetViews>
    <sheetView topLeftCell="A7" workbookViewId="0">
      <selection activeCell="I4" sqref="I4"/>
    </sheetView>
  </sheetViews>
  <sheetFormatPr defaultRowHeight="15"/>
  <cols>
    <col min="1" max="1" width="9.140625" style="31"/>
    <col min="2" max="2" width="16.42578125" style="31" customWidth="1"/>
    <col min="3" max="3" width="19.42578125" style="31" customWidth="1"/>
    <col min="4" max="4" width="9.140625" style="31"/>
    <col min="5" max="5" width="34.140625" style="31" customWidth="1"/>
    <col min="6" max="6" width="37.85546875" style="31" customWidth="1"/>
    <col min="7" max="7" width="10.28515625" style="31" customWidth="1"/>
    <col min="8" max="8" width="12.7109375" style="31" customWidth="1"/>
    <col min="9" max="9" width="55.28515625" style="31" customWidth="1"/>
    <col min="10" max="13" width="16.42578125" style="31" customWidth="1"/>
    <col min="14" max="14" width="14.42578125" style="31" bestFit="1" customWidth="1"/>
    <col min="15" max="15" width="17.5703125" style="31" bestFit="1" customWidth="1"/>
    <col min="16" max="16" width="12.7109375" style="31" customWidth="1"/>
    <col min="17" max="17" width="16.5703125" style="31" bestFit="1" customWidth="1"/>
    <col min="18" max="18" width="18.140625" style="31" bestFit="1" customWidth="1"/>
    <col min="19" max="19" width="22.140625" style="31" customWidth="1"/>
    <col min="20" max="20" width="14.28515625" style="31" customWidth="1"/>
  </cols>
  <sheetData>
    <row r="1" spans="1:21" ht="30.75">
      <c r="A1" s="13" t="s">
        <v>0</v>
      </c>
      <c r="B1" s="13" t="s">
        <v>1</v>
      </c>
      <c r="C1" s="13" t="s">
        <v>2</v>
      </c>
      <c r="D1" s="13" t="s">
        <v>3</v>
      </c>
      <c r="E1" s="14" t="s">
        <v>4</v>
      </c>
      <c r="F1" s="14" t="s">
        <v>5</v>
      </c>
      <c r="G1" s="14" t="s">
        <v>6</v>
      </c>
      <c r="H1" s="14" t="s">
        <v>7</v>
      </c>
      <c r="I1" s="14" t="s">
        <v>8</v>
      </c>
      <c r="J1" s="15" t="s">
        <v>9</v>
      </c>
      <c r="K1" s="15" t="s">
        <v>10</v>
      </c>
      <c r="L1" s="39" t="s">
        <v>11</v>
      </c>
      <c r="M1" s="40" t="s">
        <v>12</v>
      </c>
      <c r="N1" s="39" t="s">
        <v>13</v>
      </c>
      <c r="O1" s="39" t="s">
        <v>14</v>
      </c>
      <c r="P1" s="40" t="s">
        <v>15</v>
      </c>
      <c r="Q1" s="40" t="s">
        <v>16</v>
      </c>
      <c r="R1" s="41" t="s">
        <v>17</v>
      </c>
      <c r="S1" s="42" t="s">
        <v>18</v>
      </c>
      <c r="T1" s="41" t="s">
        <v>19</v>
      </c>
      <c r="U1" s="42" t="s">
        <v>20</v>
      </c>
    </row>
    <row r="2" spans="1:21" ht="41.25" customHeight="1">
      <c r="A2" s="16">
        <v>6542</v>
      </c>
      <c r="B2" s="16" t="s">
        <v>21</v>
      </c>
      <c r="C2" s="16" t="s">
        <v>22</v>
      </c>
      <c r="D2" s="17">
        <v>3439041</v>
      </c>
      <c r="E2" s="18" t="s">
        <v>23</v>
      </c>
      <c r="F2" s="19" t="s">
        <v>24</v>
      </c>
      <c r="G2" s="19">
        <v>0</v>
      </c>
      <c r="H2" s="19">
        <v>267380</v>
      </c>
      <c r="I2" s="19"/>
      <c r="J2" s="19" t="s">
        <v>25</v>
      </c>
      <c r="K2" s="46">
        <f>160380/265380</f>
        <v>0.60434094505991409</v>
      </c>
      <c r="L2" s="43" t="s">
        <v>26</v>
      </c>
      <c r="M2" s="36"/>
      <c r="N2" s="44" t="s">
        <v>27</v>
      </c>
      <c r="O2" s="36"/>
      <c r="P2" s="36"/>
      <c r="Q2" s="36"/>
      <c r="R2" s="36"/>
      <c r="S2" s="45"/>
      <c r="T2" s="36"/>
      <c r="U2" s="45"/>
    </row>
    <row r="3" spans="1:21" s="5" customFormat="1" ht="43.5" customHeight="1">
      <c r="A3" s="20"/>
      <c r="B3" s="20"/>
      <c r="C3" s="20"/>
      <c r="D3" s="21"/>
      <c r="E3" s="32"/>
      <c r="F3" s="33" t="s">
        <v>28</v>
      </c>
      <c r="G3" s="34">
        <v>0</v>
      </c>
      <c r="H3" s="34">
        <v>3</v>
      </c>
      <c r="I3" s="34" t="s">
        <v>29</v>
      </c>
      <c r="J3" s="19" t="s">
        <v>25</v>
      </c>
      <c r="K3" s="19"/>
      <c r="L3" s="43" t="s">
        <v>26</v>
      </c>
      <c r="M3" s="36"/>
      <c r="N3" s="44" t="s">
        <v>27</v>
      </c>
      <c r="O3" s="36"/>
      <c r="P3" s="36"/>
      <c r="Q3" s="36"/>
      <c r="R3" s="36"/>
      <c r="S3" s="45"/>
      <c r="T3" s="36"/>
      <c r="U3" s="45"/>
    </row>
    <row r="4" spans="1:21" s="5" customFormat="1" ht="126.75" customHeight="1">
      <c r="A4" s="20"/>
      <c r="B4" s="20"/>
      <c r="C4" s="20"/>
      <c r="D4" s="21"/>
      <c r="E4" s="18" t="s">
        <v>30</v>
      </c>
      <c r="F4" s="22" t="s">
        <v>31</v>
      </c>
      <c r="G4" s="19">
        <v>0</v>
      </c>
      <c r="H4" s="19">
        <v>5.4</v>
      </c>
      <c r="I4" s="19" t="s">
        <v>32</v>
      </c>
      <c r="J4" s="19" t="s">
        <v>25</v>
      </c>
      <c r="K4" s="19"/>
      <c r="L4" s="43" t="s">
        <v>26</v>
      </c>
      <c r="M4" s="36"/>
      <c r="N4" s="44" t="s">
        <v>27</v>
      </c>
      <c r="O4" s="36"/>
      <c r="P4" s="36"/>
      <c r="Q4" s="36"/>
      <c r="R4" s="36"/>
      <c r="S4" s="45"/>
      <c r="T4" s="36"/>
      <c r="U4" s="45"/>
    </row>
    <row r="5" spans="1:21" s="5" customFormat="1" ht="76.5" customHeight="1">
      <c r="A5" s="20"/>
      <c r="B5" s="20"/>
      <c r="C5" s="20"/>
      <c r="D5" s="21"/>
      <c r="E5" s="18"/>
      <c r="F5" s="22" t="s">
        <v>33</v>
      </c>
      <c r="G5" s="19">
        <v>0</v>
      </c>
      <c r="H5" s="19">
        <v>7110</v>
      </c>
      <c r="I5" s="19" t="s">
        <v>34</v>
      </c>
      <c r="J5" s="19" t="s">
        <v>25</v>
      </c>
      <c r="K5" s="19"/>
      <c r="L5" s="43" t="s">
        <v>26</v>
      </c>
      <c r="M5" s="36"/>
      <c r="N5" s="44" t="s">
        <v>27</v>
      </c>
      <c r="O5" s="36"/>
      <c r="P5" s="36"/>
      <c r="Q5" s="36"/>
      <c r="R5" s="36"/>
      <c r="S5" s="45"/>
      <c r="T5" s="36"/>
      <c r="U5" s="45"/>
    </row>
    <row r="6" spans="1:21" s="5" customFormat="1" ht="93" customHeight="1">
      <c r="A6" s="20"/>
      <c r="B6" s="20"/>
      <c r="C6" s="20"/>
      <c r="D6" s="21"/>
      <c r="E6" s="32"/>
      <c r="F6" s="33" t="s">
        <v>35</v>
      </c>
      <c r="G6" s="34">
        <v>0</v>
      </c>
      <c r="H6" s="34">
        <v>32</v>
      </c>
      <c r="I6" s="33" t="s">
        <v>34</v>
      </c>
      <c r="J6" s="19" t="s">
        <v>25</v>
      </c>
      <c r="K6" s="35">
        <v>0.25600000000000001</v>
      </c>
      <c r="L6" s="43" t="s">
        <v>26</v>
      </c>
      <c r="M6" s="36"/>
      <c r="N6" s="44" t="s">
        <v>27</v>
      </c>
      <c r="O6" s="36"/>
      <c r="P6" s="36"/>
      <c r="Q6" s="36"/>
      <c r="R6" s="36"/>
      <c r="S6" s="45"/>
      <c r="T6" s="36"/>
      <c r="U6" s="45"/>
    </row>
    <row r="7" spans="1:21" s="5" customFormat="1" ht="77.25" customHeight="1">
      <c r="A7" s="20"/>
      <c r="B7" s="20"/>
      <c r="C7" s="20"/>
      <c r="D7" s="21"/>
      <c r="E7" s="32"/>
      <c r="F7" s="33" t="s">
        <v>36</v>
      </c>
      <c r="G7" s="34">
        <v>0</v>
      </c>
      <c r="H7" s="34">
        <v>40</v>
      </c>
      <c r="I7" s="33" t="s">
        <v>37</v>
      </c>
      <c r="J7" s="19" t="s">
        <v>25</v>
      </c>
      <c r="K7" s="19"/>
      <c r="L7" s="43" t="s">
        <v>26</v>
      </c>
      <c r="M7" s="36"/>
      <c r="N7" s="44" t="s">
        <v>27</v>
      </c>
      <c r="O7" s="36"/>
      <c r="P7" s="36"/>
      <c r="Q7" s="36"/>
      <c r="R7" s="36"/>
      <c r="S7" s="45"/>
      <c r="T7" s="36"/>
      <c r="U7" s="45"/>
    </row>
    <row r="8" spans="1:21" s="5" customFormat="1" ht="67.5">
      <c r="A8" s="20"/>
      <c r="B8" s="20"/>
      <c r="C8" s="20"/>
      <c r="D8" s="21"/>
      <c r="E8" s="18" t="s">
        <v>19</v>
      </c>
      <c r="F8" s="22" t="s">
        <v>38</v>
      </c>
      <c r="G8" s="19">
        <v>0</v>
      </c>
      <c r="H8" s="19">
        <v>5</v>
      </c>
      <c r="I8" s="19" t="s">
        <v>39</v>
      </c>
      <c r="J8" s="19" t="s">
        <v>25</v>
      </c>
      <c r="K8" s="19"/>
      <c r="L8" s="43" t="s">
        <v>26</v>
      </c>
      <c r="M8" s="36"/>
      <c r="N8" s="44" t="s">
        <v>27</v>
      </c>
      <c r="O8" s="36" t="s">
        <v>40</v>
      </c>
      <c r="P8" s="36"/>
      <c r="Q8" s="36" t="s">
        <v>41</v>
      </c>
      <c r="R8" s="36" t="s">
        <v>40</v>
      </c>
      <c r="S8" s="45"/>
      <c r="T8" s="36" t="s">
        <v>42</v>
      </c>
      <c r="U8" s="45"/>
    </row>
    <row r="9" spans="1:21" s="5" customFormat="1" ht="45.75">
      <c r="A9" s="20"/>
      <c r="B9" s="20"/>
      <c r="C9" s="20"/>
      <c r="D9" s="21"/>
      <c r="E9" s="18"/>
      <c r="F9" s="22" t="s">
        <v>43</v>
      </c>
      <c r="G9" s="19">
        <v>0</v>
      </c>
      <c r="H9" s="19">
        <v>4</v>
      </c>
      <c r="I9" s="22" t="s">
        <v>44</v>
      </c>
      <c r="J9" s="19" t="s">
        <v>25</v>
      </c>
      <c r="K9" s="19"/>
      <c r="L9" s="43" t="s">
        <v>26</v>
      </c>
      <c r="M9" s="36"/>
      <c r="N9" s="44" t="s">
        <v>27</v>
      </c>
      <c r="O9" s="36"/>
      <c r="P9" s="36"/>
      <c r="Q9" s="36"/>
      <c r="R9" s="36"/>
      <c r="S9" s="45"/>
      <c r="T9" s="36"/>
      <c r="U9" s="45"/>
    </row>
    <row r="10" spans="1:21" s="5" customFormat="1" ht="45.75">
      <c r="A10" s="23">
        <v>134230</v>
      </c>
      <c r="B10" s="23" t="s">
        <v>45</v>
      </c>
      <c r="C10" s="23"/>
      <c r="D10" s="24">
        <v>540000</v>
      </c>
      <c r="E10" s="25" t="s">
        <v>19</v>
      </c>
      <c r="F10" s="26" t="s">
        <v>46</v>
      </c>
      <c r="G10" s="26">
        <v>0</v>
      </c>
      <c r="H10" s="26">
        <v>1</v>
      </c>
      <c r="I10" s="26" t="s">
        <v>47</v>
      </c>
      <c r="J10" s="26" t="s">
        <v>48</v>
      </c>
      <c r="K10" s="26"/>
      <c r="L10" s="43" t="s">
        <v>49</v>
      </c>
      <c r="M10" s="36"/>
      <c r="N10" s="44" t="s">
        <v>50</v>
      </c>
      <c r="O10" s="36" t="s">
        <v>40</v>
      </c>
      <c r="P10" s="36"/>
      <c r="Q10" s="36" t="s">
        <v>51</v>
      </c>
      <c r="R10" s="36" t="s">
        <v>52</v>
      </c>
      <c r="S10" s="45"/>
      <c r="T10" s="36" t="s">
        <v>42</v>
      </c>
      <c r="U10" s="45"/>
    </row>
    <row r="11" spans="1:21" s="5" customFormat="1" ht="45.75">
      <c r="A11" s="27"/>
      <c r="B11" s="27"/>
      <c r="C11" s="27"/>
      <c r="D11" s="28"/>
      <c r="E11" s="25" t="s">
        <v>19</v>
      </c>
      <c r="F11" s="26" t="s">
        <v>53</v>
      </c>
      <c r="G11" s="26">
        <v>0</v>
      </c>
      <c r="H11" s="26">
        <v>1</v>
      </c>
      <c r="I11" s="26" t="s">
        <v>54</v>
      </c>
      <c r="J11" s="26" t="s">
        <v>48</v>
      </c>
      <c r="K11" s="26"/>
      <c r="L11" s="43" t="s">
        <v>49</v>
      </c>
      <c r="M11" s="36"/>
      <c r="N11" s="44" t="s">
        <v>50</v>
      </c>
      <c r="O11" s="36" t="s">
        <v>40</v>
      </c>
      <c r="P11" s="36"/>
      <c r="Q11" s="36" t="s">
        <v>51</v>
      </c>
      <c r="R11" s="36" t="s">
        <v>55</v>
      </c>
      <c r="S11" s="45"/>
      <c r="T11" s="36" t="s">
        <v>42</v>
      </c>
      <c r="U11" s="45"/>
    </row>
    <row r="12" spans="1:21" ht="45.75">
      <c r="A12" s="27"/>
      <c r="B12" s="27"/>
      <c r="C12" s="27"/>
      <c r="D12" s="28"/>
      <c r="E12" s="25" t="s">
        <v>19</v>
      </c>
      <c r="F12" s="26" t="s">
        <v>56</v>
      </c>
      <c r="G12" s="26">
        <v>0</v>
      </c>
      <c r="H12" s="26">
        <v>1</v>
      </c>
      <c r="I12" s="26" t="s">
        <v>57</v>
      </c>
      <c r="J12" s="26" t="s">
        <v>48</v>
      </c>
      <c r="K12" s="26"/>
      <c r="L12" s="43" t="s">
        <v>49</v>
      </c>
      <c r="M12" s="36"/>
      <c r="N12" s="44" t="s">
        <v>50</v>
      </c>
      <c r="O12" s="36" t="s">
        <v>40</v>
      </c>
      <c r="P12" s="36"/>
      <c r="Q12" s="36" t="s">
        <v>51</v>
      </c>
      <c r="R12" s="36" t="s">
        <v>40</v>
      </c>
      <c r="S12" s="45"/>
      <c r="T12" s="36" t="s">
        <v>42</v>
      </c>
      <c r="U12" s="45"/>
    </row>
    <row r="13" spans="1:21" ht="45.75">
      <c r="A13" s="29"/>
      <c r="B13" s="29"/>
      <c r="C13" s="29"/>
      <c r="D13" s="30"/>
      <c r="E13" s="25" t="s">
        <v>19</v>
      </c>
      <c r="F13" s="26" t="s">
        <v>58</v>
      </c>
      <c r="G13" s="26">
        <v>0</v>
      </c>
      <c r="H13" s="26">
        <v>38</v>
      </c>
      <c r="I13" s="26" t="s">
        <v>59</v>
      </c>
      <c r="J13" s="26" t="s">
        <v>48</v>
      </c>
      <c r="K13" s="26"/>
      <c r="L13" s="43" t="s">
        <v>49</v>
      </c>
      <c r="M13" s="36"/>
      <c r="N13" s="44" t="s">
        <v>50</v>
      </c>
      <c r="O13" s="36" t="s">
        <v>40</v>
      </c>
      <c r="P13" s="36"/>
      <c r="Q13" s="36" t="s">
        <v>51</v>
      </c>
      <c r="R13" s="36" t="s">
        <v>40</v>
      </c>
      <c r="S13" s="45"/>
      <c r="T13" s="36" t="s">
        <v>42</v>
      </c>
      <c r="U13" s="45"/>
    </row>
  </sheetData>
  <dataValidations count="9">
    <dataValidation type="list" allowBlank="1" showInputMessage="1" showErrorMessage="1" sqref="Q2:Q13" xr:uid="{79DBEB27-9C9B-43C9-80A8-AFCD0799FE4C}">
      <formula1>"NDC Support, National Strategy, Legal Framework,Incentives and Support, Government Capacity-Building, Carbon Pricing and Monitoring, Financing Model, Business Model"</formula1>
    </dataValidation>
    <dataValidation type="list" allowBlank="1" showInputMessage="1" showErrorMessage="1" sqref="P2:P13" xr:uid="{76A362C7-D003-4C02-8970-BBDA5BF77BC7}">
      <formula1>"AMP, PUDC, Solar4Health, Action Opportunities, Italy UNDP Energy Partnership"</formula1>
    </dataValidation>
    <dataValidation type="list" allowBlank="1" showInputMessage="1" showErrorMessage="1" sqref="N2:N13" xr:uid="{54C6DB73-26EC-4C5F-83DE-87ADB2CA9AB2}">
      <formula1>"Accelerating just energy transition, Close the gap on energy access, Scale up energy finance"</formula1>
    </dataValidation>
    <dataValidation type="list" allowBlank="1" showInputMessage="1" showErrorMessage="1" sqref="O2:O13" xr:uid="{16C91C03-907A-4238-AF2C-45440F116EBD}">
      <formula1>"Electricity Access, Energy Efficiency, Clean Cooking, Renewable Energy, Overall"</formula1>
    </dataValidation>
    <dataValidation type="list" allowBlank="1" showInputMessage="1" showErrorMessage="1" sqref="M2:M13" xr:uid="{104F2D5C-6B1F-40C7-9D7B-01FB563A6BBD}">
      <formula1>"Finance, Gender, Efficiency, Just, Health"</formula1>
    </dataValidation>
    <dataValidation type="list" allowBlank="1" showInputMessage="1" showErrorMessage="1" sqref="T2:T13" xr:uid="{69FF2C7C-A4BF-43F1-A15D-4A31E836A9F7}">
      <formula1>"National, Regional, City, Community"</formula1>
    </dataValidation>
    <dataValidation type="list" allowBlank="1" showInputMessage="1" showErrorMessage="1" sqref="L2:L13" xr:uid="{4E0A6B31-E671-4619-A490-B79F6ADF0E94}">
      <formula1>"Non-VF, VF"</formula1>
    </dataValidation>
    <dataValidation type="list" allowBlank="1" showInputMessage="1" showErrorMessage="1" sqref="R2:R13" xr:uid="{CE69BE04-21FC-4E3E-9CD3-BEF7E7BFEFDB}">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13" xr:uid="{9D7406C1-7361-4F0E-AB92-CF4DBEEE264E}">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FBDF3D9-8CFC-40F0-A095-3DFEF7F632AB}">
          <x14:formula1>
            <xm:f>'Beneficiary Categories'!$A$2:$A$22</xm:f>
          </x14:formula1>
          <xm:sqref>E2:E13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31A5-9618-4B96-B11E-A969F7EC52ED}">
  <dimension ref="A1:S13"/>
  <sheetViews>
    <sheetView workbookViewId="0">
      <selection activeCell="E6" sqref="E6"/>
    </sheetView>
  </sheetViews>
  <sheetFormatPr defaultRowHeight="15"/>
  <cols>
    <col min="1" max="1" width="9.140625" style="31"/>
    <col min="2" max="2" width="16.42578125" style="31" customWidth="1"/>
    <col min="3" max="3" width="19.42578125" style="31" customWidth="1"/>
    <col min="4" max="4" width="9.140625" style="31"/>
    <col min="5" max="5" width="34.140625" style="31" customWidth="1"/>
    <col min="6" max="6" width="37.85546875" style="31" customWidth="1"/>
    <col min="7" max="7" width="10.28515625" style="31" customWidth="1"/>
    <col min="8" max="8" width="12.7109375" style="31" customWidth="1"/>
    <col min="9" max="9" width="55.28515625" style="31" customWidth="1"/>
    <col min="10" max="13" width="16.42578125" style="31" customWidth="1"/>
    <col min="14" max="14" width="9.140625" style="31"/>
    <col min="15" max="15" width="16.140625" style="31" customWidth="1"/>
    <col min="16" max="16" width="12.7109375" style="31" customWidth="1"/>
    <col min="17" max="17" width="9.140625" style="31"/>
    <col min="18" max="18" width="22.140625" style="31" customWidth="1"/>
    <col min="19" max="19" width="14.28515625" style="31" customWidth="1"/>
  </cols>
  <sheetData>
    <row r="1" spans="1:19" ht="30.75">
      <c r="A1" s="13" t="s">
        <v>0</v>
      </c>
      <c r="B1" s="13" t="s">
        <v>1</v>
      </c>
      <c r="C1" s="13" t="s">
        <v>2</v>
      </c>
      <c r="D1" s="13" t="s">
        <v>3</v>
      </c>
      <c r="E1" s="14" t="s">
        <v>4</v>
      </c>
      <c r="F1" s="14" t="s">
        <v>5</v>
      </c>
      <c r="G1" s="14" t="s">
        <v>6</v>
      </c>
      <c r="H1" s="14" t="s">
        <v>7</v>
      </c>
      <c r="I1" s="14" t="s">
        <v>8</v>
      </c>
      <c r="J1" s="15" t="s">
        <v>9</v>
      </c>
      <c r="K1" s="15" t="s">
        <v>10</v>
      </c>
      <c r="L1" s="15" t="s">
        <v>60</v>
      </c>
      <c r="M1" s="15" t="s">
        <v>61</v>
      </c>
      <c r="N1" s="15" t="s">
        <v>12</v>
      </c>
      <c r="O1" s="15" t="s">
        <v>13</v>
      </c>
      <c r="P1" s="15" t="s">
        <v>14</v>
      </c>
      <c r="Q1" s="15" t="s">
        <v>15</v>
      </c>
      <c r="R1" s="15" t="s">
        <v>16</v>
      </c>
      <c r="S1" s="15" t="s">
        <v>17</v>
      </c>
    </row>
    <row r="2" spans="1:19" ht="41.25" customHeight="1">
      <c r="A2" s="16">
        <v>6542</v>
      </c>
      <c r="B2" s="16" t="s">
        <v>21</v>
      </c>
      <c r="C2" s="16" t="s">
        <v>22</v>
      </c>
      <c r="D2" s="17">
        <v>3439041</v>
      </c>
      <c r="E2" s="18" t="s">
        <v>23</v>
      </c>
      <c r="F2" s="19" t="s">
        <v>24</v>
      </c>
      <c r="G2" s="19">
        <v>0</v>
      </c>
      <c r="H2" s="19">
        <v>267380</v>
      </c>
      <c r="I2" s="19"/>
      <c r="J2" s="19" t="s">
        <v>25</v>
      </c>
      <c r="K2" s="19"/>
      <c r="L2" s="19" t="s">
        <v>26</v>
      </c>
      <c r="M2" s="19"/>
      <c r="N2" s="19"/>
      <c r="O2" s="19" t="s">
        <v>50</v>
      </c>
      <c r="P2" s="19" t="s">
        <v>23</v>
      </c>
      <c r="Q2" s="19"/>
      <c r="R2" s="19"/>
      <c r="S2" s="19"/>
    </row>
    <row r="3" spans="1:19" s="5" customFormat="1" ht="43.5" customHeight="1">
      <c r="A3" s="20"/>
      <c r="B3" s="20"/>
      <c r="C3" s="20"/>
      <c r="D3" s="21"/>
      <c r="E3" s="18" t="s">
        <v>23</v>
      </c>
      <c r="F3" s="22" t="s">
        <v>28</v>
      </c>
      <c r="G3" s="19">
        <v>0</v>
      </c>
      <c r="H3" s="19">
        <v>3</v>
      </c>
      <c r="I3" s="19" t="s">
        <v>62</v>
      </c>
      <c r="J3" s="19" t="s">
        <v>25</v>
      </c>
      <c r="K3" s="19"/>
      <c r="L3" s="19" t="s">
        <v>26</v>
      </c>
      <c r="M3" s="12"/>
      <c r="N3" s="19"/>
      <c r="O3" s="19" t="s">
        <v>50</v>
      </c>
      <c r="P3" s="19" t="s">
        <v>40</v>
      </c>
      <c r="Q3" s="19"/>
      <c r="R3" s="19"/>
      <c r="S3" s="19"/>
    </row>
    <row r="4" spans="1:19" s="5" customFormat="1" ht="126.75" customHeight="1">
      <c r="A4" s="20"/>
      <c r="B4" s="20"/>
      <c r="C4" s="20"/>
      <c r="D4" s="21"/>
      <c r="E4" s="18" t="s">
        <v>30</v>
      </c>
      <c r="F4" s="22" t="s">
        <v>31</v>
      </c>
      <c r="G4" s="19">
        <v>0</v>
      </c>
      <c r="H4" s="19">
        <v>5.4</v>
      </c>
      <c r="I4" s="19" t="s">
        <v>32</v>
      </c>
      <c r="J4" s="19" t="s">
        <v>25</v>
      </c>
      <c r="K4" s="19"/>
      <c r="L4" s="19" t="s">
        <v>26</v>
      </c>
      <c r="M4" s="19"/>
      <c r="N4" s="19"/>
      <c r="O4" s="19" t="s">
        <v>27</v>
      </c>
      <c r="P4" s="19" t="s">
        <v>40</v>
      </c>
      <c r="Q4" s="19"/>
      <c r="R4" s="19"/>
      <c r="S4" s="19"/>
    </row>
    <row r="5" spans="1:19" s="5" customFormat="1" ht="76.5" customHeight="1">
      <c r="A5" s="20"/>
      <c r="B5" s="20"/>
      <c r="C5" s="20"/>
      <c r="D5" s="21"/>
      <c r="E5" s="18" t="s">
        <v>63</v>
      </c>
      <c r="F5" s="22" t="s">
        <v>33</v>
      </c>
      <c r="G5" s="19">
        <v>0</v>
      </c>
      <c r="H5" s="19">
        <v>7110</v>
      </c>
      <c r="I5" s="19" t="s">
        <v>34</v>
      </c>
      <c r="J5" s="19" t="s">
        <v>25</v>
      </c>
      <c r="K5" s="19"/>
      <c r="L5" s="19" t="s">
        <v>26</v>
      </c>
      <c r="M5" s="19"/>
      <c r="N5" s="19"/>
      <c r="O5" s="19" t="s">
        <v>50</v>
      </c>
      <c r="P5" s="19" t="s">
        <v>40</v>
      </c>
      <c r="Q5" s="19"/>
      <c r="R5" s="19"/>
      <c r="S5" s="19"/>
    </row>
    <row r="6" spans="1:19" s="5" customFormat="1" ht="93" customHeight="1">
      <c r="A6" s="20"/>
      <c r="B6" s="20"/>
      <c r="C6" s="20"/>
      <c r="D6" s="21"/>
      <c r="E6" s="18" t="s">
        <v>19</v>
      </c>
      <c r="F6" s="22" t="s">
        <v>35</v>
      </c>
      <c r="G6" s="19">
        <v>0</v>
      </c>
      <c r="H6" s="19">
        <v>32</v>
      </c>
      <c r="I6" s="22" t="s">
        <v>34</v>
      </c>
      <c r="J6" s="19" t="s">
        <v>25</v>
      </c>
      <c r="K6" s="19"/>
      <c r="L6" s="19" t="s">
        <v>26</v>
      </c>
      <c r="M6" s="19"/>
      <c r="N6" s="19"/>
      <c r="O6" s="19" t="s">
        <v>50</v>
      </c>
      <c r="P6" s="19" t="s">
        <v>40</v>
      </c>
      <c r="Q6" s="19"/>
      <c r="R6" s="19" t="s">
        <v>64</v>
      </c>
      <c r="S6" s="19" t="s">
        <v>65</v>
      </c>
    </row>
    <row r="7" spans="1:19" s="5" customFormat="1" ht="77.25" customHeight="1">
      <c r="A7" s="20"/>
      <c r="B7" s="20"/>
      <c r="C7" s="20"/>
      <c r="D7" s="21"/>
      <c r="E7" s="18" t="s">
        <v>19</v>
      </c>
      <c r="F7" s="22" t="s">
        <v>36</v>
      </c>
      <c r="G7" s="19">
        <v>0</v>
      </c>
      <c r="H7" s="19">
        <v>40</v>
      </c>
      <c r="I7" s="22" t="s">
        <v>37</v>
      </c>
      <c r="J7" s="19" t="s">
        <v>25</v>
      </c>
      <c r="K7" s="19"/>
      <c r="L7" s="19" t="s">
        <v>26</v>
      </c>
      <c r="M7" s="19"/>
      <c r="N7" s="19"/>
      <c r="O7" s="19" t="s">
        <v>50</v>
      </c>
      <c r="P7" s="19" t="s">
        <v>40</v>
      </c>
      <c r="Q7" s="19"/>
      <c r="R7" s="19" t="s">
        <v>64</v>
      </c>
      <c r="S7" s="19" t="s">
        <v>65</v>
      </c>
    </row>
    <row r="8" spans="1:19" s="5" customFormat="1" ht="67.5">
      <c r="A8" s="20"/>
      <c r="B8" s="20"/>
      <c r="C8" s="20"/>
      <c r="D8" s="21"/>
      <c r="E8" s="18" t="s">
        <v>19</v>
      </c>
      <c r="F8" s="22" t="s">
        <v>38</v>
      </c>
      <c r="G8" s="19">
        <v>0</v>
      </c>
      <c r="H8" s="19">
        <v>5</v>
      </c>
      <c r="I8" s="19" t="s">
        <v>39</v>
      </c>
      <c r="J8" s="19" t="s">
        <v>25</v>
      </c>
      <c r="K8" s="19"/>
      <c r="L8" s="19" t="s">
        <v>26</v>
      </c>
      <c r="M8" s="19"/>
      <c r="N8" s="19"/>
      <c r="O8" s="19" t="s">
        <v>50</v>
      </c>
      <c r="P8" s="19" t="s">
        <v>40</v>
      </c>
      <c r="Q8" s="19"/>
      <c r="R8" s="19" t="s">
        <v>64</v>
      </c>
      <c r="S8" s="19" t="s">
        <v>65</v>
      </c>
    </row>
    <row r="9" spans="1:19" s="5" customFormat="1" ht="45.75">
      <c r="A9" s="20"/>
      <c r="B9" s="20"/>
      <c r="C9" s="20"/>
      <c r="D9" s="21"/>
      <c r="E9" s="18" t="s">
        <v>19</v>
      </c>
      <c r="F9" s="22" t="s">
        <v>43</v>
      </c>
      <c r="G9" s="19">
        <v>0</v>
      </c>
      <c r="H9" s="19">
        <v>4</v>
      </c>
      <c r="I9" s="22" t="s">
        <v>44</v>
      </c>
      <c r="J9" s="19" t="s">
        <v>25</v>
      </c>
      <c r="K9" s="19"/>
      <c r="L9" s="19" t="s">
        <v>26</v>
      </c>
      <c r="M9" s="19"/>
      <c r="N9" s="19"/>
      <c r="O9" s="19" t="s">
        <v>50</v>
      </c>
      <c r="P9" s="19" t="s">
        <v>66</v>
      </c>
      <c r="Q9" s="19"/>
      <c r="R9" s="19" t="s">
        <v>64</v>
      </c>
      <c r="S9" s="19" t="s">
        <v>66</v>
      </c>
    </row>
    <row r="10" spans="1:19" s="5" customFormat="1" ht="45.75">
      <c r="A10" s="23">
        <v>134230</v>
      </c>
      <c r="B10" s="23" t="s">
        <v>45</v>
      </c>
      <c r="C10" s="23"/>
      <c r="D10" s="24">
        <v>540000</v>
      </c>
      <c r="E10" s="25" t="s">
        <v>19</v>
      </c>
      <c r="F10" s="26" t="s">
        <v>46</v>
      </c>
      <c r="G10" s="26">
        <v>0</v>
      </c>
      <c r="H10" s="26">
        <v>1</v>
      </c>
      <c r="I10" s="26" t="s">
        <v>47</v>
      </c>
      <c r="J10" s="26" t="s">
        <v>48</v>
      </c>
      <c r="K10" s="26"/>
      <c r="L10" s="26" t="s">
        <v>49</v>
      </c>
      <c r="M10" s="26"/>
      <c r="N10" s="19"/>
      <c r="O10" s="19" t="s">
        <v>50</v>
      </c>
      <c r="P10" s="19" t="s">
        <v>66</v>
      </c>
      <c r="Q10" s="19"/>
      <c r="R10" s="19" t="s">
        <v>64</v>
      </c>
      <c r="S10" s="19" t="s">
        <v>66</v>
      </c>
    </row>
    <row r="11" spans="1:19" s="5" customFormat="1" ht="45.75">
      <c r="A11" s="27"/>
      <c r="B11" s="27"/>
      <c r="C11" s="27"/>
      <c r="D11" s="28"/>
      <c r="E11" s="25" t="s">
        <v>19</v>
      </c>
      <c r="F11" s="26" t="s">
        <v>53</v>
      </c>
      <c r="G11" s="26">
        <v>0</v>
      </c>
      <c r="H11" s="26">
        <v>1</v>
      </c>
      <c r="I11" s="26" t="s">
        <v>54</v>
      </c>
      <c r="J11" s="26" t="s">
        <v>48</v>
      </c>
      <c r="K11" s="26"/>
      <c r="L11" s="26" t="s">
        <v>49</v>
      </c>
      <c r="M11" s="26"/>
      <c r="N11" s="19"/>
      <c r="O11" s="19" t="s">
        <v>50</v>
      </c>
      <c r="P11" s="19" t="s">
        <v>66</v>
      </c>
      <c r="Q11" s="19"/>
      <c r="R11" s="19" t="s">
        <v>64</v>
      </c>
      <c r="S11" s="19" t="s">
        <v>66</v>
      </c>
    </row>
    <row r="12" spans="1:19" ht="45.75">
      <c r="A12" s="27"/>
      <c r="B12" s="27"/>
      <c r="C12" s="27"/>
      <c r="D12" s="28"/>
      <c r="E12" s="25" t="s">
        <v>19</v>
      </c>
      <c r="F12" s="26" t="s">
        <v>56</v>
      </c>
      <c r="G12" s="26">
        <v>0</v>
      </c>
      <c r="H12" s="26">
        <v>1</v>
      </c>
      <c r="I12" s="26" t="s">
        <v>57</v>
      </c>
      <c r="J12" s="26" t="s">
        <v>48</v>
      </c>
      <c r="K12" s="26"/>
      <c r="L12" s="26" t="s">
        <v>49</v>
      </c>
      <c r="M12" s="26"/>
      <c r="N12" s="19"/>
      <c r="O12" s="19" t="s">
        <v>50</v>
      </c>
      <c r="P12" s="19" t="s">
        <v>40</v>
      </c>
      <c r="Q12" s="19"/>
      <c r="R12" s="19" t="s">
        <v>64</v>
      </c>
      <c r="S12" s="19" t="s">
        <v>65</v>
      </c>
    </row>
    <row r="13" spans="1:19" ht="45.75">
      <c r="A13" s="29"/>
      <c r="B13" s="29"/>
      <c r="C13" s="29"/>
      <c r="D13" s="30"/>
      <c r="E13" s="25" t="s">
        <v>19</v>
      </c>
      <c r="F13" s="26" t="s">
        <v>58</v>
      </c>
      <c r="G13" s="26">
        <v>0</v>
      </c>
      <c r="H13" s="26">
        <v>38</v>
      </c>
      <c r="I13" s="26" t="s">
        <v>59</v>
      </c>
      <c r="J13" s="26" t="s">
        <v>48</v>
      </c>
      <c r="K13" s="26"/>
      <c r="L13" s="26" t="s">
        <v>49</v>
      </c>
      <c r="M13" s="26"/>
      <c r="N13" s="19"/>
      <c r="O13" s="19" t="s">
        <v>50</v>
      </c>
      <c r="P13" s="19" t="s">
        <v>66</v>
      </c>
      <c r="Q13" s="19"/>
      <c r="R13" s="19" t="s">
        <v>51</v>
      </c>
      <c r="S13" s="19" t="s">
        <v>66</v>
      </c>
    </row>
  </sheetData>
  <dataValidations count="5">
    <dataValidation type="list" allowBlank="1" showInputMessage="1" showErrorMessage="1" sqref="O2:O13" xr:uid="{EC804671-FE93-4B0C-8CCA-721FE6E29A3A}">
      <formula1>"Accelerating just energy transition, Close the gap on energy access, Scale up energy finance"</formula1>
    </dataValidation>
    <dataValidation type="list" allowBlank="1" showInputMessage="1" showErrorMessage="1" sqref="P2:P13" xr:uid="{C9C59D65-6BD5-4688-86C5-A9EF196EC710}">
      <formula1>"Electricity Access, Energy Efficiency, Clean Cooking, Renewable Energy"</formula1>
    </dataValidation>
    <dataValidation type="list" allowBlank="1" showInputMessage="1" showErrorMessage="1" sqref="Q2:Q13" xr:uid="{D6E5D782-14E4-47EC-B9BC-3C5FDB0DF0C9}">
      <formula1>"AMP, PUDC, Solar4Health, Action Opportunities, Italy UNDP Energy Partnership"</formula1>
    </dataValidation>
    <dataValidation type="list" allowBlank="1" showInputMessage="1" showErrorMessage="1" sqref="R2:R13" xr:uid="{E3831C2B-B5FD-4E55-9F49-5B33785436ED}">
      <formula1>"NDC Support, National Strategy, Legal Framework,Incentives and Support, Government Capacity-Building, Carbon Pricing and Monitoring, Financing Model, Business Model"</formula1>
    </dataValidation>
    <dataValidation type="list" allowBlank="1" showInputMessage="1" showErrorMessage="1" sqref="S2:S13" xr:uid="{C34E67C6-9E73-40A2-A5BF-D6700E805D8E}">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E0C7702-1BE0-4DF0-8B08-E246F514D025}">
          <x14:formula1>
            <xm:f>'Beneficiary Categories'!$A$2:$A$16</xm:f>
          </x14:formula1>
          <xm:sqref>E2:E9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opLeftCell="F1" workbookViewId="0">
      <selection activeCell="K2" sqref="K2:K9"/>
    </sheetView>
  </sheetViews>
  <sheetFormatPr defaultRowHeight="15"/>
  <cols>
    <col min="2" max="2" width="16.42578125" customWidth="1"/>
    <col min="3" max="3" width="19.42578125" customWidth="1"/>
    <col min="5" max="5" width="34.140625" customWidth="1"/>
    <col min="6" max="6" width="37.85546875" customWidth="1"/>
    <col min="7" max="7" width="10.28515625" customWidth="1"/>
    <col min="8" max="8" width="12.7109375" customWidth="1"/>
    <col min="9" max="9" width="55.28515625" customWidth="1"/>
    <col min="10" max="10" width="16.42578125" customWidth="1"/>
    <col min="11" max="11" width="68" customWidth="1"/>
  </cols>
  <sheetData>
    <row r="1" spans="1:11">
      <c r="A1" s="1" t="s">
        <v>0</v>
      </c>
      <c r="B1" s="1" t="s">
        <v>1</v>
      </c>
      <c r="C1" s="1" t="s">
        <v>2</v>
      </c>
      <c r="D1" s="1" t="s">
        <v>3</v>
      </c>
      <c r="E1" s="1" t="s">
        <v>4</v>
      </c>
      <c r="F1" s="1" t="s">
        <v>5</v>
      </c>
      <c r="G1" s="1" t="s">
        <v>6</v>
      </c>
      <c r="H1" s="1" t="s">
        <v>7</v>
      </c>
      <c r="I1" s="1" t="s">
        <v>8</v>
      </c>
      <c r="J1" s="2" t="s">
        <v>9</v>
      </c>
      <c r="K1" s="2" t="s">
        <v>61</v>
      </c>
    </row>
    <row r="2" spans="1:11" ht="41.25" customHeight="1">
      <c r="A2">
        <v>6542</v>
      </c>
      <c r="B2" t="s">
        <v>21</v>
      </c>
      <c r="C2" t="s">
        <v>22</v>
      </c>
      <c r="D2">
        <v>3439041</v>
      </c>
      <c r="E2" t="s">
        <v>23</v>
      </c>
      <c r="F2" s="4" t="s">
        <v>24</v>
      </c>
      <c r="G2">
        <v>0</v>
      </c>
      <c r="H2">
        <v>267380</v>
      </c>
      <c r="J2" t="s">
        <v>25</v>
      </c>
      <c r="K2" s="47" t="s">
        <v>67</v>
      </c>
    </row>
    <row r="3" spans="1:11" s="5" customFormat="1" ht="43.5" customHeight="1">
      <c r="E3" s="5" t="s">
        <v>30</v>
      </c>
      <c r="F3" s="6" t="s">
        <v>28</v>
      </c>
      <c r="G3" s="5">
        <v>0</v>
      </c>
      <c r="H3" s="5">
        <v>3</v>
      </c>
      <c r="I3" s="7" t="s">
        <v>62</v>
      </c>
      <c r="J3" s="5" t="s">
        <v>25</v>
      </c>
      <c r="K3" s="48"/>
    </row>
    <row r="4" spans="1:11" s="5" customFormat="1" ht="43.5" customHeight="1">
      <c r="E4" s="5" t="s">
        <v>30</v>
      </c>
      <c r="F4" s="6" t="s">
        <v>68</v>
      </c>
      <c r="G4" s="5">
        <v>0</v>
      </c>
      <c r="H4" s="5" t="s">
        <v>69</v>
      </c>
      <c r="I4" s="7" t="s">
        <v>32</v>
      </c>
      <c r="J4" s="5" t="s">
        <v>25</v>
      </c>
      <c r="K4" s="48"/>
    </row>
    <row r="5" spans="1:11" s="5" customFormat="1" ht="43.5" customHeight="1">
      <c r="E5" s="5" t="s">
        <v>70</v>
      </c>
      <c r="F5" s="3" t="s">
        <v>33</v>
      </c>
      <c r="G5" s="5">
        <v>0</v>
      </c>
      <c r="H5" s="5">
        <v>7110</v>
      </c>
      <c r="I5" s="7" t="s">
        <v>34</v>
      </c>
      <c r="J5" s="5" t="s">
        <v>25</v>
      </c>
      <c r="K5" s="48"/>
    </row>
    <row r="6" spans="1:11" s="5" customFormat="1" ht="93" customHeight="1">
      <c r="E6" s="5" t="s">
        <v>19</v>
      </c>
      <c r="F6" s="6" t="s">
        <v>35</v>
      </c>
      <c r="G6" s="5">
        <v>0</v>
      </c>
      <c r="H6" s="5">
        <v>32</v>
      </c>
      <c r="I6" s="6" t="s">
        <v>34</v>
      </c>
      <c r="J6" s="5" t="s">
        <v>25</v>
      </c>
      <c r="K6" s="48"/>
    </row>
    <row r="7" spans="1:11" s="5" customFormat="1" ht="53.25">
      <c r="E7" s="5" t="s">
        <v>19</v>
      </c>
      <c r="F7" s="6" t="s">
        <v>36</v>
      </c>
      <c r="G7" s="5">
        <v>0</v>
      </c>
      <c r="H7" s="5">
        <v>40</v>
      </c>
      <c r="I7" s="8" t="s">
        <v>37</v>
      </c>
      <c r="J7" s="5" t="s">
        <v>25</v>
      </c>
      <c r="K7" s="48"/>
    </row>
    <row r="8" spans="1:11" s="5" customFormat="1" ht="67.5">
      <c r="E8" s="5" t="s">
        <v>19</v>
      </c>
      <c r="F8" s="6" t="s">
        <v>38</v>
      </c>
      <c r="G8" s="5">
        <v>0</v>
      </c>
      <c r="H8" s="5">
        <v>5</v>
      </c>
      <c r="I8" s="7" t="s">
        <v>39</v>
      </c>
      <c r="J8" s="5" t="s">
        <v>25</v>
      </c>
      <c r="K8" s="48"/>
    </row>
    <row r="9" spans="1:11" s="5" customFormat="1" ht="40.5">
      <c r="E9" s="5" t="s">
        <v>19</v>
      </c>
      <c r="F9" s="6" t="s">
        <v>43</v>
      </c>
      <c r="G9" s="5">
        <v>0</v>
      </c>
      <c r="H9" s="5">
        <v>4</v>
      </c>
      <c r="I9" s="6" t="s">
        <v>44</v>
      </c>
      <c r="J9" s="5" t="s">
        <v>25</v>
      </c>
      <c r="K9" s="48"/>
    </row>
    <row r="10" spans="1:11" s="5" customFormat="1">
      <c r="A10" s="9">
        <v>134230</v>
      </c>
      <c r="B10" s="9" t="s">
        <v>45</v>
      </c>
      <c r="C10" s="9"/>
      <c r="D10" s="10">
        <v>540000</v>
      </c>
      <c r="E10" s="9" t="s">
        <v>19</v>
      </c>
      <c r="F10" s="9" t="s">
        <v>46</v>
      </c>
      <c r="G10" s="9">
        <v>0</v>
      </c>
      <c r="H10" s="9">
        <v>1</v>
      </c>
      <c r="I10" s="9" t="s">
        <v>47</v>
      </c>
      <c r="J10" s="11" t="s">
        <v>48</v>
      </c>
      <c r="K10" s="49" t="s">
        <v>71</v>
      </c>
    </row>
    <row r="11" spans="1:11" s="5" customFormat="1" ht="30.75">
      <c r="A11" s="9"/>
      <c r="B11" s="9"/>
      <c r="C11" s="9"/>
      <c r="D11" s="10"/>
      <c r="E11" s="9" t="s">
        <v>19</v>
      </c>
      <c r="F11" s="11" t="s">
        <v>53</v>
      </c>
      <c r="G11" s="9">
        <v>0</v>
      </c>
      <c r="H11" s="9">
        <v>1</v>
      </c>
      <c r="I11" s="9" t="s">
        <v>54</v>
      </c>
      <c r="J11" s="11" t="s">
        <v>48</v>
      </c>
      <c r="K11" s="49"/>
    </row>
    <row r="12" spans="1:11">
      <c r="A12" s="9"/>
      <c r="B12" s="9"/>
      <c r="C12" s="9"/>
      <c r="D12" s="10"/>
      <c r="E12" s="9" t="s">
        <v>19</v>
      </c>
      <c r="F12" s="9" t="s">
        <v>56</v>
      </c>
      <c r="G12" s="9">
        <v>0</v>
      </c>
      <c r="H12" s="9">
        <v>1</v>
      </c>
      <c r="I12" s="9" t="s">
        <v>57</v>
      </c>
      <c r="J12" s="11" t="s">
        <v>48</v>
      </c>
      <c r="K12" s="49"/>
    </row>
    <row r="13" spans="1:11" ht="30.75">
      <c r="A13" s="9"/>
      <c r="B13" s="9"/>
      <c r="C13" s="9"/>
      <c r="D13" s="10"/>
      <c r="E13" s="9" t="s">
        <v>72</v>
      </c>
      <c r="F13" s="11" t="s">
        <v>58</v>
      </c>
      <c r="G13" s="9">
        <v>0</v>
      </c>
      <c r="H13" s="9">
        <v>38</v>
      </c>
      <c r="I13" s="11" t="s">
        <v>59</v>
      </c>
      <c r="J13" s="11" t="s">
        <v>48</v>
      </c>
      <c r="K13" s="49"/>
    </row>
  </sheetData>
  <mergeCells count="2">
    <mergeCell ref="K2:K9"/>
    <mergeCell ref="K10:K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37" t="s">
        <v>4</v>
      </c>
      <c r="B1" s="37" t="s">
        <v>5</v>
      </c>
    </row>
    <row r="2" spans="1:2" ht="45.75">
      <c r="A2" s="50" t="s">
        <v>23</v>
      </c>
      <c r="B2" s="38" t="s">
        <v>73</v>
      </c>
    </row>
    <row r="3" spans="1:2">
      <c r="A3" s="50" t="s">
        <v>30</v>
      </c>
      <c r="B3" s="38" t="s">
        <v>74</v>
      </c>
    </row>
    <row r="4" spans="1:2" ht="30.75">
      <c r="A4" s="50" t="s">
        <v>75</v>
      </c>
      <c r="B4" s="38" t="s">
        <v>76</v>
      </c>
    </row>
    <row r="5" spans="1:2" ht="30.75">
      <c r="A5" s="50" t="s">
        <v>77</v>
      </c>
      <c r="B5" s="38" t="s">
        <v>78</v>
      </c>
    </row>
    <row r="6" spans="1:2" ht="91.5">
      <c r="A6" s="50" t="s">
        <v>79</v>
      </c>
      <c r="B6" s="38" t="s">
        <v>80</v>
      </c>
    </row>
    <row r="7" spans="1:2" ht="45.75">
      <c r="A7" s="50" t="s">
        <v>81</v>
      </c>
      <c r="B7" s="38" t="s">
        <v>82</v>
      </c>
    </row>
    <row r="8" spans="1:2" ht="45.75">
      <c r="A8" s="50" t="s">
        <v>83</v>
      </c>
      <c r="B8" s="38" t="s">
        <v>84</v>
      </c>
    </row>
    <row r="9" spans="1:2" ht="45.75">
      <c r="A9" s="50" t="s">
        <v>85</v>
      </c>
      <c r="B9" s="38" t="s">
        <v>86</v>
      </c>
    </row>
    <row r="10" spans="1:2" ht="30.75">
      <c r="A10" s="50" t="s">
        <v>87</v>
      </c>
      <c r="B10" s="51" t="s">
        <v>88</v>
      </c>
    </row>
    <row r="11" spans="1:2" ht="30.75">
      <c r="A11" s="50" t="s">
        <v>89</v>
      </c>
      <c r="B11" s="51" t="s">
        <v>90</v>
      </c>
    </row>
    <row r="12" spans="1:2" ht="45.75">
      <c r="A12" s="50" t="s">
        <v>91</v>
      </c>
      <c r="B12" s="38" t="s">
        <v>92</v>
      </c>
    </row>
    <row r="13" spans="1:2" ht="30.75">
      <c r="A13" s="50" t="s">
        <v>72</v>
      </c>
      <c r="B13" s="51" t="s">
        <v>93</v>
      </c>
    </row>
    <row r="14" spans="1:2">
      <c r="A14" s="50" t="s">
        <v>94</v>
      </c>
      <c r="B14" s="51" t="s">
        <v>95</v>
      </c>
    </row>
    <row r="15" spans="1:2" ht="30.75">
      <c r="A15" s="50" t="s">
        <v>96</v>
      </c>
      <c r="B15" s="51" t="s">
        <v>97</v>
      </c>
    </row>
    <row r="16" spans="1:2" ht="30.75">
      <c r="A16" s="50" t="s">
        <v>98</v>
      </c>
      <c r="B16" s="51" t="s">
        <v>99</v>
      </c>
    </row>
    <row r="17" spans="1:2" ht="30.75">
      <c r="A17" s="50" t="s">
        <v>100</v>
      </c>
      <c r="B17" s="38" t="s">
        <v>101</v>
      </c>
    </row>
    <row r="18" spans="1:2" ht="30.75">
      <c r="A18" s="50" t="s">
        <v>63</v>
      </c>
      <c r="B18" s="51" t="s">
        <v>102</v>
      </c>
    </row>
    <row r="19" spans="1:2" ht="76.5">
      <c r="A19" s="50" t="s">
        <v>103</v>
      </c>
      <c r="B19" s="51" t="s">
        <v>104</v>
      </c>
    </row>
    <row r="20" spans="1:2" ht="30.75">
      <c r="A20" s="50" t="s">
        <v>105</v>
      </c>
      <c r="B20" s="51" t="s">
        <v>106</v>
      </c>
    </row>
    <row r="21" spans="1:2" ht="45.75">
      <c r="A21" s="50" t="s">
        <v>19</v>
      </c>
      <c r="B21" s="52" t="s">
        <v>107</v>
      </c>
    </row>
    <row r="22" spans="1:2" ht="30.75">
      <c r="A22" s="50" t="s">
        <v>70</v>
      </c>
      <c r="B22" s="51" t="s">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Amir Goraya</DisplayName>
        <AccountId>1946</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8D35B2-1878-40D0-932A-E58E0EED7171}"/>
</file>

<file path=customXml/itemProps2.xml><?xml version="1.0" encoding="utf-8"?>
<ds:datastoreItem xmlns:ds="http://schemas.openxmlformats.org/officeDocument/2006/customXml" ds:itemID="{22656780-60FE-4705-8B86-84C922090F3E}"/>
</file>

<file path=customXml/itemProps3.xml><?xml version="1.0" encoding="utf-8"?>
<ds:datastoreItem xmlns:ds="http://schemas.openxmlformats.org/officeDocument/2006/customXml" ds:itemID="{EFD3AC2D-EEF7-4231-8120-3A3F883634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2024-10-29T16:46:04Z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