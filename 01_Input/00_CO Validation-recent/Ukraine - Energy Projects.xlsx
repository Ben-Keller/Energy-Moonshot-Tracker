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980" documentId="11_0E84CF80AB4828E5C83BB2163A3B3130C40CB8FD" xr6:coauthVersionLast="47" xr6:coauthVersionMax="47" xr10:uidLastSave="{4E7AEC56-28F1-4276-BC86-51F13443132A}"/>
  <bookViews>
    <workbookView xWindow="-98" yWindow="-98" windowWidth="21795" windowHeight="12975" tabRatio="381" xr2:uid="{00000000-000D-0000-FFFF-FFFF00000000}"/>
  </bookViews>
  <sheets>
    <sheet name="Projects (3)" sheetId="6" r:id="rId1"/>
    <sheet name="Projects (2.6)" sheetId="5" r:id="rId2"/>
    <sheet name="Projects (2.5)" sheetId="4" r:id="rId3"/>
    <sheet name="Projects" sheetId="1" state="hidden" r:id="rId4"/>
    <sheet name="Beneficiary Categorie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6" l="1"/>
  <c r="D20" i="6"/>
  <c r="D19" i="6"/>
  <c r="D18" i="6"/>
  <c r="D9" i="6"/>
  <c r="D10" i="5"/>
  <c r="D23" i="5"/>
  <c r="D22" i="5"/>
  <c r="D21" i="5"/>
  <c r="D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tc={EB6D9F1D-1093-443D-9852-59A1AC744A33}</author>
    <author>tc={DCF56ECC-FA71-46B4-8431-C6926AD78D1B}</author>
    <author>tc={936BA648-9D7A-44C5-A1B1-668994676C0D}</author>
    <author>tc={F6E347AD-C5A2-4313-AAB4-029A64DA333D}</author>
  </authors>
  <commentList>
    <comment ref="E1" authorId="0" shapeId="0" xr:uid="{EB6D9F1D-1093-443D-9852-59A1AC744A33}">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xr:uid="{DCF56ECC-FA71-46B4-8431-C6926AD78D1B}">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xr:uid="{936BA648-9D7A-44C5-A1B1-668994676C0D}">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xr:uid="{F6E347AD-C5A2-4313-AAB4-029A64DA333D}">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tc={847EDF1A-059F-485E-B308-899AE379E984}</author>
    <author>tc={84509177-62CC-46F1-9485-5ACEA26EF867}</author>
    <author>tc={7290C994-B72F-48C1-AD70-161A6BF1D8E0}</author>
    <author>tc={CEE1B33D-8DDA-4116-A6CC-BB51E93271B1}</author>
  </authors>
  <commentList>
    <comment ref="E1" authorId="0" shapeId="0" xr:uid="{847EDF1A-059F-485E-B308-899AE379E984}">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xr:uid="{84509177-62CC-46F1-9485-5ACEA26EF867}">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xr:uid="{7290C994-B72F-48C1-AD70-161A6BF1D8E0}">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xr:uid="{CEE1B33D-8DDA-4116-A6CC-BB51E93271B1}">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tc={79F7E377-464B-4355-8E8B-CFFF8248A927}</author>
    <author>tc={0F069FF2-52A0-451E-9BD7-35B668F0A119}</author>
    <author>tc={4186C70B-5858-4B55-AF8D-3B2912B099F8}</author>
    <author>tc={3AE4744A-B021-44CC-BF20-99FED1F7E8C6}</author>
  </authors>
  <commentList>
    <comment ref="E1" authorId="0" shapeId="0" xr:uid="{79F7E377-464B-4355-8E8B-CFFF8248A927}">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xr:uid="{0F069FF2-52A0-451E-9BD7-35B668F0A119}">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xr:uid="{4186C70B-5858-4B55-AF8D-3B2912B099F8}">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xr:uid="{3AE4744A-B021-44CC-BF20-99FED1F7E8C6}">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tc={C770F223-8A8B-42FA-9D91-BA1B0A4993EA}</author>
    <author>tc={C0BF61DB-B43C-4CD2-A0BE-74248732DEF7}</author>
    <author>tc={C4BB2CCB-5C6B-47ED-91E8-F60C68E277EF}</author>
    <author>tc={DF6CEAC2-5C0E-4508-9A40-1233D6B29A76}</author>
  </authors>
  <commentList>
    <comment ref="E1" authorId="0" shapeId="0" xr:uid="{C770F223-8A8B-42FA-9D91-BA1B0A4993EA}">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xr:uid="{C0BF61DB-B43C-4CD2-A0BE-74248732DEF7}">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xr:uid="{C4BB2CCB-5C6B-47ED-91E8-F60C68E277EF}">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xr:uid="{DF6CEAC2-5C0E-4508-9A40-1233D6B29A76}">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sharedStrings.xml><?xml version="1.0" encoding="utf-8"?>
<sst xmlns="http://schemas.openxmlformats.org/spreadsheetml/2006/main" count="649" uniqueCount="150">
  <si>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</si>
  <si>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</si>
  <si>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</si>
  <si>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</si>
  <si>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</si>
  <si>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</si>
  <si>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</si>
  <si>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</si>
  <si>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</si>
  <si>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</si>
  <si>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</si>
  <si>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</si>
  <si>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</si>
  <si>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</si>
  <si>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</si>
  <si>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</si>
  <si>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</si>
  <si>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</si>
  <si>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</si>
  <si>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</si>
  <si>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</si>
  <si>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00095405</t>
  </si>
  <si>
    <t>EE in Public Buildings</t>
  </si>
  <si>
    <t>https://www.undp.org/ukraine/projects/removing-barriers-increase-investment-energy-efficiency-public-buildings-ukraine-through-esco-modality-small-and-medium-sized</t>
  </si>
  <si>
    <t>Energy Efficiency Services</t>
  </si>
  <si>
    <t>No. of Beneficaries</t>
  </si>
  <si>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</si>
  <si>
    <t>GEF</t>
  </si>
  <si>
    <t>VF</t>
  </si>
  <si>
    <t>Efficiency</t>
  </si>
  <si>
    <t>Scale up energy finance</t>
  </si>
  <si>
    <t>Energy Efficiency</t>
  </si>
  <si>
    <t>Solar</t>
  </si>
  <si>
    <t>National</t>
  </si>
  <si>
    <t xml:space="preserve">Can you please provide information for all the categories ? </t>
  </si>
  <si>
    <t>001000157</t>
  </si>
  <si>
    <t xml:space="preserve">Promotion of Human Security </t>
  </si>
  <si>
    <t>https://www.undp.org/ukraine/press-releases/undp-and-japan-deliver-high-power-autotransformers-ukraine-ensure-unbroken-energy-supplies-over-half-million-people</t>
  </si>
  <si>
    <t>Electricity Access</t>
  </si>
  <si>
    <t>-4 Autotransformers (2 installed, 2 upcoming)</t>
  </si>
  <si>
    <t>Japan</t>
  </si>
  <si>
    <t>Non-VF</t>
  </si>
  <si>
    <t>https://www.undp.org/ukraine/press-releases/japan-undp-deliver-equipment-secure-power-supply-over-55-million-ukrainians</t>
  </si>
  <si>
    <t>-Transporation Support for 7 Autotransformers</t>
  </si>
  <si>
    <t xml:space="preserve">-1 gas turbine for power generation </t>
  </si>
  <si>
    <t>Winterization/Green Energy Recovery Programme</t>
  </si>
  <si>
    <t xml:space="preserve">https://www.undp.org/ukraine/projects/green-energy-recovery-programme-ukraine
https://www.undp.org/ukraine/press-releases/gas-piston-cogeneration-units-delivered-odesa-undp-cover-45-citys-energy-needs-water-heating-and-sewage-services 
</t>
  </si>
  <si>
    <t>MW added</t>
  </si>
  <si>
    <r>
      <rPr>
        <b/>
        <sz val="11"/>
        <color rgb="FF000000"/>
        <rFont val="Calibri"/>
        <scheme val="minor"/>
      </rPr>
      <t xml:space="preserve">Overall budget for Winterization and Green Energy Recovery Programme: USD 283,731,053.25
</t>
    </r>
    <r>
      <rPr>
        <sz val="11"/>
        <color rgb="FF000000"/>
        <rFont val="Calibri"/>
        <scheme val="minor"/>
      </rPr>
      <t>FW Norway:	USD   9,892,766.50 
South Korea:	USD   2,000,000.00 
Iceland FW:	 USD  500,000.00 
Sweden FW1:	USD   5,580,876.00 
Sweden FW2:	USD   5,651,314.21 
TRAC:	             USD    5,600.00 USD
Denmark 1:	USD   10,967,269.51 
SIDA:	              USD   32,357,281.93 
Belgium: 	USD   9,646,302.24 
NORAD 1:	USD   11,431,837.22 
NORAD 2:	 USD  93,993,799.88 
Japan:	              USD   70,000,000.00 
Denmark 2:	USD   6,606,959.33 
Germany:	 USD     4,000,000.00 
European Commission:  USD 21,097,046.42
Provided access to energy for 2,600,000 beneficiaries through delivery of 2 gas turbines for power generation in Ukraine with total capacity of 108 MW.</t>
    </r>
  </si>
  <si>
    <r>
      <rPr>
        <sz val="11"/>
        <color rgb="FF000000"/>
        <rFont val="Calibri"/>
      </rPr>
      <t>Provided access to energy for 450,000</t>
    </r>
    <r>
      <rPr>
        <sz val="11"/>
        <color rgb="FFFF0000"/>
        <rFont val="Calibri"/>
      </rPr>
      <t xml:space="preserve"> </t>
    </r>
    <r>
      <rPr>
        <sz val="11"/>
        <color rgb="FF000000"/>
        <rFont val="Calibri"/>
      </rPr>
      <t>beneficiaries through procurement of 13.4 MW of gas pistons and ongoing procurement of additional gas pistons with capacity of 16.5 MW.</t>
    </r>
  </si>
  <si>
    <t>Japan, Norway, Sweden</t>
  </si>
  <si>
    <t>Procurement of 80 MW (8x10MW) of gas pistons with plans to increase to 160 MW, to benefit 900,955 beneficiaries.</t>
  </si>
  <si>
    <t xml:space="preserve">Norway </t>
  </si>
  <si>
    <t>Provided access to energy for 630,000 beneficiaries through procurement of 90.6 MW of gas generation (10x1.5M, 2x3.3MW gas pistons and 15MW and 54 MW turbines).</t>
  </si>
  <si>
    <t>Japan, Norway, Sweden, EU</t>
  </si>
  <si>
    <t>Procurement of a gas booster compressor for restoring gas supply.</t>
  </si>
  <si>
    <t>Norway</t>
  </si>
  <si>
    <t>Provided access to energy for 95,800 beneficiaries through procurement of 6.7 MW of gas generation and ongoing technical design services.</t>
  </si>
  <si>
    <t>Denmark</t>
  </si>
  <si>
    <t>Health services</t>
  </si>
  <si>
    <t>Critical facilities supported (hospitals, schools, water pumps) and their user numbers</t>
  </si>
  <si>
    <t xml:space="preserve">Provide access to clean energy, namely 0,2 MW of renewable energy through solar power installation for 1 hospital benefiting 10,700 people </t>
  </si>
  <si>
    <t xml:space="preserve">Other </t>
  </si>
  <si>
    <t>Number of municipalities/provinces receiving energy equipment</t>
  </si>
  <si>
    <t>314 municipalities</t>
  </si>
  <si>
    <t>Dedicated group of experts
(more than 20) working directly in Ministry
of Energy of Ukraine to support the
coordination of energy equipment
distribution between the Ministries and
Municipalities.</t>
  </si>
  <si>
    <t xml:space="preserve">Denmark </t>
  </si>
  <si>
    <t>Energy (MW added)</t>
  </si>
  <si>
    <t>Restoration of critical utility services through the installation of co-generation equipment to ensure reliable heat, water, and sewage services during power outages (14MW)</t>
  </si>
  <si>
    <t>Denmark, Sweden, Belgium</t>
  </si>
  <si>
    <t>Support of in-kind donation 40 MW of generation</t>
  </si>
  <si>
    <t>12MW gas turbine</t>
  </si>
  <si>
    <t>SIDA</t>
  </si>
  <si>
    <t xml:space="preserve">Development of a digital platform Energy Programme Information Management System (EPIMS) to address integrated energy needs, facilitating immediate repair work on energy infrastructure and efficiently restore the energy sector. </t>
  </si>
  <si>
    <t>Crisis response for securing reliable energy access in Ukraine (FPI Energy)</t>
  </si>
  <si>
    <t>Restoration of critical utility services through the installation of co-generation equipment to ensure reliable heat, water, and sewage services during power outages, benefitting over 1.6 million residents (6.5 MW)</t>
  </si>
  <si>
    <t>EU</t>
  </si>
  <si>
    <t>Provision of rooftop Solar Power Plants (SPP) 0.5 MW to ensure a stable and sustainable freshwater supply, reducing the city’s energy vulnerability and advancing long-term renewable energy goals</t>
  </si>
  <si>
    <t>Construction of a Biomass Co-generation Power Plant namely 8 MW thermal and 2.2 MW electical</t>
  </si>
  <si>
    <t>Energy Infrastructure Services</t>
  </si>
  <si>
    <t xml:space="preserve">Installation of frequency drivers for electric motors of pumps, smoke extractors, and fans in boiler houses of the city </t>
  </si>
  <si>
    <t>Support to SDGs localization in Ukraine</t>
  </si>
  <si>
    <t>http://open.undp.org/projects/00099918</t>
  </si>
  <si>
    <t>Coordination of energy activities across UN entities and other international assistance projects to facilitate strategic alignment and effective implementation</t>
  </si>
  <si>
    <t>Restoration of critical utility services through the installation of co-generation equipment to ensure reliable heat, water, and sewage services during power outages</t>
  </si>
  <si>
    <t>https://co.pims.undp.org/project/view?id=4114</t>
  </si>
  <si>
    <t>Access to electricity (direct access to electricity, lighting, heating, cooling, etc)</t>
  </si>
  <si>
    <t>00134106</t>
  </si>
  <si>
    <t>Winterization/Energy Sector Recovery</t>
  </si>
  <si>
    <t>https://open.undp.org/projects/00147472</t>
  </si>
  <si>
    <t xml:space="preserve">-2 gas turbine for power generation </t>
  </si>
  <si>
    <t xml:space="preserve">-1 gas compressor </t>
  </si>
  <si>
    <t>-Transportation Support for 2 Autotransformers</t>
  </si>
  <si>
    <t>-1 gas pistons power generation system</t>
  </si>
  <si>
    <t>-25 bushings (750kV)</t>
  </si>
  <si>
    <t>ROK</t>
  </si>
  <si>
    <t>-15 bushings (330kV)</t>
  </si>
  <si>
    <t>Iceland</t>
  </si>
  <si>
    <t>-1 Autotransformer (upcoming)</t>
  </si>
  <si>
    <t>Sweden</t>
  </si>
  <si>
    <t>TBC</t>
  </si>
  <si>
    <t>Germany</t>
  </si>
  <si>
    <t xml:space="preserve">https://www.undp.org/ukraine/projects/green-energy-recovery-programme-ukraine
</t>
  </si>
  <si>
    <r>
      <rPr>
        <sz val="10"/>
        <color rgb="FF000000"/>
        <rFont val="Calibri"/>
        <scheme val="minor"/>
      </rPr>
      <t xml:space="preserve">Overall budget for Winterization and Green Energy Recovery Programme: </t>
    </r>
    <r>
      <rPr>
        <b/>
        <sz val="10"/>
        <color rgb="FF000000"/>
        <rFont val="Calibri"/>
        <scheme val="minor"/>
      </rPr>
      <t xml:space="preserve">244 846 904,36 USD:                                         
</t>
    </r>
    <r>
      <rPr>
        <sz val="10"/>
        <color rgb="FF000000"/>
        <rFont val="Calibri"/>
        <scheme val="minor"/>
      </rPr>
      <t>FW Norway:	 9 892 766,50 USD
South Korea:	 2 000 000,00 USD
Iceland FW:	 500 000,00 USD
Sweden FW1:	 5 580 876,00 USD
Sweden FW2:	 5 651 314,21 USD
TRAC:	               5 600,00 USD
Denmark 1:	 10 967 269,50 USD
SIDA:	               14 570 179,48 USD
Belgium: 	 9 646 302,24 USD  
NORAD 1:	 11 431 837,22 USD  
NORAD 2:	 93 993 799,88 USD  
Japan:	               70 000 000,00 USD  
Denmark 2:	 6 606 959,34 USD  
Germany:	 4 000 000,00 USD</t>
    </r>
    <r>
      <rPr>
        <b/>
        <sz val="10"/>
        <color rgb="FF000000"/>
        <rFont val="Calibri"/>
        <scheme val="minor"/>
      </rPr>
      <t xml:space="preserve">     </t>
    </r>
  </si>
  <si>
    <t>Provided access to energy for 2,600,000 beneficiaries through delivery of 2 gas turbines for power generation in Ukraine with total capacity of 108 MW.</t>
  </si>
  <si>
    <t>https://www.undp.org/ukraine/press-releases/gas-piston-cogeneration-units-delivered-odesa-undp-cover-45-citys-energy-needs-water-heating-and-sewage-services </t>
  </si>
  <si>
    <t>Overall budget for Winterization and Green Energy Recovery Programme: 244 846 904,36 USD</t>
  </si>
  <si>
    <t xml:space="preserve">Policy and Regulatory Framework </t>
  </si>
  <si>
    <t>Provision of legislative support for the green energy transition, including distributed energy generation benefiting all population of Ukraine</t>
  </si>
  <si>
    <t>Coordination of energy activities across UN entities and other international assistance projects to facilitate strategic alignment
and effective implementation</t>
  </si>
  <si>
    <t xml:space="preserve">Winterization/Energy Sector Recovery </t>
  </si>
  <si>
    <t>https://www.undp.org/ukraine/projects/green-energy-recovery-programme-ukraine</t>
  </si>
  <si>
    <r>
      <rPr>
        <sz val="11"/>
        <color rgb="FF000000"/>
        <rFont val="Calibri"/>
        <scheme val="minor"/>
      </rPr>
      <t xml:space="preserve">Overall budget for Winterization and Green Energy Recovery Programme: </t>
    </r>
    <r>
      <rPr>
        <b/>
        <sz val="11"/>
        <color rgb="FF000000"/>
        <rFont val="Calibri"/>
        <scheme val="minor"/>
      </rPr>
      <t xml:space="preserve">244 846 904,36 USD:                                         
</t>
    </r>
    <r>
      <rPr>
        <sz val="11"/>
        <color rgb="FF000000"/>
        <rFont val="Calibri"/>
        <scheme val="minor"/>
      </rPr>
      <t>FW Norway:	 9 892 766,50 USD
South Korea:	 2 000 000,00 USD
Iceland FW:	 500 000,00 USD
Sweden FW1:	 5 580 876,00 USD
Sweden FW2:	 5 651 314,21 USD
TRAC:	               5 600,00 USD
Denmark 1:	 10 967 269,50 USD
SIDA:	               14 570 179,48 USD
Belgium: 	 9 646 302,24 USD  
NORAD 1:	 11 431 837,22 USD  
NORAD 2:	 93 993 799,88 USD  
Japan:	               70 000 000,00 USD  
Denmark 2:	 6 606 959,34 USD  
Germany:	 4 000 000,00 USD</t>
    </r>
    <r>
      <rPr>
        <b/>
        <sz val="11"/>
        <color rgb="FF000000"/>
        <rFont val="Calibri"/>
        <scheme val="minor"/>
      </rPr>
      <t xml:space="preserve">     </t>
    </r>
  </si>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</sst>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FF0000"/>
      <name val="Calibri"/>
      <family val="2"/>
      <scheme val="minor"/>
    </font>
    <font>
      <sz val="11"/>
      <color rgb="FF000000"/>
      <name val="Calibri"/>
      <family val="2"/>
      <charset val="1"/>
    </font>
    <font>
      <b/>
      <sz val="11"/>
      <color theme="1"/>
      <name val="Calibri"/>
      <scheme val="minor"/>
    </font>
    <font>
      <sz val="11"/>
      <color rgb="FF000000"/>
      <name val="Calibri"/>
      <scheme val="minor"/>
    </font>
    <font>
      <u/>
      <sz val="11"/>
      <color theme="10"/>
      <name val="Calibri"/>
      <family val="2"/>
      <scheme val="minor"/>
    </font>
    <font>
      <b/>
      <sz val="11"/>
      <color rgb="FF000000"/>
      <name val="Calibri"/>
      <scheme val="minor"/>
    </font>
    <font>
      <sz val="11"/>
      <color rgb="FF000000"/>
      <name val="Calibri"/>
      <family val="2"/>
      <scheme val="minor"/>
    </font>
    <font>
      <sz val="11"/>
      <color rgb="FF000000"/>
      <name val="Calibri"/>
    </font>
    <font>
      <sz val="11"/>
      <color rgb="FFFF0000"/>
      <name val="Calibri"/>
    </font>
    <font>
      <sz val="11"/>
      <color theme="1"/>
      <name val="Calibri"/>
    </font>
    <font>
      <sz val="10"/>
      <color rgb="FF000000"/>
      <name val="Calibri"/>
      <family val="2"/>
      <scheme val="minor"/>
    </font>
    <font>
      <sz val="10"/>
      <color rgb="FF000000"/>
      <name val="Calibri"/>
      <scheme val="minor"/>
    </font>
    <font>
      <b/>
      <sz val="10"/>
      <color rgb="FF000000"/>
      <name val="Calibri"/>
      <scheme val="minor"/>
    </font>
    <font>
      <u/>
      <sz val="11"/>
      <color theme="10"/>
      <name val="Calibri"/>
    </font>
    <font>
      <sz val="11"/>
      <color rgb="FF000000"/>
      <name val="Calibri"/>
      <charset val="1"/>
    </font>
  </fonts>
  <fills count="6">
    <fill>
      <patternFill patternType="none"/>
    </fill>
    <fill>
      <patternFill patternType="gray125"/>
    </fill>
    <fill>
      <patternFill patternType="solid">
        <fgColor rgb="FFFFE497"/>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auto="1"/>
      </left>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rgb="FF000000"/>
      </right>
      <top/>
      <bottom/>
      <diagonal/>
    </border>
    <border>
      <left/>
      <right/>
      <top style="thin">
        <color rgb="FF000000"/>
      </top>
      <bottom style="thin">
        <color rgb="FF000000"/>
      </bottom>
      <diagonal/>
    </border>
    <border>
      <left/>
      <right style="thin">
        <color rgb="FF000000"/>
      </right>
      <top style="medium">
        <color rgb="FF000000"/>
      </top>
      <bottom/>
      <diagonal/>
    </border>
    <border>
      <left style="thin">
        <color rgb="FF000000"/>
      </left>
      <right/>
      <top/>
      <bottom/>
      <diagonal/>
    </border>
    <border>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01">
    <xf numFmtId="0" fontId="0" fillId="0" borderId="0" xfId="0"/>
    <xf numFmtId="0" fontId="2" fillId="0" borderId="1" xfId="0" applyFont="1" applyBorder="1" applyAlignment="1">
      <alignment horizontal="center" vertical="top"/>
    </xf>
    <xf numFmtId="0" fontId="3" fillId="0" borderId="0" xfId="1" applyFont="1" applyAlignment="1" applyProtection="1"/>
    <xf numFmtId="0" fontId="0" fillId="2" borderId="0" xfId="0" applyFill="1"/>
    <xf numFmtId="0" fontId="4" fillId="0" borderId="0" xfId="0" applyFont="1"/>
    <xf numFmtId="0" fontId="5" fillId="0" borderId="0" xfId="0" applyFont="1"/>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0" fillId="0" borderId="7" xfId="0" applyBorder="1"/>
    <xf numFmtId="0" fontId="0" fillId="2" borderId="7" xfId="0" applyFill="1" applyBorder="1"/>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wrapText="1"/>
    </xf>
    <xf numFmtId="0" fontId="0" fillId="0" borderId="9"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0" fontId="0" fillId="0" borderId="12" xfId="0" applyBorder="1" applyAlignment="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15" xfId="0" applyBorder="1" applyAlignment="1">
      <alignment vertical="center"/>
    </xf>
    <xf numFmtId="0" fontId="2" fillId="0" borderId="17" xfId="0" applyFont="1" applyBorder="1" applyAlignment="1">
      <alignment horizontal="center" vertical="top"/>
    </xf>
    <xf numFmtId="0" fontId="2" fillId="0" borderId="18" xfId="0" applyFont="1" applyBorder="1" applyAlignment="1">
      <alignment horizontal="center" vertical="top"/>
    </xf>
    <xf numFmtId="0" fontId="0" fillId="0" borderId="19" xfId="0" applyBorder="1"/>
    <xf numFmtId="0" fontId="0" fillId="0" borderId="15" xfId="0" applyBorder="1"/>
    <xf numFmtId="0" fontId="2" fillId="0" borderId="21" xfId="0" applyFont="1" applyBorder="1" applyAlignment="1">
      <alignment horizontal="center" vertical="top"/>
    </xf>
    <xf numFmtId="0" fontId="2" fillId="0" borderId="22" xfId="0" applyFont="1" applyBorder="1" applyAlignment="1">
      <alignment horizontal="center" vertical="top"/>
    </xf>
    <xf numFmtId="3" fontId="0" fillId="0" borderId="19" xfId="0" applyNumberFormat="1" applyBorder="1"/>
    <xf numFmtId="3" fontId="0" fillId="0" borderId="15" xfId="0" applyNumberFormat="1" applyBorder="1"/>
    <xf numFmtId="0" fontId="0" fillId="2" borderId="23" xfId="0" applyFill="1" applyBorder="1"/>
    <xf numFmtId="0" fontId="0" fillId="0" borderId="23" xfId="0" applyBorder="1"/>
    <xf numFmtId="0" fontId="0" fillId="0" borderId="23" xfId="0" quotePrefix="1" applyBorder="1"/>
    <xf numFmtId="0" fontId="0" fillId="0" borderId="16" xfId="0" quotePrefix="1" applyBorder="1"/>
    <xf numFmtId="0" fontId="2" fillId="0" borderId="24" xfId="0" applyFont="1" applyBorder="1" applyAlignment="1">
      <alignment horizontal="center" vertical="center"/>
    </xf>
    <xf numFmtId="3" fontId="0" fillId="0" borderId="16" xfId="0" applyNumberFormat="1" applyBorder="1"/>
    <xf numFmtId="0" fontId="3" fillId="0" borderId="19" xfId="1" applyFont="1" applyBorder="1" applyAlignment="1" applyProtection="1"/>
    <xf numFmtId="0" fontId="8" fillId="0" borderId="7" xfId="1" applyBorder="1"/>
    <xf numFmtId="0" fontId="0" fillId="0" borderId="0" xfId="0" applyAlignment="1">
      <alignment wrapText="1"/>
    </xf>
    <xf numFmtId="0" fontId="0" fillId="0" borderId="19" xfId="0" applyBorder="1" applyAlignment="1">
      <alignment horizontal="center" vertical="center"/>
    </xf>
    <xf numFmtId="3" fontId="0" fillId="2" borderId="7" xfId="0" applyNumberFormat="1" applyFill="1" applyBorder="1"/>
    <xf numFmtId="0" fontId="0" fillId="2" borderId="16" xfId="0" applyFill="1" applyBorder="1" applyAlignment="1">
      <alignment wrapText="1"/>
    </xf>
    <xf numFmtId="0" fontId="2" fillId="0" borderId="13" xfId="0" applyFont="1" applyBorder="1" applyAlignment="1">
      <alignment wrapText="1"/>
    </xf>
    <xf numFmtId="0" fontId="0" fillId="0" borderId="23" xfId="0" applyBorder="1" applyAlignment="1">
      <alignment wrapText="1"/>
    </xf>
    <xf numFmtId="0" fontId="0" fillId="0" borderId="16" xfId="0" applyBorder="1" applyAlignment="1">
      <alignment wrapText="1"/>
    </xf>
    <xf numFmtId="0" fontId="0" fillId="0" borderId="16" xfId="0" applyBorder="1" applyAlignment="1">
      <alignment horizontal="center" wrapText="1"/>
    </xf>
    <xf numFmtId="0" fontId="0" fillId="0" borderId="2" xfId="0" applyBorder="1"/>
    <xf numFmtId="0" fontId="0" fillId="0" borderId="2" xfId="0" quotePrefix="1" applyBorder="1" applyAlignment="1">
      <alignment wrapText="1"/>
    </xf>
    <xf numFmtId="0" fontId="10" fillId="0" borderId="2" xfId="0" applyFont="1" applyBorder="1" applyAlignment="1">
      <alignment wrapText="1"/>
    </xf>
    <xf numFmtId="3" fontId="0" fillId="0" borderId="2" xfId="0" applyNumberFormat="1" applyBorder="1"/>
    <xf numFmtId="0" fontId="0" fillId="0" borderId="2" xfId="0" applyBorder="1" applyAlignment="1">
      <alignment wrapText="1"/>
    </xf>
    <xf numFmtId="3" fontId="10" fillId="0" borderId="2" xfId="0" applyNumberFormat="1" applyFont="1" applyBorder="1" applyAlignment="1">
      <alignment horizontal="right"/>
    </xf>
    <xf numFmtId="0" fontId="13" fillId="0" borderId="2" xfId="0" applyFont="1" applyBorder="1" applyAlignment="1">
      <alignment wrapText="1"/>
    </xf>
    <xf numFmtId="3" fontId="0" fillId="0" borderId="23" xfId="0" applyNumberFormat="1" applyBorder="1"/>
    <xf numFmtId="0" fontId="0" fillId="0" borderId="23" xfId="0" applyBorder="1" applyAlignment="1">
      <alignment horizontal="center" wrapText="1"/>
    </xf>
    <xf numFmtId="0" fontId="0" fillId="0" borderId="26" xfId="0" applyBorder="1" applyAlignment="1">
      <alignment horizontal="center" vertical="center"/>
    </xf>
    <xf numFmtId="0" fontId="0" fillId="0" borderId="23" xfId="0" applyBorder="1" applyAlignment="1">
      <alignment horizontal="center" vertical="center" wrapText="1"/>
    </xf>
    <xf numFmtId="0" fontId="0" fillId="0" borderId="19" xfId="0" applyBorder="1" applyAlignment="1">
      <alignment vertical="center"/>
    </xf>
    <xf numFmtId="3" fontId="10" fillId="0" borderId="2" xfId="0" applyNumberFormat="1" applyFont="1" applyBorder="1"/>
    <xf numFmtId="3" fontId="10" fillId="0" borderId="2" xfId="0" applyNumberFormat="1" applyFont="1" applyBorder="1" applyAlignment="1">
      <alignment horizontal="left"/>
    </xf>
    <xf numFmtId="0" fontId="11" fillId="0" borderId="2" xfId="0" applyFont="1" applyBorder="1" applyAlignment="1">
      <alignment wrapText="1"/>
    </xf>
    <xf numFmtId="0" fontId="10" fillId="0" borderId="2" xfId="0" applyFont="1" applyBorder="1" applyAlignment="1">
      <alignment horizontal="left"/>
    </xf>
    <xf numFmtId="0" fontId="8" fillId="0" borderId="2" xfId="1" applyBorder="1" applyAlignment="1">
      <alignment wrapText="1"/>
    </xf>
    <xf numFmtId="0" fontId="8" fillId="0" borderId="0" xfId="1" applyAlignment="1">
      <alignment wrapText="1"/>
    </xf>
    <xf numFmtId="3" fontId="0" fillId="3" borderId="16" xfId="0" applyNumberFormat="1" applyFill="1" applyBorder="1"/>
    <xf numFmtId="0" fontId="0" fillId="3" borderId="7" xfId="0" applyFill="1" applyBorder="1"/>
    <xf numFmtId="0" fontId="0" fillId="3" borderId="15" xfId="0" applyFill="1" applyBorder="1"/>
    <xf numFmtId="3" fontId="0" fillId="3" borderId="15" xfId="0" applyNumberFormat="1" applyFill="1" applyBorder="1"/>
    <xf numFmtId="0" fontId="0" fillId="3" borderId="16" xfId="0" quotePrefix="1" applyFill="1" applyBorder="1"/>
    <xf numFmtId="0" fontId="0" fillId="3" borderId="19" xfId="0" applyFill="1" applyBorder="1"/>
    <xf numFmtId="0" fontId="0" fillId="3" borderId="0" xfId="0" applyFill="1"/>
    <xf numFmtId="3" fontId="0" fillId="3" borderId="19" xfId="0" applyNumberFormat="1" applyFill="1" applyBorder="1"/>
    <xf numFmtId="0" fontId="0" fillId="3" borderId="23" xfId="0" quotePrefix="1" applyFill="1" applyBorder="1"/>
    <xf numFmtId="3" fontId="0" fillId="3" borderId="23" xfId="0" applyNumberFormat="1" applyFill="1" applyBorder="1"/>
    <xf numFmtId="0" fontId="0" fillId="3" borderId="23" xfId="0" applyFill="1" applyBorder="1"/>
    <xf numFmtId="0" fontId="0" fillId="4" borderId="2" xfId="0" applyFill="1" applyBorder="1"/>
    <xf numFmtId="0" fontId="14" fillId="4" borderId="2" xfId="0" applyFont="1" applyFill="1" applyBorder="1" applyAlignment="1">
      <alignment wrapText="1"/>
    </xf>
    <xf numFmtId="3" fontId="0" fillId="4" borderId="2" xfId="0" applyNumberFormat="1" applyFill="1" applyBorder="1"/>
    <xf numFmtId="0" fontId="0" fillId="4" borderId="2" xfId="0" applyFill="1" applyBorder="1" applyAlignment="1">
      <alignment wrapText="1"/>
    </xf>
    <xf numFmtId="3" fontId="10" fillId="4" borderId="2" xfId="0" applyNumberFormat="1" applyFont="1" applyFill="1" applyBorder="1" applyAlignment="1">
      <alignment horizontal="right"/>
    </xf>
    <xf numFmtId="0" fontId="13" fillId="4" borderId="2" xfId="0" applyFont="1" applyFill="1" applyBorder="1" applyAlignment="1">
      <alignment wrapText="1"/>
    </xf>
    <xf numFmtId="3" fontId="10" fillId="4" borderId="2" xfId="0" applyNumberFormat="1" applyFont="1" applyFill="1" applyBorder="1"/>
    <xf numFmtId="0" fontId="10" fillId="4" borderId="2" xfId="0" applyFont="1" applyFill="1" applyBorder="1" applyAlignment="1">
      <alignment wrapText="1"/>
    </xf>
    <xf numFmtId="3" fontId="10" fillId="4" borderId="2" xfId="0" applyNumberFormat="1" applyFont="1" applyFill="1" applyBorder="1" applyAlignment="1">
      <alignment horizontal="left"/>
    </xf>
    <xf numFmtId="0" fontId="11" fillId="4" borderId="2" xfId="0" applyFont="1" applyFill="1" applyBorder="1" applyAlignment="1">
      <alignment wrapText="1"/>
    </xf>
    <xf numFmtId="0" fontId="10" fillId="4" borderId="2" xfId="0" applyFont="1" applyFill="1" applyBorder="1" applyAlignment="1">
      <alignment horizontal="left"/>
    </xf>
    <xf numFmtId="0" fontId="7" fillId="4" borderId="2" xfId="0" applyFont="1" applyFill="1" applyBorder="1" applyAlignment="1">
      <alignment wrapText="1"/>
    </xf>
    <xf numFmtId="0" fontId="0" fillId="4" borderId="2" xfId="0" applyFill="1" applyBorder="1" applyAlignment="1">
      <alignment vertical="center"/>
    </xf>
    <xf numFmtId="0" fontId="0" fillId="4" borderId="2" xfId="0" quotePrefix="1" applyFill="1" applyBorder="1" applyAlignment="1">
      <alignment vertical="center" wrapText="1"/>
    </xf>
    <xf numFmtId="0" fontId="0" fillId="0" borderId="7" xfId="0" applyBorder="1" applyAlignment="1">
      <alignment vertical="center"/>
    </xf>
    <xf numFmtId="0" fontId="8" fillId="0" borderId="7" xfId="1" applyBorder="1" applyAlignment="1">
      <alignment vertical="center"/>
    </xf>
    <xf numFmtId="3" fontId="0" fillId="0" borderId="7" xfId="0" applyNumberFormat="1" applyBorder="1" applyAlignment="1">
      <alignment vertical="center"/>
    </xf>
    <xf numFmtId="0" fontId="0" fillId="0" borderId="16" xfId="0" applyBorder="1" applyAlignment="1">
      <alignment vertical="center" wrapText="1"/>
    </xf>
    <xf numFmtId="0" fontId="0" fillId="0" borderId="0" xfId="0" applyAlignment="1">
      <alignment vertical="center"/>
    </xf>
    <xf numFmtId="0" fontId="4" fillId="0" borderId="0" xfId="0" applyFont="1" applyAlignment="1">
      <alignment vertical="center"/>
    </xf>
    <xf numFmtId="0" fontId="3" fillId="0" borderId="0" xfId="1" applyFont="1" applyAlignment="1" applyProtection="1">
      <alignment vertical="center"/>
    </xf>
    <xf numFmtId="0" fontId="3" fillId="0" borderId="19" xfId="1" applyFont="1" applyBorder="1" applyAlignment="1" applyProtection="1">
      <alignment vertical="center"/>
    </xf>
    <xf numFmtId="0" fontId="8" fillId="3" borderId="19" xfId="1" applyFill="1" applyBorder="1" applyAlignment="1">
      <alignment vertical="center"/>
    </xf>
    <xf numFmtId="0" fontId="0" fillId="3" borderId="19" xfId="0" applyFill="1" applyBorder="1" applyAlignment="1">
      <alignment vertical="center"/>
    </xf>
    <xf numFmtId="0" fontId="8" fillId="4" borderId="0" xfId="1" applyFill="1" applyAlignment="1">
      <alignment vertical="center" wrapText="1"/>
    </xf>
    <xf numFmtId="0" fontId="17" fillId="0" borderId="0" xfId="1" applyFont="1" applyAlignment="1">
      <alignment vertical="center"/>
    </xf>
    <xf numFmtId="0" fontId="17" fillId="0" borderId="19" xfId="1" applyFont="1" applyBorder="1" applyAlignment="1">
      <alignment vertical="center"/>
    </xf>
    <xf numFmtId="0" fontId="18" fillId="0" borderId="0" xfId="0" applyFont="1"/>
    <xf numFmtId="0" fontId="0" fillId="4" borderId="2" xfId="0" applyFill="1" applyBorder="1" applyAlignment="1">
      <alignment vertical="center" wrapText="1"/>
    </xf>
    <xf numFmtId="43" fontId="0" fillId="4" borderId="2" xfId="0" applyNumberFormat="1" applyFill="1" applyBorder="1" applyAlignment="1">
      <alignment wrapText="1"/>
    </xf>
    <xf numFmtId="43" fontId="0" fillId="0" borderId="0" xfId="0" applyNumberFormat="1"/>
    <xf numFmtId="43" fontId="0" fillId="4" borderId="0" xfId="0" applyNumberFormat="1" applyFill="1"/>
    <xf numFmtId="43" fontId="0" fillId="4" borderId="2" xfId="0" applyNumberFormat="1" applyFill="1" applyBorder="1"/>
    <xf numFmtId="0" fontId="0" fillId="4" borderId="3" xfId="0" applyFill="1" applyBorder="1" applyAlignment="1">
      <alignment vertical="center"/>
    </xf>
    <xf numFmtId="0" fontId="0" fillId="4" borderId="3" xfId="0" applyFill="1" applyBorder="1" applyAlignment="1">
      <alignment vertical="center" wrapText="1"/>
    </xf>
    <xf numFmtId="0" fontId="0" fillId="4" borderId="3" xfId="0" applyFill="1" applyBorder="1"/>
    <xf numFmtId="3" fontId="0" fillId="4" borderId="3" xfId="0" applyNumberFormat="1" applyFill="1" applyBorder="1"/>
    <xf numFmtId="0" fontId="0" fillId="4" borderId="3" xfId="0" applyFill="1" applyBorder="1" applyAlignment="1">
      <alignment wrapText="1"/>
    </xf>
    <xf numFmtId="43" fontId="0" fillId="4" borderId="3" xfId="0" applyNumberFormat="1" applyFill="1" applyBorder="1"/>
    <xf numFmtId="0" fontId="0" fillId="0" borderId="3" xfId="0" applyBorder="1"/>
    <xf numFmtId="0" fontId="0" fillId="0" borderId="6" xfId="0" applyBorder="1" applyAlignment="1">
      <alignment wrapText="1"/>
    </xf>
    <xf numFmtId="0" fontId="0" fillId="0" borderId="7" xfId="0" quotePrefix="1" applyBorder="1" applyAlignment="1">
      <alignment vertical="center"/>
    </xf>
    <xf numFmtId="0" fontId="0" fillId="0" borderId="4" xfId="0" applyBorder="1"/>
    <xf numFmtId="0" fontId="0" fillId="0" borderId="5" xfId="0" applyBorder="1"/>
    <xf numFmtId="43" fontId="2" fillId="0" borderId="18" xfId="0" applyNumberFormat="1" applyFont="1" applyBorder="1" applyAlignment="1">
      <alignment horizontal="center" vertical="top"/>
    </xf>
    <xf numFmtId="43" fontId="0" fillId="0" borderId="19" xfId="0" applyNumberFormat="1" applyBorder="1"/>
    <xf numFmtId="43" fontId="0" fillId="0" borderId="15" xfId="0" applyNumberFormat="1" applyBorder="1" applyAlignment="1">
      <alignment vertical="center"/>
    </xf>
    <xf numFmtId="0" fontId="10" fillId="4" borderId="2" xfId="0" applyFont="1" applyFill="1" applyBorder="1" applyAlignment="1">
      <alignment horizontal="right"/>
    </xf>
    <xf numFmtId="43" fontId="15" fillId="4" borderId="2" xfId="0" applyNumberFormat="1" applyFont="1" applyFill="1" applyBorder="1" applyAlignment="1">
      <alignment horizontal="center" wrapText="1"/>
    </xf>
    <xf numFmtId="0" fontId="0" fillId="0" borderId="6" xfId="0" applyBorder="1"/>
    <xf numFmtId="0" fontId="0" fillId="0" borderId="27" xfId="0" applyBorder="1" applyAlignment="1">
      <alignment wrapText="1"/>
    </xf>
    <xf numFmtId="0" fontId="0" fillId="0" borderId="27" xfId="0" applyBorder="1"/>
    <xf numFmtId="0" fontId="0" fillId="4" borderId="4" xfId="0" applyFill="1" applyBorder="1"/>
    <xf numFmtId="0" fontId="0" fillId="5" borderId="0" xfId="0" applyFill="1"/>
    <xf numFmtId="43" fontId="0" fillId="5" borderId="0" xfId="0" applyNumberFormat="1" applyFill="1"/>
    <xf numFmtId="43" fontId="0" fillId="4" borderId="19" xfId="0" applyNumberFormat="1" applyFill="1" applyBorder="1" applyAlignment="1">
      <alignment wrapText="1"/>
    </xf>
    <xf numFmtId="0" fontId="0" fillId="4" borderId="19" xfId="0" applyFill="1" applyBorder="1" applyAlignment="1">
      <alignment vertical="center"/>
    </xf>
    <xf numFmtId="0" fontId="0" fillId="4" borderId="19" xfId="0" applyFill="1" applyBorder="1" applyAlignment="1">
      <alignment vertical="center" wrapText="1"/>
    </xf>
    <xf numFmtId="0" fontId="0" fillId="4" borderId="26" xfId="0" applyFill="1" applyBorder="1" applyAlignment="1">
      <alignment vertical="center"/>
    </xf>
    <xf numFmtId="0" fontId="0" fillId="4" borderId="19" xfId="0" applyFill="1" applyBorder="1"/>
    <xf numFmtId="0" fontId="0" fillId="4" borderId="19" xfId="0" applyFill="1" applyBorder="1" applyAlignment="1">
      <alignment wrapText="1"/>
    </xf>
    <xf numFmtId="43" fontId="0" fillId="4" borderId="11" xfId="0" applyNumberFormat="1" applyFill="1" applyBorder="1"/>
    <xf numFmtId="43" fontId="0" fillId="4" borderId="23" xfId="0" applyNumberFormat="1" applyFill="1" applyBorder="1"/>
    <xf numFmtId="0" fontId="0" fillId="0" borderId="3" xfId="0" applyBorder="1" applyAlignment="1">
      <alignment wrapText="1"/>
    </xf>
    <xf numFmtId="43" fontId="0" fillId="0" borderId="3" xfId="0" applyNumberFormat="1" applyBorder="1"/>
    <xf numFmtId="43" fontId="0" fillId="0" borderId="2" xfId="0" applyNumberFormat="1" applyBorder="1"/>
    <xf numFmtId="0" fontId="0" fillId="0" borderId="20" xfId="0" applyBorder="1" applyAlignment="1">
      <alignment vertical="center"/>
    </xf>
    <xf numFmtId="3" fontId="0" fillId="4" borderId="2" xfId="0" applyNumberFormat="1" applyFill="1" applyBorder="1" applyAlignment="1">
      <alignment horizontal="right"/>
    </xf>
    <xf numFmtId="43" fontId="0" fillId="4" borderId="3" xfId="0" applyNumberFormat="1" applyFill="1" applyBorder="1" applyAlignment="1">
      <alignment horizontal="right"/>
    </xf>
    <xf numFmtId="43" fontId="0" fillId="4" borderId="2" xfId="0" applyNumberFormat="1" applyFill="1" applyBorder="1" applyAlignment="1">
      <alignment horizontal="right"/>
    </xf>
    <xf numFmtId="43" fontId="0" fillId="4" borderId="23" xfId="0" applyNumberFormat="1" applyFill="1" applyBorder="1" applyAlignment="1">
      <alignment horizontal="right"/>
    </xf>
    <xf numFmtId="43" fontId="0" fillId="0" borderId="3" xfId="0" applyNumberFormat="1" applyBorder="1" applyAlignment="1">
      <alignment horizontal="right"/>
    </xf>
    <xf numFmtId="3" fontId="0" fillId="4" borderId="2" xfId="0" applyNumberFormat="1" applyFill="1" applyBorder="1" applyAlignment="1">
      <alignment wrapText="1"/>
    </xf>
    <xf numFmtId="0" fontId="0" fillId="0" borderId="25" xfId="0" quotePrefix="1" applyBorder="1" applyAlignment="1">
      <alignment horizontal="center" vertical="center"/>
    </xf>
    <xf numFmtId="0" fontId="0" fillId="0" borderId="23" xfId="0" applyBorder="1" applyAlignment="1">
      <alignment horizontal="center" vertical="center"/>
    </xf>
    <xf numFmtId="0" fontId="0" fillId="0" borderId="16"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43" fontId="0" fillId="0" borderId="20" xfId="0" applyNumberFormat="1" applyBorder="1" applyAlignment="1">
      <alignment horizontal="center" vertical="center"/>
    </xf>
    <xf numFmtId="43" fontId="0" fillId="0" borderId="19" xfId="0" applyNumberFormat="1" applyBorder="1" applyAlignment="1">
      <alignment horizontal="center" vertical="center"/>
    </xf>
    <xf numFmtId="43" fontId="0" fillId="0" borderId="15" xfId="0" applyNumberFormat="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5" xfId="0" applyBorder="1" applyAlignment="1">
      <alignment horizontal="center" vertical="center" wrapText="1"/>
    </xf>
    <xf numFmtId="0" fontId="0" fillId="3" borderId="19" xfId="0" applyFill="1" applyBorder="1" applyAlignment="1">
      <alignment horizontal="center" vertical="center"/>
    </xf>
    <xf numFmtId="3" fontId="0" fillId="3" borderId="25" xfId="0" applyNumberFormat="1" applyFill="1" applyBorder="1" applyAlignment="1">
      <alignment horizontal="right" vertical="center"/>
    </xf>
    <xf numFmtId="3" fontId="0" fillId="3" borderId="16" xfId="0" applyNumberFormat="1" applyFill="1" applyBorder="1" applyAlignment="1">
      <alignment horizontal="right" vertical="center"/>
    </xf>
    <xf numFmtId="0" fontId="0" fillId="3" borderId="20" xfId="0" applyFill="1" applyBorder="1" applyAlignment="1">
      <alignment horizontal="left" vertical="center"/>
    </xf>
    <xf numFmtId="0" fontId="0" fillId="3" borderId="15" xfId="0" applyFill="1" applyBorder="1" applyAlignment="1">
      <alignment horizontal="left" vertical="center"/>
    </xf>
    <xf numFmtId="0" fontId="0" fillId="0" borderId="23" xfId="0" quotePrefix="1" applyBorder="1" applyAlignment="1">
      <alignment horizontal="center" vertical="center"/>
    </xf>
    <xf numFmtId="0" fontId="0" fillId="0" borderId="16" xfId="0" quotePrefix="1" applyBorder="1" applyAlignment="1">
      <alignment horizontal="center" vertical="center"/>
    </xf>
    <xf numFmtId="3" fontId="0" fillId="0" borderId="20" xfId="0" applyNumberFormat="1" applyBorder="1" applyAlignment="1">
      <alignment horizontal="center" vertical="center"/>
    </xf>
    <xf numFmtId="3" fontId="0" fillId="0" borderId="19" xfId="0" applyNumberFormat="1" applyBorder="1" applyAlignment="1">
      <alignment horizontal="center" vertical="center"/>
    </xf>
    <xf numFmtId="3" fontId="0" fillId="0" borderId="15" xfId="0" applyNumberFormat="1" applyBorder="1" applyAlignment="1">
      <alignment horizontal="center" vertical="center"/>
    </xf>
    <xf numFmtId="0" fontId="0" fillId="3" borderId="25" xfId="0" quotePrefix="1" applyFill="1" applyBorder="1" applyAlignment="1">
      <alignment horizontal="left" vertical="center"/>
    </xf>
    <xf numFmtId="0" fontId="0" fillId="3" borderId="23" xfId="0" quotePrefix="1" applyFill="1" applyBorder="1" applyAlignment="1">
      <alignment horizontal="left" vertical="center"/>
    </xf>
    <xf numFmtId="0" fontId="0" fillId="3" borderId="19" xfId="0" applyFill="1" applyBorder="1" applyAlignment="1">
      <alignment horizontal="left" vertical="center"/>
    </xf>
    <xf numFmtId="0" fontId="0" fillId="3" borderId="19" xfId="0" applyFill="1" applyBorder="1" applyAlignment="1">
      <alignment vertical="center"/>
    </xf>
    <xf numFmtId="164" fontId="0" fillId="3" borderId="25" xfId="0" applyNumberFormat="1" applyFill="1" applyBorder="1" applyAlignment="1">
      <alignment horizontal="right" vertical="center"/>
    </xf>
    <xf numFmtId="164" fontId="0" fillId="3" borderId="23" xfId="0" applyNumberFormat="1" applyFill="1" applyBorder="1" applyAlignment="1">
      <alignment horizontal="right" vertical="center"/>
    </xf>
    <xf numFmtId="164" fontId="0" fillId="3" borderId="16" xfId="0" applyNumberFormat="1" applyFill="1" applyBorder="1" applyAlignment="1">
      <alignment horizontal="right" vertical="center"/>
    </xf>
    <xf numFmtId="0" fontId="0" fillId="0" borderId="25" xfId="0" quotePrefix="1" applyBorder="1" applyAlignment="1">
      <alignment horizontal="left" vertical="center"/>
    </xf>
    <xf numFmtId="0" fontId="0" fillId="0" borderId="23" xfId="0" quotePrefix="1" applyBorder="1" applyAlignment="1">
      <alignment horizontal="left" vertical="center"/>
    </xf>
    <xf numFmtId="164" fontId="0" fillId="0" borderId="25" xfId="0" applyNumberFormat="1" applyBorder="1" applyAlignment="1">
      <alignment horizontal="right" vertical="center"/>
    </xf>
    <xf numFmtId="164" fontId="0" fillId="0" borderId="23" xfId="0" applyNumberFormat="1" applyBorder="1" applyAlignment="1">
      <alignment horizontal="right" vertical="center"/>
    </xf>
    <xf numFmtId="164" fontId="0" fillId="0" borderId="16" xfId="0" applyNumberFormat="1" applyBorder="1" applyAlignment="1">
      <alignment horizontal="right" vertical="center"/>
    </xf>
    <xf numFmtId="3" fontId="0" fillId="0" borderId="25" xfId="0" applyNumberFormat="1" applyBorder="1" applyAlignment="1">
      <alignment horizontal="right" vertical="center"/>
    </xf>
    <xf numFmtId="3" fontId="0" fillId="0" borderId="16" xfId="0" applyNumberFormat="1" applyBorder="1" applyAlignment="1">
      <alignment horizontal="right" vertical="center"/>
    </xf>
    <xf numFmtId="0" fontId="0" fillId="0" borderId="19" xfId="0" applyBorder="1" applyAlignment="1">
      <alignment horizontal="center"/>
    </xf>
    <xf numFmtId="0" fontId="0" fillId="0" borderId="20" xfId="0" applyBorder="1" applyAlignment="1">
      <alignment horizontal="left" vertical="center"/>
    </xf>
    <xf numFmtId="0" fontId="0" fillId="0" borderId="19" xfId="0" applyBorder="1" applyAlignment="1">
      <alignment horizontal="left" vertical="center"/>
    </xf>
    <xf numFmtId="0" fontId="0" fillId="0" borderId="15" xfId="0" applyBorder="1" applyAlignment="1">
      <alignment horizontal="left" vertical="center"/>
    </xf>
    <xf numFmtId="0" fontId="8" fillId="0" borderId="19" xfId="1" applyBorder="1" applyAlignment="1">
      <alignment vertical="center"/>
    </xf>
    <xf numFmtId="0" fontId="1" fillId="0" borderId="2" xfId="0" applyFont="1" applyBorder="1" applyAlignment="1">
      <alignment horizontal="left" vertical="center" wrapText="1"/>
    </xf>
    <xf numFmtId="0" fontId="0" fillId="0" borderId="19" xfId="0" applyBorder="1" applyAlignment="1"/>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tefano Pistolese" id="{F9F8A88C-EB1D-4F7A-8948-61BA772610BE}" userId="S::stefano.pistolese@undp.org::a561415f-6f58-4f47-821a-08ad5d654fc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3-11-14T00:24:52.08" personId="{F9F8A88C-EB1D-4F7A-8948-61BA772610BE}" id="{EB6D9F1D-1093-443D-9852-59A1AC744A33}">
    <text>Please select a category</text>
  </threadedComment>
  <threadedComment ref="G1" dT="2023-11-14T00:24:31.19" personId="{F9F8A88C-EB1D-4F7A-8948-61BA772610BE}" id="{DCF56ECC-FA71-46B4-8431-C6926AD78D1B}">
    <text>Please insert the baseline in terms of number of beneficiaires</text>
  </threadedComment>
  <threadedComment ref="H1" dT="2023-11-14T00:23:33.06" personId="{F9F8A88C-EB1D-4F7A-8948-61BA772610BE}" id="{936BA648-9D7A-44C5-A1B1-668994676C0D}">
    <text>Please insert the target in terms of number of beneficiaries target</text>
  </threadedComment>
  <threadedComment ref="I1" dT="2023-11-14T00:25:34.71" personId="{F9F8A88C-EB1D-4F7A-8948-61BA772610BE}" id="{F6E347AD-C5A2-4313-AAB4-029A64DA333D}">
    <text>Please provide any assumption or comments on how you estimate the number of beneficiaries</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3-11-14T00:24:52.08" personId="{F9F8A88C-EB1D-4F7A-8948-61BA772610BE}" id="{847EDF1A-059F-485E-B308-899AE379E984}">
    <text>Please select a category</text>
  </threadedComment>
  <threadedComment ref="G1" dT="2023-11-14T00:24:31.19" personId="{F9F8A88C-EB1D-4F7A-8948-61BA772610BE}" id="{84509177-62CC-46F1-9485-5ACEA26EF867}">
    <text>Please insert the baseline in terms of number of beneficiaires</text>
  </threadedComment>
  <threadedComment ref="H1" dT="2023-11-14T00:23:33.06" personId="{F9F8A88C-EB1D-4F7A-8948-61BA772610BE}" id="{7290C994-B72F-48C1-AD70-161A6BF1D8E0}">
    <text>Please insert the target in terms of number of beneficiaries target</text>
  </threadedComment>
  <threadedComment ref="I1" dT="2023-11-14T00:25:34.71" personId="{F9F8A88C-EB1D-4F7A-8948-61BA772610BE}" id="{CEE1B33D-8DDA-4116-A6CC-BB51E93271B1}">
    <text>Please provide any assumption or comments on how you estimate the number of beneficiaries</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3-11-14T00:24:52.08" personId="{F9F8A88C-EB1D-4F7A-8948-61BA772610BE}" id="{79F7E377-464B-4355-8E8B-CFFF8248A927}">
    <text>Please select a category</text>
  </threadedComment>
  <threadedComment ref="G1" dT="2023-11-14T00:24:31.19" personId="{F9F8A88C-EB1D-4F7A-8948-61BA772610BE}" id="{0F069FF2-52A0-451E-9BD7-35B668F0A119}">
    <text>Please insert the baseline in terms of number of beneficiaires</text>
  </threadedComment>
  <threadedComment ref="H1" dT="2023-11-14T00:23:33.06" personId="{F9F8A88C-EB1D-4F7A-8948-61BA772610BE}" id="{4186C70B-5858-4B55-AF8D-3B2912B099F8}">
    <text>Please insert the target in terms of number of beneficiaries target</text>
  </threadedComment>
  <threadedComment ref="I1" dT="2023-11-14T00:25:34.71" personId="{F9F8A88C-EB1D-4F7A-8948-61BA772610BE}" id="{3AE4744A-B021-44CC-BF20-99FED1F7E8C6}">
    <text>Please provide any assumption or comments on how you estimate the number of beneficiaries</text>
  </threadedComment>
</ThreadedComments>
</file>

<file path=xl/threadedComments/threadedComment4.xml><?xml version="1.0" encoding="utf-8"?>
<ThreadedComments xmlns="http://schemas.microsoft.com/office/spreadsheetml/2018/threadedcomments" xmlns:x="http://schemas.openxmlformats.org/spreadsheetml/2006/main">
  <threadedComment ref="E1" dT="2023-11-14T00:24:52.08" personId="{F9F8A88C-EB1D-4F7A-8948-61BA772610BE}" id="{C770F223-8A8B-42FA-9D91-BA1B0A4993EA}">
    <text>Please select a category</text>
  </threadedComment>
  <threadedComment ref="G1" dT="2023-11-14T00:24:31.19" personId="{F9F8A88C-EB1D-4F7A-8948-61BA772610BE}" id="{C0BF61DB-B43C-4CD2-A0BE-74248732DEF7}">
    <text>Please insert the baseline in terms of number of beneficiaires</text>
  </threadedComment>
  <threadedComment ref="H1" dT="2023-11-14T00:23:33.06" personId="{F9F8A88C-EB1D-4F7A-8948-61BA772610BE}" id="{C4BB2CCB-5C6B-47ED-91E8-F60C68E277EF}">
    <text>Please insert the target in terms of number of beneficiaries target</text>
  </threadedComment>
  <threadedComment ref="I1" dT="2023-11-14T00:25:34.71" personId="{F9F8A88C-EB1D-4F7A-8948-61BA772610BE}" id="{DF6CEAC2-5C0E-4508-9A40-1233D6B29A76}">
    <text>Please provide any assumption or comments on how you estimate the number of beneficiaries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undp.org/ukraine/projects/removing-barriers-increase-investment-energy-efficiency-public-buildings-ukraine-through-esco-modality-small-and-medium-sized" TargetMode="External"/><Relationship Id="rId2" Type="http://schemas.openxmlformats.org/officeDocument/2006/relationships/hyperlink" Target="https://www.undp.org/ukraine/press-releases/undp-and-japan-deliver-high-power-autotransformers-ukraine-ensure-unbroken-energy-supplies-over-half-million-people" TargetMode="External"/><Relationship Id="rId1" Type="http://schemas.openxmlformats.org/officeDocument/2006/relationships/hyperlink" Target="https://www.undp.org/ukraine/press-releases/japan-undp-deliver-equipment-secure-power-supply-over-55-million-ukrainians"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undp.org/ukraine/press-releases/undp-and-japan-deliver-high-power-autotransformers-ukraine-ensure-unbroken-energy-supplies-over-half-million-people" TargetMode="External"/><Relationship Id="rId7" Type="http://schemas.microsoft.com/office/2017/10/relationships/threadedComment" Target="../threadedComments/threadedComment2.xml"/><Relationship Id="rId2" Type="http://schemas.openxmlformats.org/officeDocument/2006/relationships/hyperlink" Target="https://eur03.safelinks.protection.outlook.com/?url=https%3A%2F%2Fwww.undp.org%2Fukraine%2Fpress-releases%2Fjapan-undp-deliver-equipment-secure-power-supply-over-55-million-ukrainians&amp;data=05%7C02%7Cmizuho.yokoi%40undp.org%7C06cc208c5ca94e82a91808dc11e3763c%7Cb3e5db5e2944483799f57488ace54319%7C0%7C0%7C638404916131622927%7CUnknown%7CTWFpbGZsb3d8eyJWIjoiMC4wLjAwMDAiLCJQIjoiV2luMzIiLCJBTiI6Ik1haWwiLCJXVCI6Mn0%3D%7C3000%7C%7C%7C&amp;sdata=3hJoKBUMxIM7a8jWhVdu%2FueNp3k%2BLIfJif31otC%2Fmfk%3D&amp;reserved=0" TargetMode="External"/><Relationship Id="rId1" Type="http://schemas.openxmlformats.org/officeDocument/2006/relationships/hyperlink" Target="http://open.undp.org/projects/00099918"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www.undp.org/ukraine/projects/removing-barriers-increase-investment-energy-efficiency-public-buildings-ukraine-through-esco-modality-small-and-medium-sized"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undp.org/ukraine/press-releases/undp-and-japan-deliver-high-power-autotransformers-ukraine-ensure-unbroken-energy-supplies-over-half-million-people" TargetMode="External"/><Relationship Id="rId7" Type="http://schemas.openxmlformats.org/officeDocument/2006/relationships/printerSettings" Target="../printerSettings/printerSettings1.bin"/><Relationship Id="rId2" Type="http://schemas.openxmlformats.org/officeDocument/2006/relationships/hyperlink" Target="https://eur03.safelinks.protection.outlook.com/?url=https%3A%2F%2Fwww.undp.org%2Fukraine%2Fpress-releases%2Fjapan-undp-deliver-equipment-secure-power-supply-over-55-million-ukrainians&amp;data=05%7C02%7Cmizuho.yokoi%40undp.org%7C06cc208c5ca94e82a91808dc11e3763c%7Cb3e5db5e2944483799f57488ace54319%7C0%7C0%7C638404916131622927%7CUnknown%7CTWFpbGZsb3d8eyJWIjoiMC4wLjAwMDAiLCJQIjoiV2luMzIiLCJBTiI6Ik1haWwiLCJXVCI6Mn0%3D%7C3000%7C%7C%7C&amp;sdata=3hJoKBUMxIM7a8jWhVdu%2FueNp3k%2BLIfJif31otC%2Fmfk%3D&amp;reserved=0" TargetMode="External"/><Relationship Id="rId1" Type="http://schemas.openxmlformats.org/officeDocument/2006/relationships/hyperlink" Target="http://open.undp.org/projects/00099918" TargetMode="External"/><Relationship Id="rId6" Type="http://schemas.openxmlformats.org/officeDocument/2006/relationships/hyperlink" Target="https://www.undp.org/ukraine/press-releases/gas-piston-cogeneration-units-delivered-odesa-undp-cover-45-citys-energy-needs-water-heating-and-sewage-services&#160;" TargetMode="External"/><Relationship Id="rId5" Type="http://schemas.openxmlformats.org/officeDocument/2006/relationships/hyperlink" Target="https://open.undp.org/projects/00147472" TargetMode="External"/><Relationship Id="rId10" Type="http://schemas.microsoft.com/office/2017/10/relationships/threadedComment" Target="../threadedComments/threadedComment3.xml"/><Relationship Id="rId4" Type="http://schemas.openxmlformats.org/officeDocument/2006/relationships/hyperlink" Target="https://co.pims.undp.org/project/view?id=4114" TargetMode="External"/><Relationship Id="rId9"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s://www.undp.org/ukraine/press-releases/undp-and-japan-deliver-high-power-autotransformers-ukraine-ensure-unbroken-energy-supplies-over-half-million-people" TargetMode="External"/><Relationship Id="rId7" Type="http://schemas.openxmlformats.org/officeDocument/2006/relationships/vmlDrawing" Target="../drawings/vmlDrawing4.vml"/><Relationship Id="rId2" Type="http://schemas.openxmlformats.org/officeDocument/2006/relationships/hyperlink" Target="https://eur03.safelinks.protection.outlook.com/?url=https%3A%2F%2Fwww.undp.org%2Fukraine%2Fpress-releases%2Fjapan-undp-deliver-equipment-secure-power-supply-over-55-million-ukrainians&amp;data=05%7C02%7Cmizuho.yokoi%40undp.org%7C06cc208c5ca94e82a91808dc11e3763c%7Cb3e5db5e2944483799f57488ace54319%7C0%7C0%7C638404916131622927%7CUnknown%7CTWFpbGZsb3d8eyJWIjoiMC4wLjAwMDAiLCJQIjoiV2luMzIiLCJBTiI6Ik1haWwiLCJXVCI6Mn0%3D%7C3000%7C%7C%7C&amp;sdata=3hJoKBUMxIM7a8jWhVdu%2FueNp3k%2BLIfJif31otC%2Fmfk%3D&amp;reserved=0" TargetMode="External"/><Relationship Id="rId1" Type="http://schemas.openxmlformats.org/officeDocument/2006/relationships/hyperlink" Target="http://open.undp.org/projects/00099918" TargetMode="External"/><Relationship Id="rId6" Type="http://schemas.openxmlformats.org/officeDocument/2006/relationships/hyperlink" Target="https://eur03.safelinks.protection.outlook.com/?url=https%3A%2F%2Fwww.undp.org%2Fukraine%2Fpress-releases%2Fgas-piston-cogeneration-units-delivered-odesa-undp-cover-45-citys-energy-needs-water-heating-and-sewage-services&amp;data=05%7C02%7Canastasia.vuico%40undp.org%7Ca6d3e8e372a545c0c69408dcfe78611e%7Cb3e5db5e2944483799f57488ace54319%7C0%7C0%7C638665040179803709%7CUnknown%7CTWFpbGZsb3d8eyJFbXB0eU1hcGkiOnRydWUsIlYiOiIwLjAuMDAwMCIsIlAiOiJXaW4zMiIsIkFOIjoiTWFpbCIsIldUIjoyfQ%3D%3D%7C0%7C%7C%7C&amp;sdata=PwJUlhrckHFI03h4vkxnb0FfRTUMeJeA5xWtMOq4ZJw%3D&amp;reserved=0" TargetMode="External"/><Relationship Id="rId5" Type="http://schemas.openxmlformats.org/officeDocument/2006/relationships/hyperlink" Target="https://www.undp.org/ukraine/projects/green-energy-recovery-programme-ukraine" TargetMode="External"/><Relationship Id="rId4" Type="http://schemas.openxmlformats.org/officeDocument/2006/relationships/hyperlink" Target="https://co.pims.undp.org/project/view?id=4114" TargetMode="External"/><Relationship Id="rId9"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D416-537C-4C13-B214-8A7154AE5505}">
  <dimension ref="A1:W23"/>
  <sheetViews>
    <sheetView tabSelected="1" zoomScaleNormal="100" workbookViewId="0">
      <pane xSplit="1" ySplit="1" topLeftCell="B2" activePane="bottomRight" state="frozen"/>
      <selection pane="bottomRight" activeCell="C4" sqref="C4"/>
      <selection pane="bottomLeft" activeCell="A2" sqref="A2"/>
      <selection pane="topRight" activeCell="B1" sqref="B1"/>
    </sheetView>
  </sheetViews>
  <sheetFormatPr defaultRowHeight="15"/>
  <cols>
    <col min="1" max="1" width="10.85546875" customWidth="1"/>
    <col min="2" max="2" width="32.42578125" customWidth="1"/>
    <col min="3" max="3" width="29.5703125" customWidth="1"/>
    <col min="4" max="4" width="50.140625" style="113" customWidth="1"/>
    <col min="5" max="5" width="30.7109375" customWidth="1"/>
    <col min="6" max="6" width="18" customWidth="1"/>
    <col min="7" max="7" width="14.7109375" customWidth="1"/>
    <col min="8" max="8" width="13.28515625" customWidth="1"/>
    <col min="9" max="9" width="43.7109375" customWidth="1"/>
    <col min="10" max="10" width="14.5703125" style="46" customWidth="1"/>
    <col min="11" max="11" width="16.140625" customWidth="1"/>
    <col min="12" max="12" width="17.28515625" customWidth="1"/>
    <col min="13" max="13" width="9.140625" bestFit="1" customWidth="1"/>
    <col min="14" max="14" width="18.28515625" customWidth="1"/>
    <col min="15" max="15" width="17.7109375" customWidth="1"/>
    <col min="16" max="16" width="9.140625" bestFit="1" customWidth="1"/>
    <col min="17" max="17" width="19.42578125" customWidth="1"/>
    <col min="18" max="18" width="19" customWidth="1"/>
    <col min="19" max="19" width="9.140625" bestFit="1" customWidth="1"/>
    <col min="20" max="20" width="26" customWidth="1"/>
  </cols>
  <sheetData>
    <row r="1" spans="1:23">
      <c r="A1" s="30" t="s">
        <v>0</v>
      </c>
      <c r="B1" s="31" t="s">
        <v>1</v>
      </c>
      <c r="C1" s="35" t="s">
        <v>2</v>
      </c>
      <c r="D1" s="127" t="s">
        <v>3</v>
      </c>
      <c r="E1" s="34" t="s">
        <v>4</v>
      </c>
      <c r="F1" s="1" t="s">
        <v>5</v>
      </c>
      <c r="G1" s="1" t="s">
        <v>6</v>
      </c>
      <c r="H1" s="1" t="s">
        <v>7</v>
      </c>
      <c r="I1" s="1" t="s">
        <v>8</v>
      </c>
      <c r="J1" s="50" t="s">
        <v>9</v>
      </c>
      <c r="K1" s="42" t="s">
        <v>10</v>
      </c>
      <c r="L1" s="8" t="s">
        <v>11</v>
      </c>
      <c r="M1" s="9" t="s">
        <v>12</v>
      </c>
      <c r="N1" s="8" t="s">
        <v>13</v>
      </c>
      <c r="O1" s="8" t="s">
        <v>14</v>
      </c>
      <c r="P1" s="9" t="s">
        <v>15</v>
      </c>
      <c r="Q1" s="9" t="s">
        <v>16</v>
      </c>
      <c r="R1" s="10" t="s">
        <v>17</v>
      </c>
      <c r="S1" s="11" t="s">
        <v>18</v>
      </c>
      <c r="T1" s="10" t="s">
        <v>19</v>
      </c>
      <c r="U1" s="11" t="s">
        <v>20</v>
      </c>
    </row>
    <row r="2" spans="1:23" s="101" customFormat="1" ht="129.75" customHeight="1">
      <c r="A2" s="124" t="s">
        <v>21</v>
      </c>
      <c r="B2" s="29" t="s">
        <v>22</v>
      </c>
      <c r="C2" s="98" t="s">
        <v>23</v>
      </c>
      <c r="D2" s="129">
        <v>5480000</v>
      </c>
      <c r="E2" s="97" t="s">
        <v>24</v>
      </c>
      <c r="F2" s="65" t="s">
        <v>25</v>
      </c>
      <c r="G2" s="97">
        <v>0</v>
      </c>
      <c r="H2" s="99">
        <v>30204</v>
      </c>
      <c r="I2" s="100" t="s">
        <v>26</v>
      </c>
      <c r="J2" s="100" t="s">
        <v>27</v>
      </c>
      <c r="K2" s="97">
        <v>63</v>
      </c>
      <c r="L2" s="18" t="s">
        <v>28</v>
      </c>
      <c r="M2" s="19" t="s">
        <v>29</v>
      </c>
      <c r="N2" s="20" t="s">
        <v>30</v>
      </c>
      <c r="O2" s="19" t="s">
        <v>31</v>
      </c>
      <c r="P2" s="19"/>
      <c r="Q2" s="19"/>
      <c r="R2" s="19" t="s">
        <v>31</v>
      </c>
      <c r="S2" s="21" t="s">
        <v>32</v>
      </c>
      <c r="T2" s="19" t="s">
        <v>33</v>
      </c>
      <c r="U2" s="21"/>
      <c r="W2" s="102" t="s">
        <v>34</v>
      </c>
    </row>
    <row r="3" spans="1:23">
      <c r="A3" s="156" t="s">
        <v>35</v>
      </c>
      <c r="B3" s="159" t="s">
        <v>36</v>
      </c>
      <c r="C3" s="109" t="s">
        <v>37</v>
      </c>
      <c r="D3" s="162">
        <v>40000000</v>
      </c>
      <c r="E3" s="149" t="s">
        <v>38</v>
      </c>
      <c r="F3" s="32" t="s">
        <v>25</v>
      </c>
      <c r="G3">
        <v>0</v>
      </c>
      <c r="H3" s="36">
        <v>1000000</v>
      </c>
      <c r="I3" s="40" t="s">
        <v>39</v>
      </c>
      <c r="J3" s="165" t="s">
        <v>40</v>
      </c>
      <c r="K3">
        <v>50</v>
      </c>
      <c r="L3" s="12" t="s">
        <v>41</v>
      </c>
      <c r="M3" s="13"/>
      <c r="N3" s="14"/>
      <c r="O3" s="13"/>
      <c r="P3" s="13"/>
      <c r="Q3" s="13"/>
      <c r="R3" s="13"/>
      <c r="S3" s="15"/>
      <c r="T3" s="13"/>
      <c r="U3" s="15"/>
      <c r="W3" s="110"/>
    </row>
    <row r="4" spans="1:23">
      <c r="A4" s="157"/>
      <c r="B4" s="160"/>
      <c r="C4" s="196" t="s">
        <v>42</v>
      </c>
      <c r="D4" s="163"/>
      <c r="E4" s="65" t="s">
        <v>38</v>
      </c>
      <c r="F4" s="32" t="s">
        <v>25</v>
      </c>
      <c r="G4">
        <v>0</v>
      </c>
      <c r="H4" s="36">
        <v>1500000</v>
      </c>
      <c r="I4" s="40" t="s">
        <v>43</v>
      </c>
      <c r="J4" s="166"/>
      <c r="K4">
        <v>50</v>
      </c>
      <c r="L4" s="12"/>
      <c r="M4" s="13"/>
      <c r="N4" s="14"/>
      <c r="O4" s="13"/>
      <c r="P4" s="13"/>
      <c r="Q4" s="13"/>
      <c r="R4" s="13"/>
      <c r="S4" s="15"/>
      <c r="T4" s="13"/>
      <c r="U4" s="15"/>
      <c r="W4" s="110"/>
    </row>
    <row r="5" spans="1:23">
      <c r="A5" s="158"/>
      <c r="B5" s="161"/>
      <c r="C5" s="29"/>
      <c r="D5" s="164"/>
      <c r="E5" s="29" t="s">
        <v>38</v>
      </c>
      <c r="F5" s="33" t="s">
        <v>25</v>
      </c>
      <c r="G5" s="16">
        <v>0</v>
      </c>
      <c r="H5" s="37">
        <v>1500000</v>
      </c>
      <c r="I5" s="41" t="s">
        <v>44</v>
      </c>
      <c r="J5" s="167"/>
      <c r="K5" s="16">
        <v>50</v>
      </c>
      <c r="L5" s="18"/>
      <c r="M5" s="19"/>
      <c r="N5" s="20"/>
      <c r="O5" s="19"/>
      <c r="P5" s="19"/>
      <c r="Q5" s="19"/>
      <c r="R5" s="19"/>
      <c r="S5" s="21"/>
      <c r="T5" s="19"/>
      <c r="U5" s="21"/>
      <c r="W5" s="110"/>
    </row>
    <row r="6" spans="1:23" ht="361.5" customHeight="1">
      <c r="A6" s="95">
        <v>134106</v>
      </c>
      <c r="B6" s="96" t="s">
        <v>45</v>
      </c>
      <c r="C6" s="96" t="s">
        <v>46</v>
      </c>
      <c r="D6" s="131">
        <v>64600000</v>
      </c>
      <c r="E6" s="83" t="s">
        <v>38</v>
      </c>
      <c r="F6" s="83" t="s">
        <v>47</v>
      </c>
      <c r="G6" s="83">
        <v>0</v>
      </c>
      <c r="H6" s="150">
        <v>2600000</v>
      </c>
      <c r="I6" s="94" t="s">
        <v>48</v>
      </c>
      <c r="J6" s="58" t="s">
        <v>40</v>
      </c>
      <c r="K6" s="54">
        <v>50</v>
      </c>
      <c r="L6" s="54" t="s">
        <v>41</v>
      </c>
      <c r="M6" s="54"/>
      <c r="N6" s="54"/>
      <c r="O6" s="54"/>
      <c r="P6" s="54"/>
      <c r="Q6" s="54"/>
      <c r="R6" s="54"/>
      <c r="S6" s="54"/>
      <c r="T6" s="54"/>
      <c r="U6" s="54"/>
    </row>
    <row r="7" spans="1:23" ht="60.75">
      <c r="A7" s="95"/>
      <c r="B7" s="111"/>
      <c r="C7" s="107"/>
      <c r="D7" s="112">
        <v>16700000</v>
      </c>
      <c r="E7" s="83" t="s">
        <v>38</v>
      </c>
      <c r="F7" s="83" t="s">
        <v>47</v>
      </c>
      <c r="G7" s="83">
        <v>0</v>
      </c>
      <c r="H7" s="87">
        <v>450000</v>
      </c>
      <c r="I7" s="88" t="s">
        <v>49</v>
      </c>
      <c r="J7" s="58" t="s">
        <v>50</v>
      </c>
      <c r="K7" s="54">
        <v>50</v>
      </c>
      <c r="L7" s="54" t="s">
        <v>41</v>
      </c>
      <c r="M7" s="54"/>
      <c r="N7" s="54"/>
      <c r="O7" s="54"/>
      <c r="P7" s="54"/>
      <c r="Q7" s="54"/>
      <c r="R7" s="54"/>
      <c r="S7" s="54"/>
      <c r="T7" s="54"/>
      <c r="U7" s="54"/>
    </row>
    <row r="8" spans="1:23" ht="60" customHeight="1">
      <c r="A8" s="95"/>
      <c r="B8" s="111"/>
      <c r="C8" s="95"/>
      <c r="D8" s="112">
        <v>63352000</v>
      </c>
      <c r="E8" s="83" t="s">
        <v>38</v>
      </c>
      <c r="F8" s="83" t="s">
        <v>47</v>
      </c>
      <c r="G8" s="83">
        <v>0</v>
      </c>
      <c r="H8" s="87">
        <v>900955</v>
      </c>
      <c r="I8" s="90" t="s">
        <v>51</v>
      </c>
      <c r="J8" s="58" t="s">
        <v>52</v>
      </c>
      <c r="K8" s="54">
        <v>50</v>
      </c>
      <c r="L8" s="54" t="s">
        <v>41</v>
      </c>
      <c r="M8" s="54"/>
      <c r="N8" s="54"/>
      <c r="O8" s="54"/>
      <c r="P8" s="54"/>
      <c r="Q8" s="54"/>
      <c r="R8" s="54"/>
      <c r="S8" s="54"/>
      <c r="T8" s="54"/>
      <c r="U8" s="54"/>
    </row>
    <row r="9" spans="1:23" ht="60.75">
      <c r="A9" s="95"/>
      <c r="B9" s="111"/>
      <c r="C9" s="95"/>
      <c r="D9" s="112">
        <f>11915000+5164000+16500000+11000000</f>
        <v>44579000</v>
      </c>
      <c r="E9" s="83" t="s">
        <v>38</v>
      </c>
      <c r="F9" s="83" t="s">
        <v>47</v>
      </c>
      <c r="G9" s="83">
        <v>0</v>
      </c>
      <c r="H9" s="87">
        <v>630000</v>
      </c>
      <c r="I9" s="92" t="s">
        <v>53</v>
      </c>
      <c r="J9" s="58" t="s">
        <v>54</v>
      </c>
      <c r="K9" s="54">
        <v>50</v>
      </c>
      <c r="L9" s="54" t="s">
        <v>41</v>
      </c>
      <c r="M9" s="54"/>
      <c r="N9" s="54"/>
      <c r="O9" s="54"/>
      <c r="P9" s="54"/>
      <c r="Q9" s="54"/>
      <c r="R9" s="54"/>
      <c r="S9" s="54"/>
      <c r="T9" s="54"/>
      <c r="U9" s="54"/>
    </row>
    <row r="10" spans="1:23" ht="30.75">
      <c r="A10" s="95"/>
      <c r="B10" s="111"/>
      <c r="C10" s="95"/>
      <c r="D10" s="112">
        <v>16500000</v>
      </c>
      <c r="E10" s="83" t="s">
        <v>38</v>
      </c>
      <c r="F10" s="83" t="s">
        <v>25</v>
      </c>
      <c r="G10" s="83">
        <v>0</v>
      </c>
      <c r="H10" s="130">
        <v>0</v>
      </c>
      <c r="I10" s="90" t="s">
        <v>55</v>
      </c>
      <c r="J10" s="58" t="s">
        <v>56</v>
      </c>
      <c r="K10" s="54">
        <v>50</v>
      </c>
      <c r="L10" s="54" t="s">
        <v>41</v>
      </c>
      <c r="M10" s="54"/>
      <c r="N10" s="54"/>
      <c r="O10" s="54"/>
      <c r="P10" s="54"/>
      <c r="Q10" s="54"/>
      <c r="R10" s="54"/>
      <c r="S10" s="54"/>
      <c r="T10" s="54"/>
      <c r="U10" s="54"/>
    </row>
    <row r="11" spans="1:23" ht="70.5" customHeight="1">
      <c r="A11" s="95"/>
      <c r="B11" s="111"/>
      <c r="C11" s="95"/>
      <c r="D11" s="112">
        <v>6119665.5300000003</v>
      </c>
      <c r="E11" s="83" t="s">
        <v>38</v>
      </c>
      <c r="F11" s="83" t="s">
        <v>47</v>
      </c>
      <c r="G11" s="83">
        <v>0</v>
      </c>
      <c r="H11" s="87">
        <v>95800</v>
      </c>
      <c r="I11" s="90" t="s">
        <v>57</v>
      </c>
      <c r="J11" s="58" t="s">
        <v>58</v>
      </c>
      <c r="K11" s="54">
        <v>50</v>
      </c>
      <c r="L11" s="54" t="s">
        <v>41</v>
      </c>
      <c r="M11" s="54"/>
      <c r="N11" s="54"/>
      <c r="O11" s="54"/>
      <c r="P11" s="54"/>
      <c r="Q11" s="54"/>
      <c r="R11" s="54"/>
      <c r="S11" s="54"/>
      <c r="T11" s="54"/>
      <c r="U11" s="54"/>
    </row>
    <row r="12" spans="1:23" ht="76.5">
      <c r="A12" s="95"/>
      <c r="B12" s="111"/>
      <c r="C12" s="95"/>
      <c r="D12" s="112">
        <v>5000000</v>
      </c>
      <c r="E12" s="83" t="s">
        <v>59</v>
      </c>
      <c r="F12" s="86" t="s">
        <v>60</v>
      </c>
      <c r="G12" s="83">
        <v>0</v>
      </c>
      <c r="H12" s="89">
        <v>1</v>
      </c>
      <c r="I12" s="86" t="s">
        <v>61</v>
      </c>
      <c r="J12" s="58" t="s">
        <v>52</v>
      </c>
      <c r="K12" s="54">
        <v>50</v>
      </c>
      <c r="L12" s="54" t="s">
        <v>41</v>
      </c>
      <c r="M12" s="54"/>
      <c r="N12" s="54"/>
      <c r="O12" s="54"/>
      <c r="P12" s="54"/>
      <c r="Q12" s="54"/>
      <c r="R12" s="54"/>
      <c r="S12" s="54" t="s">
        <v>32</v>
      </c>
      <c r="T12" s="54"/>
      <c r="U12" s="54"/>
    </row>
    <row r="13" spans="1:23" ht="91.5">
      <c r="A13" s="95"/>
      <c r="B13" s="111"/>
      <c r="C13" s="95"/>
      <c r="D13" s="112">
        <v>1220931.3999999999</v>
      </c>
      <c r="E13" s="83" t="s">
        <v>62</v>
      </c>
      <c r="F13" s="86" t="s">
        <v>63</v>
      </c>
      <c r="G13" s="83">
        <v>0</v>
      </c>
      <c r="H13" s="155" t="s">
        <v>64</v>
      </c>
      <c r="I13" s="86" t="s">
        <v>65</v>
      </c>
      <c r="J13" s="58" t="s">
        <v>66</v>
      </c>
      <c r="K13" s="54">
        <v>50</v>
      </c>
      <c r="L13" s="54" t="s">
        <v>41</v>
      </c>
      <c r="M13" s="54"/>
      <c r="N13" s="54"/>
      <c r="O13" s="54"/>
      <c r="P13" s="54"/>
      <c r="Q13" s="54"/>
      <c r="R13" s="54"/>
      <c r="S13" s="54"/>
      <c r="T13" s="54"/>
      <c r="U13" s="54"/>
    </row>
    <row r="14" spans="1:23" ht="60.75">
      <c r="A14" s="116"/>
      <c r="B14" s="117"/>
      <c r="C14" s="116"/>
      <c r="D14" s="114">
        <v>10400000</v>
      </c>
      <c r="E14" s="83" t="s">
        <v>67</v>
      </c>
      <c r="F14" s="83" t="s">
        <v>47</v>
      </c>
      <c r="G14" s="118">
        <v>0</v>
      </c>
      <c r="H14" s="151">
        <v>14</v>
      </c>
      <c r="I14" s="120" t="s">
        <v>68</v>
      </c>
      <c r="J14" s="58" t="s">
        <v>69</v>
      </c>
      <c r="K14" s="54">
        <v>50</v>
      </c>
      <c r="L14" s="54" t="s">
        <v>41</v>
      </c>
      <c r="M14" s="122"/>
      <c r="N14" s="122"/>
      <c r="O14" s="122"/>
      <c r="P14" s="122"/>
      <c r="Q14" s="122"/>
      <c r="R14" s="122"/>
      <c r="S14" s="122"/>
      <c r="T14" s="122"/>
      <c r="U14" s="122"/>
    </row>
    <row r="15" spans="1:23" ht="30.75">
      <c r="A15" s="95"/>
      <c r="B15" s="111"/>
      <c r="C15" s="95"/>
      <c r="D15" s="115">
        <v>15882409.9</v>
      </c>
      <c r="E15" s="83" t="s">
        <v>67</v>
      </c>
      <c r="F15" s="83" t="s">
        <v>47</v>
      </c>
      <c r="G15" s="118">
        <v>0</v>
      </c>
      <c r="H15" s="152">
        <v>40</v>
      </c>
      <c r="I15" s="86" t="s">
        <v>70</v>
      </c>
      <c r="J15" s="123" t="s">
        <v>52</v>
      </c>
      <c r="K15" s="54">
        <v>50</v>
      </c>
      <c r="L15" s="54" t="s">
        <v>41</v>
      </c>
      <c r="M15" s="122"/>
      <c r="N15" s="122"/>
      <c r="O15" s="122"/>
      <c r="P15" s="122"/>
      <c r="Q15" s="122"/>
      <c r="R15" s="122"/>
      <c r="S15" s="122"/>
      <c r="T15" s="122"/>
      <c r="U15" s="122"/>
    </row>
    <row r="16" spans="1:23">
      <c r="A16" s="139"/>
      <c r="B16" s="140"/>
      <c r="C16" s="141"/>
      <c r="D16" s="144">
        <v>17280000</v>
      </c>
      <c r="E16" s="83" t="s">
        <v>67</v>
      </c>
      <c r="F16" s="83" t="s">
        <v>47</v>
      </c>
      <c r="G16" s="83">
        <v>0</v>
      </c>
      <c r="H16" s="153">
        <v>12</v>
      </c>
      <c r="I16" s="143" t="s">
        <v>71</v>
      </c>
      <c r="J16" s="58" t="s">
        <v>72</v>
      </c>
      <c r="K16" s="54">
        <v>50</v>
      </c>
      <c r="L16" s="54" t="s">
        <v>41</v>
      </c>
      <c r="M16" s="122"/>
      <c r="N16" s="122"/>
      <c r="O16" s="122"/>
      <c r="P16" s="122"/>
      <c r="Q16" s="122"/>
      <c r="R16" s="122"/>
      <c r="S16" s="122"/>
      <c r="T16" s="122"/>
      <c r="U16" s="122"/>
    </row>
    <row r="17" spans="1:21" ht="91.5">
      <c r="A17" s="116"/>
      <c r="B17" s="117"/>
      <c r="C17" s="116"/>
      <c r="D17" s="138">
        <v>1000000</v>
      </c>
      <c r="E17" s="142" t="s">
        <v>62</v>
      </c>
      <c r="F17" s="142" t="s">
        <v>25</v>
      </c>
      <c r="G17" s="142">
        <v>0</v>
      </c>
      <c r="H17" s="119">
        <v>35800000</v>
      </c>
      <c r="I17" s="120" t="s">
        <v>73</v>
      </c>
      <c r="J17" s="58" t="s">
        <v>66</v>
      </c>
      <c r="K17" s="54">
        <v>50</v>
      </c>
      <c r="L17" s="54" t="s">
        <v>41</v>
      </c>
      <c r="M17" s="122"/>
      <c r="N17" s="122"/>
      <c r="O17" s="122"/>
      <c r="P17" s="122"/>
      <c r="Q17" s="122"/>
      <c r="R17" s="122"/>
      <c r="S17" s="122"/>
      <c r="T17" s="122"/>
      <c r="U17" s="122"/>
    </row>
    <row r="18" spans="1:21" ht="76.5">
      <c r="A18" s="122">
        <v>1003605</v>
      </c>
      <c r="B18" s="146" t="s">
        <v>74</v>
      </c>
      <c r="C18" s="122"/>
      <c r="D18" s="147">
        <f>6772151.9+241257.912</f>
        <v>7013409.8120000008</v>
      </c>
      <c r="E18" s="122" t="s">
        <v>67</v>
      </c>
      <c r="F18" s="122" t="s">
        <v>47</v>
      </c>
      <c r="G18" s="122">
        <v>0</v>
      </c>
      <c r="H18" s="154">
        <v>6.5</v>
      </c>
      <c r="I18" s="146" t="s">
        <v>75</v>
      </c>
      <c r="J18" s="46" t="s">
        <v>76</v>
      </c>
      <c r="K18" s="122">
        <v>50</v>
      </c>
      <c r="L18" s="125" t="s">
        <v>41</v>
      </c>
      <c r="M18" s="54"/>
      <c r="N18" s="54"/>
      <c r="O18" s="54"/>
      <c r="P18" s="54"/>
      <c r="Q18" s="54"/>
      <c r="R18" s="54"/>
      <c r="S18" s="54"/>
      <c r="T18" s="54"/>
      <c r="U18" s="54"/>
    </row>
    <row r="19" spans="1:21" ht="76.5">
      <c r="A19" s="122"/>
      <c r="B19" s="122"/>
      <c r="C19" s="122"/>
      <c r="D19" s="147">
        <f>1244756.78+241257.912</f>
        <v>1486014.692</v>
      </c>
      <c r="E19" s="122" t="s">
        <v>67</v>
      </c>
      <c r="F19" s="122" t="s">
        <v>47</v>
      </c>
      <c r="G19" s="122">
        <v>0</v>
      </c>
      <c r="H19" s="147">
        <v>0.5</v>
      </c>
      <c r="I19" s="146" t="s">
        <v>77</v>
      </c>
      <c r="J19" s="58" t="s">
        <v>76</v>
      </c>
      <c r="K19" s="54">
        <v>50</v>
      </c>
      <c r="L19" s="126" t="s">
        <v>41</v>
      </c>
      <c r="M19" s="54"/>
      <c r="N19" s="54"/>
      <c r="O19" s="54"/>
      <c r="P19" s="54"/>
      <c r="Q19" s="54"/>
      <c r="R19" s="54"/>
      <c r="S19" s="54"/>
      <c r="T19" s="54"/>
      <c r="U19" s="54"/>
    </row>
    <row r="20" spans="1:21" ht="45.75">
      <c r="A20" s="122"/>
      <c r="B20" s="122"/>
      <c r="C20" s="122"/>
      <c r="D20" s="147">
        <f>7543903.56+241257.912</f>
        <v>7785161.4719999991</v>
      </c>
      <c r="E20" s="122" t="s">
        <v>67</v>
      </c>
      <c r="F20" s="122" t="s">
        <v>47</v>
      </c>
      <c r="G20" s="122">
        <v>0</v>
      </c>
      <c r="H20" s="154">
        <v>10.199999999999999</v>
      </c>
      <c r="I20" s="146" t="s">
        <v>78</v>
      </c>
      <c r="J20" s="133" t="s">
        <v>76</v>
      </c>
      <c r="K20" s="122">
        <v>50</v>
      </c>
      <c r="L20" s="125" t="s">
        <v>41</v>
      </c>
      <c r="M20" s="54"/>
      <c r="N20" s="54"/>
      <c r="O20" s="54"/>
      <c r="P20" s="54"/>
      <c r="Q20" s="54"/>
      <c r="R20" s="54"/>
      <c r="S20" s="54"/>
      <c r="T20" s="54"/>
      <c r="U20" s="54"/>
    </row>
    <row r="21" spans="1:21" ht="45.75">
      <c r="A21" s="126"/>
      <c r="B21" s="54"/>
      <c r="C21" s="54"/>
      <c r="D21" s="148">
        <f>4571202.53+241257.912</f>
        <v>4812460.4419999998</v>
      </c>
      <c r="E21" s="197" t="s">
        <v>79</v>
      </c>
      <c r="F21" s="54" t="s">
        <v>25</v>
      </c>
      <c r="G21" s="54">
        <v>0</v>
      </c>
      <c r="H21" s="148">
        <v>1000000</v>
      </c>
      <c r="I21" s="58" t="s">
        <v>80</v>
      </c>
      <c r="J21" s="58" t="s">
        <v>76</v>
      </c>
      <c r="K21" s="54">
        <v>50</v>
      </c>
      <c r="L21" s="54" t="s">
        <v>41</v>
      </c>
      <c r="M21" s="134"/>
      <c r="N21" s="122"/>
      <c r="O21" s="122"/>
      <c r="P21" s="122"/>
      <c r="Q21" s="122"/>
      <c r="R21" s="122"/>
      <c r="S21" s="122"/>
      <c r="T21" s="122"/>
      <c r="U21" s="122"/>
    </row>
    <row r="22" spans="1:21">
      <c r="A22" s="136"/>
      <c r="B22" s="136"/>
      <c r="C22" s="136"/>
      <c r="D22" s="137"/>
      <c r="M22" s="132"/>
      <c r="N22" s="54"/>
      <c r="O22" s="54"/>
      <c r="P22" s="54"/>
      <c r="Q22" s="54"/>
      <c r="R22" s="54"/>
      <c r="S22" s="54"/>
      <c r="T22" s="54"/>
      <c r="U22" s="54"/>
    </row>
    <row r="23" spans="1:21">
      <c r="A23" s="136"/>
      <c r="B23" s="136"/>
      <c r="C23" s="136"/>
      <c r="D23" s="137"/>
    </row>
  </sheetData>
  <mergeCells count="4">
    <mergeCell ref="A3:A5"/>
    <mergeCell ref="B3:B5"/>
    <mergeCell ref="D3:D5"/>
    <mergeCell ref="J3:J5"/>
  </mergeCells>
  <dataValidations count="9">
    <dataValidation type="list" allowBlank="1" showInputMessage="1" showErrorMessage="1" sqref="Q2:Q5" xr:uid="{B9CE223C-D920-4AE0-86A8-D3E8C7727CD1}">
      <formula1>"NDC Support, National Strategy, Legal Framework,Incentives and Support, Government Capacity-Building, Carbon Pricing and Monitoring, Financing Model, Business Model"</formula1>
    </dataValidation>
    <dataValidation type="list" allowBlank="1" showInputMessage="1" showErrorMessage="1" sqref="N2:N5" xr:uid="{3DFE4CFC-0315-4A49-A152-BD07F131B90F}">
      <formula1>"Accelerating just energy transition, Close the gap on energy access, Scale up energy finance"</formula1>
    </dataValidation>
    <dataValidation type="list" allowBlank="1" showInputMessage="1" showErrorMessage="1" sqref="O2:O5" xr:uid="{16628657-E224-4BD2-99C4-F79346AF8521}">
      <formula1>"Electricity Access, Energy Efficiency, Clean Cooking, Renewable Energy, Overall"</formula1>
    </dataValidation>
    <dataValidation type="list" allowBlank="1" showInputMessage="1" showErrorMessage="1" sqref="M2:M5" xr:uid="{7B796153-E3F7-427B-94AD-2AADAF309E51}">
      <formula1>"Finance, Gender, Efficiency, Just, Health"</formula1>
    </dataValidation>
    <dataValidation type="list" allowBlank="1" showInputMessage="1" showErrorMessage="1" sqref="T2:T5" xr:uid="{78A97FFD-D681-4BE4-8441-9D36C7ADAF80}">
      <formula1>"National, Regional, City, Community"</formula1>
    </dataValidation>
    <dataValidation type="list" allowBlank="1" showInputMessage="1" showErrorMessage="1" sqref="P2:P5" xr:uid="{BF8B553D-D756-40EC-9373-D871CEACD29F}">
      <formula1>"AMP, PUDC, Solar4Health, Action Opportunities, Italy UNDP Energy Partnership"</formula1>
    </dataValidation>
    <dataValidation type="list" allowBlank="1" showInputMessage="1" showErrorMessage="1" sqref="L2:L5" xr:uid="{AFC8DD14-6B8A-4766-839A-9C12BBDA4019}">
      <formula1>"Non-VF, VF"</formula1>
    </dataValidation>
    <dataValidation type="list" allowBlank="1" showInputMessage="1" showErrorMessage="1" sqref="R2:R5" xr:uid="{1DEE34A2-BDC6-4D6D-88AD-0FB2AD930E7A}">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5" xr:uid="{498F53CD-B01E-4861-8FBF-956C2417968A}">
      <formula1>"Solar, Wind, Bioenergy, Hydro, Geothermal, Waste, Some Sources, Other, Unknown"</formula1>
    </dataValidation>
  </dataValidations>
  <hyperlinks>
    <hyperlink ref="C4" r:id="rId1" xr:uid="{A3640FC6-8BEE-441D-B169-DCC2F5B35731}"/>
    <hyperlink ref="C3" r:id="rId2" xr:uid="{7328DDB3-AF63-45CF-B10D-7F70210728DD}"/>
    <hyperlink ref="C2" r:id="rId3" xr:uid="{9A48B76B-9FF5-4790-A30C-AD22DC4AC900}"/>
  </hyperlinks>
  <pageMargins left="0.7" right="0.7" top="0.75" bottom="0.75" header="0.3" footer="0.3"/>
  <pageSetup orientation="portrait"/>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EDBC991B-4CFD-4B36-90CD-367ACBB6EADC}">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4D6E-E9E5-4631-8904-F5C883848A7D}">
  <dimension ref="A1:W25"/>
  <sheetViews>
    <sheetView zoomScaleNormal="100" workbookViewId="0">
      <pane xSplit="1" ySplit="1" topLeftCell="B2" activePane="bottomRight" state="frozen"/>
      <selection pane="bottomRight" activeCell="W4" sqref="W4"/>
      <selection pane="bottomLeft" activeCell="A2" sqref="A2"/>
      <selection pane="topRight" activeCell="B1" sqref="B1"/>
    </sheetView>
  </sheetViews>
  <sheetFormatPr defaultRowHeight="14.25"/>
  <cols>
    <col min="1" max="1" width="10.85546875" customWidth="1"/>
    <col min="2" max="2" width="32.42578125" customWidth="1"/>
    <col min="3" max="3" width="29.5703125" customWidth="1"/>
    <col min="4" max="4" width="50.140625" style="113" customWidth="1"/>
    <col min="5" max="5" width="30.7109375" customWidth="1"/>
    <col min="6" max="6" width="18" customWidth="1"/>
    <col min="7" max="7" width="14.7109375" customWidth="1"/>
    <col min="8" max="8" width="13.28515625" customWidth="1"/>
    <col min="9" max="9" width="43.7109375" customWidth="1"/>
    <col min="10" max="10" width="14.5703125" style="46" customWidth="1"/>
    <col min="11" max="11" width="16.140625" customWidth="1"/>
    <col min="12" max="12" width="17.28515625" customWidth="1"/>
    <col min="13" max="13" width="9.140625" bestFit="1" customWidth="1"/>
    <col min="14" max="14" width="18.28515625" customWidth="1"/>
    <col min="15" max="15" width="17.7109375" customWidth="1"/>
    <col min="16" max="16" width="9.140625" bestFit="1" customWidth="1"/>
    <col min="17" max="17" width="19.42578125" customWidth="1"/>
    <col min="18" max="18" width="19" customWidth="1"/>
    <col min="19" max="19" width="9.140625" bestFit="1" customWidth="1"/>
    <col min="20" max="20" width="26" customWidth="1"/>
  </cols>
  <sheetData>
    <row r="1" spans="1:23">
      <c r="A1" s="30" t="s">
        <v>0</v>
      </c>
      <c r="B1" s="31" t="s">
        <v>1</v>
      </c>
      <c r="C1" s="35" t="s">
        <v>2</v>
      </c>
      <c r="D1" s="127" t="s">
        <v>3</v>
      </c>
      <c r="E1" s="34" t="s">
        <v>4</v>
      </c>
      <c r="F1" s="1" t="s">
        <v>5</v>
      </c>
      <c r="G1" s="1" t="s">
        <v>6</v>
      </c>
      <c r="H1" s="1" t="s">
        <v>7</v>
      </c>
      <c r="I1" s="1" t="s">
        <v>8</v>
      </c>
      <c r="J1" s="50" t="s">
        <v>9</v>
      </c>
      <c r="K1" s="42" t="s">
        <v>10</v>
      </c>
      <c r="L1" s="8" t="s">
        <v>11</v>
      </c>
      <c r="M1" s="9" t="s">
        <v>12</v>
      </c>
      <c r="N1" s="8" t="s">
        <v>13</v>
      </c>
      <c r="O1" s="8" t="s">
        <v>14</v>
      </c>
      <c r="P1" s="9" t="s">
        <v>15</v>
      </c>
      <c r="Q1" s="9" t="s">
        <v>16</v>
      </c>
      <c r="R1" s="10" t="s">
        <v>17</v>
      </c>
      <c r="S1" s="11" t="s">
        <v>18</v>
      </c>
      <c r="T1" s="10" t="s">
        <v>19</v>
      </c>
      <c r="U1" s="11" t="s">
        <v>20</v>
      </c>
    </row>
    <row r="2" spans="1:23" ht="27" customHeight="1">
      <c r="A2" s="101">
        <v>99918</v>
      </c>
      <c r="B2" s="65" t="s">
        <v>81</v>
      </c>
      <c r="C2" s="108" t="s">
        <v>82</v>
      </c>
      <c r="D2" s="128">
        <v>6817448</v>
      </c>
      <c r="I2" s="39"/>
      <c r="J2" s="51"/>
      <c r="L2" s="12" t="s">
        <v>41</v>
      </c>
      <c r="M2" s="13"/>
      <c r="N2" s="14"/>
      <c r="O2" s="13"/>
      <c r="P2" s="13"/>
      <c r="Q2" s="13"/>
      <c r="R2" s="13"/>
      <c r="S2" s="15"/>
      <c r="T2" s="13"/>
      <c r="U2" s="15"/>
      <c r="W2" s="4" t="s">
        <v>34</v>
      </c>
    </row>
    <row r="3" spans="1:23" s="101" customFormat="1" ht="129.75" customHeight="1">
      <c r="A3" s="124" t="s">
        <v>21</v>
      </c>
      <c r="B3" s="29" t="s">
        <v>22</v>
      </c>
      <c r="C3" s="98" t="s">
        <v>23</v>
      </c>
      <c r="D3" s="129">
        <v>5480000</v>
      </c>
      <c r="E3" s="97" t="s">
        <v>24</v>
      </c>
      <c r="F3" s="65" t="s">
        <v>25</v>
      </c>
      <c r="G3" s="97">
        <v>0</v>
      </c>
      <c r="H3" s="99">
        <v>30204</v>
      </c>
      <c r="I3" s="100" t="s">
        <v>26</v>
      </c>
      <c r="J3" s="100" t="s">
        <v>27</v>
      </c>
      <c r="K3" s="97">
        <v>63</v>
      </c>
      <c r="L3" s="18" t="s">
        <v>28</v>
      </c>
      <c r="M3" s="19" t="s">
        <v>29</v>
      </c>
      <c r="N3" s="20" t="s">
        <v>30</v>
      </c>
      <c r="O3" s="19" t="s">
        <v>31</v>
      </c>
      <c r="P3" s="19"/>
      <c r="Q3" s="19"/>
      <c r="R3" s="19" t="s">
        <v>31</v>
      </c>
      <c r="S3" s="21" t="s">
        <v>32</v>
      </c>
      <c r="T3" s="19" t="s">
        <v>33</v>
      </c>
      <c r="U3" s="21"/>
      <c r="W3" s="102" t="s">
        <v>34</v>
      </c>
    </row>
    <row r="4" spans="1:23">
      <c r="A4" s="156" t="s">
        <v>35</v>
      </c>
      <c r="B4" s="159" t="s">
        <v>36</v>
      </c>
      <c r="C4" s="109" t="s">
        <v>37</v>
      </c>
      <c r="D4" s="162">
        <v>40000000</v>
      </c>
      <c r="E4" s="159" t="s">
        <v>38</v>
      </c>
      <c r="F4" s="32" t="s">
        <v>25</v>
      </c>
      <c r="G4">
        <v>0</v>
      </c>
      <c r="H4" s="36">
        <v>1000000</v>
      </c>
      <c r="I4" s="40" t="s">
        <v>39</v>
      </c>
      <c r="J4" s="165" t="s">
        <v>40</v>
      </c>
      <c r="K4">
        <v>50</v>
      </c>
      <c r="L4" s="12" t="s">
        <v>41</v>
      </c>
      <c r="M4" s="13"/>
      <c r="N4" s="14"/>
      <c r="O4" s="13"/>
      <c r="P4" s="13"/>
      <c r="Q4" s="13"/>
      <c r="R4" s="13"/>
      <c r="S4" s="15"/>
      <c r="T4" s="13"/>
      <c r="U4" s="15"/>
      <c r="W4" s="110"/>
    </row>
    <row r="5" spans="1:23">
      <c r="A5" s="157"/>
      <c r="B5" s="160"/>
      <c r="C5" s="109" t="s">
        <v>42</v>
      </c>
      <c r="D5" s="163"/>
      <c r="E5" s="160"/>
      <c r="F5" s="32" t="s">
        <v>25</v>
      </c>
      <c r="G5">
        <v>0</v>
      </c>
      <c r="H5" s="36">
        <v>1500000</v>
      </c>
      <c r="I5" s="40" t="s">
        <v>43</v>
      </c>
      <c r="J5" s="166"/>
      <c r="K5">
        <v>50</v>
      </c>
      <c r="L5" s="12"/>
      <c r="M5" s="13"/>
      <c r="N5" s="14"/>
      <c r="O5" s="13"/>
      <c r="P5" s="13"/>
      <c r="Q5" s="13"/>
      <c r="R5" s="13"/>
      <c r="S5" s="15"/>
      <c r="T5" s="13"/>
      <c r="U5" s="15"/>
      <c r="W5" s="110"/>
    </row>
    <row r="6" spans="1:23">
      <c r="A6" s="158"/>
      <c r="B6" s="161"/>
      <c r="C6" s="29"/>
      <c r="D6" s="164"/>
      <c r="E6" s="161"/>
      <c r="F6" s="33" t="s">
        <v>25</v>
      </c>
      <c r="G6" s="16">
        <v>0</v>
      </c>
      <c r="H6" s="37">
        <v>1500000</v>
      </c>
      <c r="I6" s="41" t="s">
        <v>44</v>
      </c>
      <c r="J6" s="167"/>
      <c r="K6" s="16">
        <v>50</v>
      </c>
      <c r="L6" s="18"/>
      <c r="M6" s="19"/>
      <c r="N6" s="20"/>
      <c r="O6" s="19"/>
      <c r="P6" s="19"/>
      <c r="Q6" s="19"/>
      <c r="R6" s="19"/>
      <c r="S6" s="21"/>
      <c r="T6" s="19"/>
      <c r="U6" s="21"/>
      <c r="W6" s="110"/>
    </row>
    <row r="7" spans="1:23" ht="361.5" customHeight="1">
      <c r="A7" s="95">
        <v>134106</v>
      </c>
      <c r="B7" s="96" t="s">
        <v>45</v>
      </c>
      <c r="C7" s="96" t="s">
        <v>46</v>
      </c>
      <c r="D7" s="131">
        <v>64600000</v>
      </c>
      <c r="E7" s="83" t="s">
        <v>38</v>
      </c>
      <c r="F7" s="83" t="s">
        <v>25</v>
      </c>
      <c r="G7" s="83">
        <v>0</v>
      </c>
      <c r="H7" s="85">
        <v>2600000</v>
      </c>
      <c r="I7" s="94" t="s">
        <v>48</v>
      </c>
      <c r="J7" s="58" t="s">
        <v>40</v>
      </c>
      <c r="K7" s="54">
        <v>50</v>
      </c>
      <c r="L7" s="54" t="s">
        <v>41</v>
      </c>
      <c r="M7" s="54"/>
      <c r="N7" s="54"/>
      <c r="O7" s="54"/>
      <c r="P7" s="54"/>
      <c r="Q7" s="54"/>
      <c r="R7" s="54"/>
      <c r="S7" s="54"/>
      <c r="T7" s="54"/>
      <c r="U7" s="54"/>
    </row>
    <row r="8" spans="1:23" ht="57">
      <c r="A8" s="95"/>
      <c r="B8" s="111"/>
      <c r="C8" s="107"/>
      <c r="D8" s="112">
        <v>16700000</v>
      </c>
      <c r="E8" s="83" t="s">
        <v>38</v>
      </c>
      <c r="F8" s="83" t="s">
        <v>25</v>
      </c>
      <c r="G8" s="83">
        <v>0</v>
      </c>
      <c r="H8" s="87">
        <v>450000</v>
      </c>
      <c r="I8" s="88" t="s">
        <v>49</v>
      </c>
      <c r="J8" s="58" t="s">
        <v>50</v>
      </c>
      <c r="K8" s="54">
        <v>50</v>
      </c>
      <c r="L8" s="54" t="s">
        <v>41</v>
      </c>
      <c r="M8" s="54"/>
      <c r="N8" s="54"/>
      <c r="O8" s="54"/>
      <c r="P8" s="54"/>
      <c r="Q8" s="54"/>
      <c r="R8" s="54"/>
      <c r="S8" s="54"/>
      <c r="T8" s="54"/>
      <c r="U8" s="54"/>
    </row>
    <row r="9" spans="1:23" ht="60" customHeight="1">
      <c r="A9" s="95"/>
      <c r="B9" s="111"/>
      <c r="C9" s="95"/>
      <c r="D9" s="112">
        <v>63352000</v>
      </c>
      <c r="E9" s="83" t="s">
        <v>38</v>
      </c>
      <c r="F9" s="83" t="s">
        <v>25</v>
      </c>
      <c r="G9" s="83">
        <v>0</v>
      </c>
      <c r="H9" s="89">
        <v>900955</v>
      </c>
      <c r="I9" s="90" t="s">
        <v>51</v>
      </c>
      <c r="J9" s="58" t="s">
        <v>52</v>
      </c>
      <c r="K9" s="54">
        <v>50</v>
      </c>
      <c r="L9" s="54" t="s">
        <v>41</v>
      </c>
      <c r="M9" s="54"/>
      <c r="N9" s="54"/>
      <c r="O9" s="54"/>
      <c r="P9" s="54"/>
      <c r="Q9" s="54"/>
      <c r="R9" s="54"/>
      <c r="S9" s="54"/>
      <c r="T9" s="54"/>
      <c r="U9" s="54"/>
    </row>
    <row r="10" spans="1:23" ht="57">
      <c r="A10" s="95"/>
      <c r="B10" s="111"/>
      <c r="C10" s="95"/>
      <c r="D10" s="112">
        <f>11915000+5164000+16500000+11000000</f>
        <v>44579000</v>
      </c>
      <c r="E10" s="83" t="s">
        <v>38</v>
      </c>
      <c r="F10" s="83" t="s">
        <v>25</v>
      </c>
      <c r="G10" s="83">
        <v>0</v>
      </c>
      <c r="H10" s="87">
        <v>630000</v>
      </c>
      <c r="I10" s="92" t="s">
        <v>53</v>
      </c>
      <c r="J10" s="58" t="s">
        <v>54</v>
      </c>
      <c r="K10" s="54">
        <v>50</v>
      </c>
      <c r="L10" s="54" t="s">
        <v>41</v>
      </c>
      <c r="M10" s="54"/>
      <c r="N10" s="54"/>
      <c r="O10" s="54"/>
      <c r="P10" s="54"/>
      <c r="Q10" s="54"/>
      <c r="R10" s="54"/>
      <c r="S10" s="54"/>
      <c r="T10" s="54"/>
      <c r="U10" s="54"/>
    </row>
    <row r="11" spans="1:23" ht="28.5">
      <c r="A11" s="95"/>
      <c r="B11" s="111"/>
      <c r="C11" s="95"/>
      <c r="D11" s="112">
        <v>16500000</v>
      </c>
      <c r="E11" s="83" t="s">
        <v>38</v>
      </c>
      <c r="F11" s="83" t="s">
        <v>25</v>
      </c>
      <c r="G11" s="83">
        <v>0</v>
      </c>
      <c r="H11" s="130">
        <v>0</v>
      </c>
      <c r="I11" s="90" t="s">
        <v>55</v>
      </c>
      <c r="J11" s="58" t="s">
        <v>56</v>
      </c>
      <c r="K11" s="54">
        <v>50</v>
      </c>
      <c r="L11" s="54" t="s">
        <v>41</v>
      </c>
      <c r="M11" s="54"/>
      <c r="N11" s="54"/>
      <c r="O11" s="54"/>
      <c r="P11" s="54"/>
      <c r="Q11" s="54"/>
      <c r="R11" s="54"/>
      <c r="S11" s="54"/>
      <c r="T11" s="54"/>
      <c r="U11" s="54"/>
    </row>
    <row r="12" spans="1:23" ht="48.75" customHeight="1">
      <c r="A12" s="95"/>
      <c r="B12" s="111"/>
      <c r="C12" s="95"/>
      <c r="D12" s="112">
        <v>6119665.5300000003</v>
      </c>
      <c r="E12" s="83" t="s">
        <v>38</v>
      </c>
      <c r="F12" s="83" t="s">
        <v>25</v>
      </c>
      <c r="G12" s="83">
        <v>0</v>
      </c>
      <c r="H12" s="89">
        <v>95800</v>
      </c>
      <c r="I12" s="90" t="s">
        <v>57</v>
      </c>
      <c r="J12" s="58" t="s">
        <v>58</v>
      </c>
      <c r="K12" s="54">
        <v>50</v>
      </c>
      <c r="L12" s="54" t="s">
        <v>41</v>
      </c>
      <c r="M12" s="54"/>
      <c r="N12" s="54"/>
      <c r="O12" s="54"/>
      <c r="P12" s="54"/>
      <c r="Q12" s="54"/>
      <c r="R12" s="54"/>
      <c r="S12" s="54"/>
      <c r="T12" s="54"/>
      <c r="U12" s="54"/>
    </row>
    <row r="13" spans="1:23" ht="42.75">
      <c r="A13" s="95"/>
      <c r="B13" s="111"/>
      <c r="C13" s="95"/>
      <c r="D13" s="112">
        <v>5000000</v>
      </c>
      <c r="E13" s="83" t="s">
        <v>59</v>
      </c>
      <c r="F13" s="83" t="s">
        <v>25</v>
      </c>
      <c r="G13" s="83">
        <v>0</v>
      </c>
      <c r="H13" s="89">
        <v>10700</v>
      </c>
      <c r="I13" s="86" t="s">
        <v>61</v>
      </c>
      <c r="J13" s="58" t="s">
        <v>52</v>
      </c>
      <c r="K13" s="54">
        <v>50</v>
      </c>
      <c r="L13" s="54" t="s">
        <v>41</v>
      </c>
      <c r="M13" s="54"/>
      <c r="N13" s="54"/>
      <c r="O13" s="54"/>
      <c r="P13" s="54"/>
      <c r="Q13" s="54"/>
      <c r="R13" s="54"/>
      <c r="S13" s="54" t="s">
        <v>32</v>
      </c>
      <c r="T13" s="54"/>
      <c r="U13" s="54"/>
    </row>
    <row r="14" spans="1:23" ht="85.5">
      <c r="A14" s="95"/>
      <c r="B14" s="111"/>
      <c r="C14" s="95"/>
      <c r="D14" s="112">
        <v>1170931.3700000001</v>
      </c>
      <c r="E14" s="83" t="s">
        <v>62</v>
      </c>
      <c r="F14" s="83" t="s">
        <v>25</v>
      </c>
      <c r="G14" s="83">
        <v>0</v>
      </c>
      <c r="H14" s="85">
        <v>35800000</v>
      </c>
      <c r="I14" s="86" t="s">
        <v>65</v>
      </c>
      <c r="J14" s="58" t="s">
        <v>66</v>
      </c>
      <c r="K14" s="54">
        <v>50</v>
      </c>
      <c r="L14" s="54" t="s">
        <v>41</v>
      </c>
      <c r="M14" s="54"/>
      <c r="N14" s="54"/>
      <c r="O14" s="54"/>
      <c r="P14" s="54"/>
      <c r="Q14" s="54"/>
      <c r="R14" s="54"/>
      <c r="S14" s="54"/>
      <c r="T14" s="54"/>
      <c r="U14" s="54"/>
    </row>
    <row r="15" spans="1:23" ht="57">
      <c r="A15" s="95"/>
      <c r="B15" s="111"/>
      <c r="C15" s="95"/>
      <c r="D15" s="112">
        <v>50000</v>
      </c>
      <c r="E15" s="83" t="s">
        <v>62</v>
      </c>
      <c r="F15" s="83" t="s">
        <v>25</v>
      </c>
      <c r="G15" s="83">
        <v>0</v>
      </c>
      <c r="H15" s="85">
        <v>35800000</v>
      </c>
      <c r="I15" s="86" t="s">
        <v>83</v>
      </c>
      <c r="J15" s="58" t="s">
        <v>52</v>
      </c>
      <c r="K15" s="54">
        <v>50</v>
      </c>
      <c r="L15" s="54" t="s">
        <v>41</v>
      </c>
      <c r="M15" s="54"/>
      <c r="N15" s="54"/>
      <c r="O15" s="54"/>
      <c r="P15" s="54"/>
      <c r="Q15" s="54"/>
      <c r="R15" s="54"/>
      <c r="S15" s="54"/>
      <c r="T15" s="54"/>
      <c r="U15" s="54"/>
    </row>
    <row r="16" spans="1:23" ht="57">
      <c r="A16" s="116"/>
      <c r="B16" s="117"/>
      <c r="C16" s="116"/>
      <c r="D16" s="114">
        <v>10400000</v>
      </c>
      <c r="E16" s="118" t="s">
        <v>38</v>
      </c>
      <c r="F16" s="135" t="s">
        <v>25</v>
      </c>
      <c r="G16" s="118">
        <v>0</v>
      </c>
      <c r="H16" s="121">
        <v>1600000</v>
      </c>
      <c r="I16" s="120" t="s">
        <v>68</v>
      </c>
      <c r="J16" s="58" t="s">
        <v>69</v>
      </c>
      <c r="K16" s="54">
        <v>50</v>
      </c>
      <c r="L16" s="54" t="s">
        <v>41</v>
      </c>
      <c r="M16" s="122"/>
      <c r="N16" s="122"/>
      <c r="O16" s="122"/>
      <c r="P16" s="122"/>
      <c r="Q16" s="122"/>
      <c r="R16" s="122"/>
      <c r="S16" s="122"/>
      <c r="T16" s="122"/>
      <c r="U16" s="122"/>
    </row>
    <row r="17" spans="1:21">
      <c r="A17" s="95"/>
      <c r="B17" s="111"/>
      <c r="C17" s="95"/>
      <c r="D17" s="115">
        <v>15882409.9</v>
      </c>
      <c r="E17" s="118" t="s">
        <v>38</v>
      </c>
      <c r="F17" s="135" t="s">
        <v>25</v>
      </c>
      <c r="G17" s="118">
        <v>0</v>
      </c>
      <c r="H17" s="115">
        <v>250000</v>
      </c>
      <c r="I17" s="86" t="s">
        <v>70</v>
      </c>
      <c r="J17" s="123" t="s">
        <v>52</v>
      </c>
      <c r="K17" s="54">
        <v>50</v>
      </c>
      <c r="L17" s="54" t="s">
        <v>41</v>
      </c>
      <c r="M17" s="122"/>
      <c r="N17" s="122"/>
      <c r="O17" s="122"/>
      <c r="P17" s="122"/>
      <c r="Q17" s="122"/>
      <c r="R17" s="122"/>
      <c r="S17" s="122"/>
      <c r="T17" s="122"/>
      <c r="U17" s="122"/>
    </row>
    <row r="18" spans="1:21">
      <c r="A18" s="139"/>
      <c r="B18" s="140"/>
      <c r="C18" s="141"/>
      <c r="D18" s="144">
        <v>17280000</v>
      </c>
      <c r="E18" s="83" t="s">
        <v>38</v>
      </c>
      <c r="F18" s="83" t="s">
        <v>25</v>
      </c>
      <c r="G18" s="83">
        <v>0</v>
      </c>
      <c r="H18" s="145">
        <v>260000</v>
      </c>
      <c r="I18" s="143" t="s">
        <v>71</v>
      </c>
      <c r="J18" s="58" t="s">
        <v>72</v>
      </c>
      <c r="K18" s="54">
        <v>50</v>
      </c>
      <c r="L18" s="54" t="s">
        <v>41</v>
      </c>
      <c r="M18" s="122"/>
      <c r="N18" s="122"/>
      <c r="O18" s="122"/>
      <c r="P18" s="122"/>
      <c r="Q18" s="122"/>
      <c r="R18" s="122"/>
      <c r="S18" s="122"/>
      <c r="T18" s="122"/>
      <c r="U18" s="122"/>
    </row>
    <row r="19" spans="1:21" ht="71.25">
      <c r="A19" s="116"/>
      <c r="B19" s="117"/>
      <c r="C19" s="116"/>
      <c r="D19" s="138">
        <v>1000000</v>
      </c>
      <c r="E19" s="142" t="s">
        <v>62</v>
      </c>
      <c r="F19" s="142" t="s">
        <v>25</v>
      </c>
      <c r="G19" s="142">
        <v>0</v>
      </c>
      <c r="H19" s="119">
        <v>35800000</v>
      </c>
      <c r="I19" s="120" t="s">
        <v>73</v>
      </c>
      <c r="J19" s="58" t="s">
        <v>66</v>
      </c>
      <c r="K19" s="54">
        <v>50</v>
      </c>
      <c r="L19" s="54" t="s">
        <v>41</v>
      </c>
      <c r="M19" s="122"/>
      <c r="N19" s="122"/>
      <c r="O19" s="122"/>
      <c r="P19" s="122"/>
      <c r="Q19" s="122"/>
      <c r="R19" s="122"/>
      <c r="S19" s="122"/>
      <c r="T19" s="122"/>
      <c r="U19" s="122"/>
    </row>
    <row r="20" spans="1:21" ht="57">
      <c r="A20" s="122">
        <v>1003605</v>
      </c>
      <c r="B20" s="146" t="s">
        <v>74</v>
      </c>
      <c r="C20" s="122"/>
      <c r="D20" s="147">
        <f>6772151.9+241257.912</f>
        <v>7013409.8120000008</v>
      </c>
      <c r="E20" s="122" t="s">
        <v>38</v>
      </c>
      <c r="F20" s="122" t="s">
        <v>25</v>
      </c>
      <c r="G20" s="122">
        <v>0</v>
      </c>
      <c r="H20" s="147">
        <v>1600000</v>
      </c>
      <c r="I20" s="146" t="s">
        <v>84</v>
      </c>
      <c r="J20" s="46" t="s">
        <v>76</v>
      </c>
      <c r="K20" s="122">
        <v>50</v>
      </c>
      <c r="L20" s="125" t="s">
        <v>41</v>
      </c>
      <c r="M20" s="54"/>
      <c r="N20" s="54"/>
      <c r="O20" s="54"/>
      <c r="P20" s="54"/>
      <c r="Q20" s="54"/>
      <c r="R20" s="54"/>
      <c r="S20" s="54"/>
      <c r="T20" s="54"/>
      <c r="U20" s="54"/>
    </row>
    <row r="21" spans="1:21" ht="57">
      <c r="A21" s="122"/>
      <c r="B21" s="122"/>
      <c r="C21" s="122"/>
      <c r="D21" s="147">
        <f>1244756.78+241257.912</f>
        <v>1486014.692</v>
      </c>
      <c r="E21" s="122" t="s">
        <v>38</v>
      </c>
      <c r="F21" s="122" t="s">
        <v>25</v>
      </c>
      <c r="G21" s="122">
        <v>0</v>
      </c>
      <c r="H21" s="147">
        <v>440000</v>
      </c>
      <c r="I21" s="146" t="s">
        <v>77</v>
      </c>
      <c r="J21" s="58" t="s">
        <v>76</v>
      </c>
      <c r="K21" s="54">
        <v>50</v>
      </c>
      <c r="L21" s="126" t="s">
        <v>41</v>
      </c>
      <c r="M21" s="54"/>
      <c r="N21" s="54"/>
      <c r="O21" s="54"/>
      <c r="P21" s="54"/>
      <c r="Q21" s="54"/>
      <c r="R21" s="54"/>
      <c r="S21" s="54"/>
      <c r="T21" s="54"/>
      <c r="U21" s="54"/>
    </row>
    <row r="22" spans="1:21" ht="28.5">
      <c r="A22" s="122"/>
      <c r="B22" s="122"/>
      <c r="C22" s="122"/>
      <c r="D22" s="147">
        <f>7543903.56+241257.912</f>
        <v>7785161.4719999991</v>
      </c>
      <c r="E22" s="122" t="s">
        <v>38</v>
      </c>
      <c r="F22" s="122" t="s">
        <v>25</v>
      </c>
      <c r="G22" s="122">
        <v>0</v>
      </c>
      <c r="H22" s="147">
        <v>15000</v>
      </c>
      <c r="I22" s="146" t="s">
        <v>78</v>
      </c>
      <c r="J22" s="133" t="s">
        <v>76</v>
      </c>
      <c r="K22" s="122">
        <v>50</v>
      </c>
      <c r="L22" s="125" t="s">
        <v>41</v>
      </c>
      <c r="M22" s="54"/>
      <c r="N22" s="54"/>
      <c r="O22" s="54"/>
      <c r="P22" s="54"/>
      <c r="Q22" s="54"/>
      <c r="R22" s="54"/>
      <c r="S22" s="54"/>
      <c r="T22" s="54"/>
      <c r="U22" s="54"/>
    </row>
    <row r="23" spans="1:21" ht="42.75">
      <c r="A23" s="126"/>
      <c r="B23" s="54"/>
      <c r="C23" s="54"/>
      <c r="D23" s="148">
        <f>4571202.53+241257.912</f>
        <v>4812460.4419999998</v>
      </c>
      <c r="E23" s="54" t="s">
        <v>38</v>
      </c>
      <c r="F23" s="54" t="s">
        <v>25</v>
      </c>
      <c r="G23" s="54">
        <v>0</v>
      </c>
      <c r="H23" s="148">
        <v>1000000</v>
      </c>
      <c r="I23" s="58" t="s">
        <v>80</v>
      </c>
      <c r="J23" s="58" t="s">
        <v>76</v>
      </c>
      <c r="K23" s="54">
        <v>50</v>
      </c>
      <c r="L23" s="54" t="s">
        <v>41</v>
      </c>
      <c r="M23" s="134"/>
      <c r="N23" s="122"/>
      <c r="O23" s="122"/>
      <c r="P23" s="122"/>
      <c r="Q23" s="122"/>
      <c r="R23" s="122"/>
      <c r="S23" s="122"/>
      <c r="T23" s="122"/>
      <c r="U23" s="122"/>
    </row>
    <row r="24" spans="1:21">
      <c r="A24" s="136"/>
      <c r="B24" s="136"/>
      <c r="C24" s="136"/>
      <c r="D24" s="137"/>
      <c r="M24" s="132"/>
      <c r="N24" s="54"/>
      <c r="O24" s="54"/>
      <c r="P24" s="54"/>
      <c r="Q24" s="54"/>
      <c r="R24" s="54"/>
      <c r="S24" s="54"/>
      <c r="T24" s="54"/>
      <c r="U24" s="54"/>
    </row>
    <row r="25" spans="1:21">
      <c r="A25" s="136"/>
      <c r="B25" s="136"/>
      <c r="C25" s="136"/>
      <c r="D25" s="137"/>
    </row>
  </sheetData>
  <mergeCells count="5">
    <mergeCell ref="A4:A6"/>
    <mergeCell ref="B4:B6"/>
    <mergeCell ref="D4:D6"/>
    <mergeCell ref="E4:E6"/>
    <mergeCell ref="J4:J6"/>
  </mergeCells>
  <dataValidations count="9">
    <dataValidation type="list" allowBlank="1" showInputMessage="1" showErrorMessage="1" sqref="S2:S6" xr:uid="{B48D2286-9F63-4D9C-A81D-EBB16F66AF69}">
      <formula1>"Solar, Wind, Bioenergy, Hydro, Geothermal, Waste, Some Sources, Other, Unknown"</formula1>
    </dataValidation>
    <dataValidation type="list" allowBlank="1" showInputMessage="1" showErrorMessage="1" sqref="R2:R6" xr:uid="{BE6A08E0-A0CE-4E0D-B689-FF0C4E6BBD8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6" xr:uid="{457114F9-FCC9-43F4-A8AB-F105FCBD2FE3}">
      <formula1>"Non-VF, VF"</formula1>
    </dataValidation>
    <dataValidation type="list" allowBlank="1" showInputMessage="1" showErrorMessage="1" sqref="P2:P6" xr:uid="{5215DA8C-828B-4C0F-8628-60DF408AE90B}">
      <formula1>"AMP, PUDC, Solar4Health, Action Opportunities, Italy UNDP Energy Partnership"</formula1>
    </dataValidation>
    <dataValidation type="list" allowBlank="1" showInputMessage="1" showErrorMessage="1" sqref="T2:T6" xr:uid="{F6671A87-19EF-4D3D-81D3-3024142733F5}">
      <formula1>"National, Regional, City, Community"</formula1>
    </dataValidation>
    <dataValidation type="list" allowBlank="1" showInputMessage="1" showErrorMessage="1" sqref="M2:M6" xr:uid="{B3D24614-501F-4F10-84CE-97664D0ED7C0}">
      <formula1>"Finance, Gender, Efficiency, Just, Health"</formula1>
    </dataValidation>
    <dataValidation type="list" allowBlank="1" showInputMessage="1" showErrorMessage="1" sqref="O2:O6" xr:uid="{F021DF6E-DA90-43E7-AB29-B235C07C4B83}">
      <formula1>"Electricity Access, Energy Efficiency, Clean Cooking, Renewable Energy, Overall"</formula1>
    </dataValidation>
    <dataValidation type="list" allowBlank="1" showInputMessage="1" showErrorMessage="1" sqref="N2:N6" xr:uid="{731658AC-ACFF-4B33-A896-802BBFEE0DC8}">
      <formula1>"Accelerating just energy transition, Close the gap on energy access, Scale up energy finance"</formula1>
    </dataValidation>
    <dataValidation type="list" allowBlank="1" showInputMessage="1" showErrorMessage="1" sqref="Q2:Q6" xr:uid="{A43E17A1-D645-4A04-B2B5-C57D07C2D3D7}">
      <formula1>"NDC Support, National Strategy, Legal Framework,Incentives and Support, Government Capacity-Building, Carbon Pricing and Monitoring, Financing Model, Business Model"</formula1>
    </dataValidation>
  </dataValidations>
  <hyperlinks>
    <hyperlink ref="C2" r:id="rId1" xr:uid="{128D755E-8010-445E-AD3C-8540A7E4A9D7}"/>
    <hyperlink ref="C5" r:id="rId2" xr:uid="{302E2BCB-4FF1-44A0-9E52-9D2325DF9815}"/>
    <hyperlink ref="C4" r:id="rId3" xr:uid="{B4E14392-BD70-4D9A-A766-CE36FF7441EC}"/>
    <hyperlink ref="C3" r:id="rId4" xr:uid="{A7785126-C2CB-48C2-B167-B49922099AA3}"/>
  </hyperlinks>
  <pageMargins left="0.7" right="0.7" top="0.75" bottom="0.75" header="0.3" footer="0.3"/>
  <pageSetup orientation="portrait"/>
  <legacyDrawing r:id="rId5"/>
  <extLst>
    <ext xmlns:x14="http://schemas.microsoft.com/office/spreadsheetml/2009/9/main" uri="{CCE6A557-97BC-4b89-ADB6-D9C93CAAB3DF}">
      <x14:dataValidations xmlns:xm="http://schemas.microsoft.com/office/excel/2006/main" count="1">
        <x14:dataValidation type="list" allowBlank="1" showInputMessage="1" showErrorMessage="1" xr:uid="{252FFC09-5ABD-40A1-9A73-E0571E8BBE3F}">
          <x14:formula1>
            <xm:f>'Beneficiary Categories'!$A$2:$A$22</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4403-2DBB-4117-9863-F1CDBAB9D9FB}">
  <dimension ref="A1:W26"/>
  <sheetViews>
    <sheetView workbookViewId="0">
      <pane xSplit="1" ySplit="1" topLeftCell="B3" activePane="bottomRight" state="frozen"/>
      <selection pane="bottomRight" activeCell="D7" sqref="D7"/>
      <selection pane="bottomLeft" activeCell="A2" sqref="A2"/>
      <selection pane="topRight" activeCell="B1" sqref="B1"/>
    </sheetView>
  </sheetViews>
  <sheetFormatPr defaultRowHeight="14.25"/>
  <cols>
    <col min="1" max="1" width="10.85546875" customWidth="1"/>
    <col min="2" max="2" width="32.42578125" customWidth="1"/>
    <col min="3" max="3" width="29.5703125" customWidth="1"/>
    <col min="4" max="4" width="46" customWidth="1"/>
    <col min="5" max="5" width="30.7109375" customWidth="1"/>
    <col min="6" max="6" width="18" customWidth="1"/>
    <col min="7" max="7" width="14.7109375" customWidth="1"/>
    <col min="8" max="8" width="13.28515625" customWidth="1"/>
    <col min="9" max="9" width="43.7109375" customWidth="1"/>
    <col min="10" max="10" width="13.7109375" style="46" customWidth="1"/>
    <col min="11" max="11" width="16.140625" customWidth="1"/>
    <col min="12" max="12" width="17.28515625" customWidth="1"/>
    <col min="14" max="14" width="18.28515625" customWidth="1"/>
    <col min="15" max="15" width="17.7109375" customWidth="1"/>
    <col min="17" max="17" width="19.42578125" customWidth="1"/>
    <col min="18" max="18" width="19" customWidth="1"/>
    <col min="20" max="20" width="26" customWidth="1"/>
  </cols>
  <sheetData>
    <row r="1" spans="1:23">
      <c r="A1" s="30" t="s">
        <v>0</v>
      </c>
      <c r="B1" s="31" t="s">
        <v>1</v>
      </c>
      <c r="C1" s="35" t="s">
        <v>2</v>
      </c>
      <c r="D1" s="31" t="s">
        <v>3</v>
      </c>
      <c r="E1" s="34" t="s">
        <v>4</v>
      </c>
      <c r="F1" s="1" t="s">
        <v>5</v>
      </c>
      <c r="G1" s="1" t="s">
        <v>6</v>
      </c>
      <c r="H1" s="1" t="s">
        <v>7</v>
      </c>
      <c r="I1" s="1" t="s">
        <v>8</v>
      </c>
      <c r="J1" s="50" t="s">
        <v>9</v>
      </c>
      <c r="K1" s="42" t="s">
        <v>10</v>
      </c>
      <c r="L1" s="8" t="s">
        <v>11</v>
      </c>
      <c r="M1" s="9" t="s">
        <v>12</v>
      </c>
      <c r="N1" s="8" t="s">
        <v>13</v>
      </c>
      <c r="O1" s="8" t="s">
        <v>14</v>
      </c>
      <c r="P1" s="9" t="s">
        <v>15</v>
      </c>
      <c r="Q1" s="9" t="s">
        <v>16</v>
      </c>
      <c r="R1" s="10" t="s">
        <v>17</v>
      </c>
      <c r="S1" s="11" t="s">
        <v>18</v>
      </c>
      <c r="T1" s="10" t="s">
        <v>19</v>
      </c>
      <c r="U1" s="11" t="s">
        <v>20</v>
      </c>
    </row>
    <row r="2" spans="1:23" ht="27" customHeight="1">
      <c r="A2" s="101">
        <v>99918</v>
      </c>
      <c r="B2" s="65" t="s">
        <v>81</v>
      </c>
      <c r="C2" s="103" t="s">
        <v>82</v>
      </c>
      <c r="D2" s="32">
        <v>6817448</v>
      </c>
      <c r="I2" s="39"/>
      <c r="J2" s="51"/>
      <c r="L2" s="12"/>
      <c r="M2" s="13"/>
      <c r="N2" s="14"/>
      <c r="O2" s="13"/>
      <c r="P2" s="13"/>
      <c r="Q2" s="13"/>
      <c r="R2" s="13"/>
      <c r="S2" s="15"/>
      <c r="T2" s="13"/>
      <c r="U2" s="15"/>
      <c r="W2" s="4" t="s">
        <v>34</v>
      </c>
    </row>
    <row r="3" spans="1:23" s="101" customFormat="1" ht="129.75" customHeight="1">
      <c r="A3" s="97">
        <v>4114</v>
      </c>
      <c r="B3" s="29" t="s">
        <v>22</v>
      </c>
      <c r="C3" s="98" t="s">
        <v>85</v>
      </c>
      <c r="D3" s="29">
        <v>5480000</v>
      </c>
      <c r="E3" s="97" t="s">
        <v>24</v>
      </c>
      <c r="F3" s="65" t="s">
        <v>25</v>
      </c>
      <c r="G3" s="97">
        <v>0</v>
      </c>
      <c r="H3" s="99">
        <v>30204</v>
      </c>
      <c r="I3" s="100" t="s">
        <v>26</v>
      </c>
      <c r="J3" s="100" t="s">
        <v>27</v>
      </c>
      <c r="K3" s="97">
        <v>63</v>
      </c>
      <c r="L3" s="18" t="s">
        <v>28</v>
      </c>
      <c r="M3" s="19" t="s">
        <v>29</v>
      </c>
      <c r="N3" s="20" t="s">
        <v>30</v>
      </c>
      <c r="O3" s="19" t="s">
        <v>31</v>
      </c>
      <c r="P3" s="19"/>
      <c r="Q3" s="19"/>
      <c r="R3" s="19" t="s">
        <v>31</v>
      </c>
      <c r="S3" s="21" t="s">
        <v>32</v>
      </c>
      <c r="T3" s="19" t="s">
        <v>33</v>
      </c>
      <c r="U3" s="21"/>
      <c r="W3" s="102" t="s">
        <v>34</v>
      </c>
    </row>
    <row r="4" spans="1:23">
      <c r="A4" s="156" t="s">
        <v>35</v>
      </c>
      <c r="B4" s="159" t="s">
        <v>36</v>
      </c>
      <c r="C4" s="104" t="s">
        <v>37</v>
      </c>
      <c r="D4" s="175">
        <v>40000000</v>
      </c>
      <c r="E4" s="159" t="s">
        <v>38</v>
      </c>
      <c r="F4" s="32" t="s">
        <v>25</v>
      </c>
      <c r="G4">
        <v>0</v>
      </c>
      <c r="H4" s="36">
        <v>1000000</v>
      </c>
      <c r="I4" s="40" t="s">
        <v>39</v>
      </c>
      <c r="J4" s="165" t="s">
        <v>40</v>
      </c>
      <c r="K4">
        <v>50</v>
      </c>
      <c r="L4" s="12"/>
      <c r="M4" s="13"/>
      <c r="N4" s="14"/>
      <c r="O4" s="13"/>
      <c r="P4" s="13"/>
      <c r="Q4" s="13"/>
      <c r="R4" s="13"/>
      <c r="S4" s="15"/>
      <c r="T4" s="13"/>
      <c r="U4" s="15"/>
      <c r="W4" s="5" t="s">
        <v>86</v>
      </c>
    </row>
    <row r="5" spans="1:23">
      <c r="A5" s="173"/>
      <c r="B5" s="160"/>
      <c r="C5" s="104" t="s">
        <v>42</v>
      </c>
      <c r="D5" s="176"/>
      <c r="E5" s="160"/>
      <c r="F5" s="32" t="s">
        <v>25</v>
      </c>
      <c r="G5">
        <v>0</v>
      </c>
      <c r="H5" s="36">
        <v>1500000</v>
      </c>
      <c r="I5" s="40" t="s">
        <v>43</v>
      </c>
      <c r="J5" s="166"/>
      <c r="K5">
        <v>50</v>
      </c>
      <c r="L5" s="12"/>
      <c r="M5" s="13"/>
      <c r="N5" s="14"/>
      <c r="O5" s="13"/>
      <c r="P5" s="13"/>
      <c r="Q5" s="13"/>
      <c r="R5" s="13"/>
      <c r="S5" s="15"/>
      <c r="T5" s="13"/>
      <c r="U5" s="15"/>
      <c r="W5" s="5"/>
    </row>
    <row r="6" spans="1:23">
      <c r="A6" s="174"/>
      <c r="B6" s="161"/>
      <c r="C6" s="29"/>
      <c r="D6" s="177"/>
      <c r="E6" s="161"/>
      <c r="F6" s="33" t="s">
        <v>25</v>
      </c>
      <c r="G6" s="16">
        <v>0</v>
      </c>
      <c r="H6" s="37">
        <v>1500000</v>
      </c>
      <c r="I6" s="41" t="s">
        <v>44</v>
      </c>
      <c r="J6" s="167"/>
      <c r="K6" s="16">
        <v>50</v>
      </c>
      <c r="L6" s="18"/>
      <c r="M6" s="19"/>
      <c r="N6" s="20"/>
      <c r="O6" s="19"/>
      <c r="P6" s="19"/>
      <c r="Q6" s="19"/>
      <c r="R6" s="19"/>
      <c r="S6" s="21"/>
      <c r="T6" s="19"/>
      <c r="U6" s="21"/>
      <c r="W6" s="5"/>
    </row>
    <row r="7" spans="1:23">
      <c r="A7" s="178" t="s">
        <v>87</v>
      </c>
      <c r="B7" s="171" t="s">
        <v>88</v>
      </c>
      <c r="C7" s="105" t="s">
        <v>89</v>
      </c>
      <c r="D7" s="72">
        <v>64600000</v>
      </c>
      <c r="E7" s="73" t="s">
        <v>38</v>
      </c>
      <c r="F7" s="74" t="s">
        <v>25</v>
      </c>
      <c r="G7" s="73">
        <v>0</v>
      </c>
      <c r="H7" s="75">
        <v>2500000</v>
      </c>
      <c r="I7" s="76" t="s">
        <v>90</v>
      </c>
      <c r="J7" s="53" t="s">
        <v>40</v>
      </c>
      <c r="K7" s="16">
        <v>50</v>
      </c>
      <c r="L7" s="26"/>
      <c r="M7" s="27"/>
      <c r="N7" s="28"/>
      <c r="O7" s="27"/>
      <c r="P7" s="27"/>
      <c r="Q7" s="27"/>
      <c r="R7" s="27"/>
      <c r="S7" s="29"/>
      <c r="T7" s="27"/>
      <c r="U7" s="29"/>
      <c r="W7" s="5" t="s">
        <v>86</v>
      </c>
    </row>
    <row r="8" spans="1:23">
      <c r="A8" s="179"/>
      <c r="B8" s="180"/>
      <c r="C8" s="181"/>
      <c r="D8" s="182">
        <v>9600000</v>
      </c>
      <c r="E8" s="171" t="s">
        <v>38</v>
      </c>
      <c r="F8" s="77" t="s">
        <v>25</v>
      </c>
      <c r="G8" s="78">
        <v>0</v>
      </c>
      <c r="H8" s="79">
        <v>250000</v>
      </c>
      <c r="I8" s="80" t="s">
        <v>91</v>
      </c>
      <c r="J8" s="165" t="s">
        <v>56</v>
      </c>
      <c r="K8">
        <v>50</v>
      </c>
      <c r="L8" s="22"/>
      <c r="M8" s="23"/>
      <c r="N8" s="24"/>
      <c r="O8" s="23"/>
      <c r="P8" s="23"/>
      <c r="Q8" s="23"/>
      <c r="R8" s="23"/>
      <c r="S8" s="25"/>
      <c r="T8" s="23"/>
      <c r="U8" s="25"/>
      <c r="W8" s="5" t="s">
        <v>86</v>
      </c>
    </row>
    <row r="9" spans="1:23">
      <c r="A9" s="179"/>
      <c r="B9" s="180"/>
      <c r="C9" s="181"/>
      <c r="D9" s="183"/>
      <c r="E9" s="180"/>
      <c r="F9" s="77" t="s">
        <v>25</v>
      </c>
      <c r="G9" s="78">
        <v>0</v>
      </c>
      <c r="H9" s="79">
        <v>500000</v>
      </c>
      <c r="I9" s="80" t="s">
        <v>92</v>
      </c>
      <c r="J9" s="166"/>
      <c r="K9">
        <v>50</v>
      </c>
      <c r="L9" s="12"/>
      <c r="M9" s="13"/>
      <c r="N9" s="14"/>
      <c r="O9" s="13"/>
      <c r="P9" s="13"/>
      <c r="Q9" s="13"/>
      <c r="R9" s="13"/>
      <c r="S9" s="15"/>
      <c r="T9" s="13"/>
      <c r="U9" s="15"/>
      <c r="W9" s="5"/>
    </row>
    <row r="10" spans="1:23">
      <c r="A10" s="179"/>
      <c r="B10" s="180"/>
      <c r="C10" s="181"/>
      <c r="D10" s="184"/>
      <c r="E10" s="172"/>
      <c r="F10" s="74" t="s">
        <v>25</v>
      </c>
      <c r="G10" s="73">
        <v>0</v>
      </c>
      <c r="H10" s="75">
        <v>25000</v>
      </c>
      <c r="I10" s="76" t="s">
        <v>93</v>
      </c>
      <c r="J10" s="167"/>
      <c r="K10" s="16">
        <v>50</v>
      </c>
      <c r="L10" s="18"/>
      <c r="M10" s="19"/>
      <c r="N10" s="20"/>
      <c r="O10" s="19"/>
      <c r="P10" s="19"/>
      <c r="Q10" s="19"/>
      <c r="R10" s="19"/>
      <c r="S10" s="21"/>
      <c r="T10" s="19"/>
      <c r="U10" s="21"/>
      <c r="W10" s="5"/>
    </row>
    <row r="11" spans="1:23">
      <c r="A11" s="179"/>
      <c r="B11" s="180"/>
      <c r="C11" s="106"/>
      <c r="D11" s="72">
        <v>1800000</v>
      </c>
      <c r="E11" s="73" t="s">
        <v>38</v>
      </c>
      <c r="F11" s="74" t="s">
        <v>25</v>
      </c>
      <c r="G11" s="73">
        <v>0</v>
      </c>
      <c r="H11" s="75">
        <v>1000000</v>
      </c>
      <c r="I11" s="76" t="s">
        <v>94</v>
      </c>
      <c r="J11" s="28" t="s">
        <v>95</v>
      </c>
      <c r="K11" s="16">
        <v>50</v>
      </c>
      <c r="L11" s="22"/>
      <c r="M11" s="23"/>
      <c r="N11" s="24"/>
      <c r="O11" s="23"/>
      <c r="P11" s="23"/>
      <c r="Q11" s="23"/>
      <c r="R11" s="23"/>
      <c r="S11" s="25"/>
      <c r="T11" s="23"/>
      <c r="U11" s="25"/>
      <c r="W11" s="5" t="s">
        <v>86</v>
      </c>
    </row>
    <row r="12" spans="1:23">
      <c r="A12" s="179"/>
      <c r="B12" s="180"/>
      <c r="C12" s="106"/>
      <c r="D12" s="72">
        <v>460000</v>
      </c>
      <c r="E12" s="73" t="s">
        <v>38</v>
      </c>
      <c r="F12" s="74" t="s">
        <v>25</v>
      </c>
      <c r="G12" s="73">
        <v>0</v>
      </c>
      <c r="H12" s="75">
        <v>500000</v>
      </c>
      <c r="I12" s="76" t="s">
        <v>96</v>
      </c>
      <c r="J12" s="28" t="s">
        <v>97</v>
      </c>
      <c r="K12" s="16">
        <v>50</v>
      </c>
      <c r="L12" s="18"/>
      <c r="M12" s="19"/>
      <c r="N12" s="20"/>
      <c r="O12" s="19"/>
      <c r="P12" s="19"/>
      <c r="Q12" s="19"/>
      <c r="R12" s="19"/>
      <c r="S12" s="21"/>
      <c r="T12" s="19"/>
      <c r="U12" s="21"/>
      <c r="W12" s="5" t="s">
        <v>86</v>
      </c>
    </row>
    <row r="13" spans="1:23">
      <c r="A13" s="179"/>
      <c r="B13" s="180"/>
      <c r="C13" s="168"/>
      <c r="D13" s="169">
        <v>5100000</v>
      </c>
      <c r="E13" s="171" t="s">
        <v>38</v>
      </c>
      <c r="F13" s="77" t="s">
        <v>25</v>
      </c>
      <c r="G13" s="78">
        <v>0</v>
      </c>
      <c r="H13" s="79">
        <v>250000</v>
      </c>
      <c r="I13" s="80" t="s">
        <v>98</v>
      </c>
      <c r="J13" s="165" t="s">
        <v>99</v>
      </c>
      <c r="K13">
        <v>50</v>
      </c>
      <c r="L13" s="22"/>
      <c r="M13" s="23"/>
      <c r="N13" s="24"/>
      <c r="O13" s="23"/>
      <c r="P13" s="23"/>
      <c r="Q13" s="23"/>
      <c r="R13" s="23"/>
      <c r="S13" s="25"/>
      <c r="T13" s="23"/>
      <c r="U13" s="25"/>
      <c r="W13" s="5" t="s">
        <v>86</v>
      </c>
    </row>
    <row r="14" spans="1:23">
      <c r="A14" s="179"/>
      <c r="B14" s="180"/>
      <c r="C14" s="168"/>
      <c r="D14" s="170"/>
      <c r="E14" s="172"/>
      <c r="F14" s="74" t="s">
        <v>25</v>
      </c>
      <c r="G14" s="73">
        <v>0</v>
      </c>
      <c r="H14" s="75">
        <v>25000</v>
      </c>
      <c r="I14" s="76" t="s">
        <v>93</v>
      </c>
      <c r="J14" s="167"/>
      <c r="K14" s="16">
        <v>50</v>
      </c>
      <c r="L14" s="18"/>
      <c r="M14" s="19"/>
      <c r="N14" s="20"/>
      <c r="O14" s="19"/>
      <c r="P14" s="19"/>
      <c r="Q14" s="19"/>
      <c r="R14" s="19"/>
      <c r="S14" s="21"/>
      <c r="T14" s="19"/>
      <c r="U14" s="21"/>
      <c r="W14" s="5"/>
    </row>
    <row r="15" spans="1:23" ht="18" customHeight="1">
      <c r="A15" s="179"/>
      <c r="B15" s="180"/>
      <c r="C15" s="106"/>
      <c r="D15" s="81">
        <v>3600000</v>
      </c>
      <c r="E15" s="78" t="s">
        <v>38</v>
      </c>
      <c r="F15" s="77" t="s">
        <v>25</v>
      </c>
      <c r="G15" s="78">
        <v>0</v>
      </c>
      <c r="H15" s="77" t="s">
        <v>100</v>
      </c>
      <c r="I15" s="82"/>
      <c r="J15" s="62" t="s">
        <v>101</v>
      </c>
      <c r="K15">
        <v>50</v>
      </c>
      <c r="L15" s="63"/>
      <c r="M15" s="47"/>
      <c r="N15" s="64"/>
      <c r="O15" s="47"/>
      <c r="P15" s="47"/>
      <c r="Q15" s="47"/>
      <c r="R15" s="47"/>
      <c r="S15" s="65"/>
      <c r="T15" s="47"/>
      <c r="U15" s="65"/>
      <c r="W15" s="5" t="s">
        <v>86</v>
      </c>
    </row>
    <row r="16" spans="1:23" ht="210.4" customHeight="1">
      <c r="A16" s="95">
        <v>134106</v>
      </c>
      <c r="B16" s="96" t="s">
        <v>45</v>
      </c>
      <c r="C16" s="96" t="s">
        <v>102</v>
      </c>
      <c r="D16" s="84" t="s">
        <v>103</v>
      </c>
      <c r="E16" s="83" t="s">
        <v>38</v>
      </c>
      <c r="F16" s="83" t="s">
        <v>25</v>
      </c>
      <c r="G16" s="83">
        <v>0</v>
      </c>
      <c r="H16" s="85">
        <v>2600000</v>
      </c>
      <c r="I16" s="86" t="s">
        <v>104</v>
      </c>
      <c r="J16" s="58" t="s">
        <v>40</v>
      </c>
      <c r="K16" s="54">
        <v>50</v>
      </c>
      <c r="L16" s="54" t="s">
        <v>41</v>
      </c>
      <c r="M16" s="54"/>
      <c r="N16" s="54"/>
      <c r="O16" s="54"/>
      <c r="P16" s="54"/>
      <c r="Q16" s="54"/>
      <c r="R16" s="54"/>
      <c r="S16" s="54"/>
      <c r="T16" s="54"/>
      <c r="U16" s="54"/>
    </row>
    <row r="17" spans="1:21" ht="71.25">
      <c r="A17" s="95"/>
      <c r="B17" s="96"/>
      <c r="C17" s="107" t="s">
        <v>105</v>
      </c>
      <c r="D17" s="86" t="s">
        <v>106</v>
      </c>
      <c r="E17" s="83" t="s">
        <v>38</v>
      </c>
      <c r="F17" s="83" t="s">
        <v>25</v>
      </c>
      <c r="G17" s="83">
        <v>0</v>
      </c>
      <c r="H17" s="87">
        <v>450000</v>
      </c>
      <c r="I17" s="88" t="s">
        <v>49</v>
      </c>
      <c r="J17" s="58" t="s">
        <v>50</v>
      </c>
      <c r="K17" s="54">
        <v>50</v>
      </c>
      <c r="L17" s="54" t="s">
        <v>41</v>
      </c>
      <c r="M17" s="54"/>
      <c r="N17" s="54"/>
      <c r="O17" s="54"/>
      <c r="P17" s="54"/>
      <c r="Q17" s="54"/>
      <c r="R17" s="54"/>
      <c r="S17" s="54"/>
      <c r="T17" s="54"/>
      <c r="U17" s="54"/>
    </row>
    <row r="18" spans="1:21" ht="60" customHeight="1">
      <c r="A18" s="95"/>
      <c r="B18" s="96"/>
      <c r="C18" s="95"/>
      <c r="D18" s="86" t="s">
        <v>106</v>
      </c>
      <c r="E18" s="83" t="s">
        <v>38</v>
      </c>
      <c r="F18" s="83" t="s">
        <v>25</v>
      </c>
      <c r="G18" s="83">
        <v>0</v>
      </c>
      <c r="H18" s="89">
        <v>900955</v>
      </c>
      <c r="I18" s="90" t="s">
        <v>51</v>
      </c>
      <c r="J18" s="58" t="s">
        <v>52</v>
      </c>
      <c r="K18" s="54">
        <v>50</v>
      </c>
      <c r="L18" s="54" t="s">
        <v>41</v>
      </c>
      <c r="M18" s="54"/>
      <c r="N18" s="54"/>
      <c r="O18" s="54"/>
      <c r="P18" s="54"/>
      <c r="Q18" s="54"/>
      <c r="R18" s="54"/>
      <c r="S18" s="54"/>
      <c r="T18" s="54"/>
      <c r="U18" s="54"/>
    </row>
    <row r="19" spans="1:21" ht="57">
      <c r="A19" s="95"/>
      <c r="B19" s="96"/>
      <c r="C19" s="95"/>
      <c r="D19" s="86" t="s">
        <v>106</v>
      </c>
      <c r="E19" s="83" t="s">
        <v>38</v>
      </c>
      <c r="F19" s="83" t="s">
        <v>25</v>
      </c>
      <c r="G19" s="83">
        <v>0</v>
      </c>
      <c r="H19" s="91">
        <v>630000</v>
      </c>
      <c r="I19" s="92" t="s">
        <v>53</v>
      </c>
      <c r="J19" s="58" t="s">
        <v>54</v>
      </c>
      <c r="K19" s="54">
        <v>50</v>
      </c>
      <c r="L19" s="54" t="s">
        <v>41</v>
      </c>
      <c r="M19" s="54"/>
      <c r="N19" s="54"/>
      <c r="O19" s="54"/>
      <c r="P19" s="54"/>
      <c r="Q19" s="54"/>
      <c r="R19" s="54"/>
      <c r="S19" s="54"/>
      <c r="T19" s="54"/>
      <c r="U19" s="54"/>
    </row>
    <row r="20" spans="1:21" ht="28.5">
      <c r="A20" s="95"/>
      <c r="B20" s="96"/>
      <c r="C20" s="95"/>
      <c r="D20" s="86" t="s">
        <v>106</v>
      </c>
      <c r="E20" s="83" t="s">
        <v>38</v>
      </c>
      <c r="F20" s="83" t="s">
        <v>25</v>
      </c>
      <c r="G20" s="83">
        <v>0</v>
      </c>
      <c r="H20" s="93">
        <v>0</v>
      </c>
      <c r="I20" s="94" t="s">
        <v>55</v>
      </c>
      <c r="J20" s="58" t="s">
        <v>56</v>
      </c>
      <c r="K20" s="54">
        <v>50</v>
      </c>
      <c r="L20" s="54" t="s">
        <v>41</v>
      </c>
      <c r="M20" s="54"/>
      <c r="N20" s="54"/>
      <c r="O20" s="54"/>
      <c r="P20" s="54"/>
      <c r="Q20" s="54"/>
      <c r="R20" s="54"/>
      <c r="S20" s="54"/>
      <c r="T20" s="54"/>
      <c r="U20" s="54"/>
    </row>
    <row r="21" spans="1:21" ht="48.75" customHeight="1">
      <c r="A21" s="95"/>
      <c r="B21" s="96"/>
      <c r="C21" s="95"/>
      <c r="D21" s="86" t="s">
        <v>106</v>
      </c>
      <c r="E21" s="83" t="s">
        <v>38</v>
      </c>
      <c r="F21" s="83" t="s">
        <v>25</v>
      </c>
      <c r="G21" s="83">
        <v>0</v>
      </c>
      <c r="H21" s="89">
        <v>95800</v>
      </c>
      <c r="I21" s="90" t="s">
        <v>57</v>
      </c>
      <c r="J21" s="58" t="s">
        <v>58</v>
      </c>
      <c r="K21" s="54">
        <v>50</v>
      </c>
      <c r="L21" s="54" t="s">
        <v>41</v>
      </c>
      <c r="M21" s="54"/>
      <c r="N21" s="54"/>
      <c r="O21" s="54"/>
      <c r="P21" s="54"/>
      <c r="Q21" s="54"/>
      <c r="R21" s="54"/>
      <c r="S21" s="54"/>
      <c r="T21" s="54"/>
      <c r="U21" s="54"/>
    </row>
    <row r="22" spans="1:21" ht="42.75">
      <c r="A22" s="95"/>
      <c r="B22" s="96"/>
      <c r="C22" s="95"/>
      <c r="D22" s="86" t="s">
        <v>106</v>
      </c>
      <c r="E22" s="83" t="s">
        <v>59</v>
      </c>
      <c r="F22" s="83" t="s">
        <v>25</v>
      </c>
      <c r="G22" s="83">
        <v>0</v>
      </c>
      <c r="H22" s="89">
        <v>10700</v>
      </c>
      <c r="I22" s="86" t="s">
        <v>61</v>
      </c>
      <c r="J22" s="58" t="s">
        <v>52</v>
      </c>
      <c r="K22" s="54">
        <v>50</v>
      </c>
      <c r="L22" s="54" t="s">
        <v>41</v>
      </c>
      <c r="M22" s="54"/>
      <c r="N22" s="54"/>
      <c r="O22" s="54"/>
      <c r="P22" s="54"/>
      <c r="Q22" s="54"/>
      <c r="R22" s="54"/>
      <c r="S22" s="54" t="s">
        <v>32</v>
      </c>
      <c r="T22" s="54"/>
      <c r="U22" s="54"/>
    </row>
    <row r="23" spans="1:21" ht="56.25" customHeight="1">
      <c r="A23" s="95"/>
      <c r="B23" s="96"/>
      <c r="C23" s="95"/>
      <c r="D23" s="86" t="s">
        <v>106</v>
      </c>
      <c r="E23" s="83" t="s">
        <v>107</v>
      </c>
      <c r="F23" s="83" t="s">
        <v>25</v>
      </c>
      <c r="G23" s="83">
        <v>0</v>
      </c>
      <c r="H23" s="85">
        <v>35800000</v>
      </c>
      <c r="I23" s="86" t="s">
        <v>108</v>
      </c>
      <c r="J23" s="58"/>
      <c r="K23" s="54">
        <v>50</v>
      </c>
      <c r="L23" s="54" t="s">
        <v>41</v>
      </c>
      <c r="M23" s="54"/>
      <c r="N23" s="54"/>
      <c r="O23" s="54"/>
      <c r="P23" s="54"/>
      <c r="Q23" s="54"/>
      <c r="R23" s="54"/>
      <c r="S23" s="54"/>
      <c r="T23" s="54"/>
      <c r="U23" s="54"/>
    </row>
    <row r="24" spans="1:21" ht="85.5">
      <c r="A24" s="95"/>
      <c r="B24" s="96"/>
      <c r="C24" s="95"/>
      <c r="D24" s="86" t="s">
        <v>106</v>
      </c>
      <c r="E24" s="83" t="s">
        <v>62</v>
      </c>
      <c r="F24" s="83" t="s">
        <v>25</v>
      </c>
      <c r="G24" s="83">
        <v>0</v>
      </c>
      <c r="H24" s="85">
        <v>35800000</v>
      </c>
      <c r="I24" s="86" t="s">
        <v>65</v>
      </c>
      <c r="J24" s="58" t="s">
        <v>66</v>
      </c>
      <c r="K24" s="54">
        <v>50</v>
      </c>
      <c r="L24" s="54" t="s">
        <v>41</v>
      </c>
      <c r="M24" s="54"/>
      <c r="N24" s="54"/>
      <c r="O24" s="54"/>
      <c r="P24" s="54"/>
      <c r="Q24" s="54"/>
      <c r="R24" s="54"/>
      <c r="S24" s="54"/>
      <c r="T24" s="54"/>
      <c r="U24" s="54"/>
    </row>
    <row r="25" spans="1:21" ht="57">
      <c r="A25" s="95"/>
      <c r="B25" s="96"/>
      <c r="C25" s="95"/>
      <c r="D25" s="86" t="s">
        <v>106</v>
      </c>
      <c r="E25" s="83" t="s">
        <v>62</v>
      </c>
      <c r="F25" s="83" t="s">
        <v>25</v>
      </c>
      <c r="G25" s="83">
        <v>0</v>
      </c>
      <c r="H25" s="85">
        <v>35800000</v>
      </c>
      <c r="I25" s="86" t="s">
        <v>109</v>
      </c>
      <c r="J25" s="58" t="s">
        <v>52</v>
      </c>
      <c r="K25" s="54">
        <v>50</v>
      </c>
      <c r="L25" s="54" t="s">
        <v>41</v>
      </c>
      <c r="M25" s="54"/>
      <c r="N25" s="54"/>
      <c r="O25" s="54"/>
      <c r="P25" s="54"/>
      <c r="Q25" s="54"/>
      <c r="R25" s="54"/>
      <c r="S25" s="54"/>
      <c r="T25" s="54"/>
      <c r="U25" s="54"/>
    </row>
    <row r="26" spans="1:21" ht="71.25">
      <c r="A26" s="95"/>
      <c r="B26" s="96"/>
      <c r="C26" s="95"/>
      <c r="D26" s="86" t="s">
        <v>106</v>
      </c>
      <c r="E26" s="83" t="s">
        <v>62</v>
      </c>
      <c r="F26" s="83" t="s">
        <v>25</v>
      </c>
      <c r="G26" s="83">
        <v>0</v>
      </c>
      <c r="H26" s="85">
        <v>35800000</v>
      </c>
      <c r="I26" s="86" t="s">
        <v>73</v>
      </c>
      <c r="J26" s="58" t="s">
        <v>66</v>
      </c>
      <c r="K26" s="54">
        <v>50</v>
      </c>
      <c r="L26" s="54" t="s">
        <v>41</v>
      </c>
      <c r="M26" s="54"/>
      <c r="N26" s="54"/>
      <c r="O26" s="54"/>
      <c r="P26" s="54"/>
      <c r="Q26" s="54"/>
      <c r="R26" s="54"/>
      <c r="S26" s="54"/>
      <c r="T26" s="54"/>
      <c r="U26" s="54"/>
    </row>
  </sheetData>
  <mergeCells count="15">
    <mergeCell ref="A7:A15"/>
    <mergeCell ref="B7:B15"/>
    <mergeCell ref="C8:C10"/>
    <mergeCell ref="D8:D10"/>
    <mergeCell ref="E8:E10"/>
    <mergeCell ref="A4:A6"/>
    <mergeCell ref="B4:B6"/>
    <mergeCell ref="D4:D6"/>
    <mergeCell ref="E4:E6"/>
    <mergeCell ref="J4:J6"/>
    <mergeCell ref="J8:J10"/>
    <mergeCell ref="C13:C14"/>
    <mergeCell ref="D13:D14"/>
    <mergeCell ref="E13:E14"/>
    <mergeCell ref="J13:J14"/>
  </mergeCells>
  <dataValidations count="9">
    <dataValidation type="list" allowBlank="1" showInputMessage="1" showErrorMessage="1" sqref="Q2:Q15" xr:uid="{96B94D81-BA59-4531-9DFE-24D5F9CE9353}">
      <formula1>"NDC Support, National Strategy, Legal Framework,Incentives and Support, Government Capacity-Building, Carbon Pricing and Monitoring, Financing Model, Business Model"</formula1>
    </dataValidation>
    <dataValidation type="list" allowBlank="1" showInputMessage="1" showErrorMessage="1" sqref="N2:N15" xr:uid="{8AC1D835-08B6-4B14-B02C-BD1DA656F966}">
      <formula1>"Accelerating just energy transition, Close the gap on energy access, Scale up energy finance"</formula1>
    </dataValidation>
    <dataValidation type="list" allowBlank="1" showInputMessage="1" showErrorMessage="1" sqref="O2:O15" xr:uid="{0C66A12B-E237-4C49-84DE-FC998659A101}">
      <formula1>"Electricity Access, Energy Efficiency, Clean Cooking, Renewable Energy, Overall"</formula1>
    </dataValidation>
    <dataValidation type="list" allowBlank="1" showInputMessage="1" showErrorMessage="1" sqref="M2:M15" xr:uid="{8C6DEF7E-F3D9-48ED-AE6B-65B7ACB9F37B}">
      <formula1>"Finance, Gender, Efficiency, Just, Health"</formula1>
    </dataValidation>
    <dataValidation type="list" allowBlank="1" showInputMessage="1" showErrorMessage="1" sqref="T2:T15" xr:uid="{1D60A039-E62C-4102-A94A-25D77DCFAECA}">
      <formula1>"National, Regional, City, Community"</formula1>
    </dataValidation>
    <dataValidation type="list" allowBlank="1" showInputMessage="1" showErrorMessage="1" sqref="P2:P15" xr:uid="{8AF9DD93-CB32-4D87-9533-356ECE7ABAFE}">
      <formula1>"AMP, PUDC, Solar4Health, Action Opportunities, Italy UNDP Energy Partnership"</formula1>
    </dataValidation>
    <dataValidation type="list" allowBlank="1" showInputMessage="1" showErrorMessage="1" sqref="L2:L15" xr:uid="{84FD91F0-A81E-45B6-820A-4C9D6750C6A4}">
      <formula1>"Non-VF, VF"</formula1>
    </dataValidation>
    <dataValidation type="list" allowBlank="1" showInputMessage="1" showErrorMessage="1" sqref="R2:R15" xr:uid="{1B01A017-E0ED-4DB7-83AC-157E8DB1B1E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5" xr:uid="{7AE4BA3D-E214-4934-A68B-0E2BE7B62553}">
      <formula1>"Solar, Wind, Bioenergy, Hydro, Geothermal, Waste, Some Sources, Other, Unknown"</formula1>
    </dataValidation>
  </dataValidations>
  <hyperlinks>
    <hyperlink ref="C2" r:id="rId1" xr:uid="{75DF0C91-B1E8-47B5-80C2-AE6D1FDC07B8}"/>
    <hyperlink ref="C5" r:id="rId2" xr:uid="{F891CEED-4FD3-4471-98F3-049993D58CF1}"/>
    <hyperlink ref="C4" r:id="rId3" xr:uid="{6670C315-1A26-46D6-9168-6F2FA212FF43}"/>
    <hyperlink ref="C3" r:id="rId4" xr:uid="{5054A6EC-12F3-44AF-BA23-BEE3B73DF0B5}"/>
    <hyperlink ref="C7" r:id="rId5" xr:uid="{D71F9A62-9284-4EC2-BFF1-6B4744462081}"/>
    <hyperlink ref="C17" r:id="rId6" xr:uid="{47974951-F9A5-436B-A5F1-6298BAD2CC05}"/>
  </hyperlinks>
  <pageMargins left="0.7" right="0.7" top="0.75" bottom="0.75" header="0.3" footer="0.3"/>
  <pageSetup orientation="portrait" r:id="rId7"/>
  <legacyDrawing r:id="rId8"/>
  <extLst>
    <ext xmlns:x14="http://schemas.microsoft.com/office/spreadsheetml/2009/9/main" uri="{CCE6A557-97BC-4b89-ADB6-D9C93CAAB3DF}">
      <x14:dataValidations xmlns:xm="http://schemas.microsoft.com/office/excel/2006/main" count="1">
        <x14:dataValidation type="list" allowBlank="1" showInputMessage="1" showErrorMessage="1" xr:uid="{D77DBCA2-DA6D-4C08-8F0A-A8F3D8395D00}">
          <x14:formula1>
            <xm:f>'Beneficiary Categories'!$A$2:$A$22</xm:f>
          </x14:formula1>
          <xm:sqref>E7:E8 E11:E13 E15 E2:E4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6"/>
  <sheetViews>
    <sheetView topLeftCell="D20" workbookViewId="0">
      <selection activeCell="E24" sqref="E24"/>
    </sheetView>
  </sheetViews>
  <sheetFormatPr defaultRowHeight="14.25"/>
  <cols>
    <col min="1" max="1" width="10.85546875" customWidth="1"/>
    <col min="2" max="2" width="32.42578125" customWidth="1"/>
    <col min="3" max="3" width="29.5703125" customWidth="1"/>
    <col min="4" max="4" width="46" customWidth="1"/>
    <col min="5" max="5" width="30.7109375" customWidth="1"/>
    <col min="6" max="6" width="18" customWidth="1"/>
    <col min="7" max="7" width="14.7109375" customWidth="1"/>
    <col min="8" max="8" width="13.28515625" customWidth="1"/>
    <col min="9" max="9" width="43.7109375" customWidth="1"/>
    <col min="10" max="10" width="13.7109375" style="46" customWidth="1"/>
    <col min="11" max="11" width="16.140625" customWidth="1"/>
    <col min="12" max="12" width="17.28515625" customWidth="1"/>
    <col min="14" max="14" width="18.28515625" customWidth="1"/>
    <col min="15" max="15" width="17.7109375" customWidth="1"/>
    <col min="17" max="17" width="19.42578125" customWidth="1"/>
    <col min="18" max="18" width="19" customWidth="1"/>
    <col min="20" max="20" width="26" customWidth="1"/>
  </cols>
  <sheetData>
    <row r="1" spans="1:23">
      <c r="A1" s="30" t="s">
        <v>0</v>
      </c>
      <c r="B1" s="31" t="s">
        <v>1</v>
      </c>
      <c r="C1" s="35" t="s">
        <v>2</v>
      </c>
      <c r="D1" s="31" t="s">
        <v>3</v>
      </c>
      <c r="E1" s="34" t="s">
        <v>4</v>
      </c>
      <c r="F1" s="1" t="s">
        <v>5</v>
      </c>
      <c r="G1" s="1" t="s">
        <v>6</v>
      </c>
      <c r="H1" s="1" t="s">
        <v>7</v>
      </c>
      <c r="I1" s="1" t="s">
        <v>8</v>
      </c>
      <c r="J1" s="50" t="s">
        <v>9</v>
      </c>
      <c r="K1" s="42" t="s">
        <v>10</v>
      </c>
      <c r="L1" s="8" t="s">
        <v>11</v>
      </c>
      <c r="M1" s="9" t="s">
        <v>12</v>
      </c>
      <c r="N1" s="8" t="s">
        <v>13</v>
      </c>
      <c r="O1" s="8" t="s">
        <v>14</v>
      </c>
      <c r="P1" s="9" t="s">
        <v>15</v>
      </c>
      <c r="Q1" s="9" t="s">
        <v>16</v>
      </c>
      <c r="R1" s="10" t="s">
        <v>17</v>
      </c>
      <c r="S1" s="11" t="s">
        <v>18</v>
      </c>
      <c r="T1" s="10" t="s">
        <v>19</v>
      </c>
      <c r="U1" s="11" t="s">
        <v>20</v>
      </c>
    </row>
    <row r="2" spans="1:23">
      <c r="A2">
        <v>99918</v>
      </c>
      <c r="B2" s="32" t="s">
        <v>81</v>
      </c>
      <c r="C2" s="2" t="s">
        <v>82</v>
      </c>
      <c r="D2" s="32">
        <v>6817448</v>
      </c>
      <c r="E2" s="3"/>
      <c r="F2" s="3"/>
      <c r="G2" s="3"/>
      <c r="H2" s="3"/>
      <c r="I2" s="38"/>
      <c r="J2" s="51"/>
      <c r="L2" s="12"/>
      <c r="M2" s="13"/>
      <c r="N2" s="14"/>
      <c r="O2" s="13"/>
      <c r="P2" s="13"/>
      <c r="Q2" s="13"/>
      <c r="R2" s="13"/>
      <c r="S2" s="15"/>
      <c r="T2" s="13"/>
      <c r="U2" s="15"/>
      <c r="W2" s="4" t="s">
        <v>34</v>
      </c>
    </row>
    <row r="3" spans="1:23" ht="129.75" customHeight="1">
      <c r="A3" s="16">
        <v>4114</v>
      </c>
      <c r="B3" s="33" t="s">
        <v>22</v>
      </c>
      <c r="C3" s="45" t="s">
        <v>85</v>
      </c>
      <c r="D3" s="33">
        <v>5480000</v>
      </c>
      <c r="E3" s="17" t="s">
        <v>24</v>
      </c>
      <c r="F3" s="32" t="s">
        <v>25</v>
      </c>
      <c r="G3" s="17">
        <v>0</v>
      </c>
      <c r="H3" s="48">
        <v>30204</v>
      </c>
      <c r="I3" s="49" t="s">
        <v>26</v>
      </c>
      <c r="J3" s="52" t="s">
        <v>27</v>
      </c>
      <c r="K3" s="16">
        <v>63</v>
      </c>
      <c r="L3" s="18" t="s">
        <v>28</v>
      </c>
      <c r="M3" s="19" t="s">
        <v>29</v>
      </c>
      <c r="N3" s="20" t="s">
        <v>30</v>
      </c>
      <c r="O3" s="19" t="s">
        <v>31</v>
      </c>
      <c r="P3" s="19"/>
      <c r="Q3" s="19"/>
      <c r="R3" s="19" t="s">
        <v>31</v>
      </c>
      <c r="S3" s="21" t="s">
        <v>32</v>
      </c>
      <c r="T3" s="19" t="s">
        <v>33</v>
      </c>
      <c r="U3" s="21"/>
      <c r="W3" s="4" t="s">
        <v>34</v>
      </c>
    </row>
    <row r="4" spans="1:23">
      <c r="A4" s="156" t="s">
        <v>35</v>
      </c>
      <c r="B4" s="159" t="s">
        <v>36</v>
      </c>
      <c r="C4" s="44" t="s">
        <v>37</v>
      </c>
      <c r="D4" s="175">
        <v>40000000</v>
      </c>
      <c r="E4" s="159" t="s">
        <v>38</v>
      </c>
      <c r="F4" s="32" t="s">
        <v>25</v>
      </c>
      <c r="G4">
        <v>0</v>
      </c>
      <c r="H4" s="36">
        <v>1000000</v>
      </c>
      <c r="I4" s="40" t="s">
        <v>39</v>
      </c>
      <c r="J4" s="165" t="s">
        <v>40</v>
      </c>
      <c r="K4">
        <v>50</v>
      </c>
      <c r="L4" s="12"/>
      <c r="M4" s="13"/>
      <c r="N4" s="14"/>
      <c r="O4" s="13"/>
      <c r="P4" s="13"/>
      <c r="Q4" s="13"/>
      <c r="R4" s="13"/>
      <c r="S4" s="15"/>
      <c r="T4" s="13"/>
      <c r="U4" s="15"/>
      <c r="W4" s="5" t="s">
        <v>86</v>
      </c>
    </row>
    <row r="5" spans="1:23">
      <c r="A5" s="173"/>
      <c r="B5" s="160"/>
      <c r="C5" s="44" t="s">
        <v>42</v>
      </c>
      <c r="D5" s="176"/>
      <c r="E5" s="160"/>
      <c r="F5" s="32" t="s">
        <v>25</v>
      </c>
      <c r="G5">
        <v>0</v>
      </c>
      <c r="H5" s="36">
        <v>1500000</v>
      </c>
      <c r="I5" s="40" t="s">
        <v>43</v>
      </c>
      <c r="J5" s="166"/>
      <c r="K5">
        <v>50</v>
      </c>
      <c r="L5" s="12"/>
      <c r="M5" s="13"/>
      <c r="N5" s="14"/>
      <c r="O5" s="13"/>
      <c r="P5" s="13"/>
      <c r="Q5" s="13"/>
      <c r="R5" s="13"/>
      <c r="S5" s="15"/>
      <c r="T5" s="13"/>
      <c r="U5" s="15"/>
      <c r="W5" s="5"/>
    </row>
    <row r="6" spans="1:23">
      <c r="A6" s="174"/>
      <c r="B6" s="161"/>
      <c r="C6" s="33"/>
      <c r="D6" s="177"/>
      <c r="E6" s="161"/>
      <c r="F6" s="33" t="s">
        <v>25</v>
      </c>
      <c r="G6" s="16">
        <v>0</v>
      </c>
      <c r="H6" s="37">
        <v>1500000</v>
      </c>
      <c r="I6" s="41" t="s">
        <v>44</v>
      </c>
      <c r="J6" s="167"/>
      <c r="K6" s="16">
        <v>50</v>
      </c>
      <c r="L6" s="18"/>
      <c r="M6" s="19"/>
      <c r="N6" s="20"/>
      <c r="O6" s="19"/>
      <c r="P6" s="19"/>
      <c r="Q6" s="19"/>
      <c r="R6" s="19"/>
      <c r="S6" s="21"/>
      <c r="T6" s="19"/>
      <c r="U6" s="21"/>
      <c r="W6" s="5"/>
    </row>
    <row r="7" spans="1:23">
      <c r="A7" s="185" t="s">
        <v>87</v>
      </c>
      <c r="B7" s="193" t="s">
        <v>110</v>
      </c>
      <c r="C7" s="32"/>
      <c r="D7" s="43">
        <v>64600000</v>
      </c>
      <c r="E7" s="16" t="s">
        <v>38</v>
      </c>
      <c r="F7" s="33" t="s">
        <v>25</v>
      </c>
      <c r="G7" s="16">
        <v>0</v>
      </c>
      <c r="H7" s="37">
        <v>2500000</v>
      </c>
      <c r="I7" s="41" t="s">
        <v>90</v>
      </c>
      <c r="J7" s="53" t="s">
        <v>40</v>
      </c>
      <c r="K7" s="16">
        <v>50</v>
      </c>
      <c r="L7" s="26"/>
      <c r="M7" s="27"/>
      <c r="N7" s="28"/>
      <c r="O7" s="27"/>
      <c r="P7" s="27"/>
      <c r="Q7" s="27"/>
      <c r="R7" s="27"/>
      <c r="S7" s="29"/>
      <c r="T7" s="27"/>
      <c r="U7" s="29"/>
      <c r="W7" s="5" t="s">
        <v>86</v>
      </c>
    </row>
    <row r="8" spans="1:23">
      <c r="A8" s="186"/>
      <c r="B8" s="194"/>
      <c r="C8" s="198"/>
      <c r="D8" s="187">
        <v>9600000</v>
      </c>
      <c r="E8" s="193" t="s">
        <v>38</v>
      </c>
      <c r="F8" s="32" t="s">
        <v>25</v>
      </c>
      <c r="G8">
        <v>0</v>
      </c>
      <c r="H8" s="36">
        <v>250000</v>
      </c>
      <c r="I8" s="40" t="s">
        <v>91</v>
      </c>
      <c r="J8" s="165" t="s">
        <v>56</v>
      </c>
      <c r="K8">
        <v>50</v>
      </c>
      <c r="L8" s="22"/>
      <c r="M8" s="23"/>
      <c r="N8" s="24"/>
      <c r="O8" s="23"/>
      <c r="P8" s="23"/>
      <c r="Q8" s="23"/>
      <c r="R8" s="23"/>
      <c r="S8" s="25"/>
      <c r="T8" s="23"/>
      <c r="U8" s="25"/>
      <c r="W8" s="5" t="s">
        <v>86</v>
      </c>
    </row>
    <row r="9" spans="1:23">
      <c r="A9" s="186"/>
      <c r="B9" s="194"/>
      <c r="C9" s="198"/>
      <c r="D9" s="188"/>
      <c r="E9" s="194"/>
      <c r="F9" s="32" t="s">
        <v>25</v>
      </c>
      <c r="G9">
        <v>0</v>
      </c>
      <c r="H9" s="36">
        <v>500000</v>
      </c>
      <c r="I9" s="40" t="s">
        <v>92</v>
      </c>
      <c r="J9" s="166"/>
      <c r="K9">
        <v>50</v>
      </c>
      <c r="L9" s="12"/>
      <c r="M9" s="13"/>
      <c r="N9" s="14"/>
      <c r="O9" s="13"/>
      <c r="P9" s="13"/>
      <c r="Q9" s="13"/>
      <c r="R9" s="13"/>
      <c r="S9" s="15"/>
      <c r="T9" s="13"/>
      <c r="U9" s="15"/>
      <c r="W9" s="5"/>
    </row>
    <row r="10" spans="1:23">
      <c r="A10" s="186"/>
      <c r="B10" s="194"/>
      <c r="C10" s="198"/>
      <c r="D10" s="189"/>
      <c r="E10" s="195"/>
      <c r="F10" s="33" t="s">
        <v>25</v>
      </c>
      <c r="G10" s="16">
        <v>0</v>
      </c>
      <c r="H10" s="37">
        <v>25000</v>
      </c>
      <c r="I10" s="41" t="s">
        <v>93</v>
      </c>
      <c r="J10" s="167"/>
      <c r="K10" s="16">
        <v>50</v>
      </c>
      <c r="L10" s="18"/>
      <c r="M10" s="19"/>
      <c r="N10" s="20"/>
      <c r="O10" s="19"/>
      <c r="P10" s="19"/>
      <c r="Q10" s="19"/>
      <c r="R10" s="19"/>
      <c r="S10" s="21"/>
      <c r="T10" s="19"/>
      <c r="U10" s="21"/>
      <c r="W10" s="5"/>
    </row>
    <row r="11" spans="1:23">
      <c r="A11" s="186"/>
      <c r="B11" s="194"/>
      <c r="C11" s="32"/>
      <c r="D11" s="43">
        <v>1800000</v>
      </c>
      <c r="E11" s="16" t="s">
        <v>38</v>
      </c>
      <c r="F11" s="33" t="s">
        <v>25</v>
      </c>
      <c r="G11" s="16">
        <v>0</v>
      </c>
      <c r="H11" s="37">
        <v>1000000</v>
      </c>
      <c r="I11" s="41" t="s">
        <v>94</v>
      </c>
      <c r="J11" s="28" t="s">
        <v>95</v>
      </c>
      <c r="K11" s="16">
        <v>50</v>
      </c>
      <c r="L11" s="22"/>
      <c r="M11" s="23"/>
      <c r="N11" s="24"/>
      <c r="O11" s="23"/>
      <c r="P11" s="23"/>
      <c r="Q11" s="23"/>
      <c r="R11" s="23"/>
      <c r="S11" s="25"/>
      <c r="T11" s="23"/>
      <c r="U11" s="25"/>
      <c r="W11" s="5" t="s">
        <v>86</v>
      </c>
    </row>
    <row r="12" spans="1:23">
      <c r="A12" s="186"/>
      <c r="B12" s="194"/>
      <c r="C12" s="32"/>
      <c r="D12" s="43">
        <v>460000</v>
      </c>
      <c r="E12" s="16" t="s">
        <v>38</v>
      </c>
      <c r="F12" s="33" t="s">
        <v>25</v>
      </c>
      <c r="G12" s="16">
        <v>0</v>
      </c>
      <c r="H12" s="37">
        <v>500000</v>
      </c>
      <c r="I12" s="41" t="s">
        <v>96</v>
      </c>
      <c r="J12" s="28" t="s">
        <v>97</v>
      </c>
      <c r="K12" s="16">
        <v>50</v>
      </c>
      <c r="L12" s="18"/>
      <c r="M12" s="19"/>
      <c r="N12" s="20"/>
      <c r="O12" s="19"/>
      <c r="P12" s="19"/>
      <c r="Q12" s="19"/>
      <c r="R12" s="19"/>
      <c r="S12" s="21"/>
      <c r="T12" s="19"/>
      <c r="U12" s="21"/>
      <c r="W12" s="5" t="s">
        <v>86</v>
      </c>
    </row>
    <row r="13" spans="1:23">
      <c r="A13" s="186"/>
      <c r="B13" s="194"/>
      <c r="C13" s="192"/>
      <c r="D13" s="190">
        <v>5100000</v>
      </c>
      <c r="E13" s="193" t="s">
        <v>38</v>
      </c>
      <c r="F13" s="32" t="s">
        <v>25</v>
      </c>
      <c r="G13">
        <v>0</v>
      </c>
      <c r="H13" s="36">
        <v>250000</v>
      </c>
      <c r="I13" s="40" t="s">
        <v>98</v>
      </c>
      <c r="J13" s="165" t="s">
        <v>99</v>
      </c>
      <c r="K13">
        <v>50</v>
      </c>
      <c r="L13" s="22"/>
      <c r="M13" s="23"/>
      <c r="N13" s="24"/>
      <c r="O13" s="23"/>
      <c r="P13" s="23"/>
      <c r="Q13" s="23"/>
      <c r="R13" s="23"/>
      <c r="S13" s="25"/>
      <c r="T13" s="23"/>
      <c r="U13" s="25"/>
      <c r="W13" s="5" t="s">
        <v>86</v>
      </c>
    </row>
    <row r="14" spans="1:23">
      <c r="A14" s="186"/>
      <c r="B14" s="194"/>
      <c r="C14" s="192"/>
      <c r="D14" s="191"/>
      <c r="E14" s="195"/>
      <c r="F14" s="33" t="s">
        <v>25</v>
      </c>
      <c r="G14" s="16">
        <v>0</v>
      </c>
      <c r="H14" s="37">
        <v>25000</v>
      </c>
      <c r="I14" s="41" t="s">
        <v>93</v>
      </c>
      <c r="J14" s="167"/>
      <c r="K14" s="16">
        <v>50</v>
      </c>
      <c r="L14" s="18"/>
      <c r="M14" s="19"/>
      <c r="N14" s="20"/>
      <c r="O14" s="19"/>
      <c r="P14" s="19"/>
      <c r="Q14" s="19"/>
      <c r="R14" s="19"/>
      <c r="S14" s="21"/>
      <c r="T14" s="19"/>
      <c r="U14" s="21"/>
      <c r="W14" s="5"/>
    </row>
    <row r="15" spans="1:23" ht="18" customHeight="1">
      <c r="A15" s="186"/>
      <c r="B15" s="194"/>
      <c r="C15" s="32"/>
      <c r="D15" s="61">
        <v>3600000</v>
      </c>
      <c r="E15" t="s">
        <v>38</v>
      </c>
      <c r="F15" s="32" t="s">
        <v>25</v>
      </c>
      <c r="G15">
        <v>0</v>
      </c>
      <c r="H15" s="32" t="s">
        <v>100</v>
      </c>
      <c r="I15" s="39"/>
      <c r="J15" s="62" t="s">
        <v>101</v>
      </c>
      <c r="K15">
        <v>50</v>
      </c>
      <c r="L15" s="63"/>
      <c r="M15" s="47"/>
      <c r="N15" s="64"/>
      <c r="O15" s="47"/>
      <c r="P15" s="47"/>
      <c r="Q15" s="47"/>
      <c r="R15" s="47"/>
      <c r="S15" s="65"/>
      <c r="T15" s="47"/>
      <c r="U15" s="65"/>
      <c r="W15" s="5" t="s">
        <v>86</v>
      </c>
    </row>
    <row r="16" spans="1:23" ht="246" customHeight="1">
      <c r="A16" s="54">
        <v>134106</v>
      </c>
      <c r="B16" s="55" t="s">
        <v>45</v>
      </c>
      <c r="C16" s="70" t="s">
        <v>111</v>
      </c>
      <c r="D16" s="7" t="s">
        <v>112</v>
      </c>
      <c r="E16" s="54" t="s">
        <v>38</v>
      </c>
      <c r="F16" s="54" t="s">
        <v>25</v>
      </c>
      <c r="G16" s="54">
        <v>0</v>
      </c>
      <c r="H16" s="57">
        <v>2600000</v>
      </c>
      <c r="I16" s="58" t="s">
        <v>104</v>
      </c>
      <c r="J16" s="58" t="s">
        <v>40</v>
      </c>
      <c r="K16" s="54">
        <v>50</v>
      </c>
      <c r="L16" s="54" t="s">
        <v>41</v>
      </c>
      <c r="M16" s="54"/>
      <c r="N16" s="54"/>
      <c r="O16" s="54"/>
      <c r="P16" s="54"/>
      <c r="Q16" s="54"/>
      <c r="R16" s="54"/>
      <c r="S16" s="54"/>
      <c r="T16" s="54"/>
      <c r="U16" s="54"/>
    </row>
    <row r="17" spans="1:21" ht="71.25">
      <c r="A17" s="54">
        <v>134106</v>
      </c>
      <c r="B17" s="55" t="s">
        <v>45</v>
      </c>
      <c r="C17" s="71" t="s">
        <v>105</v>
      </c>
      <c r="D17" s="58" t="s">
        <v>106</v>
      </c>
      <c r="E17" s="54" t="s">
        <v>38</v>
      </c>
      <c r="F17" s="54" t="s">
        <v>25</v>
      </c>
      <c r="G17" s="54">
        <v>0</v>
      </c>
      <c r="H17" s="59">
        <v>450000</v>
      </c>
      <c r="I17" s="60" t="s">
        <v>49</v>
      </c>
      <c r="J17" s="58" t="s">
        <v>50</v>
      </c>
      <c r="K17" s="54">
        <v>50</v>
      </c>
      <c r="L17" s="54" t="s">
        <v>41</v>
      </c>
      <c r="M17" s="54"/>
      <c r="N17" s="54"/>
      <c r="O17" s="54"/>
      <c r="P17" s="54"/>
      <c r="Q17" s="54"/>
      <c r="R17" s="54"/>
      <c r="S17" s="54"/>
      <c r="T17" s="54"/>
      <c r="U17" s="54"/>
    </row>
    <row r="18" spans="1:21" ht="60" customHeight="1">
      <c r="A18" s="54">
        <v>134106</v>
      </c>
      <c r="B18" s="55" t="s">
        <v>45</v>
      </c>
      <c r="C18" s="54"/>
      <c r="D18" s="58" t="s">
        <v>106</v>
      </c>
      <c r="E18" s="54" t="s">
        <v>38</v>
      </c>
      <c r="F18" s="54" t="s">
        <v>25</v>
      </c>
      <c r="G18" s="54">
        <v>0</v>
      </c>
      <c r="H18" s="66">
        <v>900955</v>
      </c>
      <c r="I18" s="56" t="s">
        <v>51</v>
      </c>
      <c r="J18" s="58" t="s">
        <v>52</v>
      </c>
      <c r="K18" s="54">
        <v>50</v>
      </c>
      <c r="L18" s="54" t="s">
        <v>41</v>
      </c>
      <c r="M18" s="54"/>
      <c r="N18" s="54"/>
      <c r="O18" s="54"/>
      <c r="P18" s="54"/>
      <c r="Q18" s="54"/>
      <c r="R18" s="54"/>
      <c r="S18" s="54"/>
      <c r="T18" s="54"/>
      <c r="U18" s="54"/>
    </row>
    <row r="19" spans="1:21" ht="57">
      <c r="A19" s="54">
        <v>134106</v>
      </c>
      <c r="B19" s="55" t="s">
        <v>45</v>
      </c>
      <c r="C19" s="54"/>
      <c r="D19" s="58" t="s">
        <v>106</v>
      </c>
      <c r="E19" s="54" t="s">
        <v>38</v>
      </c>
      <c r="F19" s="54" t="s">
        <v>25</v>
      </c>
      <c r="G19" s="54">
        <v>0</v>
      </c>
      <c r="H19" s="67">
        <v>630000</v>
      </c>
      <c r="I19" s="68" t="s">
        <v>53</v>
      </c>
      <c r="J19" s="58" t="s">
        <v>54</v>
      </c>
      <c r="K19" s="54">
        <v>50</v>
      </c>
      <c r="L19" s="54" t="s">
        <v>41</v>
      </c>
      <c r="M19" s="54"/>
      <c r="N19" s="54"/>
      <c r="O19" s="54"/>
      <c r="P19" s="54"/>
      <c r="Q19" s="54"/>
      <c r="R19" s="54"/>
      <c r="S19" s="54"/>
      <c r="T19" s="54"/>
      <c r="U19" s="54"/>
    </row>
    <row r="20" spans="1:21" ht="28.5">
      <c r="A20" s="54">
        <v>134106</v>
      </c>
      <c r="B20" s="55" t="s">
        <v>45</v>
      </c>
      <c r="C20" s="54"/>
      <c r="D20" s="58" t="s">
        <v>106</v>
      </c>
      <c r="E20" s="54" t="s">
        <v>38</v>
      </c>
      <c r="F20" s="54" t="s">
        <v>25</v>
      </c>
      <c r="G20" s="54">
        <v>0</v>
      </c>
      <c r="H20" s="69">
        <v>0</v>
      </c>
      <c r="I20" s="7" t="s">
        <v>55</v>
      </c>
      <c r="J20" s="58" t="s">
        <v>56</v>
      </c>
      <c r="K20" s="54">
        <v>50</v>
      </c>
      <c r="L20" s="54" t="s">
        <v>41</v>
      </c>
      <c r="M20" s="54"/>
      <c r="N20" s="54"/>
      <c r="O20" s="54"/>
      <c r="P20" s="54"/>
      <c r="Q20" s="54"/>
      <c r="R20" s="54"/>
      <c r="S20" s="54"/>
      <c r="T20" s="54"/>
      <c r="U20" s="54"/>
    </row>
    <row r="21" spans="1:21" ht="48.75" customHeight="1">
      <c r="A21" s="54">
        <v>134106</v>
      </c>
      <c r="B21" s="55" t="s">
        <v>45</v>
      </c>
      <c r="C21" s="54"/>
      <c r="D21" s="58" t="s">
        <v>106</v>
      </c>
      <c r="E21" s="54" t="s">
        <v>38</v>
      </c>
      <c r="F21" s="54" t="s">
        <v>25</v>
      </c>
      <c r="G21" s="54">
        <v>0</v>
      </c>
      <c r="H21" s="66">
        <v>95800</v>
      </c>
      <c r="I21" s="56" t="s">
        <v>57</v>
      </c>
      <c r="J21" s="58" t="s">
        <v>58</v>
      </c>
      <c r="K21" s="54">
        <v>50</v>
      </c>
      <c r="L21" s="54" t="s">
        <v>41</v>
      </c>
      <c r="M21" s="54"/>
      <c r="N21" s="54"/>
      <c r="O21" s="54"/>
      <c r="P21" s="54"/>
      <c r="Q21" s="54"/>
      <c r="R21" s="54"/>
      <c r="S21" s="54"/>
      <c r="T21" s="54"/>
      <c r="U21" s="54"/>
    </row>
    <row r="22" spans="1:21" ht="42.75">
      <c r="A22" s="54">
        <v>134106</v>
      </c>
      <c r="B22" s="55" t="s">
        <v>45</v>
      </c>
      <c r="C22" s="54"/>
      <c r="D22" s="58" t="s">
        <v>106</v>
      </c>
      <c r="E22" s="54" t="s">
        <v>59</v>
      </c>
      <c r="F22" s="54" t="s">
        <v>25</v>
      </c>
      <c r="G22" s="54">
        <v>0</v>
      </c>
      <c r="H22" s="66">
        <v>10700</v>
      </c>
      <c r="I22" s="58" t="s">
        <v>61</v>
      </c>
      <c r="J22" s="58" t="s">
        <v>52</v>
      </c>
      <c r="K22" s="54">
        <v>50</v>
      </c>
      <c r="L22" s="54" t="s">
        <v>41</v>
      </c>
      <c r="M22" s="54"/>
      <c r="N22" s="54"/>
      <c r="O22" s="54"/>
      <c r="P22" s="54"/>
      <c r="Q22" s="54"/>
      <c r="R22" s="54"/>
      <c r="S22" s="54" t="s">
        <v>32</v>
      </c>
      <c r="T22" s="54"/>
      <c r="U22" s="54"/>
    </row>
    <row r="23" spans="1:21" ht="56.25" customHeight="1">
      <c r="A23" s="54">
        <v>134106</v>
      </c>
      <c r="B23" s="55" t="s">
        <v>45</v>
      </c>
      <c r="C23" s="54"/>
      <c r="D23" s="58" t="s">
        <v>106</v>
      </c>
      <c r="E23" s="54" t="s">
        <v>107</v>
      </c>
      <c r="F23" s="54" t="s">
        <v>25</v>
      </c>
      <c r="G23" s="54">
        <v>0</v>
      </c>
      <c r="H23" s="57">
        <v>35800000</v>
      </c>
      <c r="I23" s="58" t="s">
        <v>108</v>
      </c>
      <c r="J23" s="58"/>
      <c r="K23" s="54">
        <v>50</v>
      </c>
      <c r="L23" s="54" t="s">
        <v>41</v>
      </c>
      <c r="M23" s="54"/>
      <c r="N23" s="54"/>
      <c r="O23" s="54"/>
      <c r="P23" s="54"/>
      <c r="Q23" s="54"/>
      <c r="R23" s="54"/>
      <c r="S23" s="54"/>
      <c r="T23" s="54"/>
      <c r="U23" s="54"/>
    </row>
    <row r="24" spans="1:21" ht="85.5">
      <c r="A24" s="54">
        <v>134106</v>
      </c>
      <c r="B24" s="55" t="s">
        <v>45</v>
      </c>
      <c r="C24" s="54"/>
      <c r="D24" s="58" t="s">
        <v>106</v>
      </c>
      <c r="E24" s="54" t="s">
        <v>62</v>
      </c>
      <c r="F24" s="54" t="s">
        <v>25</v>
      </c>
      <c r="G24" s="54">
        <v>0</v>
      </c>
      <c r="H24" s="57">
        <v>35800000</v>
      </c>
      <c r="I24" s="58" t="s">
        <v>65</v>
      </c>
      <c r="J24" s="58" t="s">
        <v>66</v>
      </c>
      <c r="K24" s="54">
        <v>50</v>
      </c>
      <c r="L24" s="54" t="s">
        <v>41</v>
      </c>
      <c r="M24" s="54"/>
      <c r="N24" s="54"/>
      <c r="O24" s="54"/>
      <c r="P24" s="54"/>
      <c r="Q24" s="54"/>
      <c r="R24" s="54"/>
      <c r="S24" s="54"/>
      <c r="T24" s="54"/>
      <c r="U24" s="54"/>
    </row>
    <row r="25" spans="1:21" ht="57">
      <c r="A25" s="54">
        <v>134106</v>
      </c>
      <c r="B25" s="55" t="s">
        <v>45</v>
      </c>
      <c r="C25" s="54"/>
      <c r="D25" s="58" t="s">
        <v>106</v>
      </c>
      <c r="E25" s="54" t="s">
        <v>62</v>
      </c>
      <c r="F25" s="54" t="s">
        <v>25</v>
      </c>
      <c r="G25" s="54">
        <v>0</v>
      </c>
      <c r="H25" s="57">
        <v>35800000</v>
      </c>
      <c r="I25" s="58" t="s">
        <v>109</v>
      </c>
      <c r="J25" s="58" t="s">
        <v>52</v>
      </c>
      <c r="K25" s="54">
        <v>50</v>
      </c>
      <c r="L25" s="54" t="s">
        <v>41</v>
      </c>
      <c r="M25" s="54"/>
      <c r="N25" s="54"/>
      <c r="O25" s="54"/>
      <c r="P25" s="54"/>
      <c r="Q25" s="54"/>
      <c r="R25" s="54"/>
      <c r="S25" s="54"/>
      <c r="T25" s="54"/>
      <c r="U25" s="54"/>
    </row>
    <row r="26" spans="1:21" ht="71.25">
      <c r="A26" s="54">
        <v>134106</v>
      </c>
      <c r="B26" s="55" t="s">
        <v>45</v>
      </c>
      <c r="C26" s="54"/>
      <c r="D26" s="58" t="s">
        <v>106</v>
      </c>
      <c r="E26" s="54" t="s">
        <v>62</v>
      </c>
      <c r="F26" s="54" t="s">
        <v>25</v>
      </c>
      <c r="G26" s="54">
        <v>0</v>
      </c>
      <c r="H26" s="57">
        <v>35800000</v>
      </c>
      <c r="I26" s="58" t="s">
        <v>73</v>
      </c>
      <c r="J26" s="58" t="s">
        <v>66</v>
      </c>
      <c r="K26" s="54">
        <v>50</v>
      </c>
      <c r="L26" s="54" t="s">
        <v>41</v>
      </c>
      <c r="M26" s="54"/>
      <c r="N26" s="54"/>
      <c r="O26" s="54"/>
      <c r="P26" s="54"/>
      <c r="Q26" s="54"/>
      <c r="R26" s="54"/>
      <c r="S26" s="54"/>
      <c r="T26" s="54"/>
      <c r="U26" s="54"/>
    </row>
  </sheetData>
  <mergeCells count="15">
    <mergeCell ref="J8:J10"/>
    <mergeCell ref="J13:J14"/>
    <mergeCell ref="E8:E10"/>
    <mergeCell ref="E13:E14"/>
    <mergeCell ref="J4:J6"/>
    <mergeCell ref="E4:E6"/>
    <mergeCell ref="A7:A15"/>
    <mergeCell ref="B4:B6"/>
    <mergeCell ref="A4:A6"/>
    <mergeCell ref="D4:D6"/>
    <mergeCell ref="D8:D10"/>
    <mergeCell ref="D13:D14"/>
    <mergeCell ref="C13:C14"/>
    <mergeCell ref="C8:C10"/>
    <mergeCell ref="B7:B15"/>
  </mergeCells>
  <dataValidations count="9">
    <dataValidation type="list" allowBlank="1" showInputMessage="1" showErrorMessage="1" sqref="Q2:Q15" xr:uid="{F258C04C-A4FA-4805-B174-3B4E93F9594B}">
      <formula1>"NDC Support, National Strategy, Legal Framework,Incentives and Support, Government Capacity-Building, Carbon Pricing and Monitoring, Financing Model, Business Model"</formula1>
    </dataValidation>
    <dataValidation type="list" allowBlank="1" showInputMessage="1" showErrorMessage="1" sqref="N2:N15" xr:uid="{C4A7DBCA-C2D6-4FA5-982F-5A3428C7B505}">
      <formula1>"Accelerating just energy transition, Close the gap on energy access, Scale up energy finance"</formula1>
    </dataValidation>
    <dataValidation type="list" allowBlank="1" showInputMessage="1" showErrorMessage="1" sqref="O2:O15" xr:uid="{F127BD6B-DABA-4CD0-B7EC-5D6ADA771134}">
      <formula1>"Electricity Access, Energy Efficiency, Clean Cooking, Renewable Energy, Overall"</formula1>
    </dataValidation>
    <dataValidation type="list" allowBlank="1" showInputMessage="1" showErrorMessage="1" sqref="M2:M15" xr:uid="{0D926631-4967-407F-9CB9-1417932425E3}">
      <formula1>"Finance, Gender, Efficiency, Just, Health"</formula1>
    </dataValidation>
    <dataValidation type="list" allowBlank="1" showInputMessage="1" showErrorMessage="1" sqref="T2:T15" xr:uid="{C1C18A2E-EA97-4EAA-BEB7-A7C718449DA8}">
      <formula1>"National, Regional, City, Community"</formula1>
    </dataValidation>
    <dataValidation type="list" allowBlank="1" showInputMessage="1" showErrorMessage="1" sqref="P2:P15" xr:uid="{03233118-9D4D-48D3-8D64-4D826D3A4A45}">
      <formula1>"AMP, PUDC, Solar4Health, Action Opportunities, Italy UNDP Energy Partnership"</formula1>
    </dataValidation>
    <dataValidation type="list" allowBlank="1" showInputMessage="1" showErrorMessage="1" sqref="L2:L15" xr:uid="{BA657230-24E8-4FBF-8E54-DAC070803EF0}">
      <formula1>"Non-VF, VF"</formula1>
    </dataValidation>
    <dataValidation type="list" allowBlank="1" showInputMessage="1" showErrorMessage="1" sqref="R2:R15" xr:uid="{C66D08F0-1978-4285-8B45-EF57F48BC97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5" xr:uid="{D7824502-832B-4546-85D0-CDD293CA8C7E}">
      <formula1>"Solar, Wind, Bioenergy, Hydro, Geothermal, Waste, Some Sources, Other, Unknown"</formula1>
    </dataValidation>
  </dataValidations>
  <hyperlinks>
    <hyperlink ref="C2" r:id="rId1" xr:uid="{00000000-0004-0000-0000-000000000000}"/>
    <hyperlink ref="C5" r:id="rId2" xr:uid="{C4FD8662-769B-494E-9138-E94D4C1D1E56}"/>
    <hyperlink ref="C4" r:id="rId3" xr:uid="{9A26C6CC-A90B-4470-9438-1D477C2A7711}"/>
    <hyperlink ref="C3" r:id="rId4" xr:uid="{CCBDE4FC-898C-4115-BF85-B3ECC1B4C291}"/>
    <hyperlink ref="C16" r:id="rId5" xr:uid="{4569EF7E-B390-4585-84F1-A2102C6933C5}"/>
    <hyperlink ref="C17" r:id="rId6" xr:uid="{3DB16031-E6AF-4F6D-964B-F482AD975E53}"/>
  </hyperlinks>
  <pageMargins left="0.7" right="0.7" top="0.75" bottom="0.75" header="0.3" footer="0.3"/>
  <legacyDrawing r:id="rId7"/>
  <extLst>
    <ext xmlns:x14="http://schemas.microsoft.com/office/spreadsheetml/2009/9/main" uri="{CCE6A557-97BC-4b89-ADB6-D9C93CAAB3DF}">
      <x14:dataValidations xmlns:xm="http://schemas.microsoft.com/office/excel/2006/main" count="1">
        <x14:dataValidation type="list" allowBlank="1" showInputMessage="1" showErrorMessage="1" xr:uid="{1619D449-50B6-4A9C-AD6A-E75333A47C33}">
          <x14:formula1>
            <xm:f>'Beneficiary Categories'!$A$2:$A$22</xm:f>
          </x14:formula1>
          <xm:sqref>E7:E8 E11:E13 E15 E2:E4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9" workbookViewId="0">
      <selection activeCell="A12" sqref="A12"/>
    </sheetView>
  </sheetViews>
  <sheetFormatPr defaultRowHeight="14.25"/>
  <cols>
    <col min="1" max="1" width="27.85546875" customWidth="1"/>
    <col min="2" max="2" width="66.42578125" customWidth="1"/>
    <col min="3" max="3" width="84.5703125" customWidth="1"/>
  </cols>
  <sheetData>
    <row r="1" spans="1:2">
      <c r="A1" s="6" t="s">
        <v>4</v>
      </c>
      <c r="B1" s="6" t="s">
        <v>5</v>
      </c>
    </row>
    <row r="2" spans="1:2" ht="57">
      <c r="A2" s="197" t="s">
        <v>38</v>
      </c>
      <c r="B2" s="7" t="s">
        <v>113</v>
      </c>
    </row>
    <row r="3" spans="1:2" ht="30.75">
      <c r="A3" s="197" t="s">
        <v>67</v>
      </c>
      <c r="B3" s="7" t="s">
        <v>114</v>
      </c>
    </row>
    <row r="4" spans="1:2" ht="57">
      <c r="A4" s="197" t="s">
        <v>115</v>
      </c>
      <c r="B4" s="7" t="s">
        <v>116</v>
      </c>
    </row>
    <row r="5" spans="1:2" ht="57">
      <c r="A5" s="197" t="s">
        <v>117</v>
      </c>
      <c r="B5" s="7" t="s">
        <v>118</v>
      </c>
    </row>
    <row r="6" spans="1:2" ht="156.75">
      <c r="A6" s="197" t="s">
        <v>119</v>
      </c>
      <c r="B6" s="7" t="s">
        <v>120</v>
      </c>
    </row>
    <row r="7" spans="1:2" ht="71.25">
      <c r="A7" s="197" t="s">
        <v>121</v>
      </c>
      <c r="B7" s="7" t="s">
        <v>122</v>
      </c>
    </row>
    <row r="8" spans="1:2" ht="71.25">
      <c r="A8" s="197" t="s">
        <v>123</v>
      </c>
      <c r="B8" s="7" t="s">
        <v>124</v>
      </c>
    </row>
    <row r="9" spans="1:2" ht="71.25">
      <c r="A9" s="197" t="s">
        <v>125</v>
      </c>
      <c r="B9" s="7" t="s">
        <v>126</v>
      </c>
    </row>
    <row r="10" spans="1:2" ht="57">
      <c r="A10" s="197" t="s">
        <v>127</v>
      </c>
      <c r="B10" s="199" t="s">
        <v>128</v>
      </c>
    </row>
    <row r="11" spans="1:2" ht="57">
      <c r="A11" s="197" t="s">
        <v>24</v>
      </c>
      <c r="B11" s="199" t="s">
        <v>129</v>
      </c>
    </row>
    <row r="12" spans="1:2" ht="71.25">
      <c r="A12" s="197" t="s">
        <v>79</v>
      </c>
      <c r="B12" s="7" t="s">
        <v>130</v>
      </c>
    </row>
    <row r="13" spans="1:2" ht="28.5">
      <c r="A13" s="197" t="s">
        <v>131</v>
      </c>
      <c r="B13" s="199" t="s">
        <v>132</v>
      </c>
    </row>
    <row r="14" spans="1:2" ht="28.5">
      <c r="A14" s="197" t="s">
        <v>133</v>
      </c>
      <c r="B14" s="199" t="s">
        <v>134</v>
      </c>
    </row>
    <row r="15" spans="1:2" ht="42.75">
      <c r="A15" s="197" t="s">
        <v>135</v>
      </c>
      <c r="B15" s="199" t="s">
        <v>136</v>
      </c>
    </row>
    <row r="16" spans="1:2" ht="42.75">
      <c r="A16" s="197" t="s">
        <v>137</v>
      </c>
      <c r="B16" s="199" t="s">
        <v>138</v>
      </c>
    </row>
    <row r="17" spans="1:2" ht="57">
      <c r="A17" s="197" t="s">
        <v>139</v>
      </c>
      <c r="B17" s="7" t="s">
        <v>140</v>
      </c>
    </row>
    <row r="18" spans="1:2" ht="57">
      <c r="A18" s="197" t="s">
        <v>141</v>
      </c>
      <c r="B18" s="199" t="s">
        <v>142</v>
      </c>
    </row>
    <row r="19" spans="1:2" ht="128.25">
      <c r="A19" s="197" t="s">
        <v>143</v>
      </c>
      <c r="B19" s="199" t="s">
        <v>144</v>
      </c>
    </row>
    <row r="20" spans="1:2" ht="42.75">
      <c r="A20" s="197" t="s">
        <v>145</v>
      </c>
      <c r="B20" s="199" t="s">
        <v>146</v>
      </c>
    </row>
    <row r="21" spans="1:2" ht="71.25">
      <c r="A21" s="197" t="s">
        <v>19</v>
      </c>
      <c r="B21" s="200" t="s">
        <v>147</v>
      </c>
    </row>
    <row r="22" spans="1:2" ht="42.75">
      <c r="A22" s="197" t="s">
        <v>148</v>
      </c>
      <c r="B22" s="199" t="s">
        <v>149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Vitalie Vremis</DisplayName>
        <AccountId>338</AccountId>
        <AccountType/>
      </UserInfo>
    </SharedWithUsers>
  </documentManagement>
</p:properties>
</file>

<file path=customXml/itemProps1.xml><?xml version="1.0" encoding="utf-8"?>
<ds:datastoreItem xmlns:ds="http://schemas.openxmlformats.org/officeDocument/2006/customXml" ds:itemID="{BBFBB887-5DC5-4CC5-B981-61FC103489AC}"/>
</file>

<file path=customXml/itemProps2.xml><?xml version="1.0" encoding="utf-8"?>
<ds:datastoreItem xmlns:ds="http://schemas.openxmlformats.org/officeDocument/2006/customXml" ds:itemID="{7E1EBA35-2B5F-4AEF-A4D2-B5ABF7D7A146}"/>
</file>

<file path=customXml/itemProps3.xml><?xml version="1.0" encoding="utf-8"?>
<ds:datastoreItem xmlns:ds="http://schemas.openxmlformats.org/officeDocument/2006/customXml" ds:itemID="{2D518B4E-C20A-4FFC-BC13-992313191C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2023-05-05T09:33:40Z</dcterms:created>
  <dcterms:modified xsi:type="dcterms:W3CDTF">2025-03-06T13:00:32Z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