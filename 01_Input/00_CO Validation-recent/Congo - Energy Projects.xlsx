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08"/>
  <workbookPr defaultThemeVersion="124226"/>
  <xr:revisionPtr revIDLastSave="156" documentId="11_47E2D6C0E8B55C79DB9666D9194C782A78F4F4CA" xr6:coauthVersionLast="47" xr6:coauthVersionMax="47" xr10:uidLastSave="{D493AB2E-4393-46C2-8BFA-6AA1F8965640}"/>
  <bookViews>
    <workbookView xWindow="240" yWindow="15" windowWidth="16095" windowHeight="9660" firstSheet="3"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<sst xmlns="http://schemas.openxmlformats.org/spreadsheetml/2006/main" count="80" uniqueCount="43">
  <si>
    <t>Project ID</t>
  </si>
  <si>
    <t>Title</t>
  </si>
  <si>
    <t>Link</t>
  </si>
  <si>
    <t>Budget</t>
  </si>
  <si>
    <t>Beneficiary Category</t>
  </si>
  <si>
    <t>Indicator</t>
  </si>
  <si>
    <t>Baseline</t>
  </si>
  <si>
    <t>Target</t>
  </si>
  <si>
    <t>Notes</t>
  </si>
  <si>
    <t>Donors</t>
  </si>
  <si>
    <t>VF or Non-VF</t>
  </si>
  <si>
    <t>Tag</t>
  </si>
  <si>
    <t>SEH Taxonomy</t>
  </si>
  <si>
    <t>RISE Taxonomy</t>
  </si>
  <si>
    <t>Flagship</t>
  </si>
  <si>
    <t>Indirect Category</t>
  </si>
  <si>
    <t>Indirect Taxonomy</t>
  </si>
  <si>
    <t>Technology</t>
  </si>
  <si>
    <t>Policy or Regulatory Framework</t>
  </si>
  <si>
    <t>Policy Population</t>
  </si>
  <si>
    <t>Congo Micro-hydroelectricity</t>
  </si>
  <si>
    <t>https://co.pims.undp.org/project/view?id=4685</t>
  </si>
  <si>
    <t>Electricity Access</t>
  </si>
  <si>
    <t xml:space="preserve">
Existence of at least 5 Small Hydroelectric Power Plants (PCH) built on 5 pilot sites</t>
  </si>
  <si>
    <t>GEF</t>
  </si>
  <si>
    <t>VF</t>
  </si>
  <si>
    <t>Finance</t>
  </si>
  <si>
    <t>Close the gap on energy access</t>
  </si>
  <si>
    <t>PUDC</t>
  </si>
  <si>
    <t>National Strategy</t>
  </si>
  <si>
    <t>Infrastructure</t>
  </si>
  <si>
    <t>Hydro</t>
  </si>
  <si>
    <t>National</t>
  </si>
  <si>
    <t>Local communities</t>
  </si>
  <si>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</si>
  <si>
    <t xml:space="preserve">Comments </t>
  </si>
  <si>
    <t>PIMS+</t>
  </si>
  <si>
    <t xml:space="preserve">
19 Detailed pre-project feasibility studies and environmental impact studies</t>
  </si>
  <si>
    <t>electrification for rural communities and income generating activities for the populationof  remote and isolated areas.  small entreproses and big timber industries,  shops, conservation centre for agricultural productions, food and crops processing centres</t>
  </si>
  <si>
    <t>500,000 people (including 60% women and young people)</t>
  </si>
  <si>
    <t>Energy (MW added)</t>
  </si>
  <si>
    <t>Energy Infrastructure Services</t>
  </si>
  <si>
    <t>Other Energy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</si>
</sst>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1"/>
      <color theme="9"/>
      <name val="Calibri"/>
      <family val="2"/>
      <scheme val="minor"/>
    </font>
    <font>
      <sz val="11"/>
      <color rgb="FF00B0F0"/>
      <name val="Calibri"/>
      <scheme val="minor"/>
    </font>
    <font>
      <sz val="11"/>
      <color rgb="FF00B0F0"/>
      <name val="Calibri"/>
      <family val="2"/>
      <scheme val="minor"/>
    </font>
    <font>
      <b/>
      <sz val="11"/>
      <color rgb="FF00B0F0"/>
      <name val="Calibri"/>
      <family val="2"/>
      <scheme val="minor"/>
    </font>
    <font>
      <sz val="9"/>
      <color rgb="FF000000"/>
      <name val="Calibri"/>
      <family val="2"/>
      <charset val="1"/>
    </font>
    <font>
      <u/>
      <sz val="11"/>
      <color theme="10"/>
      <name val="Calibri"/>
      <family val="2"/>
      <scheme val="minor"/>
    </font>
  </fonts>
  <fills count="3">
    <fill>
      <patternFill patternType="none"/>
    </fill>
    <fill>
      <patternFill patternType="gray125"/>
    </fill>
    <fill>
      <patternFill patternType="solid">
        <fgColor rgb="FFFFE497"/>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1" fillId="0" borderId="2" xfId="0" applyFont="1" applyBorder="1"/>
    <xf numFmtId="0" fontId="0" fillId="2" borderId="0" xfId="0" applyFill="1" applyAlignment="1">
      <alignment wrapText="1"/>
    </xf>
    <xf numFmtId="0" fontId="0" fillId="2" borderId="0" xfId="0" applyFill="1" applyAlignment="1">
      <alignment vertical="center"/>
    </xf>
    <xf numFmtId="0" fontId="0" fillId="2" borderId="0" xfId="0" applyFill="1" applyAlignment="1">
      <alignment horizontal="left" vertical="center"/>
    </xf>
    <xf numFmtId="0" fontId="2" fillId="0" borderId="0" xfId="0" applyFont="1"/>
    <xf numFmtId="0" fontId="1" fillId="0" borderId="3" xfId="0" applyFont="1" applyBorder="1"/>
    <xf numFmtId="0" fontId="0" fillId="0" borderId="3" xfId="0" applyBorder="1" applyAlignment="1">
      <alignment horizontal="center" vertical="center"/>
    </xf>
    <xf numFmtId="0" fontId="0" fillId="0" borderId="3" xfId="0" applyBorder="1"/>
    <xf numFmtId="0" fontId="0" fillId="2" borderId="3" xfId="0" applyFill="1" applyBorder="1" applyAlignment="1">
      <alignment vertical="center"/>
    </xf>
    <xf numFmtId="0" fontId="1" fillId="0" borderId="5" xfId="0" applyFont="1" applyBorder="1" applyAlignment="1">
      <alignment horizontal="center" vertical="top"/>
    </xf>
    <xf numFmtId="0" fontId="1" fillId="0" borderId="0" xfId="0" applyFont="1"/>
    <xf numFmtId="0" fontId="1" fillId="0" borderId="3"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0" fillId="0" borderId="3" xfId="0" applyBorder="1" applyAlignment="1">
      <alignment vertical="center" wrapText="1"/>
    </xf>
    <xf numFmtId="0" fontId="0" fillId="0" borderId="4" xfId="0" applyBorder="1" applyAlignment="1">
      <alignment horizontal="center" vertical="center" wrapText="1"/>
    </xf>
    <xf numFmtId="0" fontId="0" fillId="0" borderId="3" xfId="0" applyBorder="1" applyAlignment="1">
      <alignment vertical="center"/>
    </xf>
    <xf numFmtId="0" fontId="1" fillId="0" borderId="3" xfId="0" applyFont="1" applyBorder="1" applyAlignment="1">
      <alignment horizontal="center" vertical="top" wrapText="1"/>
    </xf>
    <xf numFmtId="0" fontId="0" fillId="0" borderId="3" xfId="0" applyBorder="1" applyAlignment="1">
      <alignment horizontal="left" vertical="center" wrapText="1"/>
    </xf>
    <xf numFmtId="0" fontId="3" fillId="0" borderId="3" xfId="0" applyFont="1" applyBorder="1" applyAlignment="1">
      <alignment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5" fillId="0" borderId="0" xfId="0" applyFont="1" applyAlignment="1">
      <alignment vertical="top" wrapText="1"/>
    </xf>
    <xf numFmtId="0" fontId="4" fillId="0" borderId="3" xfId="0" applyFont="1" applyBorder="1" applyAlignment="1">
      <alignment wrapText="1"/>
    </xf>
    <xf numFmtId="0" fontId="4" fillId="0" borderId="0" xfId="0" applyFont="1"/>
    <xf numFmtId="0" fontId="4" fillId="2" borderId="0" xfId="0" applyFont="1" applyFill="1" applyAlignment="1">
      <alignment wrapText="1"/>
    </xf>
    <xf numFmtId="0" fontId="6" fillId="0" borderId="6" xfId="0" applyFont="1" applyBorder="1" applyAlignment="1">
      <alignment horizontal="center" vertical="center" wrapText="1"/>
    </xf>
    <xf numFmtId="0" fontId="7" fillId="0" borderId="3" xfId="1" applyBorder="1"/>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46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AE41-EDAC-4D4B-8093-DB23A71D15AE}">
  <dimension ref="A1:T4"/>
  <sheetViews>
    <sheetView workbookViewId="0">
      <pane xSplit="1" ySplit="1" topLeftCell="B2" activePane="bottomRight" state="frozen"/>
      <selection pane="bottomRight" activeCell="C2" sqref="C2"/>
      <selection pane="bottomLeft"/>
      <selection pane="topRight"/>
    </sheetView>
  </sheetViews>
  <sheetFormatPr defaultRowHeight="15"/>
  <cols>
    <col min="2" max="2" width="27.140625" bestFit="1" customWidth="1"/>
    <col min="3" max="3" width="20.7109375" customWidth="1"/>
    <col min="5" max="6" width="20.7109375" customWidth="1"/>
    <col min="7" max="8" width="12.7109375" customWidth="1"/>
    <col min="9" max="9" width="57" customWidth="1"/>
    <col min="11" max="11" width="47.5703125" customWidth="1"/>
    <col min="13" max="13" width="14.42578125" bestFit="1" customWidth="1"/>
    <col min="20" max="20" width="18" customWidth="1"/>
  </cols>
  <sheetData>
    <row r="1" spans="1:20">
      <c r="A1" s="11" t="s">
        <v>0</v>
      </c>
      <c r="B1" s="11" t="s">
        <v>1</v>
      </c>
      <c r="C1" s="11" t="s">
        <v>2</v>
      </c>
      <c r="D1" s="11" t="s">
        <v>3</v>
      </c>
      <c r="E1" s="11" t="s">
        <v>4</v>
      </c>
      <c r="F1" s="11" t="s">
        <v>5</v>
      </c>
      <c r="G1" s="11" t="s">
        <v>6</v>
      </c>
      <c r="H1" s="11" t="s">
        <v>7</v>
      </c>
      <c r="I1" s="11" t="s">
        <v>8</v>
      </c>
      <c r="J1" s="12" t="s">
        <v>9</v>
      </c>
      <c r="K1" s="13" t="s">
        <v>10</v>
      </c>
      <c r="L1" s="14" t="s">
        <v>11</v>
      </c>
      <c r="M1" s="13" t="s">
        <v>12</v>
      </c>
      <c r="N1" s="13" t="s">
        <v>13</v>
      </c>
      <c r="O1" s="13" t="s">
        <v>14</v>
      </c>
      <c r="P1" s="13" t="s">
        <v>15</v>
      </c>
      <c r="Q1" s="15" t="s">
        <v>16</v>
      </c>
      <c r="R1" s="7" t="s">
        <v>17</v>
      </c>
      <c r="S1" s="15" t="s">
        <v>18</v>
      </c>
      <c r="T1" s="7" t="s">
        <v>19</v>
      </c>
    </row>
    <row r="2" spans="1:20" ht="35.25" customHeight="1">
      <c r="A2" s="9">
        <v>4685</v>
      </c>
      <c r="B2" s="9" t="s">
        <v>20</v>
      </c>
      <c r="C2" s="29" t="s">
        <v>21</v>
      </c>
      <c r="D2" s="9">
        <v>1944133</v>
      </c>
      <c r="E2" s="9" t="s">
        <v>22</v>
      </c>
      <c r="H2" s="10">
        <v>45000</v>
      </c>
      <c r="I2" s="27" t="s">
        <v>23</v>
      </c>
      <c r="J2" s="9" t="s">
        <v>24</v>
      </c>
      <c r="K2" s="16" t="s">
        <v>25</v>
      </c>
      <c r="L2" s="23" t="s">
        <v>26</v>
      </c>
      <c r="M2" s="17" t="s">
        <v>27</v>
      </c>
      <c r="N2" s="8" t="s">
        <v>22</v>
      </c>
      <c r="O2" s="23" t="s">
        <v>28</v>
      </c>
      <c r="P2" s="23" t="s">
        <v>29</v>
      </c>
      <c r="Q2" s="23" t="s">
        <v>30</v>
      </c>
      <c r="R2" s="18" t="s">
        <v>31</v>
      </c>
      <c r="S2" s="22" t="s">
        <v>32</v>
      </c>
      <c r="T2" s="21" t="s">
        <v>33</v>
      </c>
    </row>
    <row r="3" spans="1:20" ht="409.6">
      <c r="E3" s="28" t="s">
        <v>18</v>
      </c>
      <c r="G3" s="27"/>
      <c r="I3" s="24" t="s">
        <v>34</v>
      </c>
    </row>
    <row r="4" spans="1:20">
      <c r="B4" s="6"/>
    </row>
  </sheetData>
  <dataValidations count="8">
    <dataValidation type="list" allowBlank="1" showInputMessage="1" showErrorMessage="1" sqref="P2" xr:uid="{DD795EC4-F4A8-490F-8234-0D0553FBA542}">
      <formula1>"NDC Support, National Strategy, Legal Framework,Incentives and Support, Government Capacity-Building, Carbon Pricing and Monitoring, Financing Model, Business Model"</formula1>
    </dataValidation>
    <dataValidation type="list" allowBlank="1" showInputMessage="1" showErrorMessage="1" sqref="O2" xr:uid="{B653E474-A602-4EDD-A23A-C5ADAB51530E}">
      <formula1>"AMP, PUDC, Solar4Health, Action Opportunities, Italy UNDP Energy Partnership"</formula1>
    </dataValidation>
    <dataValidation type="list" allowBlank="1" showInputMessage="1" showErrorMessage="1" sqref="M2" xr:uid="{5DC6B7E9-E702-4C06-A975-15039B0CF6F6}">
      <formula1>"Accelerating just energy transition, Close the gap on energy access, Scale up energy finance"</formula1>
    </dataValidation>
    <dataValidation type="list" allowBlank="1" showInputMessage="1" showErrorMessage="1" sqref="N2" xr:uid="{6532A0C1-1F64-4B21-91AC-1DECBA2F7EAD}">
      <formula1>"Electricity Access, Energy Efficiency, Clean Cooking, Renewable Energy, Overall"</formula1>
    </dataValidation>
    <dataValidation type="list" allowBlank="1" showInputMessage="1" showErrorMessage="1" sqref="S2" xr:uid="{9AD8CF52-DD93-4B24-B3A4-67DB844ECF06}">
      <formula1>"National, Regional, City, Community"</formula1>
    </dataValidation>
    <dataValidation type="list" allowBlank="1" showInputMessage="1" showErrorMessage="1" sqref="L2" xr:uid="{8E5CEE63-0F53-41DC-8DAE-02641EC2EB33}">
      <formula1>"Finance, Gender, Efficiency, Just, Health"</formula1>
    </dataValidation>
    <dataValidation type="list" allowBlank="1" showInputMessage="1" showErrorMessage="1" sqref="R2" xr:uid="{E7320E73-FEEE-4C9D-B317-0A631A8A4DB9}">
      <formula1>"Solar, Wind, Bioenergy, Hydro, Geothermal, Waste, Some Sources, Other, Unknown"</formula1>
    </dataValidation>
    <dataValidation type="list" allowBlank="1" showInputMessage="1" showErrorMessage="1" sqref="Q2" xr:uid="{0F4F266F-D55E-49C6-9F2B-47CC576369E5}">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276B6582-7528-49EE-9EB9-3C62BAA8035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5275E38-25C8-459F-B9F1-2AA29D172FD9}">
          <x14:formula1>
            <xm:f>'Beneficiary Categories'!$A$2:$A$5</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4B4D-4F4C-45EF-B435-EDF67C688825}">
  <dimension ref="A1:K4"/>
  <sheetViews>
    <sheetView topLeftCell="F1" workbookViewId="0">
      <selection activeCell="K2" sqref="K2"/>
    </sheetView>
  </sheetViews>
  <sheetFormatPr defaultRowHeight="15"/>
  <cols>
    <col min="2" max="3" width="20.7109375" customWidth="1"/>
    <col min="5" max="6" width="20.7109375" customWidth="1"/>
    <col min="7" max="8" width="12.7109375" customWidth="1"/>
    <col min="9" max="9" width="32.7109375" customWidth="1"/>
    <col min="11" max="11" width="47.5703125" customWidth="1"/>
  </cols>
  <sheetData>
    <row r="1" spans="1:11">
      <c r="A1" s="1" t="s">
        <v>0</v>
      </c>
      <c r="B1" s="1" t="s">
        <v>1</v>
      </c>
      <c r="C1" s="1" t="s">
        <v>2</v>
      </c>
      <c r="D1" s="1" t="s">
        <v>3</v>
      </c>
      <c r="E1" s="1" t="s">
        <v>4</v>
      </c>
      <c r="F1" s="1" t="s">
        <v>5</v>
      </c>
      <c r="G1" s="1" t="s">
        <v>6</v>
      </c>
      <c r="H1" s="1" t="s">
        <v>7</v>
      </c>
      <c r="I1" s="1" t="s">
        <v>8</v>
      </c>
      <c r="J1" s="2" t="s">
        <v>9</v>
      </c>
      <c r="K1" t="s">
        <v>35</v>
      </c>
    </row>
    <row r="2" spans="1:11" ht="226.5" customHeight="1">
      <c r="A2">
        <v>4685</v>
      </c>
      <c r="B2" t="s">
        <v>20</v>
      </c>
      <c r="C2" t="s">
        <v>36</v>
      </c>
      <c r="D2">
        <v>1944133</v>
      </c>
      <c r="E2" t="s">
        <v>22</v>
      </c>
      <c r="F2" s="27" t="s">
        <v>23</v>
      </c>
      <c r="G2" s="27" t="s">
        <v>37</v>
      </c>
      <c r="H2" s="4">
        <v>45000</v>
      </c>
      <c r="I2" s="5" t="s">
        <v>38</v>
      </c>
      <c r="K2" s="24" t="s">
        <v>34</v>
      </c>
    </row>
    <row r="4" spans="1:11">
      <c r="B4" s="6"/>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1F3A07D-A33C-4021-8969-4585EEC26AEA}">
          <x14:formula1>
            <xm:f>'Beneficiary Categories'!$A$2:$A$5</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workbookViewId="0">
      <selection activeCell="F2" sqref="F2:G2"/>
    </sheetView>
  </sheetViews>
  <sheetFormatPr defaultRowHeight="15"/>
  <cols>
    <col min="2" max="3" width="20.7109375" customWidth="1"/>
    <col min="5" max="6" width="20.7109375" customWidth="1"/>
    <col min="7" max="8" width="12.7109375" customWidth="1"/>
    <col min="9" max="9" width="32.7109375" customWidth="1"/>
    <col min="11" max="11" width="47.5703125" customWidth="1"/>
  </cols>
  <sheetData>
    <row r="1" spans="1:11">
      <c r="A1" s="1" t="s">
        <v>0</v>
      </c>
      <c r="B1" s="1" t="s">
        <v>1</v>
      </c>
      <c r="C1" s="1" t="s">
        <v>2</v>
      </c>
      <c r="D1" s="1" t="s">
        <v>3</v>
      </c>
      <c r="E1" s="1" t="s">
        <v>4</v>
      </c>
      <c r="F1" s="1" t="s">
        <v>5</v>
      </c>
      <c r="G1" s="1" t="s">
        <v>6</v>
      </c>
      <c r="H1" s="1" t="s">
        <v>7</v>
      </c>
      <c r="I1" s="1" t="s">
        <v>8</v>
      </c>
      <c r="J1" s="2" t="s">
        <v>9</v>
      </c>
      <c r="K1" t="s">
        <v>35</v>
      </c>
    </row>
    <row r="2" spans="1:11" ht="226.5" customHeight="1">
      <c r="A2">
        <v>4685</v>
      </c>
      <c r="B2" t="s">
        <v>20</v>
      </c>
      <c r="C2" t="s">
        <v>36</v>
      </c>
      <c r="D2">
        <v>1944133</v>
      </c>
      <c r="E2" s="3" t="s">
        <v>22</v>
      </c>
      <c r="F2" s="27" t="s">
        <v>23</v>
      </c>
      <c r="G2" s="27" t="s">
        <v>37</v>
      </c>
      <c r="H2" s="4">
        <v>45000</v>
      </c>
      <c r="I2" s="5" t="s">
        <v>38</v>
      </c>
      <c r="K2" s="24" t="s">
        <v>34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Categories'!$A$2:$A$5</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tabSelected="1" workbookViewId="0">
      <selection activeCell="A18" sqref="A18"/>
    </sheetView>
  </sheetViews>
  <sheetFormatPr defaultRowHeight="15"/>
  <cols>
    <col min="1" max="2" width="52.7109375" customWidth="1"/>
  </cols>
  <sheetData>
    <row r="1" spans="1:4">
      <c r="A1" s="19" t="s">
        <v>4</v>
      </c>
      <c r="B1" s="19" t="s">
        <v>5</v>
      </c>
    </row>
    <row r="2" spans="1:4">
      <c r="A2" s="20" t="s">
        <v>22</v>
      </c>
      <c r="B2" s="25" t="s">
        <v>39</v>
      </c>
    </row>
    <row r="3" spans="1:4">
      <c r="A3" s="20" t="s">
        <v>40</v>
      </c>
      <c r="B3" s="25">
        <v>0</v>
      </c>
    </row>
    <row r="4" spans="1:4">
      <c r="A4" s="20" t="s">
        <v>41</v>
      </c>
      <c r="B4" s="25">
        <v>0</v>
      </c>
      <c r="D4" s="26"/>
    </row>
    <row r="5" spans="1:4">
      <c r="A5" s="20" t="s">
        <v>42</v>
      </c>
      <c r="B5" s="2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Henry Rene Diouf</DisplayName>
        <AccountId>1388</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9377862E-A137-4D89-8596-38C1930701D5}"/>
</file>

<file path=customXml/itemProps2.xml><?xml version="1.0" encoding="utf-8"?>
<ds:datastoreItem xmlns:ds="http://schemas.openxmlformats.org/officeDocument/2006/customXml" ds:itemID="{C9F91AE1-2B70-4309-826C-F004E0843733}"/>
</file>

<file path=customXml/itemProps3.xml><?xml version="1.0" encoding="utf-8"?>
<ds:datastoreItem xmlns:ds="http://schemas.openxmlformats.org/officeDocument/2006/customXml" ds:itemID="{A87EEB09-5E69-4C03-BF54-9E1250F3E7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2024-11-18T18:09:46Z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