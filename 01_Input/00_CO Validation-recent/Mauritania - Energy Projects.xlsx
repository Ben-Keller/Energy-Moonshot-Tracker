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xr:revisionPtr revIDLastSave="275" documentId="11_C62C97D498F5584690CCA54F8BCE493A782AB40B" xr6:coauthVersionLast="47" xr6:coauthVersionMax="47" xr10:uidLastSave="{9F11B268-B935-45AE-937B-86404B967C29}"/>
  <bookViews>
    <workbookView xWindow="240" yWindow="15" windowWidth="16095" windowHeight="9660" xr2:uid="{00000000-000D-0000-FFFF-FFFF00000000}"/>
  </bookViews>
  <sheets>
    <sheet name="Projects (3)" sheetId="5" r:id="rId1"/>
    <sheet name="Projects (2)" sheetId="4"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tc={99E10609-C132-4F42-83D6-CBC2EC0A45D1}</author>
    <author>tc={19AE863D-7581-40C2-822D-8AB759E44A7B}</author>
    <author>tc={B0275E90-0DAD-41C6-8BC1-556C223B781A}</author>
    <author>Malle Diagana</author>
  </authors>
  <commentList>
    <comment ref="H1" authorId="0" shapeId="0" xr:uid="{99E10609-C132-4F42-83D6-CBC2EC0A45D1}">
      <text>
        <t>[Threaded comment]
Your version of Excel allows you to read this threaded comment; however, any edits to it will get removed if the file is opened in a newer version of Excel. Learn more: https://go.microsoft.com/fwlink/?linkid=870924
Comment:
    Ici, merci d'indiquer l'objectif du projet en terme du nombre de personne que le projet vise a beneficier</t>
      </text>
    </comment>
    <comment ref="A2" authorId="1" shapeId="0" xr:uid="{19AE863D-7581-40C2-822D-8AB759E44A7B}">
      <text>
        <t xml:space="preserve">[Threaded comment]
Your version of Excel allows you to read this threaded comment; however, any edits to it will get removed if the file is opened in a newer version of Excel. Learn more: https://go.microsoft.com/fwlink/?linkid=870924
Comment:
    Changed project number from 132688 </t>
      </text>
    </comment>
    <comment ref="D2" authorId="2" shapeId="0" xr:uid="{B0275E90-0DAD-41C6-8BC1-556C223B781A}">
      <text>
        <t>[Threaded comment]
Your version of Excel allows you to read this threaded comment; however, any edits to it will get removed if the file is opened in a newer version of Excel. Learn more: https://go.microsoft.com/fwlink/?linkid=870924
Comment:
    budget corresponds to only this project and this country, vast gov program</t>
      </text>
    </comment>
    <comment ref="A5" authorId="3" shapeId="0" xr:uid="{D29BD5C3-FC9D-476D-8FAB-64BCA65B10B6}">
      <text>
        <r>
          <rPr>
            <sz val="11"/>
            <color theme="1"/>
            <rFont val="Calibri"/>
            <family val="2"/>
            <scheme val="minor"/>
          </rPr>
          <t xml:space="preserve">Malle Diagana: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Malle Diagana</author>
  </authors>
  <commentList>
    <comment ref="A3" authorId="0" shapeId="0" xr:uid="{3E8D55AA-8E45-416B-BB0B-1E55CF48803C}">
      <text>
        <r>
          <rPr>
            <sz val="11"/>
            <color theme="1"/>
            <rFont val="Calibri"/>
            <family val="2"/>
            <scheme val="minor"/>
          </rPr>
          <t xml:space="preserve">Malle Diagana: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Malle Diagana</author>
  </authors>
  <commentList>
    <comment ref="A3" authorId="0" shapeId="0" xr:uid="{E0892752-70FF-4530-85BA-DB1C712E8EB9}">
      <text>
        <r>
          <rPr>
            <sz val="11"/>
            <color theme="1"/>
            <rFont val="Calibri"/>
            <family val="2"/>
            <scheme val="minor"/>
          </rPr>
          <t xml:space="preserve">Malle Diagana:
</t>
        </r>
      </text>
    </comment>
  </commentList>
</comments>
</file>

<file path=xl/sharedStrings.xml><?xml version="1.0" encoding="utf-8"?>
<sst xmlns="http://schemas.openxmlformats.org/spreadsheetml/2006/main" count="159" uniqueCount="98">
  <si>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</si>
  <si>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</si>
  <si>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</si>
  <si>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</si>
  <si>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</si>
  <si>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</si>
  <si>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</si>
  <si>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</si>
  <si>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</si>
  <si>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</si>
  <si>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</si>
  <si>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</si>
  <si>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</si>
  <si>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</si>
  <si>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</si>
  <si>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</si>
  <si>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</si>
  <si>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</si>
  <si>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</si>
  <si>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</si>
  <si>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</si>
  <si>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Projet d’Electrification  Rurale en Zones Isolées (PERZI)</t>
  </si>
  <si>
    <t>Electricity Access</t>
  </si>
  <si>
    <r>
      <rPr>
        <sz val="9"/>
        <color rgb="FF000000"/>
        <rFont val="Calibri"/>
        <scheme val="minor"/>
      </rPr>
      <t xml:space="preserve">1. Percentage of populations, disaggregated by sex, using adapted techniques and methods for environmental management, resilience and adaptation, and risk and disaster management.
2. Coverage rate of the national territory in rural electrification based on renewable energies in support of UNDP
3: Rate of reduction in the number of water-borne diseases
</t>
    </r>
    <r>
      <rPr>
        <sz val="9"/>
        <color rgb="FFFF0000"/>
        <rFont val="Calibri"/>
        <scheme val="minor"/>
      </rPr>
      <t xml:space="preserve">Number of people, disaggregated by sex, who gain access to clean electricity (direct access to electricity, lighting, cooling, etc.) </t>
    </r>
  </si>
  <si>
    <r>
      <rPr>
        <sz val="9"/>
        <color rgb="FF000000"/>
        <rFont val="Calibri"/>
        <scheme val="minor"/>
      </rPr>
      <t xml:space="preserve">The objective of PERZI is to create the conditions for integrated community development through Access to Sustainable Energy, particularly innovative off-grid electrification solutions.
The program is being launched, with feasibility studies of 200 localities and the ongoing electrification of 2 pilot villages.
The budget allocated to electrification is
$205,000,000. The planned electrification of isolated localities provides for: a mini solar power plant with battery storage, a Low Voltage (LV) network with a Medium Voltage (MT) network possibly, connections to the LV network, metering and a year of maintenance of the equipment after their provisional acceptance
Total budget 329490000
</t>
    </r>
    <r>
      <rPr>
        <sz val="9"/>
        <color rgb="FFFF0000"/>
        <rFont val="Calibri"/>
        <scheme val="minor"/>
      </rPr>
      <t>Target reached so far: 2700</t>
    </r>
  </si>
  <si>
    <t xml:space="preserve">Gouvernment, UNDP, </t>
  </si>
  <si>
    <t>Non-VF</t>
  </si>
  <si>
    <t>Efficiency</t>
  </si>
  <si>
    <t>Close the gap on energy access</t>
  </si>
  <si>
    <t>AMP</t>
  </si>
  <si>
    <t>National Strategy</t>
  </si>
  <si>
    <t>Off-Grid</t>
  </si>
  <si>
    <t>Solar</t>
  </si>
  <si>
    <t>National</t>
  </si>
  <si>
    <t> </t>
  </si>
  <si>
    <t>Capacity Building Training</t>
  </si>
  <si>
    <t xml:space="preserve">Number of people who benefits from training for enterprises on the energy business and energy finance. </t>
  </si>
  <si>
    <t>Paix Verte</t>
  </si>
  <si>
    <t>Clean Cooking</t>
  </si>
  <si>
    <t xml:space="preserve">Nombre d’initiatives d’utilisation des énergies alternatives soutenues </t>
  </si>
  <si>
    <t>300 HH</t>
  </si>
  <si>
    <t>The Biogas initiative is a component of the “Green Peace” project. It aims to provide low-income households with a source of energy
green at affordable costs while leading an awareness campaign of comparative advantages
of the exploitation of organic waste and its advantages in preserving the environment and
contribution to the fight against global warming</t>
  </si>
  <si>
    <t>PBF</t>
  </si>
  <si>
    <t>Category</t>
  </si>
  <si>
    <t xml:space="preserve">1. Pourcentage des populations, désagrégés par sexe utilisant des techniques et méthodes adaptées de gestion de l’environnement, de résilience et d’adaptions et de gestion des risques et catastrophes.
2.  Taux de couverture du territoire national en électrification rurale basé sur les énergies renouvelables en appui du PNUD
3 : Taux de réduction du nombre de maladie d’origine hydrique
</t>
  </si>
  <si>
    <t xml:space="preserve">L’objectif du PERZI est de créer les conditions pour un développement communautaire intégré à travers l’Accès à l’Énergie Durable, particulièrement les solutions innovantes d’électrification hors-réseau.
Le programme est en cours de démarrage, avec des études de faisabilité des 200 localités et l'électrification en cours de 2 villages pilotes.
Le budget alloué à l'électrification est de 
205 000 000 USD. L'électrification de localités isolées projetées prévoit : une minicentrale solaire avec stockage batterie, un réseau Basse Tension (BT) avec un réseau Moyenne Tension (MT) éventuellement, des Branchements au réseau BT, des comptages et une année de maintenance des équipements après leur réception provisoire </t>
  </si>
  <si>
    <t>Accelerating just energy transition</t>
  </si>
  <si>
    <t>157 000 USD</t>
  </si>
  <si>
    <t>L'initiative Biogaz est une composante du projet "Paix Verte". Elle vise à fournir aux ménages à faible revenu une source d’énergie 
verte à des couts accessibles tout en menant une campagne de sensibilisation des avantages comparatifs 
de l’exploitations des déchets organiques et ses avantages dans la préservation de l’environnement et la 
contribution à la lutte contre le réchauffement climatique</t>
  </si>
  <si>
    <t xml:space="preserve">Comment </t>
  </si>
  <si>
    <t>329 490 000 USD</t>
  </si>
  <si>
    <t>600 000 Personnes dans 200 localités isolées de la Mauritanie</t>
  </si>
  <si>
    <t xml:space="preserve">Can you please check the budget of the project ? The budget value seems to be high compared to the output (the currency should be expressed in USD). Done 
</t>
  </si>
  <si>
    <t>1.	The feasibility study for the Projet d'Electrification Rurale en Zones Isolées (PERZI) (Rural Electrification Project in Isolated Areas) is currently being drawn up and, to this end, no order of magnitude on the request has been sent to you;
2.	The estimate for the electrification component of the project is based on feedback from similar projects already carried out or in progress in Mauritania and on the views of experts;
3.	The electrification of the planned isolated localities provides for: a mini solar power station with battery storage, a Low Voltage (LV) network with a Medium Voltage (MV) network if necessary, connections to the LV network, metering and one year's maintenance of the equipment after its provisional acceptance; 
4.	The advanced budget is a global budget that includes the equipment, soft support aspects (feasibility study, consulting engineer, NGO, etc.), power station maintenance costs for one year, management costs and an Accelerated Community Development Programme (PADC) that will be created around PERZI. The PADC includes road opening up, digital opening up, drinking water supply, support for the education and health sectors in the PERZI localities.
All this is to inform you that the USD 322 MILLION put forward as the overall budget for PERZI is not intended for electrification alone, there is a whole ambitious local development programme accompanying PERZI;
5.	In the PERZI budget validated by the Mauritanian Government, the budget allocated to the electrifications described in point 3 is around USD 205,000,000.</t>
  </si>
  <si>
    <t>157 000 USD (uniquement pour la composante Biogaz du projet</t>
  </si>
  <si>
    <t>300 ménages sont ciblés par ce projet</t>
  </si>
  <si>
    <t>Number of people, disaggregated by sex, who gain access to clean electricity (direct access to electricity, lighting, cooling, etc.) </t>
  </si>
  <si>
    <t>2700 (60% femme)</t>
  </si>
  <si>
    <t>Energy (MW added)</t>
  </si>
  <si>
    <t>Number of MW installed capacity</t>
  </si>
  <si>
    <t>0,2</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</si>
  <si>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</si>
  <si>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</si>
  <si>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</si>
  <si>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</si>
  <si>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</si>
  <si>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2700 (Installation de deux plateformes gérées par les femmes</t>
  </si>
  <si>
    <t>Health Services</t>
  </si>
  <si>
    <t>Number of people who gain access to health care facilities (direct access to electricity and heating systems for clinics, hospitals, health centers etc.) </t>
  </si>
  <si>
    <t>2 postes de santé électrifiés</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</si>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</sst>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1"/>
      <color theme="1"/>
      <name val="Calibri"/>
      <family val="2"/>
      <scheme val="minor"/>
    </font>
    <font>
      <sz val="11"/>
      <color theme="1"/>
      <name val="Calibri"/>
      <scheme val="minor"/>
    </font>
    <font>
      <b/>
      <sz val="11"/>
      <color theme="1"/>
      <name val="Calibri"/>
      <family val="2"/>
      <scheme val="minor"/>
    </font>
    <font>
      <sz val="9"/>
      <color theme="1"/>
      <name val="Calibri"/>
      <family val="2"/>
      <scheme val="minor"/>
    </font>
    <font>
      <sz val="9"/>
      <color rgb="FF000000"/>
      <name val="Calibri"/>
      <family val="2"/>
    </font>
    <font>
      <sz val="11"/>
      <color rgb="FFFF0000"/>
      <name val="Calibri"/>
      <family val="2"/>
      <scheme val="minor"/>
    </font>
    <font>
      <b/>
      <sz val="11"/>
      <color theme="1"/>
      <name val="Calibri"/>
      <scheme val="minor"/>
    </font>
    <font>
      <sz val="11"/>
      <color rgb="FF000000"/>
      <name val="Calibri"/>
      <scheme val="minor"/>
    </font>
    <font>
      <sz val="11"/>
      <color rgb="FFFF0000"/>
      <name val="Calibri"/>
      <family val="2"/>
    </font>
    <font>
      <sz val="11"/>
      <color rgb="FF000000"/>
      <name val="Calibri"/>
      <family val="2"/>
    </font>
    <font>
      <sz val="9"/>
      <color rgb="FFFF0000"/>
      <name val="Calibri"/>
      <family val="2"/>
      <scheme val="minor"/>
    </font>
    <font>
      <sz val="9"/>
      <color rgb="FF000000"/>
      <name val="Calibri"/>
      <scheme val="minor"/>
    </font>
    <font>
      <sz val="9"/>
      <color rgb="FFFF0000"/>
      <name val="Calibri"/>
      <scheme val="minor"/>
    </font>
    <font>
      <sz val="9"/>
      <color theme="1"/>
      <name val="Calibri"/>
      <scheme val="minor"/>
    </font>
  </fonts>
  <fills count="3">
    <fill>
      <patternFill patternType="none"/>
    </fill>
    <fill>
      <patternFill patternType="gray125"/>
    </fill>
    <fill>
      <patternFill patternType="solid">
        <fgColor theme="9"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53">
    <xf numFmtId="0" fontId="0" fillId="0" borderId="0" xfId="0"/>
    <xf numFmtId="0" fontId="2" fillId="0" borderId="1" xfId="0" applyFont="1" applyBorder="1" applyAlignment="1">
      <alignment horizontal="center" vertical="top"/>
    </xf>
    <xf numFmtId="0" fontId="2" fillId="0" borderId="3" xfId="0" applyFont="1" applyBorder="1" applyAlignment="1">
      <alignment horizontal="center" vertical="top"/>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2" fillId="0" borderId="0" xfId="0" applyFont="1"/>
    <xf numFmtId="43" fontId="3" fillId="0" borderId="2" xfId="0" applyNumberFormat="1" applyFont="1" applyBorder="1" applyAlignment="1">
      <alignment horizontal="left" vertical="center"/>
    </xf>
    <xf numFmtId="43" fontId="0" fillId="0" borderId="0" xfId="0" applyNumberFormat="1"/>
    <xf numFmtId="0" fontId="0" fillId="0" borderId="0" xfId="0" applyAlignment="1">
      <alignment vertical="top" wrapText="1"/>
    </xf>
    <xf numFmtId="0" fontId="0" fillId="0" borderId="2" xfId="0" applyBorder="1"/>
    <xf numFmtId="0" fontId="3" fillId="0" borderId="5" xfId="0" applyFont="1" applyBorder="1" applyAlignment="1">
      <alignment horizontal="left" vertical="center"/>
    </xf>
    <xf numFmtId="0" fontId="4" fillId="0" borderId="5" xfId="0" applyFont="1" applyBorder="1" applyAlignment="1">
      <alignment horizontal="left" vertical="center" wrapText="1"/>
    </xf>
    <xf numFmtId="43" fontId="3" fillId="0" borderId="5" xfId="0" applyNumberFormat="1" applyFont="1" applyBorder="1" applyAlignment="1">
      <alignment horizontal="left" vertical="center"/>
    </xf>
    <xf numFmtId="0" fontId="3" fillId="0" borderId="5" xfId="0" applyFont="1" applyBorder="1" applyAlignment="1">
      <alignment horizontal="left" vertical="center" wrapText="1"/>
    </xf>
    <xf numFmtId="0" fontId="5" fillId="0" borderId="0" xfId="0" applyFont="1" applyAlignment="1">
      <alignment wrapText="1"/>
    </xf>
    <xf numFmtId="0" fontId="3" fillId="0" borderId="4" xfId="0" applyFont="1" applyBorder="1" applyAlignment="1">
      <alignment horizontal="left" vertical="center" wrapText="1"/>
    </xf>
    <xf numFmtId="0" fontId="2" fillId="0" borderId="2" xfId="0" applyFont="1" applyBorder="1" applyAlignment="1">
      <alignment horizontal="center" vertical="top"/>
    </xf>
    <xf numFmtId="0" fontId="2" fillId="0" borderId="2" xfId="0" applyFont="1" applyBorder="1"/>
    <xf numFmtId="0" fontId="4" fillId="0" borderId="2" xfId="0" applyFont="1" applyBorder="1" applyAlignment="1">
      <alignment horizontal="left" vertical="center" wrapText="1"/>
    </xf>
    <xf numFmtId="0" fontId="5" fillId="0" borderId="2" xfId="0" applyFont="1" applyBorder="1" applyAlignment="1">
      <alignment wrapText="1"/>
    </xf>
    <xf numFmtId="0" fontId="0" fillId="0" borderId="2" xfId="0" applyBorder="1" applyAlignment="1">
      <alignment vertical="top" wrapText="1"/>
    </xf>
    <xf numFmtId="0" fontId="2" fillId="0" borderId="2" xfId="0" applyFont="1" applyBorder="1" applyAlignment="1">
      <alignment horizontal="center"/>
    </xf>
    <xf numFmtId="0" fontId="0" fillId="0" borderId="2" xfId="0" applyBorder="1" applyAlignment="1">
      <alignment horizontal="center" vertical="center"/>
    </xf>
    <xf numFmtId="0" fontId="6" fillId="0" borderId="2" xfId="0" applyFont="1" applyBorder="1" applyAlignment="1">
      <alignment horizontal="center" vertical="top"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5" xfId="0" applyFont="1" applyBorder="1"/>
    <xf numFmtId="0" fontId="0" fillId="0" borderId="7" xfId="0" applyBorder="1" applyAlignment="1">
      <alignment horizontal="center" vertical="center"/>
    </xf>
    <xf numFmtId="0" fontId="0" fillId="0" borderId="4" xfId="0" applyBorder="1" applyAlignment="1">
      <alignment horizontal="center" vertical="center" wrapText="1"/>
    </xf>
    <xf numFmtId="0" fontId="0" fillId="0" borderId="2" xfId="0" applyBorder="1" applyAlignment="1">
      <alignment vertical="center"/>
    </xf>
    <xf numFmtId="0" fontId="2" fillId="2" borderId="2" xfId="0" applyFont="1" applyFill="1" applyBorder="1" applyAlignment="1">
      <alignment horizontal="center" vertical="top"/>
    </xf>
    <xf numFmtId="0" fontId="2" fillId="2" borderId="2" xfId="0" applyFont="1" applyFill="1" applyBorder="1"/>
    <xf numFmtId="43" fontId="3" fillId="2" borderId="2" xfId="0" applyNumberFormat="1" applyFont="1" applyFill="1" applyBorder="1" applyAlignment="1">
      <alignment horizontal="left" vertical="center"/>
    </xf>
    <xf numFmtId="0" fontId="3"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0" fillId="2" borderId="0" xfId="0" applyFill="1"/>
    <xf numFmtId="43" fontId="0" fillId="2" borderId="0" xfId="0" applyNumberFormat="1" applyFill="1"/>
    <xf numFmtId="0" fontId="9" fillId="0" borderId="2" xfId="0" applyFont="1" applyBorder="1"/>
    <xf numFmtId="0" fontId="8" fillId="0" borderId="2" xfId="0" applyFont="1" applyBorder="1" applyAlignment="1">
      <alignment vertical="center" wrapText="1"/>
    </xf>
    <xf numFmtId="0" fontId="9" fillId="0" borderId="8" xfId="0" applyFont="1" applyBorder="1" applyAlignment="1">
      <alignment vertical="center"/>
    </xf>
    <xf numFmtId="0" fontId="9" fillId="0" borderId="2" xfId="0" applyFont="1" applyBorder="1" applyAlignment="1">
      <alignment vertical="center"/>
    </xf>
    <xf numFmtId="0" fontId="9" fillId="0" borderId="4" xfId="0" applyFont="1" applyBorder="1" applyAlignment="1">
      <alignment vertical="center" wrapText="1"/>
    </xf>
    <xf numFmtId="0" fontId="9" fillId="0" borderId="4" xfId="0" applyFont="1" applyBorder="1" applyAlignment="1">
      <alignment vertical="center"/>
    </xf>
    <xf numFmtId="0" fontId="9" fillId="0" borderId="2" xfId="0" applyFont="1" applyBorder="1" applyAlignment="1">
      <alignment wrapText="1"/>
    </xf>
    <xf numFmtId="0" fontId="6" fillId="0" borderId="7" xfId="0" applyFont="1" applyBorder="1" applyAlignment="1">
      <alignment horizontal="center" vertical="top" wrapText="1"/>
    </xf>
    <xf numFmtId="0" fontId="7" fillId="0" borderId="7" xfId="0" applyFont="1" applyBorder="1" applyAlignment="1">
      <alignment wrapText="1"/>
    </xf>
    <xf numFmtId="0" fontId="10" fillId="2" borderId="2"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0" fillId="0" borderId="2" xfId="0" applyFont="1" applyBorder="1" applyAlignment="1">
      <alignment horizontal="left" vertical="center"/>
    </xf>
    <xf numFmtId="0" fontId="1" fillId="0" borderId="2" xfId="0" applyFont="1" applyBorder="1" applyAlignment="1">
      <alignment horizontal="left" vertical="center" wrapText="1"/>
    </xf>
    <xf numFmtId="0" fontId="1" fillId="0" borderId="7" xfId="0" applyFont="1" applyBorder="1" applyAlignment="1">
      <alignment wrapText="1"/>
    </xf>
    <xf numFmtId="0" fontId="1" fillId="0" borderId="7"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olashade Jaiyeola" id="{B35F1C27-3BC7-41AE-B460-760607872641}" userId="S::folashade.jaiyeola@undp.org::c208a32e-6303-48b2-9538-645490e996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 dT="2024-11-22T15:17:17.18" personId="{B35F1C27-3BC7-41AE-B460-760607872641}" id="{99E10609-C132-4F42-83D6-CBC2EC0A45D1}">
    <text>Ici, merci d'indiquer l'objectif du projet en terme du nombre de personne que le projet vise a beneficier</text>
  </threadedComment>
  <threadedComment ref="A2" dT="2024-11-22T15:06:33.29" personId="{B35F1C27-3BC7-41AE-B460-760607872641}" id="{19AE863D-7581-40C2-822D-8AB759E44A7B}">
    <text xml:space="preserve">Changed project number from 132688 </text>
  </threadedComment>
  <threadedComment ref="D2" dT="2024-11-22T15:18:23.45" personId="{B35F1C27-3BC7-41AE-B460-760607872641}" id="{B0275E90-0DAD-41C6-8BC1-556C223B781A}">
    <text>budget corresponds to only this project and this country, vast gov program</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F61A-FEBE-41BF-B816-26D800B496FA}">
  <dimension ref="A1:U9"/>
  <sheetViews>
    <sheetView tabSelected="1" workbookViewId="0">
      <selection activeCell="C2" sqref="C2"/>
    </sheetView>
  </sheetViews>
  <sheetFormatPr defaultRowHeight="15"/>
  <cols>
    <col min="2" max="3" width="20.7109375" customWidth="1"/>
    <col min="4" max="4" width="12.85546875" style="35" bestFit="1" customWidth="1"/>
    <col min="5" max="5" width="20.7109375" style="35" customWidth="1"/>
    <col min="6" max="6" width="23.5703125" style="35" customWidth="1"/>
    <col min="7" max="8" width="12.7109375" style="35" customWidth="1"/>
    <col min="9" max="9" width="32.7109375" style="35" customWidth="1"/>
    <col min="10" max="10" width="12.140625" style="35" customWidth="1"/>
    <col min="11" max="11" width="13.42578125" customWidth="1"/>
    <col min="12" max="12" width="12.85546875" bestFit="1" customWidth="1"/>
    <col min="14" max="14" width="14.42578125" bestFit="1" customWidth="1"/>
    <col min="15" max="15" width="20.425781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16" t="s">
        <v>0</v>
      </c>
      <c r="B1" s="16" t="s">
        <v>1</v>
      </c>
      <c r="C1" s="16" t="s">
        <v>2</v>
      </c>
      <c r="D1" s="30" t="s">
        <v>3</v>
      </c>
      <c r="E1" s="30" t="s">
        <v>4</v>
      </c>
      <c r="F1" s="30" t="s">
        <v>5</v>
      </c>
      <c r="G1" s="30" t="s">
        <v>6</v>
      </c>
      <c r="H1" s="30" t="s">
        <v>7</v>
      </c>
      <c r="I1" s="30" t="s">
        <v>8</v>
      </c>
      <c r="J1" s="31" t="s">
        <v>9</v>
      </c>
      <c r="K1" s="17" t="s">
        <v>10</v>
      </c>
      <c r="L1" s="21" t="s">
        <v>11</v>
      </c>
      <c r="M1" s="24" t="s">
        <v>12</v>
      </c>
      <c r="N1" s="21" t="s">
        <v>13</v>
      </c>
      <c r="O1" s="21" t="s">
        <v>14</v>
      </c>
      <c r="P1" s="24" t="s">
        <v>15</v>
      </c>
      <c r="Q1" s="24" t="s">
        <v>16</v>
      </c>
      <c r="R1" s="25" t="s">
        <v>17</v>
      </c>
      <c r="S1" s="26" t="s">
        <v>18</v>
      </c>
      <c r="T1" s="25" t="s">
        <v>19</v>
      </c>
      <c r="U1" s="26" t="s">
        <v>20</v>
      </c>
    </row>
    <row r="2" spans="1:21" ht="264" customHeight="1">
      <c r="A2" s="49">
        <v>132255</v>
      </c>
      <c r="B2" s="18" t="s">
        <v>21</v>
      </c>
      <c r="C2" s="4"/>
      <c r="D2" s="32">
        <v>5500000</v>
      </c>
      <c r="E2" s="33" t="s">
        <v>22</v>
      </c>
      <c r="F2" s="47" t="s">
        <v>23</v>
      </c>
      <c r="G2" s="33">
        <v>0</v>
      </c>
      <c r="H2" s="46">
        <v>300000</v>
      </c>
      <c r="I2" s="47" t="s">
        <v>24</v>
      </c>
      <c r="J2" s="34" t="s">
        <v>25</v>
      </c>
      <c r="K2" s="38">
        <v>60</v>
      </c>
      <c r="L2" s="39" t="s">
        <v>26</v>
      </c>
      <c r="M2" s="40" t="s">
        <v>27</v>
      </c>
      <c r="N2" s="41" t="s">
        <v>28</v>
      </c>
      <c r="O2" s="42" t="s">
        <v>22</v>
      </c>
      <c r="P2" s="42" t="s">
        <v>29</v>
      </c>
      <c r="Q2" s="42" t="s">
        <v>30</v>
      </c>
      <c r="R2" s="42" t="s">
        <v>31</v>
      </c>
      <c r="S2" s="42" t="s">
        <v>32</v>
      </c>
      <c r="T2" s="42" t="s">
        <v>33</v>
      </c>
      <c r="U2" s="42" t="s">
        <v>34</v>
      </c>
    </row>
    <row r="3" spans="1:21" ht="70.5" customHeight="1">
      <c r="A3" s="4"/>
      <c r="B3" s="18"/>
      <c r="C3" s="4"/>
      <c r="D3" s="32"/>
      <c r="E3" s="33" t="s">
        <v>35</v>
      </c>
      <c r="F3" s="48" t="s">
        <v>36</v>
      </c>
      <c r="G3" s="33"/>
      <c r="H3" s="46">
        <v>1000</v>
      </c>
      <c r="I3" s="34"/>
      <c r="J3" s="34" t="s">
        <v>25</v>
      </c>
      <c r="K3" s="38"/>
      <c r="L3" s="39"/>
      <c r="M3" s="40"/>
      <c r="N3" s="41"/>
      <c r="O3" s="42"/>
      <c r="P3" s="42"/>
      <c r="Q3" s="42"/>
      <c r="R3" s="42"/>
      <c r="S3" s="42"/>
      <c r="T3" s="42"/>
      <c r="U3" s="42"/>
    </row>
    <row r="4" spans="1:21" ht="71.25" customHeight="1">
      <c r="A4" s="4"/>
      <c r="B4" s="18"/>
      <c r="C4" s="4"/>
      <c r="D4" s="32"/>
      <c r="E4" s="33"/>
      <c r="F4" s="47"/>
      <c r="G4" s="33"/>
      <c r="H4" s="46">
        <v>200</v>
      </c>
      <c r="I4" s="34"/>
      <c r="J4" s="34" t="s">
        <v>25</v>
      </c>
      <c r="K4" s="38"/>
      <c r="L4" s="39"/>
      <c r="M4" s="40"/>
      <c r="N4" s="41"/>
      <c r="O4" s="42"/>
      <c r="P4" s="42"/>
      <c r="Q4" s="42"/>
      <c r="R4" s="42"/>
      <c r="S4" s="42"/>
      <c r="T4" s="42"/>
      <c r="U4" s="42"/>
    </row>
    <row r="5" spans="1:21" ht="138">
      <c r="A5" s="3">
        <v>131201</v>
      </c>
      <c r="B5" s="3" t="s">
        <v>37</v>
      </c>
      <c r="C5" s="9"/>
      <c r="D5" s="34">
        <v>157000</v>
      </c>
      <c r="E5" s="33" t="s">
        <v>38</v>
      </c>
      <c r="F5" s="34" t="s">
        <v>39</v>
      </c>
      <c r="G5" s="33">
        <v>0</v>
      </c>
      <c r="H5" s="34" t="s">
        <v>40</v>
      </c>
      <c r="I5" s="34" t="s">
        <v>41</v>
      </c>
      <c r="J5" s="34" t="s">
        <v>42</v>
      </c>
      <c r="K5" s="9"/>
      <c r="L5" s="27" t="s">
        <v>26</v>
      </c>
      <c r="M5" s="22"/>
      <c r="N5" s="28" t="s">
        <v>28</v>
      </c>
      <c r="O5" s="22"/>
      <c r="P5" s="22"/>
      <c r="Q5" s="22"/>
      <c r="R5" s="22"/>
      <c r="S5" s="29"/>
      <c r="T5" s="22"/>
      <c r="U5" s="29"/>
    </row>
    <row r="7" spans="1:21">
      <c r="E7" s="32"/>
    </row>
    <row r="8" spans="1:21">
      <c r="H8" s="36"/>
    </row>
    <row r="9" spans="1:21">
      <c r="E9" s="36"/>
    </row>
  </sheetData>
  <dataValidations count="9">
    <dataValidation type="list" allowBlank="1" showInputMessage="1" showErrorMessage="1" sqref="Q5" xr:uid="{FEA6C5C9-6E00-4A8C-B965-864821347CA8}">
      <formula1>"NDC Support, National Strategy, Legal Framework,Incentives and Support, Government Capacity-Building, Carbon Pricing and Monitoring, Financing Model, Business Model"</formula1>
    </dataValidation>
    <dataValidation type="list" allowBlank="1" showInputMessage="1" showErrorMessage="1" sqref="P5" xr:uid="{3734A83F-DD58-458D-AB51-E92ED851EC54}">
      <formula1>"AMP, PUDC, Solar4Health, Action Opportunities, Italy UNDP Energy Partnership"</formula1>
    </dataValidation>
    <dataValidation type="list" allowBlank="1" showInputMessage="1" showErrorMessage="1" sqref="N5" xr:uid="{B16165AA-3F8F-4E9F-960D-17D4B551D6DA}">
      <formula1>"Accelerating just energy transition, Close the gap on energy access, Scale up energy finance"</formula1>
    </dataValidation>
    <dataValidation type="list" allowBlank="1" showInputMessage="1" showErrorMessage="1" sqref="O5" xr:uid="{6BAF89A9-CE59-4341-A0F8-484A27A96FA2}">
      <formula1>"Electricity Access, Energy Efficiency, Clean Cooking, Renewable Energy, Overall"</formula1>
    </dataValidation>
    <dataValidation type="list" allowBlank="1" showInputMessage="1" showErrorMessage="1" sqref="L5" xr:uid="{DED6FC1B-046F-49F3-BA88-D03D93FA92D5}">
      <formula1>"Non-VF, VF"</formula1>
    </dataValidation>
    <dataValidation type="list" allowBlank="1" showInputMessage="1" showErrorMessage="1" sqref="M5" xr:uid="{61E4183E-03FE-4EF9-9158-E243B7305D97}">
      <formula1>"Finance, Gender, Efficiency, Just, Health"</formula1>
    </dataValidation>
    <dataValidation type="list" allowBlank="1" showInputMessage="1" showErrorMessage="1" sqref="T5" xr:uid="{D6F3F8B6-3437-4E37-9235-ADB4DD9BDF52}">
      <formula1>"National, Regional, City, Community"</formula1>
    </dataValidation>
    <dataValidation type="list" allowBlank="1" showInputMessage="1" showErrorMessage="1" sqref="R5" xr:uid="{F08283A1-B239-4E79-9EA3-E0DFEB65A0A9}">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5" xr:uid="{55773362-3036-409C-B4D8-57789124AA43}">
      <formula1>"Solar, Wind, Bioenergy, Hydro, Geothermal, Waste, Some Sources, Other, Unknown"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B41DCD2-52B2-4A9B-95A2-7A66160ED382}">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D9FB-C461-49DB-AB90-E297C9CF2AAB}">
  <dimension ref="A1:T7"/>
  <sheetViews>
    <sheetView workbookViewId="0">
      <selection activeCell="D2" sqref="D2"/>
    </sheetView>
  </sheetViews>
  <sheetFormatPr defaultRowHeight="15"/>
  <cols>
    <col min="2" max="3" width="20.7109375" customWidth="1"/>
    <col min="4" max="4" width="12.85546875" bestFit="1" customWidth="1"/>
    <col min="5" max="6" width="20.7109375" customWidth="1"/>
    <col min="7" max="8" width="12.7109375" customWidth="1"/>
    <col min="9" max="9" width="32.7109375" customWidth="1"/>
    <col min="10" max="10" width="12.140625" customWidth="1"/>
    <col min="11" max="11" width="13.42578125" customWidth="1"/>
    <col min="12" max="12" width="9.140625" customWidth="1"/>
  </cols>
  <sheetData>
    <row r="1" spans="1:20">
      <c r="A1" s="16" t="s">
        <v>0</v>
      </c>
      <c r="B1" s="16" t="s">
        <v>1</v>
      </c>
      <c r="C1" s="16" t="s">
        <v>2</v>
      </c>
      <c r="D1" s="16" t="s">
        <v>3</v>
      </c>
      <c r="E1" s="16" t="s">
        <v>4</v>
      </c>
      <c r="F1" s="16" t="s">
        <v>5</v>
      </c>
      <c r="G1" s="16" t="s">
        <v>6</v>
      </c>
      <c r="H1" s="16" t="s">
        <v>7</v>
      </c>
      <c r="I1" s="16" t="s">
        <v>8</v>
      </c>
      <c r="J1" s="17" t="s">
        <v>9</v>
      </c>
      <c r="K1" s="17" t="s">
        <v>10</v>
      </c>
      <c r="L1" s="17" t="s">
        <v>43</v>
      </c>
      <c r="M1" s="17" t="s">
        <v>12</v>
      </c>
      <c r="N1" s="17" t="s">
        <v>13</v>
      </c>
      <c r="O1" s="17" t="s">
        <v>14</v>
      </c>
      <c r="P1" s="17" t="s">
        <v>15</v>
      </c>
      <c r="Q1" s="17" t="s">
        <v>16</v>
      </c>
      <c r="R1" s="17" t="s">
        <v>17</v>
      </c>
      <c r="S1" s="17"/>
      <c r="T1" s="5"/>
    </row>
    <row r="2" spans="1:20" ht="230.25" customHeight="1">
      <c r="A2" s="4">
        <v>132688</v>
      </c>
      <c r="B2" s="18" t="s">
        <v>21</v>
      </c>
      <c r="C2" s="4"/>
      <c r="D2" s="6">
        <v>329490000</v>
      </c>
      <c r="E2" s="4" t="s">
        <v>22</v>
      </c>
      <c r="F2" s="3" t="s">
        <v>44</v>
      </c>
      <c r="G2" s="4">
        <v>0</v>
      </c>
      <c r="H2" s="3">
        <v>600000</v>
      </c>
      <c r="I2" s="3" t="s">
        <v>45</v>
      </c>
      <c r="J2" s="3" t="s">
        <v>25</v>
      </c>
      <c r="K2" s="19"/>
      <c r="L2" s="20" t="s">
        <v>26</v>
      </c>
      <c r="M2" s="9"/>
      <c r="N2" s="9" t="s">
        <v>46</v>
      </c>
      <c r="O2" s="9" t="s">
        <v>22</v>
      </c>
      <c r="P2" s="9"/>
      <c r="Q2" s="9"/>
      <c r="R2" s="9"/>
      <c r="S2" s="9"/>
    </row>
    <row r="3" spans="1:20" ht="138">
      <c r="A3" s="3">
        <v>131201</v>
      </c>
      <c r="B3" s="3" t="s">
        <v>37</v>
      </c>
      <c r="C3" s="9"/>
      <c r="D3" s="3" t="s">
        <v>47</v>
      </c>
      <c r="E3" s="4" t="s">
        <v>38</v>
      </c>
      <c r="F3" s="3" t="s">
        <v>39</v>
      </c>
      <c r="G3" s="4">
        <v>0</v>
      </c>
      <c r="H3" s="3" t="s">
        <v>40</v>
      </c>
      <c r="I3" s="3" t="s">
        <v>48</v>
      </c>
      <c r="J3" s="3" t="s">
        <v>42</v>
      </c>
      <c r="K3" s="9"/>
      <c r="L3" s="20" t="s">
        <v>26</v>
      </c>
      <c r="M3" s="9"/>
      <c r="N3" s="9" t="s">
        <v>46</v>
      </c>
      <c r="O3" s="9" t="s">
        <v>38</v>
      </c>
      <c r="P3" s="9"/>
      <c r="Q3" s="9"/>
      <c r="R3" s="9"/>
      <c r="S3" s="9"/>
    </row>
    <row r="5" spans="1:20">
      <c r="E5" s="6"/>
    </row>
    <row r="6" spans="1:20">
      <c r="H6" s="7"/>
    </row>
    <row r="7" spans="1:20">
      <c r="E7" s="7"/>
    </row>
  </sheetData>
  <dataValidations count="5">
    <dataValidation type="list" allowBlank="1" showInputMessage="1" showErrorMessage="1" sqref="N2:N3" xr:uid="{005D13D5-51E2-4F0D-893C-00FBA944970C}">
      <formula1>"Accelerating just energy transition, Close the gap on energy access, Scale up energy finance"</formula1>
    </dataValidation>
    <dataValidation type="list" allowBlank="1" showInputMessage="1" showErrorMessage="1" sqref="O2:O3" xr:uid="{7AAD945E-CA94-4988-BD0F-E20BE0340346}">
      <formula1>"Electricity Access, Energy Efficiency, Clean Cooking, Renewable Energy"</formula1>
    </dataValidation>
    <dataValidation type="list" allowBlank="1" showInputMessage="1" showErrorMessage="1" sqref="P2:P3" xr:uid="{6C983FAD-4643-4F47-AF2D-2BCB3F35D3C5}">
      <formula1>"AMP, PUDC, Solar4Health, Action Opportunities, Italy UNDP Energy Partnership"</formula1>
    </dataValidation>
    <dataValidation type="list" allowBlank="1" showInputMessage="1" showErrorMessage="1" sqref="Q2:Q3" xr:uid="{D945863E-454D-4FD2-97C8-1D355A61929E}">
      <formula1>"NDC Support, National Strategy, Legal Framework,Incentives and Support, Government Capacity-Building, Carbon Pricing and Monitoring, Financing Model, Business Model"</formula1>
    </dataValidation>
    <dataValidation type="list" allowBlank="1" showInputMessage="1" showErrorMessage="1" sqref="R2:R3" xr:uid="{07A3E34C-3811-4A41-B6C6-EC5B608A7EE5}">
      <formula1>"Electricity Access, Energy Efficiency, Renewable EnergyEnergy Infrastructure,   Transport, Digital &amp; Data, Clean Cooking, Decarbonization, Hydrogen, Off-Grid, On-Grid"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287AA95-669F-445A-AE35-DA97FB49A6C5}">
          <x14:formula1>
            <xm:f>'Beneficiary Categories'!$A$2:$A$16</xm:f>
          </x14:formula1>
          <xm:sqref>E2:E3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opLeftCell="A2" workbookViewId="0">
      <selection activeCell="E2" sqref="E2"/>
    </sheetView>
  </sheetViews>
  <sheetFormatPr defaultRowHeight="15"/>
  <cols>
    <col min="2" max="3" width="20.7109375" customWidth="1"/>
    <col min="4" max="4" width="12.85546875" bestFit="1" customWidth="1"/>
    <col min="5" max="6" width="20.7109375" customWidth="1"/>
    <col min="7" max="8" width="12.7109375" customWidth="1"/>
    <col min="9" max="9" width="32.7109375" customWidth="1"/>
    <col min="10" max="10" width="12.140625" customWidth="1"/>
    <col min="11" max="11" width="45" bestFit="1" customWidth="1"/>
    <col min="12" max="12" width="52.28515625" customWidth="1"/>
  </cols>
  <sheetData>
    <row r="1" spans="1:12">
      <c r="A1" s="1" t="s">
        <v>0</v>
      </c>
      <c r="B1" s="2" t="s">
        <v>1</v>
      </c>
      <c r="C1" s="2" t="s">
        <v>2</v>
      </c>
      <c r="D1" s="2" t="s">
        <v>3</v>
      </c>
      <c r="E1" s="2" t="s">
        <v>4</v>
      </c>
      <c r="F1" s="1" t="s">
        <v>5</v>
      </c>
      <c r="G1" s="2" t="s">
        <v>6</v>
      </c>
      <c r="H1" s="2" t="s">
        <v>7</v>
      </c>
      <c r="I1" s="2" t="s">
        <v>8</v>
      </c>
      <c r="J1" s="5" t="s">
        <v>9</v>
      </c>
      <c r="K1" s="5" t="s">
        <v>49</v>
      </c>
    </row>
    <row r="2" spans="1:12" ht="230.25" customHeight="1">
      <c r="A2" s="10">
        <v>132688</v>
      </c>
      <c r="B2" s="11" t="s">
        <v>21</v>
      </c>
      <c r="C2" s="10"/>
      <c r="D2" s="12" t="s">
        <v>50</v>
      </c>
      <c r="E2" s="10" t="s">
        <v>22</v>
      </c>
      <c r="F2" s="13" t="s">
        <v>44</v>
      </c>
      <c r="G2" s="10">
        <v>0</v>
      </c>
      <c r="H2" s="13" t="s">
        <v>51</v>
      </c>
      <c r="I2" s="13" t="s">
        <v>45</v>
      </c>
      <c r="J2" s="3" t="s">
        <v>25</v>
      </c>
      <c r="K2" s="14" t="s">
        <v>52</v>
      </c>
      <c r="L2" s="8" t="s">
        <v>53</v>
      </c>
    </row>
    <row r="3" spans="1:12" ht="138">
      <c r="A3" s="3">
        <v>131201</v>
      </c>
      <c r="B3" s="3" t="s">
        <v>37</v>
      </c>
      <c r="C3" s="9"/>
      <c r="D3" s="3" t="s">
        <v>54</v>
      </c>
      <c r="E3" s="4" t="s">
        <v>38</v>
      </c>
      <c r="F3" s="3" t="s">
        <v>39</v>
      </c>
      <c r="G3" s="4">
        <v>0</v>
      </c>
      <c r="H3" s="3" t="s">
        <v>55</v>
      </c>
      <c r="I3" s="3" t="s">
        <v>48</v>
      </c>
      <c r="J3" s="15" t="s">
        <v>42</v>
      </c>
    </row>
    <row r="5" spans="1:12">
      <c r="E5" s="6"/>
    </row>
    <row r="6" spans="1:12">
      <c r="H6" s="7"/>
    </row>
    <row r="7" spans="1:12">
      <c r="E7" s="7"/>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topLeftCell="A6" workbookViewId="0">
      <selection activeCell="A7" sqref="A7"/>
    </sheetView>
  </sheetViews>
  <sheetFormatPr defaultRowHeight="15"/>
  <cols>
    <col min="1" max="2" width="52.7109375" customWidth="1"/>
    <col min="3" max="3" width="18" customWidth="1"/>
  </cols>
  <sheetData>
    <row r="1" spans="1:3">
      <c r="A1" s="23" t="s">
        <v>4</v>
      </c>
      <c r="B1" s="44" t="s">
        <v>5</v>
      </c>
      <c r="C1" s="9"/>
    </row>
    <row r="2" spans="1:3" ht="45.75">
      <c r="A2" s="50" t="s">
        <v>22</v>
      </c>
      <c r="B2" s="45" t="s">
        <v>56</v>
      </c>
      <c r="C2" s="37" t="s">
        <v>57</v>
      </c>
    </row>
    <row r="3" spans="1:3">
      <c r="A3" s="50" t="s">
        <v>58</v>
      </c>
      <c r="B3" s="45" t="s">
        <v>59</v>
      </c>
      <c r="C3" s="37" t="s">
        <v>60</v>
      </c>
    </row>
    <row r="4" spans="1:3" ht="30.75">
      <c r="A4" s="50" t="s">
        <v>38</v>
      </c>
      <c r="B4" s="45" t="s">
        <v>61</v>
      </c>
      <c r="C4" s="37">
        <v>2700</v>
      </c>
    </row>
    <row r="5" spans="1:3" ht="30.75">
      <c r="A5" s="50" t="s">
        <v>62</v>
      </c>
      <c r="B5" s="45" t="s">
        <v>63</v>
      </c>
      <c r="C5" s="37">
        <v>0</v>
      </c>
    </row>
    <row r="6" spans="1:3" ht="137.25">
      <c r="A6" s="50" t="s">
        <v>64</v>
      </c>
      <c r="B6" s="45" t="s">
        <v>65</v>
      </c>
      <c r="C6" s="43" t="s">
        <v>66</v>
      </c>
    </row>
    <row r="7" spans="1:3" ht="45.75">
      <c r="A7" s="50" t="s">
        <v>67</v>
      </c>
      <c r="B7" s="45" t="s">
        <v>68</v>
      </c>
      <c r="C7" s="43" t="s">
        <v>69</v>
      </c>
    </row>
    <row r="8" spans="1:3" ht="45.75">
      <c r="A8" s="50" t="s">
        <v>70</v>
      </c>
      <c r="B8" s="45" t="s">
        <v>71</v>
      </c>
      <c r="C8" s="37">
        <v>2700</v>
      </c>
    </row>
    <row r="9" spans="1:3" ht="45.75">
      <c r="A9" s="50" t="s">
        <v>72</v>
      </c>
      <c r="B9" s="45" t="s">
        <v>73</v>
      </c>
      <c r="C9" s="37"/>
    </row>
    <row r="10" spans="1:3" ht="30.75">
      <c r="A10" s="50" t="s">
        <v>74</v>
      </c>
      <c r="B10" s="51" t="s">
        <v>75</v>
      </c>
      <c r="C10" s="37">
        <v>0</v>
      </c>
    </row>
    <row r="11" spans="1:3" ht="30.75">
      <c r="A11" s="50" t="s">
        <v>76</v>
      </c>
      <c r="B11" s="51" t="s">
        <v>77</v>
      </c>
      <c r="C11" s="37">
        <v>0</v>
      </c>
    </row>
    <row r="12" spans="1:3" ht="45.75">
      <c r="A12" s="50" t="s">
        <v>78</v>
      </c>
      <c r="B12" s="45" t="s">
        <v>79</v>
      </c>
      <c r="C12" s="37">
        <v>2700</v>
      </c>
    </row>
    <row r="13" spans="1:3" ht="30.75">
      <c r="A13" s="50" t="s">
        <v>80</v>
      </c>
      <c r="B13" s="51" t="s">
        <v>81</v>
      </c>
      <c r="C13" s="37"/>
    </row>
    <row r="14" spans="1:3">
      <c r="A14" s="50" t="s">
        <v>82</v>
      </c>
      <c r="B14" s="51" t="s">
        <v>83</v>
      </c>
      <c r="C14" s="37"/>
    </row>
    <row r="15" spans="1:3" ht="30.75">
      <c r="A15" s="50" t="s">
        <v>84</v>
      </c>
      <c r="B15" s="51" t="s">
        <v>85</v>
      </c>
      <c r="C15" s="37"/>
    </row>
    <row r="16" spans="1:3" ht="30.75">
      <c r="A16" s="50" t="s">
        <v>86</v>
      </c>
      <c r="B16" s="51" t="s">
        <v>87</v>
      </c>
      <c r="C16" s="37"/>
    </row>
    <row r="17" spans="1:3" ht="30.75">
      <c r="A17" s="50" t="s">
        <v>35</v>
      </c>
      <c r="B17" s="45" t="s">
        <v>88</v>
      </c>
      <c r="C17" s="37">
        <v>14</v>
      </c>
    </row>
    <row r="18" spans="1:3" ht="30.75">
      <c r="A18" s="50" t="s">
        <v>89</v>
      </c>
      <c r="B18" s="51" t="s">
        <v>90</v>
      </c>
      <c r="C18" s="37"/>
    </row>
    <row r="19" spans="1:3" ht="76.5">
      <c r="A19" s="50" t="s">
        <v>91</v>
      </c>
      <c r="B19" s="51" t="s">
        <v>92</v>
      </c>
      <c r="C19" s="9"/>
    </row>
    <row r="20" spans="1:3" ht="30.75">
      <c r="A20" s="50" t="s">
        <v>93</v>
      </c>
      <c r="B20" s="51" t="s">
        <v>94</v>
      </c>
      <c r="C20" s="9"/>
    </row>
    <row r="21" spans="1:3" ht="45.75">
      <c r="A21" s="50" t="s">
        <v>19</v>
      </c>
      <c r="B21" s="52" t="s">
        <v>95</v>
      </c>
      <c r="C21" s="9"/>
    </row>
    <row r="22" spans="1:3" ht="30.75">
      <c r="A22" s="50" t="s">
        <v>96</v>
      </c>
      <c r="B22" s="51" t="s">
        <v>97</v>
      </c>
      <c r="C22"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824D86-CD8E-4C80-AD68-80CD748124FC}"/>
</file>

<file path=customXml/itemProps2.xml><?xml version="1.0" encoding="utf-8"?>
<ds:datastoreItem xmlns:ds="http://schemas.openxmlformats.org/officeDocument/2006/customXml" ds:itemID="{F2D63058-172D-45A6-9C40-B2F4CA34E52B}"/>
</file>

<file path=customXml/itemProps3.xml><?xml version="1.0" encoding="utf-8"?>
<ds:datastoreItem xmlns:ds="http://schemas.openxmlformats.org/officeDocument/2006/customXml" ds:itemID="{312DFB97-565D-41EC-9A5E-D395B769CC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2026-01-14T00:32:05Z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