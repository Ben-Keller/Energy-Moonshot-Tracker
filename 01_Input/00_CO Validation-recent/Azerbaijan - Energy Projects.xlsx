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196" documentId="11_6FB48EA4057824A6A2EAF8CC123C2982448AF924" xr6:coauthVersionLast="47" xr6:coauthVersionMax="47" xr10:uidLastSave="{D0AAFFB7-5032-46BF-A0F8-EBAC7B95E056}"/>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<sst xmlns="http://schemas.openxmlformats.org/spreadsheetml/2006/main" count="128" uniqueCount="84">
  <si>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</si>
  <si>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</si>
  <si>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</si>
  <si>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</si>
  <si>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</si>
  <si>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</si>
  <si>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</si>
  <si>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</si>
  <si>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</si>
  <si>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</si>
  <si>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</si>
  <si>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</si>
  <si>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</si>
  <si>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</si>
  <si>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</si>
  <si>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</si>
  <si>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</si>
  <si>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</si>
  <si>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</si>
  <si>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</si>
  <si>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</si>
  <si>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Energy Efficiency in Barda and Ganja</t>
  </si>
  <si>
    <t>http://open.undp.org/projects/00142807</t>
  </si>
  <si>
    <t>Energy Efficiency Services</t>
  </si>
  <si>
    <t>Number of people covered</t>
  </si>
  <si>
    <r>
      <rPr>
        <sz val="11"/>
        <color rgb="FF000000"/>
        <rFont val="Calibri"/>
        <scheme val="minor"/>
      </rPr>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
    </r>
    <r>
      <rPr>
        <b/>
        <sz val="11"/>
        <color rgb="FF000000"/>
        <rFont val="Calibri"/>
        <scheme val="minor"/>
      </rPr>
      <t xml:space="preserve"> the direct beneficiaries </t>
    </r>
    <r>
      <rPr>
        <sz val="11"/>
        <color rgb="FF000000"/>
        <rFont val="Calibri"/>
        <scheme val="minor"/>
      </rPr>
      <t xml:space="preserve">-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
    </r>
    <r>
      <rPr>
        <b/>
        <sz val="11"/>
        <color rgb="FF000000"/>
        <rFont val="Calibri"/>
        <scheme val="minor"/>
      </rPr>
      <t xml:space="preserve">The indirect beneficiaries - </t>
    </r>
    <r>
      <rPr>
        <sz val="11"/>
        <color rgb="FF000000"/>
        <rFont val="Calibri"/>
        <scheme val="minor"/>
      </rPr>
      <t xml:space="preserve">*A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t>
    </r>
    <r>
      <rPr>
        <b/>
        <sz val="11"/>
        <color rgb="FF000000"/>
        <rFont val="Calibri"/>
        <scheme val="minor"/>
      </rPr>
      <t xml:space="preserve"> On comment column:</t>
    </r>
    <r>
      <rPr>
        <sz val="11"/>
        <color rgb="FF000000"/>
        <rFont val="Calibri"/>
        <scheme val="minor"/>
      </rPr>
      <t xml:space="preserve"> Can you please diagregate the data in two rows (e.g. energy access, advocacy ) and provide the assamption the calculation of the direct and indirect number of beneficiaries in the notes ? </t>
    </r>
  </si>
  <si>
    <t>GOV. of Japan, 
UNDP</t>
  </si>
  <si>
    <t>Non-VF</t>
  </si>
  <si>
    <t>Accelerating just energy transition</t>
  </si>
  <si>
    <t xml:space="preserve">Aleksandra: please make sure 3000 beneficiaris are reflected in the dashboard. </t>
  </si>
  <si>
    <t>Education Services</t>
  </si>
  <si>
    <t>Number of people trained/educated/informed 
through technical transfers, dialogues, workshops, 
campaigns, and other efforts</t>
  </si>
  <si>
    <t>Energy Efficiency in Buildings – EMIS and Green Social Housing</t>
  </si>
  <si>
    <t>https://co.pims.undp.org/project/view?id=6479</t>
  </si>
  <si>
    <t>The project is in the Government's approval stage. Will be filled-in accordingly as soon as the project starts.</t>
  </si>
  <si>
    <t>GEF</t>
  </si>
  <si>
    <t>VF</t>
  </si>
  <si>
    <t xml:space="preserve">Indirect Beneficiaries </t>
  </si>
  <si>
    <t>Category</t>
  </si>
  <si>
    <t>Comments</t>
  </si>
  <si>
    <t>US$885772</t>
  </si>
  <si>
    <t>Other Energy Services</t>
  </si>
  <si>
    <r>
      <rPr>
        <sz val="11"/>
        <color rgb="FF000000"/>
        <rFont val="Calibri"/>
        <scheme val="minor"/>
      </rPr>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
    </r>
    <r>
      <rPr>
        <b/>
        <sz val="11"/>
        <color rgb="FF000000"/>
        <rFont val="Calibri"/>
        <scheme val="minor"/>
      </rPr>
      <t xml:space="preserve"> the direct beneficiaries </t>
    </r>
    <r>
      <rPr>
        <sz val="11"/>
        <color rgb="FF000000"/>
        <rFont val="Calibri"/>
        <scheme val="minor"/>
      </rPr>
      <t xml:space="preserve">-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
    </r>
    <r>
      <rPr>
        <b/>
        <sz val="11"/>
        <color rgb="FF000000"/>
        <rFont val="Calibri"/>
        <scheme val="minor"/>
      </rPr>
      <t xml:space="preserve">The indirect beneficiaries - </t>
    </r>
    <r>
      <rPr>
        <sz val="11"/>
        <color rgb="FF000000"/>
        <rFont val="Calibri"/>
        <scheme val="minor"/>
      </rPr>
      <t xml:space="preserve">*A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t>
    </r>
  </si>
  <si>
    <t xml:space="preserve">Can you please diagregate the data in two rows (e.g. energy access, advocacy ) and provide the assamption the calculation of the direct and indirect number of beneficiaries in the notes ? </t>
  </si>
  <si>
    <t>PIMS+</t>
  </si>
  <si>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</sst>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rgb="FFFF0000"/>
      <name val="Calibri"/>
      <family val="2"/>
      <scheme val="minor"/>
    </font>
    <font>
      <sz val="11"/>
      <color rgb="FF000000"/>
      <name val="Calibri"/>
      <scheme val="minor"/>
    </font>
    <font>
      <b/>
      <sz val="11"/>
      <color rgb="FF000000"/>
      <name val="Calibri"/>
      <scheme val="minor"/>
    </font>
    <font>
      <b/>
      <sz val="11"/>
      <color theme="1"/>
      <name val="Calibri"/>
      <scheme val="minor"/>
    </font>
    <font>
      <u/>
      <sz val="11"/>
      <color theme="1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53">
    <xf numFmtId="0" fontId="0" fillId="0" borderId="0" xfId="0"/>
    <xf numFmtId="0" fontId="2" fillId="0" borderId="1" xfId="0" applyFont="1" applyBorder="1" applyAlignment="1">
      <alignment horizontal="center" vertical="top"/>
    </xf>
    <xf numFmtId="0" fontId="3" fillId="0" borderId="0" xfId="1" applyFont="1" applyAlignment="1" applyProtection="1"/>
    <xf numFmtId="0" fontId="0" fillId="2" borderId="0" xfId="0" applyFill="1"/>
    <xf numFmtId="0" fontId="2" fillId="0" borderId="2" xfId="0" applyFont="1" applyBorder="1"/>
    <xf numFmtId="0" fontId="2" fillId="0" borderId="3" xfId="0" applyFont="1" applyBorder="1" applyAlignment="1">
      <alignment horizontal="center" vertical="top"/>
    </xf>
    <xf numFmtId="0" fontId="0" fillId="0" borderId="2" xfId="0" applyBorder="1"/>
    <xf numFmtId="0" fontId="2" fillId="0" borderId="4" xfId="0" applyFont="1" applyBorder="1" applyAlignment="1">
      <alignment horizontal="center" vertical="top"/>
    </xf>
    <xf numFmtId="0" fontId="2" fillId="0" borderId="5" xfId="0" applyFont="1" applyBorder="1" applyAlignment="1">
      <alignment horizontal="center" vertical="top"/>
    </xf>
    <xf numFmtId="0" fontId="2" fillId="0" borderId="6" xfId="0" applyFont="1" applyBorder="1"/>
    <xf numFmtId="0" fontId="0" fillId="0" borderId="7" xfId="0" applyBorder="1"/>
    <xf numFmtId="0" fontId="2" fillId="0" borderId="8" xfId="0" applyFont="1" applyBorder="1"/>
    <xf numFmtId="0" fontId="0" fillId="0" borderId="2" xfId="0" applyBorder="1" applyAlignment="1">
      <alignment horizontal="left" vertical="top"/>
    </xf>
    <xf numFmtId="0" fontId="3" fillId="0" borderId="2" xfId="1" applyFont="1" applyBorder="1" applyAlignment="1" applyProtection="1">
      <alignment horizontal="left" vertical="top"/>
    </xf>
    <xf numFmtId="0" fontId="0" fillId="2" borderId="2" xfId="0" applyFill="1" applyBorder="1" applyAlignment="1">
      <alignment horizontal="left" vertical="top"/>
    </xf>
    <xf numFmtId="0" fontId="0" fillId="0" borderId="2" xfId="0" applyBorder="1" applyAlignment="1">
      <alignment vertical="top" wrapText="1"/>
    </xf>
    <xf numFmtId="0" fontId="0" fillId="2" borderId="0" xfId="0" applyFill="1" applyAlignment="1">
      <alignment horizontal="left" vertical="top"/>
    </xf>
    <xf numFmtId="0" fontId="2" fillId="0" borderId="0" xfId="0" applyFont="1"/>
    <xf numFmtId="0" fontId="4" fillId="3" borderId="0" xfId="0" applyFont="1" applyFill="1" applyAlignment="1">
      <alignment vertical="top" wrapText="1"/>
    </xf>
    <xf numFmtId="0" fontId="5" fillId="2" borderId="2" xfId="0" applyFont="1" applyFill="1" applyBorder="1" applyAlignment="1">
      <alignment horizontal="left" vertical="top"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xf>
    <xf numFmtId="0" fontId="5" fillId="2" borderId="2" xfId="0" applyFont="1" applyFill="1" applyBorder="1" applyAlignment="1">
      <alignment vertical="center" wrapText="1"/>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0" fillId="2" borderId="2" xfId="0" applyFill="1" applyBorder="1" applyAlignment="1">
      <alignment horizontal="center" vertical="center"/>
    </xf>
    <xf numFmtId="0" fontId="0" fillId="0" borderId="2" xfId="0" applyBorder="1" applyAlignment="1">
      <alignment horizontal="center" vertical="center" wrapText="1"/>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2" borderId="9" xfId="0" applyFill="1" applyBorder="1" applyAlignment="1">
      <alignment horizontal="center" vertical="center"/>
    </xf>
    <xf numFmtId="0" fontId="0" fillId="0" borderId="10" xfId="0" applyBorder="1" applyAlignment="1">
      <alignment horizontal="center" vertical="center" wrapText="1"/>
    </xf>
    <xf numFmtId="0" fontId="0" fillId="2" borderId="2" xfId="0" applyFill="1" applyBorder="1" applyAlignment="1">
      <alignment horizontal="center" vertical="center" wrapText="1"/>
    </xf>
    <xf numFmtId="0" fontId="5" fillId="2" borderId="11" xfId="0" applyFont="1" applyFill="1" applyBorder="1" applyAlignment="1">
      <alignment vertical="center" wrapText="1"/>
    </xf>
    <xf numFmtId="0" fontId="0" fillId="2" borderId="7" xfId="0" applyFill="1" applyBorder="1" applyAlignment="1">
      <alignment horizontal="center" vertical="center"/>
    </xf>
    <xf numFmtId="0" fontId="0" fillId="2" borderId="10" xfId="0" applyFill="1" applyBorder="1" applyAlignment="1">
      <alignment horizontal="center" vertical="center"/>
    </xf>
    <xf numFmtId="0" fontId="0" fillId="0" borderId="11" xfId="0" applyBorder="1" applyAlignment="1">
      <alignment horizontal="center" vertical="center" wrapText="1"/>
    </xf>
    <xf numFmtId="0" fontId="0" fillId="0" borderId="11" xfId="0" applyBorder="1" applyAlignment="1">
      <alignment horizontal="center" vertical="center"/>
    </xf>
    <xf numFmtId="0" fontId="3" fillId="0" borderId="12" xfId="1" applyFont="1" applyBorder="1" applyAlignment="1" applyProtection="1">
      <alignment horizontal="center" vertical="center" wrapText="1"/>
    </xf>
    <xf numFmtId="0" fontId="2" fillId="0" borderId="2" xfId="0" applyFont="1" applyBorder="1" applyAlignment="1">
      <alignment horizontal="center"/>
    </xf>
    <xf numFmtId="0" fontId="7" fillId="0" borderId="2" xfId="0" applyFont="1" applyBorder="1" applyAlignment="1">
      <alignment horizontal="center" vertical="top" wrapText="1"/>
    </xf>
    <xf numFmtId="0" fontId="5" fillId="0" borderId="2" xfId="0" applyFont="1" applyBorder="1" applyAlignment="1">
      <alignment wrapText="1"/>
    </xf>
    <xf numFmtId="0" fontId="2" fillId="0" borderId="11" xfId="0" applyFont="1" applyBorder="1" applyAlignment="1">
      <alignment horizontal="center"/>
    </xf>
    <xf numFmtId="0" fontId="2" fillId="0" borderId="6" xfId="0" applyFont="1" applyBorder="1" applyAlignment="1">
      <alignment horizontal="center"/>
    </xf>
    <xf numFmtId="0" fontId="2" fillId="0" borderId="11" xfId="0" applyFont="1" applyBorder="1"/>
    <xf numFmtId="0" fontId="0" fillId="0" borderId="2" xfId="0" applyBorder="1" applyAlignment="1">
      <alignment vertical="center"/>
    </xf>
    <xf numFmtId="0" fontId="8" fillId="0" borderId="7" xfId="1" applyBorder="1" applyAlignment="1">
      <alignment horizontal="center" vertical="center"/>
    </xf>
    <xf numFmtId="0" fontId="8" fillId="0" borderId="11" xfId="1" applyBorder="1" applyAlignment="1" applyProtection="1">
      <alignment horizontal="center" vertical="center" wrapText="1"/>
    </xf>
    <xf numFmtId="0" fontId="0" fillId="0" borderId="0" xfId="0" applyAlignment="1">
      <alignment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pims.undp.org/project/view?id=6479" TargetMode="External"/><Relationship Id="rId1" Type="http://schemas.openxmlformats.org/officeDocument/2006/relationships/hyperlink" Target="http://open.undp.org/projects/0014280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4280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428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4C097-4D88-4B78-B0C6-CA28748278E0}">
  <dimension ref="A1:V4"/>
  <sheetViews>
    <sheetView tabSelected="1" workbookViewId="0">
      <pane xSplit="1" ySplit="1" topLeftCell="N2" activePane="bottomRight" state="frozen"/>
      <selection pane="bottomRight" activeCell="V2" sqref="V2"/>
      <selection pane="bottomLeft"/>
      <selection pane="topRight"/>
    </sheetView>
  </sheetViews>
  <sheetFormatPr defaultRowHeight="15"/>
  <cols>
    <col min="1" max="1" width="16.28515625" customWidth="1"/>
    <col min="2" max="2" width="56.85546875" bestFit="1" customWidth="1"/>
    <col min="3" max="3" width="20.7109375" customWidth="1"/>
    <col min="4" max="4" width="12.140625" bestFit="1" customWidth="1"/>
    <col min="5" max="5" width="20.7109375" customWidth="1"/>
    <col min="6" max="6" width="25" bestFit="1" customWidth="1"/>
    <col min="7" max="8" width="12.7109375" customWidth="1"/>
    <col min="9" max="9" width="169" customWidth="1"/>
    <col min="12" max="12" width="12.85546875" bestFit="1" customWidth="1"/>
    <col min="14" max="14" width="31.7109375" bestFit="1" customWidth="1"/>
    <col min="15" max="15" width="16.140625" bestFit="1" customWidth="1"/>
    <col min="16" max="16" width="16.14062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2">
      <c r="A1" s="20" t="s">
        <v>0</v>
      </c>
      <c r="B1" s="20" t="s">
        <v>1</v>
      </c>
      <c r="C1" s="20" t="s">
        <v>2</v>
      </c>
      <c r="D1" s="20" t="s">
        <v>3</v>
      </c>
      <c r="E1" s="20" t="s">
        <v>4</v>
      </c>
      <c r="F1" s="20" t="s">
        <v>5</v>
      </c>
      <c r="G1" s="20" t="s">
        <v>6</v>
      </c>
      <c r="H1" s="20" t="s">
        <v>7</v>
      </c>
      <c r="I1" s="21" t="s">
        <v>8</v>
      </c>
      <c r="J1" s="24" t="s">
        <v>9</v>
      </c>
      <c r="K1" s="25" t="s">
        <v>10</v>
      </c>
      <c r="L1" s="40" t="s">
        <v>11</v>
      </c>
      <c r="M1" s="43" t="s">
        <v>12</v>
      </c>
      <c r="N1" s="40" t="s">
        <v>13</v>
      </c>
      <c r="O1" s="40" t="s">
        <v>14</v>
      </c>
      <c r="P1" s="43" t="s">
        <v>15</v>
      </c>
      <c r="Q1" s="43" t="s">
        <v>16</v>
      </c>
      <c r="R1" s="44" t="s">
        <v>17</v>
      </c>
      <c r="S1" s="45" t="s">
        <v>18</v>
      </c>
      <c r="T1" s="44" t="s">
        <v>19</v>
      </c>
      <c r="U1" s="45" t="s">
        <v>20</v>
      </c>
    </row>
    <row r="2" spans="1:22" ht="302.25" customHeight="1">
      <c r="A2" s="22">
        <v>142807</v>
      </c>
      <c r="B2" s="37" t="s">
        <v>21</v>
      </c>
      <c r="C2" s="48" t="s">
        <v>22</v>
      </c>
      <c r="D2" s="38">
        <v>885772</v>
      </c>
      <c r="E2" s="26" t="s">
        <v>23</v>
      </c>
      <c r="F2" s="26" t="s">
        <v>24</v>
      </c>
      <c r="G2" s="26">
        <v>0</v>
      </c>
      <c r="H2" s="26">
        <v>3000</v>
      </c>
      <c r="I2" s="34" t="s">
        <v>25</v>
      </c>
      <c r="J2" s="27" t="s">
        <v>26</v>
      </c>
      <c r="K2" s="28"/>
      <c r="L2" s="30" t="s">
        <v>27</v>
      </c>
      <c r="M2" s="22"/>
      <c r="N2" s="32" t="s">
        <v>28</v>
      </c>
      <c r="O2" s="22"/>
      <c r="P2" s="22"/>
      <c r="Q2" s="22"/>
      <c r="R2" s="22"/>
      <c r="S2" s="46"/>
      <c r="T2" s="22"/>
      <c r="U2" s="46"/>
      <c r="V2" s="49" t="s">
        <v>29</v>
      </c>
    </row>
    <row r="3" spans="1:22" ht="207" customHeight="1">
      <c r="A3" s="30"/>
      <c r="B3" s="30"/>
      <c r="C3" s="39"/>
      <c r="D3" s="29"/>
      <c r="E3" s="36" t="s">
        <v>30</v>
      </c>
      <c r="F3" s="33" t="s">
        <v>31</v>
      </c>
      <c r="G3" s="26">
        <v>0</v>
      </c>
      <c r="H3" s="31">
        <v>120</v>
      </c>
      <c r="I3" s="23"/>
      <c r="J3" s="32"/>
      <c r="K3" s="28"/>
      <c r="L3" s="30" t="s">
        <v>27</v>
      </c>
      <c r="M3" s="22"/>
      <c r="N3" s="32" t="s">
        <v>28</v>
      </c>
      <c r="O3" s="22"/>
      <c r="P3" s="22"/>
      <c r="Q3" s="22"/>
      <c r="R3" s="22"/>
      <c r="S3" s="46"/>
      <c r="T3" s="22"/>
      <c r="U3" s="46"/>
    </row>
    <row r="4" spans="1:22">
      <c r="A4" s="22">
        <v>6479</v>
      </c>
      <c r="B4" s="28" t="s">
        <v>32</v>
      </c>
      <c r="C4" s="47" t="s">
        <v>33</v>
      </c>
      <c r="D4" s="28">
        <v>4521005</v>
      </c>
      <c r="E4" s="26"/>
      <c r="F4" s="26"/>
      <c r="G4" s="26">
        <v>0</v>
      </c>
      <c r="H4" s="31">
        <v>10000</v>
      </c>
      <c r="I4" s="35" t="s">
        <v>34</v>
      </c>
      <c r="J4" s="29" t="s">
        <v>35</v>
      </c>
      <c r="K4" s="22"/>
      <c r="L4" s="30" t="s">
        <v>36</v>
      </c>
      <c r="M4" s="22"/>
      <c r="N4" s="32" t="s">
        <v>28</v>
      </c>
      <c r="O4" s="22"/>
      <c r="P4" s="22"/>
      <c r="Q4" s="22"/>
      <c r="R4" s="22"/>
      <c r="S4" s="46"/>
      <c r="T4" s="22"/>
      <c r="U4" s="46"/>
    </row>
  </sheetData>
  <dataValidations count="9">
    <dataValidation type="list" allowBlank="1" showInputMessage="1" showErrorMessage="1" sqref="Q2:Q4" xr:uid="{7E42EB3A-A1DB-4A5B-AF55-18DC282B16B4}">
      <formula1>"NDC Support, National Strategy, Legal Framework,Incentives and Support, Government Capacity-Building, Carbon Pricing and Monitoring, Financing Model, Business Model"</formula1>
    </dataValidation>
    <dataValidation type="list" allowBlank="1" showInputMessage="1" showErrorMessage="1" sqref="P2:P4" xr:uid="{62853A3B-E996-41F7-91AC-737D572AD72A}">
      <formula1>"AMP, PUDC, Solar4Health, Action Opportunities, Italy UNDP Energy Partnership"</formula1>
    </dataValidation>
    <dataValidation type="list" allowBlank="1" showInputMessage="1" showErrorMessage="1" sqref="N2:N4" xr:uid="{11B1DEF7-5EFC-47D5-90AB-C114B6394FBC}">
      <formula1>"Accelerating just energy transition, Close the gap on energy access, Scale up energy finance"</formula1>
    </dataValidation>
    <dataValidation type="list" allowBlank="1" showInputMessage="1" showErrorMessage="1" sqref="O2:O4" xr:uid="{182DB1B9-0E96-4CA9-BB58-5C00B0A3D15D}">
      <formula1>"Electricity Access, Energy Efficiency, Clean Cooking, Renewable Energy, Overall"</formula1>
    </dataValidation>
    <dataValidation type="list" allowBlank="1" showInputMessage="1" showErrorMessage="1" sqref="L2:L4" xr:uid="{F697D18C-D1CB-4F91-99C5-894B3731A8A0}">
      <formula1>"Non-VF, VF"</formula1>
    </dataValidation>
    <dataValidation type="list" allowBlank="1" showInputMessage="1" showErrorMessage="1" sqref="M2:M4" xr:uid="{CAC3502A-6901-47C0-8110-201BA0EB70AF}">
      <formula1>"Finance, Gender, Efficiency, Just, Health"</formula1>
    </dataValidation>
    <dataValidation type="list" allowBlank="1" showInputMessage="1" showErrorMessage="1" sqref="T2:T4" xr:uid="{B1C063A2-0C67-4829-A2E0-D8C320656948}">
      <formula1>"National, Regional, City, Community"</formula1>
    </dataValidation>
    <dataValidation type="list" allowBlank="1" showInputMessage="1" showErrorMessage="1" sqref="S2:S4" xr:uid="{8A257FDA-DDD0-4C8C-A8B1-C911CBA4A519}">
      <formula1>"Solar, Wind, Bioenergy, Hydro, Geothermal, Waste, Other, Unknown"</formula1>
    </dataValidation>
    <dataValidation type="list" allowBlank="1" showInputMessage="1" showErrorMessage="1" sqref="R2:R4" xr:uid="{B5C561BC-4D3A-4635-AA1B-128A742DE4F4}">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00A8DA55-CB03-4264-94E0-A7BE9075D4FA}"/>
    <hyperlink ref="C4" r:id="rId2" xr:uid="{EC53CE72-B45E-4A01-8E78-290A5442460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B0419B1-5750-4B5F-8C2F-1226D6F9AB64}">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1F34-762D-4D4C-8BEA-4B67CE605649}">
  <dimension ref="A1:N3"/>
  <sheetViews>
    <sheetView workbookViewId="0">
      <selection activeCell="M1" sqref="M1"/>
    </sheetView>
  </sheetViews>
  <sheetFormatPr defaultRowHeight="15"/>
  <cols>
    <col min="2" max="3" width="20.7109375" customWidth="1"/>
    <col min="5" max="6" width="20.7109375" customWidth="1"/>
    <col min="7" max="8" width="12.7109375" customWidth="1"/>
    <col min="9" max="9" width="29" customWidth="1"/>
    <col min="10" max="10" width="153.140625" customWidth="1"/>
    <col min="14" max="14" width="66.7109375" customWidth="1"/>
  </cols>
  <sheetData>
    <row r="1" spans="1:14">
      <c r="A1" s="7" t="s">
        <v>0</v>
      </c>
      <c r="B1" s="7" t="s">
        <v>1</v>
      </c>
      <c r="C1" s="7" t="s">
        <v>2</v>
      </c>
      <c r="D1" s="7" t="s">
        <v>3</v>
      </c>
      <c r="E1" s="7" t="s">
        <v>4</v>
      </c>
      <c r="F1" s="7" t="s">
        <v>5</v>
      </c>
      <c r="G1" s="7" t="s">
        <v>6</v>
      </c>
      <c r="H1" s="7" t="s">
        <v>7</v>
      </c>
      <c r="I1" s="8" t="s">
        <v>37</v>
      </c>
      <c r="J1" s="8" t="s">
        <v>8</v>
      </c>
      <c r="K1" s="9" t="s">
        <v>9</v>
      </c>
      <c r="L1" s="11" t="s">
        <v>10</v>
      </c>
      <c r="M1" s="11" t="s">
        <v>38</v>
      </c>
      <c r="N1" s="17" t="s">
        <v>39</v>
      </c>
    </row>
    <row r="2" spans="1:14" ht="408.75" customHeight="1">
      <c r="A2" s="12">
        <v>142807</v>
      </c>
      <c r="B2" s="12" t="s">
        <v>21</v>
      </c>
      <c r="C2" s="13" t="s">
        <v>22</v>
      </c>
      <c r="D2" s="12" t="s">
        <v>40</v>
      </c>
      <c r="E2" s="14" t="s">
        <v>41</v>
      </c>
      <c r="F2" s="14" t="s">
        <v>24</v>
      </c>
      <c r="G2" s="14">
        <v>0</v>
      </c>
      <c r="H2" s="14">
        <v>3000</v>
      </c>
      <c r="I2" s="14">
        <v>400000</v>
      </c>
      <c r="J2" s="19" t="s">
        <v>42</v>
      </c>
      <c r="K2" s="15" t="s">
        <v>26</v>
      </c>
      <c r="L2" s="10"/>
      <c r="M2" s="10"/>
      <c r="N2" s="18" t="s">
        <v>43</v>
      </c>
    </row>
    <row r="3" spans="1:14">
      <c r="A3" s="12">
        <v>6479</v>
      </c>
      <c r="B3" s="12" t="s">
        <v>32</v>
      </c>
      <c r="C3" s="12" t="s">
        <v>44</v>
      </c>
      <c r="D3" s="12">
        <v>4521005</v>
      </c>
      <c r="E3" s="14"/>
      <c r="F3" s="14"/>
      <c r="G3" s="14">
        <v>0</v>
      </c>
      <c r="H3" s="14">
        <v>10000</v>
      </c>
      <c r="I3" s="16"/>
      <c r="J3" s="3" t="s">
        <v>34</v>
      </c>
      <c r="K3" s="6"/>
      <c r="L3" s="6"/>
      <c r="M3" s="12" t="s">
        <v>36</v>
      </c>
    </row>
  </sheetData>
  <hyperlinks>
    <hyperlink ref="C2" r:id="rId1" xr:uid="{07F9E550-8309-4382-839A-88346F90DF7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2888C2C-5726-4896-8C8F-94924B063C92}">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topLeftCell="B1" workbookViewId="0">
      <selection activeCell="I2" sqref="I2"/>
    </sheetView>
  </sheetViews>
  <sheetFormatPr defaultRowHeight="15"/>
  <cols>
    <col min="2" max="3" width="20.7109375"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5" t="s">
        <v>8</v>
      </c>
      <c r="J1" s="4" t="s">
        <v>9</v>
      </c>
    </row>
    <row r="2" spans="1:10">
      <c r="A2">
        <v>142807</v>
      </c>
      <c r="B2" t="s">
        <v>21</v>
      </c>
      <c r="C2" s="2" t="s">
        <v>22</v>
      </c>
      <c r="D2">
        <v>885772</v>
      </c>
      <c r="E2" s="3" t="s">
        <v>41</v>
      </c>
      <c r="F2" s="3" t="s">
        <v>24</v>
      </c>
      <c r="G2" s="3">
        <v>0</v>
      </c>
      <c r="H2" s="3">
        <v>400000</v>
      </c>
      <c r="I2" s="3" t="s">
        <v>45</v>
      </c>
    </row>
    <row r="3" spans="1:10">
      <c r="A3">
        <v>6479</v>
      </c>
      <c r="B3" t="s">
        <v>32</v>
      </c>
      <c r="C3" t="s">
        <v>44</v>
      </c>
      <c r="D3">
        <v>4521005</v>
      </c>
      <c r="E3" s="3"/>
      <c r="F3" s="3"/>
      <c r="G3" s="3"/>
      <c r="H3" s="3">
        <v>10000</v>
      </c>
      <c r="I3" s="3" t="s">
        <v>34</v>
      </c>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3" workbookViewId="0">
      <selection activeCell="A13" sqref="A13"/>
    </sheetView>
  </sheetViews>
  <sheetFormatPr defaultRowHeight="15"/>
  <cols>
    <col min="1" max="2" width="52.7109375" customWidth="1"/>
  </cols>
  <sheetData>
    <row r="1" spans="1:2">
      <c r="A1" s="41" t="s">
        <v>4</v>
      </c>
      <c r="B1" s="41" t="s">
        <v>5</v>
      </c>
    </row>
    <row r="2" spans="1:2" ht="45.75">
      <c r="A2" s="50" t="s">
        <v>46</v>
      </c>
      <c r="B2" s="42" t="s">
        <v>47</v>
      </c>
    </row>
    <row r="3" spans="1:2">
      <c r="A3" s="50" t="s">
        <v>48</v>
      </c>
      <c r="B3" s="42" t="s">
        <v>49</v>
      </c>
    </row>
    <row r="4" spans="1:2" ht="30.75">
      <c r="A4" s="50" t="s">
        <v>50</v>
      </c>
      <c r="B4" s="42" t="s">
        <v>51</v>
      </c>
    </row>
    <row r="5" spans="1:2" ht="30.75">
      <c r="A5" s="50" t="s">
        <v>52</v>
      </c>
      <c r="B5" s="42" t="s">
        <v>53</v>
      </c>
    </row>
    <row r="6" spans="1:2" ht="91.5">
      <c r="A6" s="50" t="s">
        <v>54</v>
      </c>
      <c r="B6" s="42" t="s">
        <v>55</v>
      </c>
    </row>
    <row r="7" spans="1:2" ht="45.75">
      <c r="A7" s="50" t="s">
        <v>56</v>
      </c>
      <c r="B7" s="42" t="s">
        <v>57</v>
      </c>
    </row>
    <row r="8" spans="1:2" ht="45.75">
      <c r="A8" s="50" t="s">
        <v>58</v>
      </c>
      <c r="B8" s="42" t="s">
        <v>59</v>
      </c>
    </row>
    <row r="9" spans="1:2" ht="45.75">
      <c r="A9" s="50" t="s">
        <v>30</v>
      </c>
      <c r="B9" s="42" t="s">
        <v>60</v>
      </c>
    </row>
    <row r="10" spans="1:2" ht="30.75">
      <c r="A10" s="50" t="s">
        <v>61</v>
      </c>
      <c r="B10" s="51" t="s">
        <v>62</v>
      </c>
    </row>
    <row r="11" spans="1:2" ht="30.75">
      <c r="A11" s="50" t="s">
        <v>23</v>
      </c>
      <c r="B11" s="51" t="s">
        <v>63</v>
      </c>
    </row>
    <row r="12" spans="1:2" ht="45.75">
      <c r="A12" s="50" t="s">
        <v>64</v>
      </c>
      <c r="B12" s="42" t="s">
        <v>65</v>
      </c>
    </row>
    <row r="13" spans="1:2" ht="30.75">
      <c r="A13" s="50" t="s">
        <v>41</v>
      </c>
      <c r="B13" s="51" t="s">
        <v>66</v>
      </c>
    </row>
    <row r="14" spans="1:2">
      <c r="A14" s="50" t="s">
        <v>67</v>
      </c>
      <c r="B14" s="51" t="s">
        <v>68</v>
      </c>
    </row>
    <row r="15" spans="1:2" ht="30.75">
      <c r="A15" s="50" t="s">
        <v>69</v>
      </c>
      <c r="B15" s="51" t="s">
        <v>70</v>
      </c>
    </row>
    <row r="16" spans="1:2" ht="30.75">
      <c r="A16" s="50" t="s">
        <v>71</v>
      </c>
      <c r="B16" s="51" t="s">
        <v>72</v>
      </c>
    </row>
    <row r="17" spans="1:2" ht="30.75">
      <c r="A17" s="50" t="s">
        <v>73</v>
      </c>
      <c r="B17" s="42" t="s">
        <v>74</v>
      </c>
    </row>
    <row r="18" spans="1:2" ht="30.75">
      <c r="A18" s="50" t="s">
        <v>75</v>
      </c>
      <c r="B18" s="51" t="s">
        <v>76</v>
      </c>
    </row>
    <row r="19" spans="1:2" ht="76.5">
      <c r="A19" s="50" t="s">
        <v>77</v>
      </c>
      <c r="B19" s="51" t="s">
        <v>78</v>
      </c>
    </row>
    <row r="20" spans="1:2" ht="30.75">
      <c r="A20" s="50" t="s">
        <v>79</v>
      </c>
      <c r="B20" s="51" t="s">
        <v>80</v>
      </c>
    </row>
    <row r="21" spans="1:2" ht="45.75">
      <c r="A21" s="50" t="s">
        <v>19</v>
      </c>
      <c r="B21" s="52" t="s">
        <v>81</v>
      </c>
    </row>
    <row r="22" spans="1:2" ht="30.75">
      <c r="A22" s="50" t="s">
        <v>82</v>
      </c>
      <c r="B22" s="51" t="s">
        <v>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B12583A6-CC9A-40E1-BB01-486017733F5A}"/>
</file>

<file path=customXml/itemProps2.xml><?xml version="1.0" encoding="utf-8"?>
<ds:datastoreItem xmlns:ds="http://schemas.openxmlformats.org/officeDocument/2006/customXml" ds:itemID="{C680306A-1699-4BFA-A285-7A000D178406}"/>
</file>

<file path=customXml/itemProps3.xml><?xml version="1.0" encoding="utf-8"?>
<ds:datastoreItem xmlns:ds="http://schemas.openxmlformats.org/officeDocument/2006/customXml" ds:itemID="{511561B8-5C72-4D38-8EF0-F297097FB9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Aleksandra Prodan</cp:lastModifiedBy>
  <cp:revision/>
  <dcterms:created xsi:type="dcterms:W3CDTF">2023-05-05T09:33:41Z</dcterms:created>
  <dcterms:modified xsi:type="dcterms:W3CDTF">2024-11-20T17:36:58Z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