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7"/>
  <workbookPr defaultThemeVersion="124226"/>
  <mc:AlternateContent xmlns:mc="http://schemas.openxmlformats.org/markup-compatibility/2006">
    <mc:Choice Requires="x15">
      <x15ac:absPath xmlns:x15ac="http://schemas.microsoft.com/office/spreadsheetml/2010/11/ac" url="https://undp.sharepoint.com/sites/UNDPSustainableEnergyHub/Shared Documents/General/0. CURRENT FOLDER - Sustainable Energy Hub/05. Accounting for Progress to 500M/7. CO Validation/"/>
    </mc:Choice>
  </mc:AlternateContent>
  <xr:revisionPtr revIDLastSave="422" documentId="11_08FE26C125E00B1458CDA3DB6442DFCE87A83DD1" xr6:coauthVersionLast="47" xr6:coauthVersionMax="47" xr10:uidLastSave="{2EE37160-C052-44F4-914D-D04002C44057}"/>
  <bookViews>
    <workbookView xWindow="0" yWindow="500" windowWidth="24780" windowHeight="13500"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<sst xmlns="http://schemas.openxmlformats.org/spreadsheetml/2006/main" count="299" uniqueCount="124">
  <si>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</si>
  <si>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</si>
  <si>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</si>
  <si>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</si>
  <si>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</si>
  <si>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</si>
  <si>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</si>
  <si>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</si>
  <si>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</si>
  <si>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</si>
  <si>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</si>
  <si>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</si>
  <si>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</si>
  <si>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</si>
  <si>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</si>
  <si>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</si>
  <si>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</si>
  <si>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</si>
  <si>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</si>
  <si>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</si>
  <si>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</si>
  <si>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Hydrogen Economy Pilot Project</t>
  </si>
  <si>
    <t>http://open.undp.org/projects/00092045</t>
  </si>
  <si>
    <t>The total value of final 
products produced by the local hydrogen industry (RMB)</t>
  </si>
  <si>
    <t>Hydrogen; fuel cell vehicles; clean energy solutions supply chain management</t>
  </si>
  <si>
    <t>Gov. of China</t>
  </si>
  <si>
    <t>Non-VF</t>
  </si>
  <si>
    <t>Accelerating just energy transition</t>
  </si>
  <si>
    <t>Capacity Building Training</t>
  </si>
  <si>
    <t>Number of direct beneficiaries (people increased expertise in hydrogen and fuel cell technology and industry)</t>
  </si>
  <si>
    <t>Campaign Participant</t>
  </si>
  <si>
    <t>Number of beneficiaries (people increased awareness in hydrogen and fuel cell vehicle as clean alternative transport solutions)</t>
  </si>
  <si>
    <t>UNDP-China Greater Bay Area Hydrogen Economy Vocational</t>
  </si>
  <si>
    <t>http://open.undp.org/projects/00119001</t>
  </si>
  <si>
    <t>Number of direct 
beneficiaries (people with enhanced knowledge and expertise in hydrogen and fuel cell industry and its role for decarbonisation)</t>
  </si>
  <si>
    <t>Hydrogen; fuel cell vehicles; renewable energy; climate change mitigation; alternative energy</t>
  </si>
  <si>
    <t>Number of direct beneficiaries (people gained technical skills or enhanced understanding in nurturing technical talent for the emerging hydrogen and fuel cell industry)</t>
  </si>
  <si>
    <t>Trilateral cooperation on Renewable Energy in Ethiopia</t>
  </si>
  <si>
    <t>http://open.undp.org/projects/00119439</t>
  </si>
  <si>
    <t>NA</t>
  </si>
  <si>
    <t>-</t>
  </si>
  <si>
    <t>PV system; Biogas Plant. No energy figure target available as of yet.</t>
  </si>
  <si>
    <t>GHG Emissions Reduction</t>
  </si>
  <si>
    <t>Tons of CO2 equivalent)</t>
  </si>
  <si>
    <t>1° Solar powered: milk chilling centers, Cold Room, paddle Aerators,Green House,Sprayers,Animal Repeller and insect traps; 
2° Biogas plant in livestock and agriculture farming</t>
  </si>
  <si>
    <t>PhosChemEE</t>
  </si>
  <si>
    <t>https://co.pims.undp.org/project/view?id=6618</t>
  </si>
  <si>
    <t>Energy Infrastructure Services</t>
  </si>
  <si>
    <t>Number of direct 
beneficiaries</t>
  </si>
  <si>
    <t>Female: 600 000; Male: 600 000. Enabling the extensive application of low-carbon and energy efficient technologies in the phosphate chemical industry in China.</t>
  </si>
  <si>
    <t>GEF</t>
  </si>
  <si>
    <t>VF</t>
  </si>
  <si>
    <t>Cumulative amount of 
greenhouse gas emissions mitigated from the PCI (tons CO2e)</t>
  </si>
  <si>
    <t>EZCERTV</t>
  </si>
  <si>
    <t>https://co.pims.undp.org/project/view?id=6431</t>
  </si>
  <si>
    <t>Electricity Access</t>
  </si>
  <si>
    <t>Number of direct
beneficiaries (Improved access to renewable energy in rural areas)</t>
  </si>
  <si>
    <t>Women 460,000; Men 458,000</t>
  </si>
  <si>
    <t>Some Sources</t>
  </si>
  <si>
    <t>Cumulative GHG 
greenhouse gas emission reduction from the rural sector of China, tCO2</t>
  </si>
  <si>
    <t>Public Sector Buildings EE (PSBEE)</t>
  </si>
  <si>
    <t>https://co.pims.undp.org/project/view?id=5395</t>
  </si>
  <si>
    <t>Cumulative CO2 
emissions reduction, tons</t>
  </si>
  <si>
    <t>UNDP-NIO CLEAN PARK PROJECT</t>
  </si>
  <si>
    <t>https://open.undp.org/projects/00144123</t>
  </si>
  <si>
    <t>Entrepreneurship Training</t>
  </si>
  <si>
    <t>Number of trainees 
(30% of female)</t>
  </si>
  <si>
    <t>Category</t>
  </si>
  <si>
    <t>Impact Tier</t>
  </si>
  <si>
    <t>Capacity Training</t>
  </si>
  <si>
    <t>Number of direct beneficiaries (people increased awareness in hydrogen and fuel cell vehicle as clean alternative transport solutions)</t>
  </si>
  <si>
    <r>
      <rPr>
        <sz val="11"/>
        <color rgb="FF000000"/>
        <rFont val="Calibri"/>
      </rPr>
      <t xml:space="preserve">Number of direct 
beneficiaries (people with enhanced knowledge and expertise in hydrogen and fuel cell industry and its role for decarbonisation)
</t>
    </r>
    <r>
      <rPr>
        <sz val="11"/>
        <color rgb="FF000000"/>
        <rFont val="Calibri"/>
      </rPr>
      <t xml:space="preserve">
</t>
    </r>
    <r>
      <rPr>
        <sz val="11"/>
        <color rgb="FF000000"/>
        <rFont val="Calibri"/>
      </rPr>
      <t xml:space="preserve">
</t>
    </r>
  </si>
  <si>
    <t>Trilateral cooperation on Renewable Energy in Sri lanka</t>
  </si>
  <si>
    <t>http://open.undp.org/projects/00119440</t>
  </si>
  <si>
    <t>PIMS+</t>
  </si>
  <si>
    <t>Other Energy Services</t>
  </si>
  <si>
    <t>Close the gap on energy access</t>
  </si>
  <si>
    <t>Renewable Energy</t>
  </si>
  <si>
    <t xml:space="preserve">Comments </t>
  </si>
  <si>
    <t xml:space="preserve">The total value of final 
products produced by the local hydrogen industry (RMB)
Number of direct beneficiaries (people increased expertise in hydrogen and fuel cell technology and industry)
Number of direct beneficiaries (people increased awareness in hydrogen and fuel cell vehicle as clean alternative transport solutions)
</t>
  </si>
  <si>
    <t>2 billion
190,000
2.2 million</t>
  </si>
  <si>
    <t>Can you please provide an estimate of the number of beneficiaries reached by the project? 
CO confirmation: This has been updated. The neneficiaries will be a total of 2.39 million. This includes 190,000 people with increased expertise in hydrogen and fuel cell technology and industry through the project's knowledge sharing, and 2.2 million people with increased awareness in hydrogen and fuel cell vehicle as clean alternative transport solutions as a result of the project's public communications and advocacy.</t>
  </si>
  <si>
    <t>Education Services</t>
  </si>
  <si>
    <t xml:space="preserve">Number of direct 
beneficiaries (people with enhanced knowledge and expertise in hydrogen and fuel cell industry and its role for decarbonisation)
Number of direct beneficiaries (people gained technical skills or enhanced understanding in nurturing technical talent for the emerging hydrogen and fuel cell industry)
</t>
  </si>
  <si>
    <t>60,000
1,500</t>
  </si>
  <si>
    <t>The budget of the project is very high compared to the number of direct beneficiaries as outcome. Can you please double check the numbers ? 
CO confirmation: The numbers has been updated. The beneficiaries will be a total of 61,500. This includes 60,000 people with enhanced knowledge and expertise in hydrogen and fuel cell industry and its role in decarbonising emissions intensive industries in China as results of 4 times consecutively of the annual event of UNDP Hydrogen Industry Confernce from 2019 to 2022, as well as 1,500 people gained technical skills or enhanced understanding in nurturing technical talent for the emerging hydrogen and fuel cell industry from 2022 to 2024.</t>
  </si>
  <si>
    <t>n/a</t>
  </si>
  <si>
    <t xml:space="preserve">Annual energy savings </t>
  </si>
  <si>
    <t>70 KWH (around 40 Tons of CO2 equivalent)</t>
  </si>
  <si>
    <t>Other</t>
  </si>
  <si>
    <t>Cumulative CO2 
emissions reduction, ktons</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</si>
  <si>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</si>
  <si>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</si>
  <si>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</si>
  <si>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</si>
  <si>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</si>
  <si>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</si>
  <si>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</si>
  <si>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</si>
  <si>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</si>
  <si>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</si>
  <si>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</si>
  <si>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</si>
  <si>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</si>
  <si>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</si>
  <si>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</si>
  <si>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</si>
  <si>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</si>
  <si>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</si>
  <si>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</si>
  <si>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</si>
  <si>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</si>
  <si>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</si>
  <si>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</si>
  <si>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</si>
  <si>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</si>
  <si>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</si>
  <si>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Number of people who benefits from training for enterprises on the energy business and energy finance. </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</si>
  <si>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</si>
  <si>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</si>
  <si>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</si>
  <si>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Individuals who participate in advocacy and campaign on energy</t>
  </si>
  <si>
    <t xml:space="preserve">Number of people supported by policy and regulatory framework development on clean, affordable, and sustainable energy </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</si>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</sst>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2">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sz val="11"/>
      <color rgb="FF444444"/>
      <name val="Calibri"/>
      <family val="2"/>
      <charset val="1"/>
    </font>
    <font>
      <sz val="11"/>
      <color theme="1"/>
      <name val="Calibri"/>
      <family val="2"/>
      <scheme val="minor"/>
    </font>
    <font>
      <sz val="11"/>
      <color rgb="FF1F4E78"/>
      <name val="Calibri"/>
      <family val="2"/>
      <scheme val="minor"/>
    </font>
    <font>
      <sz val="11"/>
      <color rgb="FF000000"/>
      <name val="Calibri"/>
      <charset val="1"/>
    </font>
    <font>
      <sz val="11"/>
      <color rgb="FF000000"/>
      <name val="Calibri"/>
    </font>
    <font>
      <b/>
      <sz val="11"/>
      <color theme="1"/>
      <name val="Calibri"/>
      <scheme val="minor"/>
    </font>
    <font>
      <sz val="11"/>
      <color rgb="FF000000"/>
      <name val="Calibri"/>
      <scheme val="minor"/>
    </font>
    <font>
      <u/>
      <sz val="11"/>
      <color theme="10"/>
      <name val="Calibri"/>
      <family val="2"/>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3" fillId="0" borderId="0" applyNumberFormat="0" applyFill="0" applyBorder="0" applyAlignment="0" applyProtection="0">
      <alignment vertical="top"/>
      <protection locked="0"/>
    </xf>
    <xf numFmtId="43" fontId="5" fillId="0" borderId="0" applyFont="0" applyFill="0" applyBorder="0" applyAlignment="0" applyProtection="0"/>
    <xf numFmtId="0" fontId="11" fillId="0" borderId="0" applyNumberFormat="0" applyFill="0" applyBorder="0" applyAlignment="0" applyProtection="0"/>
  </cellStyleXfs>
  <cellXfs count="48">
    <xf numFmtId="0" fontId="0" fillId="0" borderId="0" xfId="0"/>
    <xf numFmtId="0" fontId="2" fillId="0" borderId="1" xfId="0" applyFont="1" applyBorder="1" applyAlignment="1">
      <alignment vertical="top" wrapText="1"/>
    </xf>
    <xf numFmtId="0" fontId="2" fillId="0" borderId="1" xfId="0" applyFont="1" applyBorder="1" applyAlignment="1">
      <alignment horizontal="center" vertical="top" wrapText="1"/>
    </xf>
    <xf numFmtId="0" fontId="2" fillId="0" borderId="2" xfId="0" applyFont="1" applyBorder="1" applyAlignment="1">
      <alignment horizontal="center" vertical="top" wrapText="1"/>
    </xf>
    <xf numFmtId="0" fontId="0" fillId="0" borderId="1" xfId="0" applyBorder="1" applyAlignment="1">
      <alignment vertical="top" wrapText="1"/>
    </xf>
    <xf numFmtId="0" fontId="3" fillId="0" borderId="1" xfId="1" applyFill="1" applyBorder="1" applyAlignment="1" applyProtection="1">
      <alignment vertical="top" wrapText="1"/>
    </xf>
    <xf numFmtId="164" fontId="0" fillId="0" borderId="1" xfId="2" applyNumberFormat="1" applyFont="1" applyFill="1" applyBorder="1" applyAlignment="1">
      <alignment vertical="top" wrapText="1"/>
    </xf>
    <xf numFmtId="43" fontId="0" fillId="0" borderId="1" xfId="0" applyNumberFormat="1" applyBorder="1" applyAlignment="1">
      <alignment vertical="top" wrapText="1"/>
    </xf>
    <xf numFmtId="43" fontId="0" fillId="0" borderId="1" xfId="0" applyNumberFormat="1" applyBorder="1" applyAlignment="1">
      <alignment horizontal="right" vertical="top" wrapText="1"/>
    </xf>
    <xf numFmtId="43" fontId="0" fillId="0" borderId="2" xfId="0" applyNumberFormat="1" applyBorder="1" applyAlignment="1">
      <alignment vertical="top" wrapText="1"/>
    </xf>
    <xf numFmtId="0" fontId="4" fillId="0" borderId="0" xfId="0" applyFont="1" applyAlignment="1">
      <alignment vertical="top" wrapText="1"/>
    </xf>
    <xf numFmtId="43" fontId="0" fillId="0" borderId="1" xfId="0" applyNumberFormat="1" applyBorder="1" applyAlignment="1">
      <alignment horizontal="left" vertical="top" wrapText="1"/>
    </xf>
    <xf numFmtId="3" fontId="0" fillId="0" borderId="1" xfId="0" applyNumberFormat="1" applyBorder="1" applyAlignment="1">
      <alignment vertical="top" wrapText="1"/>
    </xf>
    <xf numFmtId="0" fontId="3" fillId="0" borderId="1" xfId="1" applyBorder="1" applyAlignment="1" applyProtection="1">
      <alignment vertical="top" wrapText="1"/>
    </xf>
    <xf numFmtId="0" fontId="0" fillId="0" borderId="2" xfId="0" applyBorder="1" applyAlignment="1">
      <alignment vertical="top" wrapText="1"/>
    </xf>
    <xf numFmtId="0" fontId="6" fillId="2" borderId="1" xfId="0" applyFont="1" applyFill="1" applyBorder="1" applyAlignment="1">
      <alignment vertical="top" wrapText="1"/>
    </xf>
    <xf numFmtId="49" fontId="0" fillId="0" borderId="1" xfId="0" applyNumberFormat="1" applyBorder="1" applyAlignment="1">
      <alignment vertical="top"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xf>
    <xf numFmtId="0" fontId="0" fillId="0" borderId="1" xfId="0" applyBorder="1" applyAlignment="1">
      <alignment horizontal="center" vertical="center" wrapText="1"/>
    </xf>
    <xf numFmtId="0" fontId="3" fillId="0" borderId="1" xfId="1" applyFill="1" applyBorder="1" applyAlignment="1" applyProtection="1">
      <alignment horizontal="center" vertical="center" wrapText="1"/>
    </xf>
    <xf numFmtId="164" fontId="0" fillId="0" borderId="1" xfId="2" applyNumberFormat="1" applyFont="1" applyFill="1" applyBorder="1" applyAlignment="1">
      <alignment horizontal="center" vertical="center" wrapText="1"/>
    </xf>
    <xf numFmtId="43" fontId="0" fillId="0" borderId="1" xfId="0" applyNumberFormat="1" applyBorder="1" applyAlignment="1">
      <alignment horizontal="center" vertical="center" wrapText="1"/>
    </xf>
    <xf numFmtId="49" fontId="8" fillId="0" borderId="1" xfId="0" applyNumberFormat="1" applyFont="1" applyBorder="1" applyAlignment="1">
      <alignment horizontal="center" vertical="center" wrapText="1"/>
    </xf>
    <xf numFmtId="43" fontId="0" fillId="0" borderId="2" xfId="0" applyNumberFormat="1" applyBorder="1" applyAlignment="1">
      <alignment horizontal="center" vertical="center" wrapText="1"/>
    </xf>
    <xf numFmtId="0" fontId="0" fillId="0" borderId="2" xfId="0" applyBorder="1" applyAlignment="1">
      <alignment horizontal="center" vertical="center" wrapText="1"/>
    </xf>
    <xf numFmtId="49" fontId="0" fillId="0" borderId="1" xfId="0" applyNumberFormat="1" applyBorder="1" applyAlignment="1">
      <alignment horizontal="center" vertical="center" wrapText="1"/>
    </xf>
    <xf numFmtId="0" fontId="7" fillId="0" borderId="0" xfId="0" applyFont="1" applyAlignment="1">
      <alignment horizontal="center" vertical="center"/>
    </xf>
    <xf numFmtId="9"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0" fontId="3" fillId="0" borderId="1" xfId="1" applyBorder="1" applyAlignment="1" applyProtection="1">
      <alignment horizontal="center" vertical="center" wrapText="1"/>
    </xf>
    <xf numFmtId="0" fontId="0" fillId="0" borderId="1" xfId="0" applyBorder="1" applyAlignment="1">
      <alignment horizontal="center" vertical="center"/>
    </xf>
    <xf numFmtId="43" fontId="0" fillId="2" borderId="1" xfId="0" applyNumberFormat="1" applyFill="1" applyBorder="1" applyAlignment="1">
      <alignment horizontal="center" vertical="center" wrapText="1"/>
    </xf>
    <xf numFmtId="0" fontId="7" fillId="0" borderId="1" xfId="0" applyFont="1" applyBorder="1" applyAlignment="1">
      <alignment horizontal="center" vertical="center"/>
    </xf>
    <xf numFmtId="0" fontId="9" fillId="0" borderId="1" xfId="0" applyFont="1" applyBorder="1" applyAlignment="1">
      <alignment horizontal="center" vertical="top" wrapText="1"/>
    </xf>
    <xf numFmtId="0" fontId="10" fillId="0" borderId="1" xfId="0" applyFont="1" applyBorder="1" applyAlignment="1">
      <alignment wrapText="1"/>
    </xf>
    <xf numFmtId="0" fontId="2" fillId="0" borderId="1" xfId="0" applyFont="1" applyBorder="1" applyAlignment="1">
      <alignment horizontal="center"/>
    </xf>
    <xf numFmtId="0" fontId="2" fillId="0" borderId="3" xfId="0" applyFont="1" applyBorder="1" applyAlignment="1">
      <alignment horizontal="center"/>
    </xf>
    <xf numFmtId="0" fontId="2" fillId="0" borderId="2" xfId="0" applyFont="1" applyBorder="1" applyAlignment="1">
      <alignment horizontal="center"/>
    </xf>
    <xf numFmtId="0" fontId="2" fillId="0" borderId="1" xfId="0" applyFont="1" applyBorder="1"/>
    <xf numFmtId="0" fontId="0" fillId="0" borderId="2" xfId="0" applyBorder="1" applyAlignment="1">
      <alignment horizontal="center" vertical="center"/>
    </xf>
    <xf numFmtId="0" fontId="0" fillId="0" borderId="4" xfId="0" applyBorder="1" applyAlignment="1">
      <alignment horizontal="center" vertical="center" wrapText="1"/>
    </xf>
    <xf numFmtId="0" fontId="0" fillId="0" borderId="1" xfId="0" applyBorder="1" applyAlignment="1">
      <alignment vertical="center"/>
    </xf>
    <xf numFmtId="0" fontId="11" fillId="0" borderId="1" xfId="3"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wrapText="1"/>
    </xf>
    <xf numFmtId="0" fontId="1" fillId="0" borderId="1" xfId="0" applyFont="1" applyBorder="1" applyAlignment="1">
      <alignment vertical="center" wrapText="1"/>
    </xf>
  </cellXfs>
  <cellStyles count="4">
    <cellStyle name="Hipervínculo" xfId="1" builtinId="8"/>
    <cellStyle name="Hyperlink" xfId="3" xr:uid="{00000000-000B-0000-0000-000008000000}"/>
    <cellStyle name="Millares" xfId="2"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open.undp.org/projects/00119439" TargetMode="External"/><Relationship Id="rId7" Type="http://schemas.openxmlformats.org/officeDocument/2006/relationships/hyperlink" Target="https://co.pims.undp.org/project/view?id=5395" TargetMode="External"/><Relationship Id="rId2" Type="http://schemas.openxmlformats.org/officeDocument/2006/relationships/hyperlink" Target="http://open.undp.org/projects/00119001" TargetMode="External"/><Relationship Id="rId1" Type="http://schemas.openxmlformats.org/officeDocument/2006/relationships/hyperlink" Target="http://open.undp.org/projects/00092045" TargetMode="External"/><Relationship Id="rId6" Type="http://schemas.openxmlformats.org/officeDocument/2006/relationships/hyperlink" Target="https://co.pims.undp.org/project/view?id=6431" TargetMode="External"/><Relationship Id="rId5" Type="http://schemas.openxmlformats.org/officeDocument/2006/relationships/hyperlink" Target="https://co.pims.undp.org/project/view?id=6618" TargetMode="External"/><Relationship Id="rId4" Type="http://schemas.openxmlformats.org/officeDocument/2006/relationships/hyperlink" Target="https://open.undp.org/projects/00144123"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open.undp.org/projects/00119439" TargetMode="External"/><Relationship Id="rId2" Type="http://schemas.openxmlformats.org/officeDocument/2006/relationships/hyperlink" Target="http://open.undp.org/projects/00119001" TargetMode="External"/><Relationship Id="rId1" Type="http://schemas.openxmlformats.org/officeDocument/2006/relationships/hyperlink" Target="http://open.undp.org/projects/00092045" TargetMode="External"/><Relationship Id="rId5" Type="http://schemas.openxmlformats.org/officeDocument/2006/relationships/hyperlink" Target="https://open.undp.org/projects/00144123" TargetMode="External"/><Relationship Id="rId4" Type="http://schemas.openxmlformats.org/officeDocument/2006/relationships/hyperlink" Target="http://open.undp.org/projects/00119440"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open.undp.org/projects/00119439" TargetMode="External"/><Relationship Id="rId2" Type="http://schemas.openxmlformats.org/officeDocument/2006/relationships/hyperlink" Target="http://open.undp.org/projects/00119001" TargetMode="External"/><Relationship Id="rId1" Type="http://schemas.openxmlformats.org/officeDocument/2006/relationships/hyperlink" Target="http://open.undp.org/projects/00092045" TargetMode="External"/><Relationship Id="rId6" Type="http://schemas.openxmlformats.org/officeDocument/2006/relationships/printerSettings" Target="../printerSettings/printerSettings1.bin"/><Relationship Id="rId5" Type="http://schemas.openxmlformats.org/officeDocument/2006/relationships/hyperlink" Target="https://open.undp.org/projects/00144123" TargetMode="External"/><Relationship Id="rId4" Type="http://schemas.openxmlformats.org/officeDocument/2006/relationships/hyperlink" Target="http://open.undp.org/projects/0011944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250B8-72DD-45CF-81B1-84922AA9D8BB}">
  <dimension ref="A1:U14"/>
  <sheetViews>
    <sheetView tabSelected="1" zoomScale="106" zoomScaleNormal="47" workbookViewId="0">
      <pane xSplit="1" ySplit="1" topLeftCell="B9" activePane="bottomRight" state="frozen"/>
      <selection pane="bottomRight" activeCell="C13" sqref="C13"/>
      <selection pane="bottomLeft"/>
      <selection pane="topRight"/>
    </sheetView>
  </sheetViews>
  <sheetFormatPr defaultColWidth="8.85546875" defaultRowHeight="15"/>
  <cols>
    <col min="2" max="2" width="47.85546875" customWidth="1"/>
    <col min="3" max="3" width="32.42578125" customWidth="1"/>
    <col min="4" max="4" width="17.42578125" customWidth="1"/>
    <col min="5" max="5" width="26.42578125" customWidth="1"/>
    <col min="6" max="6" width="33.42578125" customWidth="1"/>
    <col min="7" max="7" width="12.7109375" customWidth="1"/>
    <col min="8" max="8" width="17.28515625" customWidth="1"/>
    <col min="9" max="9" width="58.42578125" customWidth="1"/>
    <col min="10" max="10" width="9.140625"/>
    <col min="11" max="11" width="18" bestFit="1" customWidth="1"/>
    <col min="12" max="12" width="12.85546875" bestFit="1" customWidth="1"/>
    <col min="13" max="13" width="9.140625"/>
    <col min="14" max="14" width="14.42578125" bestFit="1" customWidth="1"/>
    <col min="15" max="15" width="17.5703125" bestFit="1" customWidth="1"/>
    <col min="16" max="16" width="12.140625" customWidth="1"/>
    <col min="17" max="17" width="16.5703125" bestFit="1" customWidth="1"/>
    <col min="18" max="18" width="18.140625" bestFit="1" customWidth="1"/>
    <col min="19" max="19" width="23" customWidth="1"/>
    <col min="20" max="20" width="30.28515625" bestFit="1" customWidth="1"/>
    <col min="21" max="21" width="16.7109375" bestFit="1" customWidth="1"/>
  </cols>
  <sheetData>
    <row r="1" spans="1:21" ht="30.75">
      <c r="A1" s="17" t="s">
        <v>0</v>
      </c>
      <c r="B1" s="17" t="s">
        <v>1</v>
      </c>
      <c r="C1" s="17" t="s">
        <v>2</v>
      </c>
      <c r="D1" s="17" t="s">
        <v>3</v>
      </c>
      <c r="E1" s="17" t="s">
        <v>4</v>
      </c>
      <c r="F1" s="17" t="s">
        <v>5</v>
      </c>
      <c r="G1" s="17" t="s">
        <v>6</v>
      </c>
      <c r="H1" s="17" t="s">
        <v>7</v>
      </c>
      <c r="I1" s="17" t="s">
        <v>8</v>
      </c>
      <c r="J1" s="17" t="s">
        <v>9</v>
      </c>
      <c r="K1" s="19" t="s">
        <v>10</v>
      </c>
      <c r="L1" s="37" t="s">
        <v>11</v>
      </c>
      <c r="M1" s="38" t="s">
        <v>12</v>
      </c>
      <c r="N1" s="37" t="s">
        <v>13</v>
      </c>
      <c r="O1" s="37" t="s">
        <v>14</v>
      </c>
      <c r="P1" s="37" t="s">
        <v>15</v>
      </c>
      <c r="Q1" s="37" t="s">
        <v>16</v>
      </c>
      <c r="R1" s="39" t="s">
        <v>17</v>
      </c>
      <c r="S1" s="40" t="s">
        <v>18</v>
      </c>
      <c r="T1" s="39" t="s">
        <v>19</v>
      </c>
      <c r="U1" s="40" t="s">
        <v>20</v>
      </c>
    </row>
    <row r="2" spans="1:21" ht="99" customHeight="1">
      <c r="A2" s="20">
        <v>92045</v>
      </c>
      <c r="B2" s="20" t="s">
        <v>21</v>
      </c>
      <c r="C2" s="21" t="s">
        <v>22</v>
      </c>
      <c r="D2" s="22">
        <v>11659101</v>
      </c>
      <c r="E2" s="23"/>
      <c r="F2" s="24" t="s">
        <v>23</v>
      </c>
      <c r="G2" s="23">
        <v>0</v>
      </c>
      <c r="H2" s="23">
        <v>2000000000</v>
      </c>
      <c r="I2" s="23" t="s">
        <v>24</v>
      </c>
      <c r="J2" s="20" t="s">
        <v>25</v>
      </c>
      <c r="K2" s="20"/>
      <c r="L2" s="41" t="s">
        <v>26</v>
      </c>
      <c r="M2" s="32"/>
      <c r="N2" s="42" t="s">
        <v>27</v>
      </c>
      <c r="O2" s="32"/>
      <c r="P2" s="32"/>
      <c r="Q2" s="32"/>
      <c r="R2" s="32"/>
      <c r="S2" s="43"/>
      <c r="T2" s="41"/>
      <c r="U2" s="43"/>
    </row>
    <row r="3" spans="1:21" ht="99" customHeight="1">
      <c r="A3" s="20"/>
      <c r="B3" s="20"/>
      <c r="C3" s="21"/>
      <c r="D3" s="22"/>
      <c r="E3" s="23" t="s">
        <v>28</v>
      </c>
      <c r="F3" s="27" t="s">
        <v>29</v>
      </c>
      <c r="G3" s="23"/>
      <c r="H3" s="23">
        <v>190000</v>
      </c>
      <c r="I3" s="23"/>
      <c r="J3" s="20"/>
      <c r="K3" s="20"/>
      <c r="L3" s="41" t="s">
        <v>26</v>
      </c>
      <c r="M3" s="32"/>
      <c r="N3" s="42" t="s">
        <v>27</v>
      </c>
      <c r="O3" s="32"/>
      <c r="P3" s="32"/>
      <c r="Q3" s="32"/>
      <c r="R3" s="32"/>
      <c r="S3" s="43"/>
      <c r="T3" s="41"/>
      <c r="U3" s="43"/>
    </row>
    <row r="4" spans="1:21" ht="99" customHeight="1">
      <c r="A4" s="20"/>
      <c r="B4" s="20"/>
      <c r="C4" s="21"/>
      <c r="D4" s="22"/>
      <c r="E4" s="23" t="s">
        <v>30</v>
      </c>
      <c r="F4" s="27" t="s">
        <v>31</v>
      </c>
      <c r="G4" s="23"/>
      <c r="H4" s="32">
        <v>2200000</v>
      </c>
      <c r="I4" s="23"/>
      <c r="J4" s="20"/>
      <c r="K4" s="20"/>
      <c r="L4" s="41" t="s">
        <v>26</v>
      </c>
      <c r="M4" s="32"/>
      <c r="N4" s="42" t="s">
        <v>27</v>
      </c>
      <c r="O4" s="32"/>
      <c r="P4" s="32"/>
      <c r="Q4" s="32"/>
      <c r="R4" s="32"/>
      <c r="S4" s="43"/>
      <c r="T4" s="41"/>
      <c r="U4" s="43"/>
    </row>
    <row r="5" spans="1:21" ht="99" customHeight="1">
      <c r="A5" s="20">
        <v>119001</v>
      </c>
      <c r="B5" s="20" t="s">
        <v>32</v>
      </c>
      <c r="C5" s="21" t="s">
        <v>33</v>
      </c>
      <c r="D5" s="22">
        <v>7358188</v>
      </c>
      <c r="E5" s="23" t="s">
        <v>28</v>
      </c>
      <c r="F5" s="24" t="s">
        <v>34</v>
      </c>
      <c r="G5" s="23">
        <v>0</v>
      </c>
      <c r="H5" s="23">
        <v>60000</v>
      </c>
      <c r="I5" s="23" t="s">
        <v>35</v>
      </c>
      <c r="J5" s="20" t="s">
        <v>25</v>
      </c>
      <c r="K5" s="20"/>
      <c r="L5" s="41" t="s">
        <v>26</v>
      </c>
      <c r="M5" s="32"/>
      <c r="N5" s="42" t="s">
        <v>27</v>
      </c>
      <c r="O5" s="32"/>
      <c r="P5" s="32"/>
      <c r="Q5" s="32"/>
      <c r="R5" s="32"/>
      <c r="S5" s="43"/>
      <c r="T5" s="41"/>
      <c r="U5" s="43"/>
    </row>
    <row r="6" spans="1:21" ht="76.5">
      <c r="A6" s="20"/>
      <c r="B6" s="20"/>
      <c r="C6" s="21"/>
      <c r="D6" s="22"/>
      <c r="E6" s="23" t="s">
        <v>28</v>
      </c>
      <c r="F6" s="27" t="s">
        <v>36</v>
      </c>
      <c r="G6" s="23"/>
      <c r="H6" s="23">
        <v>1500</v>
      </c>
      <c r="I6" s="23"/>
      <c r="J6" s="20"/>
      <c r="K6" s="20"/>
      <c r="L6" s="41" t="s">
        <v>26</v>
      </c>
      <c r="M6" s="32"/>
      <c r="N6" s="42" t="s">
        <v>27</v>
      </c>
      <c r="O6" s="32"/>
      <c r="P6" s="32"/>
      <c r="Q6" s="32"/>
      <c r="R6" s="32"/>
      <c r="S6" s="43"/>
      <c r="T6" s="41"/>
      <c r="U6" s="43"/>
    </row>
    <row r="7" spans="1:21" ht="45.75">
      <c r="A7" s="20">
        <v>119439</v>
      </c>
      <c r="B7" s="20" t="s">
        <v>37</v>
      </c>
      <c r="C7" s="21" t="s">
        <v>38</v>
      </c>
      <c r="D7" s="22">
        <v>439401</v>
      </c>
      <c r="E7" s="23"/>
      <c r="F7" s="33" t="s">
        <v>39</v>
      </c>
      <c r="G7" s="33" t="s">
        <v>40</v>
      </c>
      <c r="H7" s="33" t="s">
        <v>40</v>
      </c>
      <c r="I7" s="23" t="s">
        <v>41</v>
      </c>
      <c r="J7" s="20" t="s">
        <v>25</v>
      </c>
      <c r="K7" s="20"/>
      <c r="L7" s="41" t="s">
        <v>26</v>
      </c>
      <c r="M7" s="32"/>
      <c r="N7" s="42" t="s">
        <v>27</v>
      </c>
      <c r="O7" s="32"/>
      <c r="P7" s="32"/>
      <c r="Q7" s="32"/>
      <c r="R7" s="32"/>
      <c r="S7" s="43"/>
      <c r="T7" s="41"/>
      <c r="U7" s="43"/>
    </row>
    <row r="8" spans="1:21" ht="75" customHeight="1">
      <c r="A8" s="20"/>
      <c r="B8" s="20"/>
      <c r="C8" s="21"/>
      <c r="D8" s="22">
        <v>399069</v>
      </c>
      <c r="E8" s="23" t="s">
        <v>42</v>
      </c>
      <c r="F8" s="34" t="s">
        <v>43</v>
      </c>
      <c r="G8" s="23">
        <v>0</v>
      </c>
      <c r="H8" s="23">
        <v>40</v>
      </c>
      <c r="I8" s="23" t="s">
        <v>44</v>
      </c>
      <c r="J8" s="20" t="s">
        <v>25</v>
      </c>
      <c r="K8" s="20"/>
      <c r="L8" s="41" t="s">
        <v>26</v>
      </c>
      <c r="M8" s="32"/>
      <c r="N8" s="42" t="s">
        <v>27</v>
      </c>
      <c r="O8" s="32"/>
      <c r="P8" s="32"/>
      <c r="Q8" s="32"/>
      <c r="R8" s="32"/>
      <c r="S8" s="43"/>
      <c r="T8" s="41"/>
      <c r="U8" s="43"/>
    </row>
    <row r="9" spans="1:21" ht="45.75">
      <c r="A9" s="20">
        <v>6618</v>
      </c>
      <c r="B9" s="20" t="s">
        <v>45</v>
      </c>
      <c r="C9" s="44" t="s">
        <v>46</v>
      </c>
      <c r="D9" s="20">
        <v>9343379</v>
      </c>
      <c r="E9" s="23" t="s">
        <v>47</v>
      </c>
      <c r="F9" s="23" t="s">
        <v>48</v>
      </c>
      <c r="G9" s="23">
        <v>0</v>
      </c>
      <c r="H9" s="23">
        <v>1200000</v>
      </c>
      <c r="I9" s="23" t="s">
        <v>49</v>
      </c>
      <c r="J9" s="20" t="s">
        <v>50</v>
      </c>
      <c r="K9" s="20"/>
      <c r="L9" s="41" t="s">
        <v>51</v>
      </c>
      <c r="M9" s="32"/>
      <c r="N9" s="42" t="s">
        <v>27</v>
      </c>
      <c r="O9" s="32"/>
      <c r="P9" s="32"/>
      <c r="Q9" s="32"/>
      <c r="R9" s="32"/>
      <c r="S9" s="43"/>
      <c r="T9" s="41"/>
      <c r="U9" s="43"/>
    </row>
    <row r="10" spans="1:21" ht="45.75">
      <c r="A10" s="20"/>
      <c r="B10" s="20"/>
      <c r="C10" s="20"/>
      <c r="D10" s="32"/>
      <c r="E10" s="23" t="s">
        <v>42</v>
      </c>
      <c r="F10" s="33" t="s">
        <v>52</v>
      </c>
      <c r="G10" s="33">
        <v>0</v>
      </c>
      <c r="H10" s="33">
        <v>35990000</v>
      </c>
      <c r="I10" s="23"/>
      <c r="J10" s="20" t="s">
        <v>50</v>
      </c>
      <c r="K10" s="20"/>
      <c r="L10" s="41" t="s">
        <v>51</v>
      </c>
      <c r="M10" s="32"/>
      <c r="N10" s="42" t="s">
        <v>27</v>
      </c>
      <c r="O10" s="32"/>
      <c r="P10" s="32"/>
      <c r="Q10" s="32"/>
      <c r="R10" s="32"/>
      <c r="S10" s="43"/>
      <c r="T10" s="41"/>
      <c r="U10" s="43"/>
    </row>
    <row r="11" spans="1:21" ht="64.5" customHeight="1">
      <c r="A11" s="20">
        <v>6431</v>
      </c>
      <c r="B11" s="20" t="s">
        <v>53</v>
      </c>
      <c r="C11" s="44" t="s">
        <v>54</v>
      </c>
      <c r="D11" s="20">
        <v>8932420</v>
      </c>
      <c r="E11" s="23" t="s">
        <v>55</v>
      </c>
      <c r="F11" s="23" t="s">
        <v>56</v>
      </c>
      <c r="G11" s="23">
        <v>0</v>
      </c>
      <c r="H11" s="23">
        <v>918500</v>
      </c>
      <c r="I11" s="23" t="s">
        <v>57</v>
      </c>
      <c r="J11" s="20" t="s">
        <v>50</v>
      </c>
      <c r="K11" s="29">
        <v>0.5</v>
      </c>
      <c r="L11" s="41" t="s">
        <v>51</v>
      </c>
      <c r="M11" s="32"/>
      <c r="N11" s="42" t="s">
        <v>27</v>
      </c>
      <c r="O11" s="32"/>
      <c r="P11" s="32"/>
      <c r="Q11" s="32"/>
      <c r="R11" s="32"/>
      <c r="S11" s="43" t="s">
        <v>58</v>
      </c>
      <c r="T11" s="41"/>
      <c r="U11" s="43"/>
    </row>
    <row r="12" spans="1:21" ht="45.75">
      <c r="A12" s="20"/>
      <c r="B12" s="20"/>
      <c r="C12" s="20"/>
      <c r="D12" s="20"/>
      <c r="E12" s="23" t="s">
        <v>42</v>
      </c>
      <c r="F12" s="23" t="s">
        <v>59</v>
      </c>
      <c r="G12" s="20">
        <v>0</v>
      </c>
      <c r="H12" s="30">
        <v>4079000</v>
      </c>
      <c r="I12" s="23"/>
      <c r="J12" s="20" t="s">
        <v>50</v>
      </c>
      <c r="K12" s="20"/>
      <c r="L12" s="41" t="s">
        <v>51</v>
      </c>
      <c r="M12" s="32"/>
      <c r="N12" s="42" t="s">
        <v>27</v>
      </c>
      <c r="O12" s="32"/>
      <c r="P12" s="32"/>
      <c r="Q12" s="32"/>
      <c r="R12" s="32"/>
      <c r="S12" s="43"/>
      <c r="T12" s="41"/>
      <c r="U12" s="43"/>
    </row>
    <row r="13" spans="1:21" ht="45.75">
      <c r="A13" s="20">
        <v>5395</v>
      </c>
      <c r="B13" s="20" t="s">
        <v>60</v>
      </c>
      <c r="C13" s="44" t="s">
        <v>61</v>
      </c>
      <c r="D13" s="20">
        <v>8932420</v>
      </c>
      <c r="E13" s="23" t="s">
        <v>42</v>
      </c>
      <c r="F13" s="23" t="s">
        <v>62</v>
      </c>
      <c r="G13" s="23">
        <v>0</v>
      </c>
      <c r="H13" s="23">
        <v>55700</v>
      </c>
      <c r="I13" s="23"/>
      <c r="J13" s="20" t="s">
        <v>50</v>
      </c>
      <c r="K13" s="20"/>
      <c r="L13" s="41" t="s">
        <v>51</v>
      </c>
      <c r="M13" s="32"/>
      <c r="N13" s="42" t="s">
        <v>27</v>
      </c>
      <c r="O13" s="32"/>
      <c r="P13" s="32"/>
      <c r="Q13" s="32"/>
      <c r="R13" s="32"/>
      <c r="S13" s="43"/>
      <c r="T13" s="41"/>
      <c r="U13" s="43"/>
    </row>
    <row r="14" spans="1:21" ht="45.75">
      <c r="A14" s="20">
        <v>144123</v>
      </c>
      <c r="B14" s="20" t="s">
        <v>63</v>
      </c>
      <c r="C14" s="31" t="s">
        <v>64</v>
      </c>
      <c r="D14" s="30">
        <v>697979</v>
      </c>
      <c r="E14" s="23" t="s">
        <v>65</v>
      </c>
      <c r="F14" s="20" t="s">
        <v>66</v>
      </c>
      <c r="G14" s="20">
        <v>0</v>
      </c>
      <c r="H14" s="23">
        <v>1000</v>
      </c>
      <c r="I14" s="20"/>
      <c r="J14" s="20"/>
      <c r="K14" s="29">
        <v>0.3</v>
      </c>
      <c r="L14" s="41" t="s">
        <v>26</v>
      </c>
      <c r="M14" s="32"/>
      <c r="N14" s="42" t="s">
        <v>27</v>
      </c>
      <c r="O14" s="32"/>
      <c r="P14" s="32"/>
      <c r="Q14" s="32"/>
      <c r="R14" s="32"/>
      <c r="S14" s="43"/>
      <c r="T14" s="41"/>
      <c r="U14" s="43"/>
    </row>
  </sheetData>
  <dataValidations count="9">
    <dataValidation type="list" allowBlank="1" showInputMessage="1" showErrorMessage="1" sqref="Q2:Q14" xr:uid="{1589BC3A-486B-42B3-BA77-24A39E336A02}">
      <formula1>"NDC Support, National Strategy, Legal Framework,Incentives and Support, Government Capacity-Building, Carbon Pricing and Monitoring, Financing Model, Business Model"</formula1>
    </dataValidation>
    <dataValidation type="list" allowBlank="1" showInputMessage="1" showErrorMessage="1" sqref="P2:P14" xr:uid="{15839CC9-A8F4-4716-BF50-9AD73BC88804}">
      <formula1>"AMP, PUDC, Solar4Health, Action Opportunities, Italy UNDP Energy Partnership"</formula1>
    </dataValidation>
    <dataValidation type="list" allowBlank="1" showInputMessage="1" showErrorMessage="1" sqref="N2:N14" xr:uid="{026472E8-8734-4E3C-9DC0-746962E6934C}">
      <formula1>"Accelerating just energy transition, Close the gap on energy access, Scale up energy finance"</formula1>
    </dataValidation>
    <dataValidation type="list" allowBlank="1" showInputMessage="1" showErrorMessage="1" sqref="O2:O14" xr:uid="{2F1044D5-298A-4E29-B3A1-649FBC337393}">
      <formula1>"Electricity Access, Energy Efficiency, Clean Cooking, Renewable Energy, Overall"</formula1>
    </dataValidation>
    <dataValidation type="list" allowBlank="1" showInputMessage="1" showErrorMessage="1" sqref="T2:T14" xr:uid="{10AE4F1E-F2DF-45DF-87F9-0708B9B49CC2}">
      <formula1>"National, Regional, City, Community"</formula1>
    </dataValidation>
    <dataValidation type="list" allowBlank="1" showInputMessage="1" showErrorMessage="1" sqref="M2:M14" xr:uid="{EA4FEE8D-B89F-4C5A-8FFD-5BBF70586CB5}">
      <formula1>"Finance, Gender, Efficiency, Just, Health"</formula1>
    </dataValidation>
    <dataValidation type="list" allowBlank="1" showInputMessage="1" showErrorMessage="1" sqref="L2:L14" xr:uid="{1AD86CC2-0C57-4CA8-A666-F0962FC5324D}">
      <formula1>"Non-VF, VF"</formula1>
    </dataValidation>
    <dataValidation type="list" allowBlank="1" showInputMessage="1" showErrorMessage="1" sqref="S2:S14" xr:uid="{7A2E0675-252C-42D7-83AE-4C149DDF2FE0}">
      <formula1>"Solar, Wind, Bioenergy, Hydro, Geothermal, Waste, Some Sources, Other, Unknown"</formula1>
    </dataValidation>
    <dataValidation type="list" allowBlank="1" showInputMessage="1" showErrorMessage="1" sqref="R2:R14" xr:uid="{EACAF992-BF5B-4B83-AA70-BB419BFB6C56}">
      <formula1>"Electricity Access, Energy Efficiency, Renewable Energy, Infrastructure,  Transport, Digital &amp; Data, Clean Cooking, Decarbonization, Hydrogen, Off-Grid, On-Grid, Research &amp; Innovation, Grant &amp; Investment"</formula1>
    </dataValidation>
  </dataValidations>
  <hyperlinks>
    <hyperlink ref="C2" r:id="rId1" xr:uid="{281EDE05-8386-4C9C-B17A-3E45AF046E95}"/>
    <hyperlink ref="C5" r:id="rId2" xr:uid="{AB06F8BD-8706-47C2-8926-FDA293D0C911}"/>
    <hyperlink ref="C7" r:id="rId3" xr:uid="{161A50F2-08CC-402A-8FF6-AF96158ED06C}"/>
    <hyperlink ref="C14" r:id="rId4" xr:uid="{54259927-69D7-40F6-87AA-FA843C573FB5}"/>
    <hyperlink ref="C9" r:id="rId5" xr:uid="{EC5B8FC1-7EBA-4BBD-A5BC-D62A0AF6A0A6}"/>
    <hyperlink ref="C11" r:id="rId6" xr:uid="{CE7863D1-9ACC-4DFF-A15C-3F3F37445418}"/>
    <hyperlink ref="C13" r:id="rId7" xr:uid="{2F90AF1E-325D-44E5-9818-39305B3153CE}"/>
  </hyperlinks>
  <pageMargins left="0.7" right="0.7" top="0.75" bottom="0.75" header="0.3" footer="0.3"/>
  <pageSetup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r:uid="{4BBA7AE6-16A2-42B2-A97A-B889096800CA}">
          <x14:formula1>
            <xm:f>'Beneficiary Categories'!$A$2:$A$16</xm:f>
          </x14:formula1>
          <xm:sqref>I12 E15:E27</xm:sqref>
        </x14:dataValidation>
        <x14:dataValidation type="list" allowBlank="1" showInputMessage="1" showErrorMessage="1" xr:uid="{2D9B485E-C3F7-431C-8390-E68C54B6A495}">
          <x14:formula1>
            <xm:f>'Beneficiary Categories'!$A$2:$A$23</xm:f>
          </x14:formula1>
          <xm:sqref>E2:E14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81BCF-2826-406C-B35E-C98AF3DC2A25}">
  <dimension ref="A1:S14"/>
  <sheetViews>
    <sheetView topLeftCell="H5" zoomScale="106" zoomScaleNormal="47" workbookViewId="0">
      <selection activeCell="X11" sqref="X11"/>
    </sheetView>
  </sheetViews>
  <sheetFormatPr defaultColWidth="8.85546875" defaultRowHeight="15"/>
  <cols>
    <col min="2" max="2" width="47.85546875" customWidth="1"/>
    <col min="3" max="3" width="32.42578125" customWidth="1"/>
    <col min="4" max="4" width="17.42578125" customWidth="1"/>
    <col min="5" max="5" width="20.7109375" customWidth="1"/>
    <col min="6" max="6" width="33.42578125" customWidth="1"/>
    <col min="7" max="7" width="12.7109375" customWidth="1"/>
    <col min="8" max="8" width="21.5703125" customWidth="1"/>
    <col min="9" max="9" width="58.42578125" customWidth="1"/>
    <col min="10" max="10" width="9.140625"/>
    <col min="14" max="14" width="11.5703125" customWidth="1"/>
    <col min="15" max="16" width="12.140625" customWidth="1"/>
  </cols>
  <sheetData>
    <row r="1" spans="1:19" ht="45.75">
      <c r="A1" s="17" t="s">
        <v>0</v>
      </c>
      <c r="B1" s="17" t="s">
        <v>1</v>
      </c>
      <c r="C1" s="17" t="s">
        <v>2</v>
      </c>
      <c r="D1" s="17" t="s">
        <v>3</v>
      </c>
      <c r="E1" s="17" t="s">
        <v>4</v>
      </c>
      <c r="F1" s="17" t="s">
        <v>5</v>
      </c>
      <c r="G1" s="17" t="s">
        <v>6</v>
      </c>
      <c r="H1" s="17" t="s">
        <v>7</v>
      </c>
      <c r="I1" s="18" t="s">
        <v>8</v>
      </c>
      <c r="J1" s="17" t="s">
        <v>9</v>
      </c>
      <c r="K1" s="19" t="s">
        <v>10</v>
      </c>
      <c r="L1" s="19" t="s">
        <v>67</v>
      </c>
      <c r="M1" s="18" t="s">
        <v>12</v>
      </c>
      <c r="N1" s="17" t="s">
        <v>13</v>
      </c>
      <c r="O1" s="17" t="s">
        <v>14</v>
      </c>
      <c r="P1" s="19" t="s">
        <v>68</v>
      </c>
      <c r="Q1" s="17" t="s">
        <v>15</v>
      </c>
      <c r="R1" s="17" t="s">
        <v>16</v>
      </c>
      <c r="S1" s="17" t="s">
        <v>17</v>
      </c>
    </row>
    <row r="2" spans="1:19" ht="99" customHeight="1">
      <c r="A2" s="20">
        <v>92045</v>
      </c>
      <c r="B2" s="20" t="s">
        <v>21</v>
      </c>
      <c r="C2" s="21" t="s">
        <v>22</v>
      </c>
      <c r="D2" s="22">
        <v>11659101</v>
      </c>
      <c r="E2" s="23"/>
      <c r="F2" s="24" t="s">
        <v>23</v>
      </c>
      <c r="G2" s="23">
        <v>0</v>
      </c>
      <c r="H2" s="23">
        <v>2000000000</v>
      </c>
      <c r="I2" s="25" t="s">
        <v>24</v>
      </c>
      <c r="J2" s="20" t="s">
        <v>25</v>
      </c>
      <c r="K2" s="20"/>
      <c r="L2" s="20" t="s">
        <v>26</v>
      </c>
      <c r="M2" s="26"/>
      <c r="N2" s="20" t="s">
        <v>27</v>
      </c>
      <c r="O2" s="20" t="s">
        <v>55</v>
      </c>
      <c r="P2" s="32"/>
      <c r="Q2" s="20"/>
      <c r="R2" s="20"/>
      <c r="S2" s="20"/>
    </row>
    <row r="3" spans="1:19" ht="99" customHeight="1">
      <c r="A3" s="20"/>
      <c r="B3" s="20"/>
      <c r="C3" s="21"/>
      <c r="D3" s="22"/>
      <c r="E3" s="23" t="s">
        <v>69</v>
      </c>
      <c r="F3" s="27" t="s">
        <v>29</v>
      </c>
      <c r="G3" s="23"/>
      <c r="H3" s="23">
        <v>190000</v>
      </c>
      <c r="I3" s="25"/>
      <c r="J3" s="20"/>
      <c r="K3" s="20"/>
      <c r="L3" s="20"/>
      <c r="M3" s="26"/>
      <c r="N3" s="20"/>
      <c r="O3" s="20"/>
      <c r="P3" s="20"/>
      <c r="Q3" s="20"/>
      <c r="R3" s="20"/>
      <c r="S3" s="20"/>
    </row>
    <row r="4" spans="1:19" ht="99" customHeight="1">
      <c r="A4" s="20"/>
      <c r="B4" s="20"/>
      <c r="C4" s="21"/>
      <c r="D4" s="22"/>
      <c r="E4" s="23" t="s">
        <v>30</v>
      </c>
      <c r="F4" s="27" t="s">
        <v>70</v>
      </c>
      <c r="G4" s="23"/>
      <c r="H4" s="23">
        <v>2200000</v>
      </c>
      <c r="I4" s="25"/>
      <c r="J4" s="20"/>
      <c r="K4" s="20"/>
      <c r="L4" s="20"/>
      <c r="M4" s="26"/>
      <c r="N4" s="20"/>
      <c r="O4" s="20"/>
      <c r="P4" s="20"/>
      <c r="Q4" s="20"/>
      <c r="R4" s="20"/>
      <c r="S4" s="20"/>
    </row>
    <row r="5" spans="1:19" ht="99" customHeight="1">
      <c r="A5" s="20">
        <v>119001</v>
      </c>
      <c r="B5" s="20" t="s">
        <v>32</v>
      </c>
      <c r="C5" s="21" t="s">
        <v>33</v>
      </c>
      <c r="D5" s="22">
        <v>7358188</v>
      </c>
      <c r="E5" s="23" t="s">
        <v>69</v>
      </c>
      <c r="F5" s="24" t="s">
        <v>71</v>
      </c>
      <c r="G5" s="23">
        <v>0</v>
      </c>
      <c r="H5" s="23">
        <v>60000</v>
      </c>
      <c r="I5" s="25" t="s">
        <v>35</v>
      </c>
      <c r="J5" s="20" t="s">
        <v>25</v>
      </c>
      <c r="K5" s="20"/>
      <c r="L5" s="20" t="s">
        <v>26</v>
      </c>
      <c r="M5" s="26"/>
      <c r="N5" s="20"/>
      <c r="O5" s="20"/>
      <c r="P5" s="20"/>
      <c r="Q5" s="20"/>
      <c r="R5" s="20"/>
      <c r="S5" s="20"/>
    </row>
    <row r="6" spans="1:19" ht="76.5">
      <c r="A6" s="20"/>
      <c r="B6" s="20"/>
      <c r="C6" s="21"/>
      <c r="D6" s="22"/>
      <c r="E6" s="23" t="s">
        <v>69</v>
      </c>
      <c r="F6" s="27" t="s">
        <v>36</v>
      </c>
      <c r="G6" s="23"/>
      <c r="H6" s="23">
        <v>1500</v>
      </c>
      <c r="I6" s="25"/>
      <c r="J6" s="20"/>
      <c r="K6" s="20"/>
      <c r="L6" s="20"/>
      <c r="M6" s="26"/>
      <c r="N6" s="20"/>
      <c r="O6" s="20"/>
      <c r="P6" s="20"/>
      <c r="Q6" s="20"/>
      <c r="R6" s="20"/>
      <c r="S6" s="20"/>
    </row>
    <row r="7" spans="1:19" ht="30.75">
      <c r="A7" s="20">
        <v>119439</v>
      </c>
      <c r="B7" s="20" t="s">
        <v>37</v>
      </c>
      <c r="C7" s="21" t="s">
        <v>38</v>
      </c>
      <c r="D7" s="22">
        <v>439401</v>
      </c>
      <c r="E7" s="23"/>
      <c r="F7" s="23" t="s">
        <v>39</v>
      </c>
      <c r="G7" s="23" t="s">
        <v>40</v>
      </c>
      <c r="H7" s="23" t="s">
        <v>40</v>
      </c>
      <c r="I7" s="25" t="s">
        <v>41</v>
      </c>
      <c r="J7" s="20" t="s">
        <v>25</v>
      </c>
      <c r="K7" s="20"/>
      <c r="L7" s="20" t="s">
        <v>26</v>
      </c>
      <c r="M7" s="26"/>
      <c r="N7" s="20"/>
      <c r="O7" s="20"/>
      <c r="P7" s="20"/>
      <c r="Q7" s="20"/>
      <c r="R7" s="20"/>
      <c r="S7" s="20"/>
    </row>
    <row r="8" spans="1:19" ht="75" customHeight="1">
      <c r="A8" s="20">
        <v>119440</v>
      </c>
      <c r="B8" s="20" t="s">
        <v>72</v>
      </c>
      <c r="C8" s="21" t="s">
        <v>73</v>
      </c>
      <c r="D8" s="22">
        <v>399069</v>
      </c>
      <c r="E8" s="23" t="s">
        <v>42</v>
      </c>
      <c r="F8" s="28" t="s">
        <v>43</v>
      </c>
      <c r="G8" s="23">
        <v>0</v>
      </c>
      <c r="H8" s="23">
        <v>40</v>
      </c>
      <c r="I8" s="25" t="s">
        <v>44</v>
      </c>
      <c r="J8" s="20" t="s">
        <v>25</v>
      </c>
      <c r="K8" s="20"/>
      <c r="L8" s="20" t="s">
        <v>26</v>
      </c>
      <c r="M8" s="26"/>
      <c r="N8" s="20" t="s">
        <v>27</v>
      </c>
      <c r="O8" s="20" t="s">
        <v>55</v>
      </c>
      <c r="P8" s="20"/>
      <c r="Q8" s="20"/>
      <c r="R8" s="20"/>
      <c r="S8" s="20"/>
    </row>
    <row r="9" spans="1:19" ht="45.75">
      <c r="A9" s="20">
        <v>6618</v>
      </c>
      <c r="B9" s="20" t="s">
        <v>45</v>
      </c>
      <c r="C9" s="20" t="s">
        <v>74</v>
      </c>
      <c r="D9" s="20">
        <v>9343379</v>
      </c>
      <c r="E9" s="23" t="s">
        <v>75</v>
      </c>
      <c r="F9" s="23" t="s">
        <v>48</v>
      </c>
      <c r="G9" s="23">
        <v>0</v>
      </c>
      <c r="H9" s="23">
        <v>1200000</v>
      </c>
      <c r="I9" s="25" t="s">
        <v>49</v>
      </c>
      <c r="J9" s="20"/>
      <c r="K9" s="20"/>
      <c r="L9" s="20"/>
      <c r="M9" s="26"/>
      <c r="N9" s="20" t="s">
        <v>27</v>
      </c>
      <c r="O9" s="20" t="s">
        <v>55</v>
      </c>
      <c r="P9" s="20"/>
      <c r="Q9" s="20"/>
      <c r="R9" s="20"/>
      <c r="S9" s="20"/>
    </row>
    <row r="10" spans="1:19" ht="45.75">
      <c r="A10" s="20">
        <v>6618</v>
      </c>
      <c r="B10" s="20" t="s">
        <v>45</v>
      </c>
      <c r="C10" s="20" t="s">
        <v>74</v>
      </c>
      <c r="D10" s="20">
        <v>9343379</v>
      </c>
      <c r="E10" s="23" t="s">
        <v>42</v>
      </c>
      <c r="F10" s="23" t="s">
        <v>52</v>
      </c>
      <c r="G10" s="23">
        <v>0</v>
      </c>
      <c r="H10" s="23">
        <v>35990000</v>
      </c>
      <c r="I10" s="25"/>
      <c r="J10" s="20"/>
      <c r="K10" s="20"/>
      <c r="L10" s="20"/>
      <c r="M10" s="26"/>
      <c r="N10" s="20"/>
      <c r="O10" s="20"/>
      <c r="P10" s="20"/>
      <c r="Q10" s="20"/>
      <c r="R10" s="20"/>
      <c r="S10" s="20"/>
    </row>
    <row r="11" spans="1:19" ht="60.75">
      <c r="A11" s="20">
        <v>6431</v>
      </c>
      <c r="B11" s="20" t="s">
        <v>53</v>
      </c>
      <c r="C11" s="20" t="s">
        <v>74</v>
      </c>
      <c r="D11" s="20">
        <v>8932420</v>
      </c>
      <c r="E11" s="23" t="s">
        <v>75</v>
      </c>
      <c r="F11" s="23" t="s">
        <v>56</v>
      </c>
      <c r="G11" s="23">
        <v>0</v>
      </c>
      <c r="H11" s="23">
        <v>918500</v>
      </c>
      <c r="I11" s="25" t="s">
        <v>57</v>
      </c>
      <c r="J11" s="20"/>
      <c r="K11" s="29">
        <v>0.5</v>
      </c>
      <c r="L11" s="20"/>
      <c r="M11" s="26"/>
      <c r="N11" s="20" t="s">
        <v>76</v>
      </c>
      <c r="O11" s="20" t="s">
        <v>77</v>
      </c>
      <c r="P11" s="20"/>
      <c r="Q11" s="20"/>
      <c r="R11" s="20"/>
      <c r="S11" s="20"/>
    </row>
    <row r="12" spans="1:19" ht="45.75">
      <c r="A12" s="20">
        <v>6431</v>
      </c>
      <c r="B12" s="20" t="s">
        <v>53</v>
      </c>
      <c r="C12" s="20" t="s">
        <v>74</v>
      </c>
      <c r="D12" s="20">
        <v>8932420</v>
      </c>
      <c r="E12" s="28" t="s">
        <v>42</v>
      </c>
      <c r="F12" s="23" t="s">
        <v>59</v>
      </c>
      <c r="G12" s="20">
        <v>0</v>
      </c>
      <c r="H12" s="30">
        <v>4079000</v>
      </c>
      <c r="I12" s="25"/>
      <c r="J12" s="20"/>
      <c r="K12" s="20"/>
      <c r="L12" s="20"/>
      <c r="M12" s="26"/>
      <c r="N12" s="20"/>
      <c r="O12" s="20"/>
      <c r="P12" s="20"/>
      <c r="Q12" s="20"/>
      <c r="R12" s="20"/>
      <c r="S12" s="20"/>
    </row>
    <row r="13" spans="1:19" ht="30.75">
      <c r="A13" s="20">
        <v>5395</v>
      </c>
      <c r="B13" s="20" t="s">
        <v>60</v>
      </c>
      <c r="C13" s="20" t="s">
        <v>74</v>
      </c>
      <c r="D13" s="20">
        <v>8932420</v>
      </c>
      <c r="E13" s="28" t="s">
        <v>42</v>
      </c>
      <c r="F13" s="23" t="s">
        <v>62</v>
      </c>
      <c r="G13" s="23">
        <v>0</v>
      </c>
      <c r="H13" s="23">
        <v>55700</v>
      </c>
      <c r="I13" s="25"/>
      <c r="J13" s="20"/>
      <c r="K13" s="20"/>
      <c r="L13" s="20"/>
      <c r="M13" s="26"/>
      <c r="N13" s="20"/>
      <c r="O13" s="20"/>
      <c r="P13" s="20"/>
      <c r="Q13" s="20"/>
      <c r="R13" s="20"/>
      <c r="S13" s="20"/>
    </row>
    <row r="14" spans="1:19" ht="30.75">
      <c r="A14" s="20">
        <v>144123</v>
      </c>
      <c r="B14" s="20" t="s">
        <v>63</v>
      </c>
      <c r="C14" s="31" t="s">
        <v>64</v>
      </c>
      <c r="D14" s="30">
        <v>697979</v>
      </c>
      <c r="E14" s="20" t="s">
        <v>65</v>
      </c>
      <c r="F14" s="20" t="s">
        <v>66</v>
      </c>
      <c r="G14" s="20">
        <v>0</v>
      </c>
      <c r="H14" s="23">
        <v>1000</v>
      </c>
      <c r="I14" s="26"/>
      <c r="J14" s="20"/>
      <c r="K14" s="29">
        <v>0.3</v>
      </c>
      <c r="L14" s="20"/>
      <c r="M14" s="26"/>
      <c r="N14" s="20"/>
      <c r="O14" s="20"/>
      <c r="P14" s="20"/>
      <c r="Q14" s="20"/>
      <c r="R14" s="20"/>
      <c r="S14" s="20"/>
    </row>
  </sheetData>
  <dataValidations count="7">
    <dataValidation allowBlank="1" showInputMessage="1" showErrorMessage="1" sqref="E8 E10" xr:uid="{68825F52-9CA9-4AFA-BD0C-03BC43A20A20}"/>
    <dataValidation type="list" allowBlank="1" showInputMessage="1" showErrorMessage="1" sqref="N2:N14" xr:uid="{B6570124-066E-440E-A2D7-EA4FCDE4A035}">
      <formula1>"Accelerating just energy transition, Close the gap on energy access, Scale up energy finance"</formula1>
    </dataValidation>
    <dataValidation type="list" allowBlank="1" showInputMessage="1" showErrorMessage="1" sqref="O2:O14 P3:P14" xr:uid="{DC255F13-7036-4F39-B742-E52DF7E7A101}">
      <formula1>"Electricity Access, Energy Efficiency, Clean Cooking, Renewable Energy"</formula1>
    </dataValidation>
    <dataValidation type="list" allowBlank="1" showInputMessage="1" showErrorMessage="1" sqref="Q2:Q14" xr:uid="{85CE5E83-2ED6-4E05-8317-312607A5E247}">
      <formula1>"AMP, PUDC, Solar4Health, Action Opportunities, Italy UNDP Energy Partnership"</formula1>
    </dataValidation>
    <dataValidation type="list" allowBlank="1" showInputMessage="1" showErrorMessage="1" sqref="R2:R14" xr:uid="{4502B229-903A-4113-906A-EE88BF253E81}">
      <formula1>"NDC Support, National Strategy, Legal Framework,Incentives and Support, Government Capacity-Building, Carbon Pricing and Monitoring, Financing Model, Business Model"</formula1>
    </dataValidation>
    <dataValidation type="list" allowBlank="1" showInputMessage="1" showErrorMessage="1" sqref="S2:S14" xr:uid="{C90B7E30-2173-428E-AA73-468ABD3AC8C9}">
      <formula1>"Electricity Access, Energy Efficiency, Renewable EnergyEnergy Infrastructure,   Transport, Digital &amp; Data, Clean Cooking, Decarbonization, Hydrogen, Off-Grid, On-Grid"</formula1>
    </dataValidation>
    <dataValidation type="list" allowBlank="1" showInputMessage="1" showErrorMessage="1" sqref="P2" xr:uid="{07FC27B5-6203-4AA0-A3A9-DC9E1593460C}">
      <formula1>"Tier 1, Tier 2, Tier 3"</formula1>
    </dataValidation>
  </dataValidations>
  <hyperlinks>
    <hyperlink ref="C2" r:id="rId1" xr:uid="{C27C2411-CE6A-4960-BFD5-C4310EB5200E}"/>
    <hyperlink ref="C5" r:id="rId2" xr:uid="{B4B838F1-7714-4F19-8F77-5609CB985A02}"/>
    <hyperlink ref="C7" r:id="rId3" xr:uid="{6D5C1AB9-1521-47B0-8EE7-B0582C29834B}"/>
    <hyperlink ref="C8" r:id="rId4" xr:uid="{0CA06375-F171-4832-B62D-5C3557DF2D87}"/>
    <hyperlink ref="C14" r:id="rId5" xr:uid="{1D11BC1E-62F3-43D9-97CF-6B662B91E920}"/>
  </hyperlinks>
  <pageMargins left="0.7" right="0.7" top="0.75" bottom="0.75" header="0.3" footer="0.3"/>
  <pageSetup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7A210D0D-9CCC-470B-8DCE-87D67B409336}">
          <x14:formula1>
            <xm:f>'Beneficiary Categories'!$A$2:$A$16</xm:f>
          </x14:formula1>
          <xm:sqref>I12 E2:E7 E11 E9 E14:E27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
  <sheetViews>
    <sheetView topLeftCell="A3" zoomScale="106" zoomScaleNormal="47" workbookViewId="0">
      <selection activeCell="H8" sqref="H8"/>
    </sheetView>
  </sheetViews>
  <sheetFormatPr defaultColWidth="8.85546875" defaultRowHeight="15"/>
  <cols>
    <col min="2" max="2" width="47.85546875" customWidth="1"/>
    <col min="3" max="3" width="32.42578125" customWidth="1"/>
    <col min="4" max="4" width="17.42578125" customWidth="1"/>
    <col min="5" max="5" width="20.7109375" customWidth="1"/>
    <col min="6" max="6" width="33.42578125" customWidth="1"/>
    <col min="7" max="7" width="12.7109375" customWidth="1"/>
    <col min="8" max="8" width="15.42578125" customWidth="1"/>
    <col min="9" max="9" width="58.42578125" customWidth="1"/>
    <col min="11" max="11" width="86.28515625" customWidth="1"/>
  </cols>
  <sheetData>
    <row r="1" spans="1:11" ht="32.1">
      <c r="A1" s="2" t="s">
        <v>0</v>
      </c>
      <c r="B1" s="2" t="s">
        <v>1</v>
      </c>
      <c r="C1" s="2" t="s">
        <v>2</v>
      </c>
      <c r="D1" s="2" t="s">
        <v>3</v>
      </c>
      <c r="E1" s="2" t="s">
        <v>4</v>
      </c>
      <c r="F1" s="2" t="s">
        <v>5</v>
      </c>
      <c r="G1" s="2" t="s">
        <v>6</v>
      </c>
      <c r="H1" s="2" t="s">
        <v>7</v>
      </c>
      <c r="I1" s="3" t="s">
        <v>8</v>
      </c>
      <c r="J1" s="1" t="s">
        <v>9</v>
      </c>
      <c r="K1" s="1" t="s">
        <v>78</v>
      </c>
    </row>
    <row r="2" spans="1:11" ht="204" customHeight="1">
      <c r="A2" s="4">
        <v>92045</v>
      </c>
      <c r="B2" s="4" t="s">
        <v>21</v>
      </c>
      <c r="C2" s="5" t="s">
        <v>22</v>
      </c>
      <c r="D2" s="6">
        <v>11659101</v>
      </c>
      <c r="E2" s="7" t="s">
        <v>75</v>
      </c>
      <c r="F2" s="16" t="s">
        <v>79</v>
      </c>
      <c r="G2" s="8">
        <v>0</v>
      </c>
      <c r="H2" s="8" t="s">
        <v>80</v>
      </c>
      <c r="I2" s="9" t="s">
        <v>24</v>
      </c>
      <c r="J2" s="4"/>
      <c r="K2" s="15" t="s">
        <v>81</v>
      </c>
    </row>
    <row r="3" spans="1:11" ht="198">
      <c r="A3" s="4">
        <v>119001</v>
      </c>
      <c r="B3" s="4" t="s">
        <v>32</v>
      </c>
      <c r="C3" s="5" t="s">
        <v>33</v>
      </c>
      <c r="D3" s="6">
        <v>7358188</v>
      </c>
      <c r="E3" s="7" t="s">
        <v>82</v>
      </c>
      <c r="F3" s="16" t="s">
        <v>83</v>
      </c>
      <c r="G3" s="8">
        <v>0</v>
      </c>
      <c r="H3" s="8" t="s">
        <v>84</v>
      </c>
      <c r="I3" s="9" t="s">
        <v>35</v>
      </c>
      <c r="J3" s="4"/>
      <c r="K3" s="15" t="s">
        <v>85</v>
      </c>
    </row>
    <row r="4" spans="1:11" ht="32.1">
      <c r="A4" s="4">
        <v>119439</v>
      </c>
      <c r="B4" s="4" t="s">
        <v>37</v>
      </c>
      <c r="C4" s="5" t="s">
        <v>38</v>
      </c>
      <c r="D4" s="6">
        <v>439401</v>
      </c>
      <c r="E4" s="7" t="s">
        <v>75</v>
      </c>
      <c r="F4" s="8" t="s">
        <v>86</v>
      </c>
      <c r="G4" s="8" t="s">
        <v>40</v>
      </c>
      <c r="H4" s="8" t="s">
        <v>40</v>
      </c>
      <c r="I4" s="9" t="s">
        <v>41</v>
      </c>
      <c r="J4" s="4"/>
      <c r="K4" s="4"/>
    </row>
    <row r="5" spans="1:11" ht="75" customHeight="1">
      <c r="A5" s="4">
        <v>119440</v>
      </c>
      <c r="B5" s="4" t="s">
        <v>72</v>
      </c>
      <c r="C5" s="5" t="s">
        <v>73</v>
      </c>
      <c r="D5" s="6">
        <v>399069</v>
      </c>
      <c r="E5" s="7" t="s">
        <v>75</v>
      </c>
      <c r="F5" s="10" t="s">
        <v>87</v>
      </c>
      <c r="G5" s="8">
        <v>0</v>
      </c>
      <c r="H5" s="7" t="s">
        <v>88</v>
      </c>
      <c r="I5" s="9" t="s">
        <v>44</v>
      </c>
      <c r="J5" s="4"/>
      <c r="K5" s="4"/>
    </row>
    <row r="6" spans="1:11" ht="48">
      <c r="A6" s="4">
        <v>6618</v>
      </c>
      <c r="B6" s="4" t="s">
        <v>45</v>
      </c>
      <c r="C6" s="4" t="s">
        <v>74</v>
      </c>
      <c r="D6" s="4">
        <v>9343379</v>
      </c>
      <c r="E6" s="7" t="s">
        <v>75</v>
      </c>
      <c r="F6" s="7" t="s">
        <v>48</v>
      </c>
      <c r="G6" s="8">
        <v>0</v>
      </c>
      <c r="H6" s="7">
        <v>1200000</v>
      </c>
      <c r="I6" s="9" t="s">
        <v>49</v>
      </c>
      <c r="J6" s="4"/>
      <c r="K6" s="4"/>
    </row>
    <row r="7" spans="1:11" ht="45.75">
      <c r="A7" s="4">
        <v>6618</v>
      </c>
      <c r="B7" s="4" t="s">
        <v>45</v>
      </c>
      <c r="C7" s="4" t="s">
        <v>74</v>
      </c>
      <c r="D7" s="4">
        <v>9343379</v>
      </c>
      <c r="E7" s="7" t="s">
        <v>89</v>
      </c>
      <c r="F7" s="11" t="s">
        <v>52</v>
      </c>
      <c r="G7" s="8">
        <v>0</v>
      </c>
      <c r="H7" s="7">
        <v>35987000</v>
      </c>
      <c r="I7" s="9"/>
      <c r="J7" s="4"/>
      <c r="K7" s="4"/>
    </row>
    <row r="8" spans="1:11" ht="48">
      <c r="A8" s="4">
        <v>6431</v>
      </c>
      <c r="B8" s="4" t="s">
        <v>53</v>
      </c>
      <c r="C8" s="4" t="s">
        <v>74</v>
      </c>
      <c r="D8" s="4">
        <v>8932420</v>
      </c>
      <c r="E8" s="7" t="s">
        <v>75</v>
      </c>
      <c r="F8" s="7" t="s">
        <v>56</v>
      </c>
      <c r="G8" s="7">
        <v>0</v>
      </c>
      <c r="H8" s="7">
        <v>918500</v>
      </c>
      <c r="I8" s="9" t="s">
        <v>57</v>
      </c>
      <c r="J8" s="4"/>
      <c r="K8" s="4"/>
    </row>
    <row r="9" spans="1:11" ht="48">
      <c r="A9" s="4">
        <v>6431</v>
      </c>
      <c r="B9" s="4" t="s">
        <v>53</v>
      </c>
      <c r="C9" s="4" t="s">
        <v>74</v>
      </c>
      <c r="D9" s="4">
        <v>8932420</v>
      </c>
      <c r="E9" s="7" t="s">
        <v>89</v>
      </c>
      <c r="F9" s="11" t="s">
        <v>59</v>
      </c>
      <c r="G9" s="4">
        <v>0</v>
      </c>
      <c r="H9" s="12">
        <v>4079000</v>
      </c>
      <c r="I9" s="9"/>
      <c r="J9" s="4"/>
      <c r="K9" s="4"/>
    </row>
    <row r="10" spans="1:11" ht="32.1">
      <c r="A10" s="4">
        <v>5395</v>
      </c>
      <c r="B10" s="4" t="s">
        <v>60</v>
      </c>
      <c r="C10" s="4" t="s">
        <v>74</v>
      </c>
      <c r="D10" s="4">
        <v>8932420</v>
      </c>
      <c r="E10" s="7" t="s">
        <v>89</v>
      </c>
      <c r="F10" s="7" t="s">
        <v>90</v>
      </c>
      <c r="G10" s="7">
        <v>0</v>
      </c>
      <c r="H10" s="7">
        <v>55.7</v>
      </c>
      <c r="I10" s="9"/>
      <c r="J10" s="4"/>
      <c r="K10" s="4"/>
    </row>
    <row r="11" spans="1:11" ht="32.1">
      <c r="A11" s="4">
        <v>144123</v>
      </c>
      <c r="B11" s="4" t="s">
        <v>63</v>
      </c>
      <c r="C11" s="13" t="s">
        <v>64</v>
      </c>
      <c r="D11" s="12">
        <v>697979</v>
      </c>
      <c r="E11" s="4" t="s">
        <v>65</v>
      </c>
      <c r="F11" s="4" t="s">
        <v>66</v>
      </c>
      <c r="G11" s="4">
        <v>0</v>
      </c>
      <c r="H11" s="7">
        <v>1000</v>
      </c>
      <c r="I11" s="14"/>
      <c r="J11" s="4"/>
      <c r="K11" s="4"/>
    </row>
  </sheetData>
  <hyperlinks>
    <hyperlink ref="C2" r:id="rId1" xr:uid="{00000000-0004-0000-0000-000000000000}"/>
    <hyperlink ref="C3" r:id="rId2" xr:uid="{00000000-0004-0000-0000-000001000000}"/>
    <hyperlink ref="C4" r:id="rId3" xr:uid="{00000000-0004-0000-0000-000002000000}"/>
    <hyperlink ref="C5" r:id="rId4" xr:uid="{00000000-0004-0000-0000-000003000000}"/>
    <hyperlink ref="C11" r:id="rId5" xr:uid="{152EF076-5739-4D1E-8F5F-AB23BABED51E}"/>
  </hyperlinks>
  <pageMargins left="0.7" right="0.7" top="0.75" bottom="0.75" header="0.3" footer="0.3"/>
  <pageSetup orientation="portrait" r:id="rId6"/>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E2:E24 I9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3"/>
  <sheetViews>
    <sheetView workbookViewId="0">
      <selection activeCell="A24" sqref="A24"/>
    </sheetView>
  </sheetViews>
  <sheetFormatPr defaultColWidth="8.85546875" defaultRowHeight="15"/>
  <cols>
    <col min="1" max="2" width="52.7109375" customWidth="1"/>
  </cols>
  <sheetData>
    <row r="1" spans="1:2">
      <c r="A1" s="35" t="s">
        <v>4</v>
      </c>
      <c r="B1" s="35" t="s">
        <v>5</v>
      </c>
    </row>
    <row r="2" spans="1:2" ht="45.75">
      <c r="A2" s="45" t="s">
        <v>55</v>
      </c>
      <c r="B2" s="36" t="s">
        <v>91</v>
      </c>
    </row>
    <row r="3" spans="1:2">
      <c r="A3" s="45" t="s">
        <v>92</v>
      </c>
      <c r="B3" s="36" t="s">
        <v>93</v>
      </c>
    </row>
    <row r="4" spans="1:2" ht="30.75">
      <c r="A4" s="45" t="s">
        <v>94</v>
      </c>
      <c r="B4" s="36" t="s">
        <v>95</v>
      </c>
    </row>
    <row r="5" spans="1:2" ht="30.75">
      <c r="A5" s="45" t="s">
        <v>96</v>
      </c>
      <c r="B5" s="36" t="s">
        <v>97</v>
      </c>
    </row>
    <row r="6" spans="1:2" ht="91.5">
      <c r="A6" s="45" t="s">
        <v>98</v>
      </c>
      <c r="B6" s="36" t="s">
        <v>99</v>
      </c>
    </row>
    <row r="7" spans="1:2" ht="45.75">
      <c r="A7" s="45" t="s">
        <v>100</v>
      </c>
      <c r="B7" s="36" t="s">
        <v>101</v>
      </c>
    </row>
    <row r="8" spans="1:2" ht="45.75">
      <c r="A8" s="45" t="s">
        <v>102</v>
      </c>
      <c r="B8" s="36" t="s">
        <v>103</v>
      </c>
    </row>
    <row r="9" spans="1:2" ht="45.75">
      <c r="A9" s="45" t="s">
        <v>82</v>
      </c>
      <c r="B9" s="36" t="s">
        <v>104</v>
      </c>
    </row>
    <row r="10" spans="1:2" ht="30.75">
      <c r="A10" s="45" t="s">
        <v>105</v>
      </c>
      <c r="B10" s="46" t="s">
        <v>106</v>
      </c>
    </row>
    <row r="11" spans="1:2" ht="30.75">
      <c r="A11" s="45" t="s">
        <v>107</v>
      </c>
      <c r="B11" s="46" t="s">
        <v>108</v>
      </c>
    </row>
    <row r="12" spans="1:2" ht="45.75">
      <c r="A12" s="45" t="s">
        <v>47</v>
      </c>
      <c r="B12" s="36" t="s">
        <v>109</v>
      </c>
    </row>
    <row r="13" spans="1:2" ht="30.75">
      <c r="A13" s="45" t="s">
        <v>75</v>
      </c>
      <c r="B13" s="46" t="s">
        <v>110</v>
      </c>
    </row>
    <row r="14" spans="1:2">
      <c r="A14" s="45" t="s">
        <v>111</v>
      </c>
      <c r="B14" s="46" t="s">
        <v>112</v>
      </c>
    </row>
    <row r="15" spans="1:2" ht="30.75">
      <c r="A15" s="45" t="s">
        <v>113</v>
      </c>
      <c r="B15" s="46" t="s">
        <v>114</v>
      </c>
    </row>
    <row r="16" spans="1:2" ht="30.75">
      <c r="A16" s="45" t="s">
        <v>115</v>
      </c>
      <c r="B16" s="46" t="s">
        <v>116</v>
      </c>
    </row>
    <row r="17" spans="1:2" ht="30.75">
      <c r="A17" s="45" t="s">
        <v>28</v>
      </c>
      <c r="B17" s="36" t="s">
        <v>117</v>
      </c>
    </row>
    <row r="18" spans="1:2" ht="30.75">
      <c r="A18" s="45" t="s">
        <v>65</v>
      </c>
      <c r="B18" s="46" t="s">
        <v>118</v>
      </c>
    </row>
    <row r="19" spans="1:2" ht="76.5">
      <c r="A19" s="45" t="s">
        <v>119</v>
      </c>
      <c r="B19" s="46" t="s">
        <v>120</v>
      </c>
    </row>
    <row r="20" spans="1:2" ht="30.75">
      <c r="A20" s="45" t="s">
        <v>30</v>
      </c>
      <c r="B20" s="46" t="s">
        <v>121</v>
      </c>
    </row>
    <row r="21" spans="1:2" ht="45.75">
      <c r="A21" s="45" t="s">
        <v>19</v>
      </c>
      <c r="B21" s="47" t="s">
        <v>122</v>
      </c>
    </row>
    <row r="22" spans="1:2" ht="30.75">
      <c r="A22" s="45" t="s">
        <v>89</v>
      </c>
      <c r="B22" s="46" t="s">
        <v>123</v>
      </c>
    </row>
    <row r="23" spans="1:2">
      <c r="A23" s="45" t="s">
        <v>42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Props1.xml><?xml version="1.0" encoding="utf-8"?>
<ds:datastoreItem xmlns:ds="http://schemas.openxmlformats.org/officeDocument/2006/customXml" ds:itemID="{64DED545-7290-47B1-99BA-30F4D9297E49}"/>
</file>

<file path=customXml/itemProps2.xml><?xml version="1.0" encoding="utf-8"?>
<ds:datastoreItem xmlns:ds="http://schemas.openxmlformats.org/officeDocument/2006/customXml" ds:itemID="{B9415136-E1C2-4DAA-A6B7-6D571CC0ECE8}"/>
</file>

<file path=customXml/itemProps3.xml><?xml version="1.0" encoding="utf-8"?>
<ds:datastoreItem xmlns:ds="http://schemas.openxmlformats.org/officeDocument/2006/customXml" ds:itemID="{839E5365-A983-4C01-8EBC-B9505295B80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Danae franco Lopera</cp:lastModifiedBy>
  <cp:revision/>
  <dcterms:created xsi:type="dcterms:W3CDTF">2023-05-05T09:33:40Z</dcterms:created>
  <dcterms:modified xsi:type="dcterms:W3CDTF">2024-11-18T16:35:40Z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