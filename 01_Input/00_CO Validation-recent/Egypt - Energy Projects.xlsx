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my.sharepoint.com/personal/mohamed_bayoumi_undp_org/Documents/GEF Projects/General/"/>
    </mc:Choice>
  </mc:AlternateContent>
  <xr:revisionPtr revIDLastSave="173" documentId="8_{D22BC86E-30C5-4CB1-B66F-FD5020A686DD}" xr6:coauthVersionLast="47" xr6:coauthVersionMax="47" xr10:uidLastSave="{7243FB53-0D3B-4068-AC1C-A50EA49DE710}"/>
  <bookViews>
    <workbookView xWindow="28680" yWindow="-120" windowWidth="20730" windowHeight="1116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<sst xmlns="http://schemas.openxmlformats.org/spreadsheetml/2006/main" count="211" uniqueCount="100">
  <si>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</si>
  <si>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</si>
  <si>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</si>
  <si>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</si>
  <si>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</si>
  <si>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</si>
  <si>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</si>
  <si>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</si>
  <si>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</si>
  <si>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</si>
  <si>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</si>
  <si>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</si>
  <si>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</si>
  <si>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</si>
  <si>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</si>
  <si>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</si>
  <si>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</si>
  <si>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</si>
  <si>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</si>
  <si>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</si>
  <si>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</si>
  <si>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</si>
  <si>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Green Sharm El Sheikh</t>
  </si>
  <si>
    <t>https://pims.undp.org/project/view?id=6249</t>
  </si>
  <si>
    <t>Electricity Access</t>
  </si>
  <si>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</si>
  <si>
    <t>The project will add  1 MW of solar energy but will also support energy efficiency actions in hotel sector as well as other small scale renewable energy technologies aiming to support energy transition in the city</t>
  </si>
  <si>
    <t>GEF</t>
  </si>
  <si>
    <t>VF</t>
  </si>
  <si>
    <t>Efficiency</t>
  </si>
  <si>
    <t>Accelerating just energy transition</t>
  </si>
  <si>
    <t>Energy Efficiency</t>
  </si>
  <si>
    <t>Solar</t>
  </si>
  <si>
    <t>National</t>
  </si>
  <si>
    <t>Grid-connected Small-Scale Photovoltaic Syste</t>
  </si>
  <si>
    <t>https://pims.undp.org/project/view?id=4998</t>
  </si>
  <si>
    <t>Electricity generation capacity shfited from fossil fuel to solar energy, MW. "120000At least 4 MWp of installed rooftop PV capacity, producing 6,000 MWh of electricity per year.
More than 1,000 households and SMEs together benefitting from PV-generated electricity."</t>
  </si>
  <si>
    <t>1000 HH</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</si>
  <si>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</si>
  <si>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Promote small-scale PV-UNDP-EGY</t>
  </si>
  <si>
    <t xml:space="preserve">Quantum </t>
  </si>
  <si>
    <t>Energy (MW added)</t>
  </si>
  <si>
    <t>Electricity generation capacity shfited from fossil fuel to solar energy, MW</t>
  </si>
  <si>
    <t xml:space="preserve">The added PV capacities will be mainly implemented in public buildings to promote use of PV systems for different facilities </t>
  </si>
  <si>
    <t>Japan</t>
  </si>
  <si>
    <t>Non-VF</t>
  </si>
  <si>
    <t>Multilateral Support to COP27</t>
  </si>
  <si>
    <t>Qunatum</t>
  </si>
  <si>
    <t>EU</t>
  </si>
  <si>
    <t>00122723
00132893</t>
  </si>
  <si>
    <t>HCFC Phase-out Management Plan (HPMP-II) Stage II -  Tranche 2
HCFC Phase-out Management Plan (HPMP-II) Stage II -  Tranche 3</t>
  </si>
  <si>
    <t>Transforming Financial Systems for Climate in Egypt</t>
  </si>
  <si>
    <t>Category</t>
  </si>
  <si>
    <t xml:space="preserve">Comments </t>
  </si>
  <si>
    <t>PIMS+</t>
  </si>
  <si>
    <t>The facilities are fully dependent on electricity generated from fossil field</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</si>
  <si>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</si>
  <si>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Close the gap on energy access</t>
  </si>
  <si>
    <t>Renewable Energy</t>
  </si>
  <si>
    <t>Electricity generation capacity shfited from fossil fuel to solar energy</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</si>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</sst>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11"/>
      <color rgb="FFED7D31"/>
      <name val="Calibri"/>
      <family val="2"/>
      <scheme val="minor"/>
    </font>
    <font>
      <b/>
      <sz val="11"/>
      <color theme="1"/>
      <name val="Calibri"/>
      <scheme val="minor"/>
    </font>
    <font>
      <sz val="11"/>
      <color rgb="FF000000"/>
      <name val="Calibri"/>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E497"/>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2" fillId="0" borderId="1" xfId="0" applyFont="1" applyBorder="1" applyAlignment="1">
      <alignment horizontal="center" vertical="top"/>
    </xf>
    <xf numFmtId="0" fontId="2" fillId="0" borderId="0" xfId="0" applyFont="1"/>
    <xf numFmtId="0" fontId="0" fillId="2" borderId="0" xfId="0" applyFill="1" applyAlignment="1">
      <alignment wrapText="1"/>
    </xf>
    <xf numFmtId="0" fontId="0" fillId="0" borderId="0" xfId="0" applyAlignment="1">
      <alignment vertical="top"/>
    </xf>
    <xf numFmtId="3" fontId="0" fillId="0" borderId="0" xfId="0" applyNumberFormat="1" applyAlignment="1">
      <alignment vertical="top"/>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wrapText="1"/>
    </xf>
    <xf numFmtId="0" fontId="3" fillId="0" borderId="0" xfId="0" applyFont="1"/>
    <xf numFmtId="0" fontId="2" fillId="0" borderId="2" xfId="0" applyFont="1" applyBorder="1" applyAlignment="1">
      <alignment horizontal="center" vertical="top"/>
    </xf>
    <xf numFmtId="0" fontId="2" fillId="0" borderId="2" xfId="0" applyFont="1" applyBorder="1"/>
    <xf numFmtId="0" fontId="0" fillId="0" borderId="2" xfId="0" applyBorder="1" applyAlignment="1">
      <alignment vertical="top"/>
    </xf>
    <xf numFmtId="3" fontId="0" fillId="0" borderId="2" xfId="0" applyNumberFormat="1" applyBorder="1" applyAlignment="1">
      <alignment vertical="top"/>
    </xf>
    <xf numFmtId="0" fontId="0" fillId="2" borderId="2" xfId="0" applyFill="1" applyBorder="1" applyAlignment="1">
      <alignment vertical="top"/>
    </xf>
    <xf numFmtId="0" fontId="0" fillId="0" borderId="2" xfId="0" applyBorder="1" applyAlignment="1">
      <alignment vertical="top" wrapText="1"/>
    </xf>
    <xf numFmtId="0" fontId="0" fillId="2" borderId="2" xfId="0" applyFill="1" applyBorder="1" applyAlignment="1">
      <alignment wrapText="1"/>
    </xf>
    <xf numFmtId="0" fontId="0" fillId="2" borderId="2" xfId="0" applyFill="1" applyBorder="1" applyAlignment="1">
      <alignment vertical="top" wrapText="1"/>
    </xf>
    <xf numFmtId="0" fontId="0" fillId="0" borderId="2" xfId="0" applyBorder="1"/>
    <xf numFmtId="0" fontId="4" fillId="0" borderId="2" xfId="0" applyFont="1" applyBorder="1" applyAlignment="1">
      <alignment horizontal="center" vertical="top" wrapText="1"/>
    </xf>
    <xf numFmtId="0" fontId="5" fillId="0" borderId="2" xfId="0" applyFont="1" applyBorder="1" applyAlignment="1">
      <alignment wrapText="1"/>
    </xf>
    <xf numFmtId="0" fontId="0" fillId="3" borderId="2" xfId="0" applyFill="1" applyBorder="1" applyAlignment="1">
      <alignment horizontal="left" vertical="top" wrapText="1"/>
    </xf>
    <xf numFmtId="0" fontId="6" fillId="3" borderId="2" xfId="1" applyFill="1" applyBorder="1" applyAlignment="1">
      <alignment horizontal="left" vertical="top" wrapText="1"/>
    </xf>
    <xf numFmtId="3" fontId="0" fillId="3" borderId="2" xfId="0" applyNumberFormat="1" applyFill="1" applyBorder="1" applyAlignment="1">
      <alignment horizontal="left" vertical="top" wrapText="1"/>
    </xf>
    <xf numFmtId="0" fontId="0" fillId="0" borderId="6" xfId="0" applyBorder="1" applyAlignment="1">
      <alignment horizontal="left" vertical="top" wrapText="1"/>
    </xf>
    <xf numFmtId="9" fontId="0" fillId="3" borderId="2" xfId="0" applyNumberFormat="1" applyFill="1" applyBorder="1" applyAlignment="1">
      <alignment horizontal="left" vertical="top" wrapText="1"/>
    </xf>
    <xf numFmtId="0" fontId="0" fillId="3" borderId="3" xfId="0" applyFill="1" applyBorder="1" applyAlignment="1">
      <alignment horizontal="left" vertical="top" wrapText="1"/>
    </xf>
    <xf numFmtId="3" fontId="0" fillId="3" borderId="3" xfId="0" applyNumberFormat="1" applyFill="1" applyBorder="1" applyAlignment="1">
      <alignment horizontal="left" vertical="top" wrapText="1"/>
    </xf>
    <xf numFmtId="0" fontId="0" fillId="0" borderId="7" xfId="0" applyBorder="1" applyAlignment="1">
      <alignment horizontal="left" vertical="top" wrapText="1"/>
    </xf>
    <xf numFmtId="0" fontId="2" fillId="3" borderId="3"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7" fillId="4" borderId="1" xfId="0" applyFont="1" applyFill="1" applyBorder="1" applyAlignment="1">
      <alignment horizontal="left" vertical="top" wrapText="1"/>
    </xf>
    <xf numFmtId="0" fontId="0" fillId="4" borderId="2" xfId="0" applyFill="1" applyBorder="1" applyAlignment="1">
      <alignment horizontal="left" vertical="top" wrapText="1"/>
    </xf>
    <xf numFmtId="4" fontId="7" fillId="4" borderId="1" xfId="0" applyNumberFormat="1" applyFont="1" applyFill="1" applyBorder="1" applyAlignment="1">
      <alignment horizontal="left" vertical="top" wrapText="1"/>
    </xf>
    <xf numFmtId="0" fontId="7" fillId="4" borderId="8" xfId="0" applyFont="1" applyFill="1" applyBorder="1" applyAlignment="1">
      <alignment horizontal="left" vertical="top" wrapText="1"/>
    </xf>
    <xf numFmtId="4" fontId="7" fillId="4" borderId="8" xfId="0" applyNumberFormat="1" applyFont="1" applyFill="1" applyBorder="1" applyAlignment="1">
      <alignment horizontal="left" vertical="top"/>
    </xf>
    <xf numFmtId="3" fontId="0" fillId="4" borderId="2" xfId="0" applyNumberFormat="1" applyFill="1" applyBorder="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ims.undp.org/project/view?id=4998" TargetMode="External"/><Relationship Id="rId1" Type="http://schemas.openxmlformats.org/officeDocument/2006/relationships/hyperlink" Target="https://pims.undp.org/project/view?id=62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D3FE-9CD9-45E4-90AB-6BD009593D2A}">
  <dimension ref="A1:V7"/>
  <sheetViews>
    <sheetView tabSelected="1" topLeftCell="A2" workbookViewId="0">
      <selection activeCell="F3" sqref="F3"/>
    </sheetView>
  </sheetViews>
  <sheetFormatPr defaultRowHeight="15"/>
  <cols>
    <col min="1" max="1" width="15.42578125" style="33" customWidth="1"/>
    <col min="2" max="2" width="35.42578125" style="33" customWidth="1"/>
    <col min="3" max="3" width="20.7109375" style="33" customWidth="1"/>
    <col min="4" max="4" width="16.85546875" style="33" customWidth="1"/>
    <col min="5" max="5" width="20.7109375" style="33" customWidth="1"/>
    <col min="6" max="6" width="40.5703125" style="33" customWidth="1"/>
    <col min="7" max="7" width="19.7109375" style="33" customWidth="1"/>
    <col min="8" max="8" width="37.140625" style="33" customWidth="1"/>
    <col min="9" max="9" width="32.7109375" style="33" customWidth="1"/>
    <col min="10" max="10" width="7.5703125" style="33" bestFit="1" customWidth="1"/>
    <col min="11" max="11" width="18" style="33" bestFit="1" customWidth="1"/>
    <col min="12" max="12" width="12.85546875" style="33" bestFit="1" customWidth="1"/>
    <col min="13" max="13" width="12" style="33" customWidth="1"/>
    <col min="14" max="14" width="14.42578125" style="33" bestFit="1" customWidth="1"/>
    <col min="15" max="15" width="19.85546875" style="33" customWidth="1"/>
    <col min="16" max="16" width="11.42578125" style="33" customWidth="1"/>
    <col min="17" max="17" width="16.5703125" style="33" bestFit="1" customWidth="1"/>
    <col min="18" max="18" width="18.140625" style="33" bestFit="1" customWidth="1"/>
    <col min="19" max="19" width="11.28515625" style="33" bestFit="1" customWidth="1"/>
    <col min="20" max="20" width="30.28515625" style="33" bestFit="1" customWidth="1"/>
    <col min="21" max="21" width="16.7109375" style="33" bestFit="1" customWidth="1"/>
    <col min="22" max="22" width="17.5703125" style="33" customWidth="1"/>
    <col min="23" max="16384" width="9.140625" style="33"/>
  </cols>
  <sheetData>
    <row r="1" spans="1:22" ht="30.75">
      <c r="A1" s="29" t="s">
        <v>0</v>
      </c>
      <c r="B1" s="29" t="s">
        <v>1</v>
      </c>
      <c r="C1" s="29" t="s">
        <v>2</v>
      </c>
      <c r="D1" s="29" t="s">
        <v>3</v>
      </c>
      <c r="E1" s="29" t="s">
        <v>4</v>
      </c>
      <c r="F1" s="29" t="s">
        <v>5</v>
      </c>
      <c r="G1" s="29" t="s">
        <v>6</v>
      </c>
      <c r="H1" s="29" t="s">
        <v>7</v>
      </c>
      <c r="I1" s="29" t="s">
        <v>8</v>
      </c>
      <c r="J1" s="29" t="s">
        <v>9</v>
      </c>
      <c r="K1" s="29" t="s">
        <v>10</v>
      </c>
      <c r="L1" s="30" t="s">
        <v>11</v>
      </c>
      <c r="M1" s="31" t="s">
        <v>12</v>
      </c>
      <c r="N1" s="30" t="s">
        <v>13</v>
      </c>
      <c r="O1" s="30" t="s">
        <v>14</v>
      </c>
      <c r="P1" s="31" t="s">
        <v>15</v>
      </c>
      <c r="Q1" s="31" t="s">
        <v>16</v>
      </c>
      <c r="R1" s="32" t="s">
        <v>17</v>
      </c>
      <c r="S1" s="31" t="s">
        <v>18</v>
      </c>
      <c r="T1" s="32" t="s">
        <v>19</v>
      </c>
      <c r="U1" s="31" t="s">
        <v>20</v>
      </c>
      <c r="V1" s="33" t="s">
        <v>21</v>
      </c>
    </row>
    <row r="2" spans="1:22" ht="164.25" customHeight="1">
      <c r="A2" s="21">
        <v>6249</v>
      </c>
      <c r="B2" s="21" t="s">
        <v>22</v>
      </c>
      <c r="C2" s="22" t="s">
        <v>23</v>
      </c>
      <c r="D2" s="23">
        <v>6212694</v>
      </c>
      <c r="E2" s="21" t="s">
        <v>24</v>
      </c>
      <c r="F2" s="21" t="s">
        <v>25</v>
      </c>
      <c r="G2" s="21">
        <v>0</v>
      </c>
      <c r="H2" s="23">
        <v>7500</v>
      </c>
      <c r="I2" s="21" t="s">
        <v>26</v>
      </c>
      <c r="J2" s="21" t="s">
        <v>27</v>
      </c>
      <c r="K2" s="25">
        <v>0.5</v>
      </c>
      <c r="L2" s="34" t="s">
        <v>28</v>
      </c>
      <c r="M2" s="35" t="s">
        <v>29</v>
      </c>
      <c r="N2" s="24" t="s">
        <v>30</v>
      </c>
      <c r="O2" s="35" t="s">
        <v>31</v>
      </c>
      <c r="P2" s="35"/>
      <c r="Q2" s="35"/>
      <c r="R2" s="35"/>
      <c r="S2" s="35" t="s">
        <v>32</v>
      </c>
      <c r="T2" s="35" t="s">
        <v>33</v>
      </c>
      <c r="U2" s="35"/>
    </row>
    <row r="3" spans="1:22" ht="150.75" customHeight="1">
      <c r="A3" s="21">
        <v>4998</v>
      </c>
      <c r="B3" s="21" t="s">
        <v>34</v>
      </c>
      <c r="C3" s="22" t="s">
        <v>35</v>
      </c>
      <c r="D3" s="23">
        <v>3536364</v>
      </c>
      <c r="E3" s="21" t="s">
        <v>24</v>
      </c>
      <c r="F3" s="21" t="s">
        <v>36</v>
      </c>
      <c r="G3" s="21">
        <v>0</v>
      </c>
      <c r="H3" s="43" t="s">
        <v>37</v>
      </c>
      <c r="I3" s="21" t="s">
        <v>38</v>
      </c>
      <c r="J3" s="21" t="s">
        <v>27</v>
      </c>
      <c r="K3" s="21"/>
      <c r="L3" s="34" t="s">
        <v>28</v>
      </c>
      <c r="M3" s="35"/>
      <c r="N3" s="24" t="s">
        <v>30</v>
      </c>
      <c r="O3" s="35" t="s">
        <v>31</v>
      </c>
      <c r="P3" s="35"/>
      <c r="Q3" s="35"/>
      <c r="R3" s="35" t="s">
        <v>31</v>
      </c>
      <c r="S3" s="35" t="s">
        <v>32</v>
      </c>
      <c r="T3" s="35" t="s">
        <v>33</v>
      </c>
      <c r="U3" s="35"/>
    </row>
    <row r="4" spans="1:22" ht="60.75">
      <c r="A4" s="21">
        <v>130275</v>
      </c>
      <c r="B4" s="21" t="s">
        <v>39</v>
      </c>
      <c r="C4" s="21" t="s">
        <v>40</v>
      </c>
      <c r="D4" s="23">
        <v>1103288</v>
      </c>
      <c r="E4" s="21" t="s">
        <v>41</v>
      </c>
      <c r="F4" s="21" t="s">
        <v>42</v>
      </c>
      <c r="G4" s="21">
        <v>0</v>
      </c>
      <c r="H4" s="21">
        <v>1.3</v>
      </c>
      <c r="I4" s="21" t="s">
        <v>43</v>
      </c>
      <c r="J4" s="21" t="s">
        <v>44</v>
      </c>
      <c r="K4" s="21"/>
      <c r="L4" s="34" t="s">
        <v>45</v>
      </c>
      <c r="M4" s="35"/>
      <c r="N4" s="24" t="s">
        <v>30</v>
      </c>
      <c r="O4" s="35"/>
      <c r="P4" s="35"/>
      <c r="Q4" s="35"/>
      <c r="R4" s="35"/>
      <c r="S4" s="35" t="s">
        <v>32</v>
      </c>
      <c r="T4" s="35"/>
      <c r="U4" s="35"/>
    </row>
    <row r="5" spans="1:22" ht="60.75">
      <c r="A5" s="26">
        <v>130610</v>
      </c>
      <c r="B5" s="26" t="s">
        <v>46</v>
      </c>
      <c r="C5" s="26" t="s">
        <v>47</v>
      </c>
      <c r="D5" s="27">
        <v>1500000</v>
      </c>
      <c r="E5" s="26" t="s">
        <v>41</v>
      </c>
      <c r="F5" s="26" t="s">
        <v>42</v>
      </c>
      <c r="G5" s="26">
        <v>0</v>
      </c>
      <c r="H5" s="26">
        <v>1.5</v>
      </c>
      <c r="I5" s="26" t="s">
        <v>43</v>
      </c>
      <c r="J5" s="26" t="s">
        <v>48</v>
      </c>
      <c r="K5" s="26"/>
      <c r="L5" s="36" t="s">
        <v>45</v>
      </c>
      <c r="M5" s="37"/>
      <c r="N5" s="28" t="s">
        <v>30</v>
      </c>
      <c r="O5" s="37"/>
      <c r="P5" s="37"/>
      <c r="Q5" s="37"/>
      <c r="R5" s="37"/>
      <c r="S5" s="37" t="s">
        <v>32</v>
      </c>
      <c r="T5" s="37"/>
      <c r="U5" s="37"/>
    </row>
    <row r="6" spans="1:22" ht="60.75">
      <c r="A6" s="38" t="s">
        <v>49</v>
      </c>
      <c r="B6" s="38" t="s">
        <v>50</v>
      </c>
      <c r="C6" s="39"/>
      <c r="D6" s="40">
        <v>2653370</v>
      </c>
      <c r="E6" s="35"/>
      <c r="F6" s="35"/>
      <c r="G6" s="35"/>
      <c r="H6" s="35"/>
      <c r="I6" s="35"/>
      <c r="J6" s="35"/>
      <c r="K6" s="35"/>
      <c r="L6" s="35"/>
      <c r="M6" s="35"/>
      <c r="N6" s="35"/>
      <c r="O6" s="35"/>
      <c r="P6" s="35"/>
      <c r="Q6" s="35"/>
      <c r="R6" s="35"/>
      <c r="S6" s="35"/>
      <c r="T6" s="35"/>
      <c r="U6" s="35"/>
    </row>
    <row r="7" spans="1:22" ht="30.75">
      <c r="A7" s="41">
        <v>1000659</v>
      </c>
      <c r="B7" s="41" t="s">
        <v>51</v>
      </c>
      <c r="C7" s="39"/>
      <c r="D7" s="42">
        <v>1600000</v>
      </c>
      <c r="E7" s="35"/>
      <c r="F7" s="35"/>
      <c r="G7" s="35"/>
      <c r="H7" s="35"/>
      <c r="I7" s="35"/>
      <c r="J7" s="35"/>
      <c r="K7" s="35"/>
      <c r="L7" s="35"/>
      <c r="M7" s="35"/>
      <c r="N7" s="35"/>
      <c r="O7" s="35"/>
      <c r="P7" s="35"/>
      <c r="Q7" s="35"/>
      <c r="R7" s="35"/>
      <c r="S7" s="35"/>
      <c r="T7" s="35"/>
      <c r="U7" s="35"/>
    </row>
  </sheetData>
  <dataValidations count="9">
    <dataValidation type="list" allowBlank="1" showInputMessage="1" showErrorMessage="1" sqref="Q2:Q5" xr:uid="{4C404F46-55E6-4985-97C2-88373632DBD1}">
      <formula1>"NDC Support, National Strategy, Legal Framework,Incentives and Support, Government Capacity-Building, Carbon Pricing and Monitoring, Financing Model, Business Model"</formula1>
    </dataValidation>
    <dataValidation type="list" allowBlank="1" showInputMessage="1" showErrorMessage="1" sqref="P2:P5" xr:uid="{0273737B-76EB-40B0-B50B-F77C4B8B64B6}">
      <formula1>"AMP, PUDC, Solar4Health, Action Opportunities, Italy UNDP Energy Partnership"</formula1>
    </dataValidation>
    <dataValidation type="list" allowBlank="1" showInputMessage="1" showErrorMessage="1" sqref="N2:N5" xr:uid="{3549482A-FE82-4124-A7A8-DD038FDC6A0B}">
      <formula1>"Accelerating just energy transition, Close the gap on energy access, Scale up energy finance"</formula1>
    </dataValidation>
    <dataValidation type="list" allowBlank="1" showInputMessage="1" showErrorMessage="1" sqref="O2:O5" xr:uid="{40C99FF5-ECAD-4417-87DD-345E8CA0A353}">
      <formula1>"Electricity Access, Energy Efficiency, Clean Cooking, Renewable Energy, Overall"</formula1>
    </dataValidation>
    <dataValidation type="list" allowBlank="1" showInputMessage="1" showErrorMessage="1" sqref="L2:L5" xr:uid="{2D476903-3B83-49F9-8E94-67F9DB79F480}">
      <formula1>"Non-VF, VF"</formula1>
    </dataValidation>
    <dataValidation type="list" allowBlank="1" showInputMessage="1" showErrorMessage="1" sqref="M2:M5" xr:uid="{CC680F3F-D462-4216-813B-F403D98CDDA2}">
      <formula1>"Finance, Gender, Efficiency, Just, Health"</formula1>
    </dataValidation>
    <dataValidation type="list" allowBlank="1" showInputMessage="1" showErrorMessage="1" sqref="T2:T5" xr:uid="{45466C40-9A72-46E0-AD63-5707E038C5CD}">
      <formula1>"National, Regional, City, Community"</formula1>
    </dataValidation>
    <dataValidation type="list" allowBlank="1" showInputMessage="1" showErrorMessage="1" sqref="S2:S5" xr:uid="{395B817C-5356-4D89-A0B1-F2F7B1D6873D}">
      <formula1>"Solar, Wind, Bioenergy, Hydro, Geothermal, Waste, Other, Unknown"</formula1>
    </dataValidation>
    <dataValidation type="list" allowBlank="1" showInputMessage="1" showErrorMessage="1" sqref="R2:R5" xr:uid="{46869B41-24DD-4092-B90D-89427FBD8744}">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FFA2218-4C94-4720-AABA-85586434CB9E}"/>
    <hyperlink ref="C3" r:id="rId2" xr:uid="{B8449B8B-7D94-4D0A-B9E4-E2FEDAE4C7DF}"/>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45F2D97-A3FF-4720-965C-1A24CEA71124}">
          <x14:formula1>
            <xm:f>'Beneficiary Categories'!$A$2:$A$16</xm:f>
          </x14:formula1>
          <xm:sqref>E6:E7</xm:sqref>
        </x14:dataValidation>
        <x14:dataValidation type="list" allowBlank="1" showInputMessage="1" showErrorMessage="1" xr:uid="{C5738672-2C59-4B11-A268-4155B14971E0}">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7E6C-085A-4626-810E-BBC149DCB5D4}">
  <dimension ref="A1:S7"/>
  <sheetViews>
    <sheetView topLeftCell="C2" workbookViewId="0">
      <selection activeCell="G5" sqref="G5"/>
    </sheetView>
  </sheetViews>
  <sheetFormatPr defaultRowHeight="15"/>
  <cols>
    <col min="2" max="2" width="35.42578125" customWidth="1"/>
    <col min="3" max="3" width="20.7109375" customWidth="1"/>
    <col min="4" max="4" width="11" customWidth="1"/>
    <col min="5" max="6" width="20.7109375" customWidth="1"/>
    <col min="7" max="8" width="12.7109375" customWidth="1"/>
    <col min="9" max="9" width="32.7109375" customWidth="1"/>
    <col min="10" max="12" width="31.5703125" customWidth="1"/>
    <col min="13" max="13" width="58.140625" customWidth="1"/>
  </cols>
  <sheetData>
    <row r="1" spans="1:19">
      <c r="A1" s="10" t="s">
        <v>0</v>
      </c>
      <c r="B1" s="10" t="s">
        <v>1</v>
      </c>
      <c r="C1" s="10" t="s">
        <v>2</v>
      </c>
      <c r="D1" s="10" t="s">
        <v>3</v>
      </c>
      <c r="E1" s="10" t="s">
        <v>4</v>
      </c>
      <c r="F1" s="10" t="s">
        <v>5</v>
      </c>
      <c r="G1" s="10" t="s">
        <v>6</v>
      </c>
      <c r="H1" s="10" t="s">
        <v>7</v>
      </c>
      <c r="I1" s="10" t="s">
        <v>8</v>
      </c>
      <c r="J1" s="11" t="s">
        <v>9</v>
      </c>
      <c r="K1" s="11" t="s">
        <v>10</v>
      </c>
      <c r="L1" s="11" t="s">
        <v>52</v>
      </c>
      <c r="M1" s="11" t="s">
        <v>53</v>
      </c>
      <c r="O1" s="2" t="s">
        <v>13</v>
      </c>
      <c r="P1" s="2" t="s">
        <v>14</v>
      </c>
      <c r="Q1" s="2" t="s">
        <v>15</v>
      </c>
      <c r="R1" s="2" t="s">
        <v>16</v>
      </c>
      <c r="S1" s="2" t="s">
        <v>17</v>
      </c>
    </row>
    <row r="2" spans="1:19" ht="192" customHeight="1">
      <c r="A2" s="12">
        <v>6249</v>
      </c>
      <c r="B2" s="12" t="s">
        <v>22</v>
      </c>
      <c r="C2" s="12" t="s">
        <v>54</v>
      </c>
      <c r="D2" s="13">
        <v>6212694</v>
      </c>
      <c r="E2" s="14" t="s">
        <v>41</v>
      </c>
      <c r="F2" s="15" t="s">
        <v>42</v>
      </c>
      <c r="G2" s="16" t="s">
        <v>55</v>
      </c>
      <c r="H2" s="14">
        <v>1</v>
      </c>
      <c r="I2" s="17" t="s">
        <v>26</v>
      </c>
      <c r="J2" s="12" t="s">
        <v>27</v>
      </c>
      <c r="K2" s="12"/>
      <c r="L2" s="12" t="s">
        <v>28</v>
      </c>
      <c r="M2" s="15" t="s">
        <v>56</v>
      </c>
      <c r="O2" t="s">
        <v>57</v>
      </c>
      <c r="P2" t="s">
        <v>58</v>
      </c>
    </row>
    <row r="3" spans="1:19" ht="152.25">
      <c r="A3" s="12">
        <v>4998</v>
      </c>
      <c r="B3" s="12" t="s">
        <v>34</v>
      </c>
      <c r="C3" s="12" t="s">
        <v>54</v>
      </c>
      <c r="D3" s="13">
        <v>3536364</v>
      </c>
      <c r="E3" s="14" t="s">
        <v>41</v>
      </c>
      <c r="F3" s="15" t="s">
        <v>42</v>
      </c>
      <c r="G3" s="16" t="s">
        <v>55</v>
      </c>
      <c r="H3" s="14">
        <v>18</v>
      </c>
      <c r="I3" s="17" t="s">
        <v>38</v>
      </c>
      <c r="J3" s="12" t="s">
        <v>27</v>
      </c>
      <c r="K3" s="12"/>
      <c r="L3" s="12" t="s">
        <v>28</v>
      </c>
      <c r="M3" s="18"/>
      <c r="O3" t="s">
        <v>57</v>
      </c>
      <c r="P3" t="s">
        <v>58</v>
      </c>
    </row>
    <row r="4" spans="1:19" ht="106.5">
      <c r="A4" s="12">
        <v>130275</v>
      </c>
      <c r="B4" s="12" t="s">
        <v>39</v>
      </c>
      <c r="C4" s="12" t="s">
        <v>40</v>
      </c>
      <c r="D4" s="13">
        <v>1103288</v>
      </c>
      <c r="E4" s="12" t="s">
        <v>41</v>
      </c>
      <c r="F4" s="15" t="s">
        <v>42</v>
      </c>
      <c r="G4" s="16" t="s">
        <v>55</v>
      </c>
      <c r="H4" s="12">
        <v>1.3</v>
      </c>
      <c r="I4" s="15" t="s">
        <v>43</v>
      </c>
      <c r="J4" s="12" t="s">
        <v>44</v>
      </c>
      <c r="K4" s="12"/>
      <c r="L4" s="12" t="s">
        <v>45</v>
      </c>
      <c r="M4" s="18"/>
      <c r="O4" t="s">
        <v>57</v>
      </c>
      <c r="P4" t="s">
        <v>58</v>
      </c>
    </row>
    <row r="5" spans="1:19" ht="106.5">
      <c r="A5" s="12">
        <v>130610</v>
      </c>
      <c r="B5" s="12" t="s">
        <v>46</v>
      </c>
      <c r="C5" s="12" t="s">
        <v>47</v>
      </c>
      <c r="D5" s="13">
        <v>1500000</v>
      </c>
      <c r="E5" s="12" t="s">
        <v>41</v>
      </c>
      <c r="F5" s="15" t="s">
        <v>42</v>
      </c>
      <c r="G5" s="16" t="s">
        <v>55</v>
      </c>
      <c r="H5" s="12">
        <v>1.5</v>
      </c>
      <c r="I5" s="15" t="s">
        <v>43</v>
      </c>
      <c r="J5" s="12" t="s">
        <v>48</v>
      </c>
      <c r="K5" s="12"/>
      <c r="L5" s="12" t="s">
        <v>45</v>
      </c>
      <c r="M5" s="18"/>
      <c r="O5" t="s">
        <v>57</v>
      </c>
      <c r="P5" t="s">
        <v>58</v>
      </c>
    </row>
    <row r="6" spans="1:19">
      <c r="A6" s="4"/>
      <c r="B6" s="4"/>
      <c r="C6" s="4"/>
      <c r="D6" s="4"/>
      <c r="E6" s="4"/>
      <c r="F6" s="4"/>
    </row>
    <row r="7" spans="1:19">
      <c r="B7" s="9"/>
    </row>
  </sheetData>
  <dataValidations count="5">
    <dataValidation type="list" allowBlank="1" showInputMessage="1" showErrorMessage="1" sqref="O2:O5" xr:uid="{A912A123-346C-452C-B27F-937501123ED2}">
      <formula1>"Accelerating just energy transition, Close the gap on energy access, Scale up energy finance"</formula1>
    </dataValidation>
    <dataValidation type="list" allowBlank="1" showInputMessage="1" showErrorMessage="1" sqref="P2:P5" xr:uid="{4F6B8468-D479-4BBC-80D1-BC38D554F4D8}">
      <formula1>"Electricity Access, Energy Efficiency, Clean Cooking, Renewable Energy"</formula1>
    </dataValidation>
    <dataValidation type="list" allowBlank="1" showInputMessage="1" showErrorMessage="1" sqref="Q2:Q5" xr:uid="{FE843F30-DB4E-4981-852C-24ABE0EE44B3}">
      <formula1>"AMP, PUDC, Solar4Health, Action Opportunities, Italy UNDP Energy Partnership"</formula1>
    </dataValidation>
    <dataValidation type="list" allowBlank="1" showInputMessage="1" showErrorMessage="1" sqref="R2:R5" xr:uid="{56E11453-CC64-4270-BBBB-6AACC413C194}">
      <formula1>"NDC Support, National Strategy, Legal Framework,Incentives and Support, Government Capacity-Building, Carbon Pricing and Monitoring, Financing Model, Business Model"</formula1>
    </dataValidation>
    <dataValidation type="list" allowBlank="1" showInputMessage="1" showErrorMessage="1" sqref="S2:S5" xr:uid="{4309E899-C238-40A8-90BB-6781B820B3A2}">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A09A2D-3FC1-4AD2-8748-AF53871F216D}">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opLeftCell="H4" workbookViewId="0">
      <selection activeCell="H4" sqref="H4"/>
    </sheetView>
  </sheetViews>
  <sheetFormatPr defaultRowHeight="14.45"/>
  <cols>
    <col min="2" max="2" width="35.42578125" customWidth="1"/>
    <col min="3" max="3" width="20.7109375" customWidth="1"/>
    <col min="4" max="4" width="11" customWidth="1"/>
    <col min="5" max="6" width="20.7109375" customWidth="1"/>
    <col min="7" max="8" width="12.7109375" customWidth="1"/>
    <col min="9" max="9" width="32.7109375" customWidth="1"/>
    <col min="10" max="10" width="31.5703125" customWidth="1"/>
    <col min="11" max="11" width="50.42578125" customWidth="1"/>
  </cols>
  <sheetData>
    <row r="1" spans="1:11" ht="15">
      <c r="A1" s="1" t="s">
        <v>0</v>
      </c>
      <c r="B1" s="1" t="s">
        <v>1</v>
      </c>
      <c r="C1" s="1" t="s">
        <v>2</v>
      </c>
      <c r="D1" s="1" t="s">
        <v>3</v>
      </c>
      <c r="E1" s="1" t="s">
        <v>4</v>
      </c>
      <c r="F1" s="1" t="s">
        <v>5</v>
      </c>
      <c r="G1" s="1" t="s">
        <v>6</v>
      </c>
      <c r="H1" s="1" t="s">
        <v>7</v>
      </c>
      <c r="I1" s="1" t="s">
        <v>8</v>
      </c>
      <c r="J1" s="2" t="s">
        <v>9</v>
      </c>
      <c r="K1" s="2" t="s">
        <v>53</v>
      </c>
    </row>
    <row r="2" spans="1:11" ht="409.6">
      <c r="A2" s="4">
        <v>6249</v>
      </c>
      <c r="B2" s="4" t="s">
        <v>22</v>
      </c>
      <c r="C2" s="4" t="s">
        <v>54</v>
      </c>
      <c r="D2" s="5">
        <v>6212694</v>
      </c>
      <c r="E2" s="6" t="s">
        <v>41</v>
      </c>
      <c r="F2" s="7" t="s">
        <v>59</v>
      </c>
      <c r="G2" s="3" t="s">
        <v>55</v>
      </c>
      <c r="H2" s="6">
        <v>1</v>
      </c>
      <c r="I2" s="8" t="s">
        <v>26</v>
      </c>
      <c r="J2" s="4" t="s">
        <v>27</v>
      </c>
      <c r="K2" s="7" t="s">
        <v>60</v>
      </c>
    </row>
    <row r="3" spans="1:11" ht="144.94999999999999">
      <c r="A3" s="4">
        <v>4998</v>
      </c>
      <c r="B3" s="4" t="s">
        <v>34</v>
      </c>
      <c r="C3" s="4" t="s">
        <v>54</v>
      </c>
      <c r="D3" s="5">
        <v>3536364</v>
      </c>
      <c r="E3" s="6" t="s">
        <v>41</v>
      </c>
      <c r="F3" s="7" t="s">
        <v>59</v>
      </c>
      <c r="G3" s="3" t="s">
        <v>55</v>
      </c>
      <c r="H3" s="6">
        <v>18</v>
      </c>
      <c r="I3" s="8" t="s">
        <v>38</v>
      </c>
      <c r="J3" s="4" t="s">
        <v>27</v>
      </c>
    </row>
    <row r="4" spans="1:11" ht="101.45">
      <c r="A4" s="4">
        <v>130275</v>
      </c>
      <c r="B4" s="4" t="s">
        <v>39</v>
      </c>
      <c r="C4" s="4" t="s">
        <v>40</v>
      </c>
      <c r="D4" s="5">
        <v>1103288</v>
      </c>
      <c r="E4" s="4" t="s">
        <v>41</v>
      </c>
      <c r="F4" s="7" t="s">
        <v>59</v>
      </c>
      <c r="G4" s="3" t="s">
        <v>55</v>
      </c>
      <c r="H4" s="4">
        <v>1.3</v>
      </c>
      <c r="I4" s="7" t="s">
        <v>43</v>
      </c>
      <c r="J4" s="4" t="s">
        <v>44</v>
      </c>
    </row>
    <row r="5" spans="1:11" ht="101.45">
      <c r="A5" s="4">
        <v>130610</v>
      </c>
      <c r="B5" s="4" t="s">
        <v>46</v>
      </c>
      <c r="C5" s="4" t="s">
        <v>47</v>
      </c>
      <c r="D5" s="5">
        <v>1500000</v>
      </c>
      <c r="E5" s="4" t="s">
        <v>41</v>
      </c>
      <c r="F5" s="7" t="s">
        <v>59</v>
      </c>
      <c r="G5" s="3" t="s">
        <v>55</v>
      </c>
      <c r="H5" s="4">
        <v>1.5</v>
      </c>
      <c r="I5" s="7" t="s">
        <v>43</v>
      </c>
      <c r="J5" s="4" t="s">
        <v>48</v>
      </c>
    </row>
    <row r="6" spans="1:11">
      <c r="A6" s="4"/>
      <c r="B6" s="4"/>
      <c r="C6" s="4"/>
      <c r="D6" s="4"/>
      <c r="E6" s="4"/>
      <c r="F6" s="4"/>
    </row>
    <row r="7" spans="1:11" ht="15">
      <c r="B7"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ustomHeight="1"/>
  <cols>
    <col min="1" max="2" width="52.7109375" customWidth="1"/>
  </cols>
  <sheetData>
    <row r="1" spans="1:2">
      <c r="A1" s="19" t="s">
        <v>4</v>
      </c>
      <c r="B1" s="19" t="s">
        <v>5</v>
      </c>
    </row>
    <row r="2" spans="1:2" ht="45.75">
      <c r="A2" s="44" t="s">
        <v>24</v>
      </c>
      <c r="B2" s="20" t="s">
        <v>61</v>
      </c>
    </row>
    <row r="3" spans="1:2">
      <c r="A3" s="44" t="s">
        <v>41</v>
      </c>
      <c r="B3" s="20" t="s">
        <v>62</v>
      </c>
    </row>
    <row r="4" spans="1:2" ht="30.75">
      <c r="A4" s="44" t="s">
        <v>63</v>
      </c>
      <c r="B4" s="20" t="s">
        <v>64</v>
      </c>
    </row>
    <row r="5" spans="1:2" ht="30.75">
      <c r="A5" s="44" t="s">
        <v>65</v>
      </c>
      <c r="B5" s="20" t="s">
        <v>66</v>
      </c>
    </row>
    <row r="6" spans="1:2" ht="91.5">
      <c r="A6" s="44" t="s">
        <v>67</v>
      </c>
      <c r="B6" s="20" t="s">
        <v>68</v>
      </c>
    </row>
    <row r="7" spans="1:2" ht="45.75">
      <c r="A7" s="44" t="s">
        <v>69</v>
      </c>
      <c r="B7" s="20" t="s">
        <v>70</v>
      </c>
    </row>
    <row r="8" spans="1:2" ht="45.75">
      <c r="A8" s="44" t="s">
        <v>71</v>
      </c>
      <c r="B8" s="20" t="s">
        <v>72</v>
      </c>
    </row>
    <row r="9" spans="1:2" ht="45.75">
      <c r="A9" s="44" t="s">
        <v>73</v>
      </c>
      <c r="B9" s="20" t="s">
        <v>74</v>
      </c>
    </row>
    <row r="10" spans="1:2" ht="23.25" customHeight="1">
      <c r="A10" s="44" t="s">
        <v>75</v>
      </c>
      <c r="B10" s="45" t="s">
        <v>76</v>
      </c>
    </row>
    <row r="11" spans="1:2" ht="26.25" customHeight="1">
      <c r="A11" s="44" t="s">
        <v>77</v>
      </c>
      <c r="B11" s="45" t="s">
        <v>78</v>
      </c>
    </row>
    <row r="12" spans="1:2" ht="45.75">
      <c r="A12" s="44" t="s">
        <v>79</v>
      </c>
      <c r="B12" s="20" t="s">
        <v>80</v>
      </c>
    </row>
    <row r="13" spans="1:2" ht="17.25" customHeight="1">
      <c r="A13" s="44" t="s">
        <v>81</v>
      </c>
      <c r="B13" s="45" t="s">
        <v>82</v>
      </c>
    </row>
    <row r="14" spans="1:2" ht="16.5" customHeight="1">
      <c r="A14" s="44" t="s">
        <v>83</v>
      </c>
      <c r="B14" s="45" t="s">
        <v>84</v>
      </c>
    </row>
    <row r="15" spans="1:2" ht="28.5" customHeight="1">
      <c r="A15" s="44" t="s">
        <v>85</v>
      </c>
      <c r="B15" s="45" t="s">
        <v>86</v>
      </c>
    </row>
    <row r="16" spans="1:2" ht="28.5" customHeight="1">
      <c r="A16" s="44" t="s">
        <v>87</v>
      </c>
      <c r="B16" s="45" t="s">
        <v>88</v>
      </c>
    </row>
    <row r="17" spans="1:2" ht="30.75">
      <c r="A17" s="44" t="s">
        <v>89</v>
      </c>
      <c r="B17" s="20" t="s">
        <v>90</v>
      </c>
    </row>
    <row r="18" spans="1:2" ht="30.75">
      <c r="A18" s="44" t="s">
        <v>91</v>
      </c>
      <c r="B18" s="45" t="s">
        <v>92</v>
      </c>
    </row>
    <row r="19" spans="1:2" ht="76.5">
      <c r="A19" s="44" t="s">
        <v>93</v>
      </c>
      <c r="B19" s="45" t="s">
        <v>94</v>
      </c>
    </row>
    <row r="20" spans="1:2" ht="30.75">
      <c r="A20" s="44" t="s">
        <v>95</v>
      </c>
      <c r="B20" s="45" t="s">
        <v>96</v>
      </c>
    </row>
    <row r="21" spans="1:2" ht="45.75">
      <c r="A21" s="44" t="s">
        <v>19</v>
      </c>
      <c r="B21" s="46" t="s">
        <v>97</v>
      </c>
    </row>
    <row r="22" spans="1:2" ht="30.75">
      <c r="A22" s="44" t="s">
        <v>98</v>
      </c>
      <c r="B22" s="45"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B7122A-5D01-4BEA-85B8-2FA311C18782}"/>
</file>

<file path=customXml/itemProps2.xml><?xml version="1.0" encoding="utf-8"?>
<ds:datastoreItem xmlns:ds="http://schemas.openxmlformats.org/officeDocument/2006/customXml" ds:itemID="{16DE85A9-0EC5-4049-9AA8-BBFCAF6070FD}"/>
</file>

<file path=customXml/itemProps3.xml><?xml version="1.0" encoding="utf-8"?>
<ds:datastoreItem xmlns:ds="http://schemas.openxmlformats.org/officeDocument/2006/customXml" ds:itemID="{CCD5EC3C-3617-47F0-ACAC-D4750BF6D0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Bayoumi</dc:creator>
  <cp:keywords/>
  <dc:description/>
  <cp:lastModifiedBy>Benjamin Keller</cp:lastModifiedBy>
  <cp:revision/>
  <dcterms:created xsi:type="dcterms:W3CDTF">2023-05-05T09:33:41Z</dcterms:created>
  <dcterms:modified xsi:type="dcterms:W3CDTF">2026-01-19T20:58:38Z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