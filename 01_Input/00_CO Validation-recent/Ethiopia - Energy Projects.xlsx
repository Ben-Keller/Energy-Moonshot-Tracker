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24226"/>
  <mc:AlternateContent xmlns:mc="http://schemas.openxmlformats.org/markup-compatibility/2006">
    <mc:Choice Requires="x15">
      <x15ac:absPath xmlns:x15ac="http://schemas.microsoft.com/office/spreadsheetml/2010/11/ac" url="/Users/ben/Documents/UNDP/Energy/CO Validation/"/>
    </mc:Choice>
  </mc:AlternateContent>
  <xr:revisionPtr revIDLastSave="1383" documentId="13_ncr:1_{13BC68ED-377D-AF46-9517-24CBBB382626}" xr6:coauthVersionLast="47" xr6:coauthVersionMax="47" xr10:uidLastSave="{64154B36-CB06-437E-B4B9-3D7D85C2B3BE}"/>
  <bookViews>
    <workbookView xWindow="240" yWindow="740" windowWidth="16100" windowHeight="9660" xr2:uid="{00000000-000D-0000-FFFF-FFFF00000000}"/>
  </bookViews>
  <sheets>
    <sheet name="Projects (3)" sheetId="4" r:id="rId1"/>
    <sheet name="Beneficiary Categori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4" i="4" l="1"/>
</calcChain>
</file>

<file path=xl/sharedStrings.xml><?xml version="1.0" encoding="utf-8"?>
<sst xmlns="http://schemas.openxmlformats.org/spreadsheetml/2006/main" count="663" uniqueCount="207">
  <si>
    <t>Project ID</t>
  </si>
  <si>
    <t>Title</t>
  </si>
  <si>
    <t>Link</t>
  </si>
  <si>
    <t>Budget (USD)</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</si>
  <si>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</si>
  <si>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</si>
  <si>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</si>
  <si>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</si>
  <si>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</si>
  <si>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</si>
  <si>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</si>
  <si>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</si>
  <si>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</si>
  <si>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</si>
  <si>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</si>
  <si>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</si>
  <si>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</si>
  <si>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</si>
  <si>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</si>
  <si>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Market Intervention</t>
  </si>
  <si>
    <t>Policy or Regulatory Framework</t>
  </si>
  <si>
    <t>Policy Population</t>
  </si>
  <si>
    <t>00116770</t>
  </si>
  <si>
    <t>Biogas, Biomass and Solar Trilateral Cooperation (Transitioning to Sustainable Energy Uses in the Agro-Industry)</t>
  </si>
  <si>
    <t>http://open.undp.org/projects/00120660</t>
  </si>
  <si>
    <t xml:space="preserve">2,042,396
</t>
  </si>
  <si>
    <t>Other</t>
  </si>
  <si>
    <t>Number of green technologies introduced at national level</t>
  </si>
  <si>
    <t>3-5</t>
  </si>
  <si>
    <t xml:space="preserve">4 new large scale institutional biogas and solar systems for demonstration </t>
  </si>
  <si>
    <t>(1) MOFCOM: 1,000,000
(2) Co-financing: 1,042,396</t>
  </si>
  <si>
    <t>N/A</t>
  </si>
  <si>
    <t>VF</t>
  </si>
  <si>
    <t>Just</t>
  </si>
  <si>
    <t>Close the gap on energy access</t>
  </si>
  <si>
    <t>Renewable Energy</t>
  </si>
  <si>
    <t>Government Capacity-Building</t>
  </si>
  <si>
    <t>Off-Grid</t>
  </si>
  <si>
    <t>Some Sources</t>
  </si>
  <si>
    <t>Incentives and Support</t>
  </si>
  <si>
    <t>Community</t>
  </si>
  <si>
    <t>Electricity Access</t>
  </si>
  <si>
    <t>Number of beneficiaries benefitting from energy access via piloted demonstrations</t>
  </si>
  <si>
    <t>Annual energy savings (electricity) in kWh</t>
  </si>
  <si>
    <t>Amount of cost in ETB saved annually due to the pilot demonstrations</t>
  </si>
  <si>
    <t>Tonnes of CO2 equivalent avoided</t>
  </si>
  <si>
    <t>Number of South-South development cooperation partnership establised between China and Ethiopia</t>
  </si>
  <si>
    <t>1 partnership established among universities and government (institutions in China and Ethiopia)</t>
  </si>
  <si>
    <t>Research &amp; Innovation</t>
  </si>
  <si>
    <t>National</t>
  </si>
  <si>
    <t>Capacity Building Training</t>
  </si>
  <si>
    <t>No of operation, maintenance and safety manuals developed/updated;
No of people trained on energy needs assessment, system design, operation and maintenance;
%of positive evaluation of training</t>
  </si>
  <si>
    <t>At least 1 operation, maintenance and safety manual delivered per site
30 people trained on energy needs assessment, system design, operation and maintenance and other topics
80% of positive evaluation of the training</t>
  </si>
  <si>
    <t>No of reports produced and presented to best practices workshop
No of participants to best practices workshop</t>
  </si>
  <si>
    <t>3 reports produced and presented at to best practices workshop
50 participants attend best practices workshop</t>
  </si>
  <si>
    <t>00093964</t>
  </si>
  <si>
    <t>Promoting Sustainable Rural Energy Technologies (RETs) for Household and Productive Uses</t>
  </si>
  <si>
    <t>PIMS+ https://co.pims.undp.org/project/view?id=5200</t>
  </si>
  <si>
    <t>Energy Efficiency Services</t>
  </si>
  <si>
    <t>Lifetime energy saved</t>
  </si>
  <si>
    <t>The use of over 15 million inefficient cook-stoves and over 15 million kerosene lamps leads to over 35 Mt CO2e annually</t>
  </si>
  <si>
    <t>35.5 million mega-Joules of energy saved</t>
  </si>
  <si>
    <t xml:space="preserve">
(1) GEF: 4,480,500.00
(2) Co-financing: 69,045,899</t>
  </si>
  <si>
    <t>Efficiency</t>
  </si>
  <si>
    <t>Accelerating just energy transition</t>
  </si>
  <si>
    <t>Energy Efficiency</t>
  </si>
  <si>
    <t>GHG Emissions Reduction</t>
  </si>
  <si>
    <t>Tonnes of CO2 equivalent avoided.</t>
  </si>
  <si>
    <t>Reduction of energy related GHG emissions by 2 million tons of CO2 equivalent</t>
  </si>
  <si>
    <t>The total direct incremental GHG emission reductions from solar products will 0.04 Mt of CO2e over their lifetime of 3 years; the additional ICS will avoid 2 Mt of CO2e over their lifetime of 3 years</t>
  </si>
  <si>
    <t>Number of households benefiting from project-supported access to RETs.</t>
  </si>
  <si>
    <t>800000 HH</t>
  </si>
  <si>
    <t>800,000 households (around four million people) benefited from the Rural Energy Technologies</t>
  </si>
  <si>
    <t>Status of development and enforcement of RET hardware standards by Government of Ethiopia.</t>
  </si>
  <si>
    <t>No regulatory basis to improve and control the quality of rural energy technologies for Ethiopia</t>
  </si>
  <si>
    <t>New regulations for enforcement of standards in place.</t>
  </si>
  <si>
    <t>Legal Framework</t>
  </si>
  <si>
    <t>Number of participants benefiting from trainings (gender-disaggregated)</t>
  </si>
  <si>
    <t xml:space="preserve">
Over 500 individual stakeholders have been trained in implementation and adherence with the new standards and regulations</t>
  </si>
  <si>
    <t>Derisking Financial Model</t>
  </si>
  <si>
    <t>Type, item price and estimated efficiency of technology sold directly at roadshows</t>
  </si>
  <si>
    <t>Lack of public awareness in rural communities about the benefits of improved energy technologies for lighting and cooking.</t>
  </si>
  <si>
    <t>300,000</t>
  </si>
  <si>
    <t>300,000 RET items sold directly at roadshows</t>
  </si>
  <si>
    <t xml:space="preserve"> Number, size and length of appearances of promotions in media.</t>
  </si>
  <si>
    <t>The use of over 15 million inefficient cook- stoves and over 15 million kerosene lamps leads to 51 Mt CO2e of emissions annually</t>
  </si>
  <si>
    <t>1000</t>
  </si>
  <si>
    <t>At least 1000 appearances of promotions in media.</t>
  </si>
  <si>
    <t>Small Enterprises</t>
  </si>
  <si>
    <t>Number of RET enterprises using SFM or applying for business incubation services</t>
  </si>
  <si>
    <t>Lack of public awareness about the availability of financial products to purchase rural energy technologies.</t>
  </si>
  <si>
    <t>120 RET enterprises using SFM or applying for business incubation services</t>
  </si>
  <si>
    <t>Volume of investment mobilised by FSPs participating in the project.</t>
  </si>
  <si>
    <t xml:space="preserve">No lending on RETs by MFIs; slow disbursement of an available World Bank loan for the sector of USD 40 million (15% disbursement rate as of April 2014)
The use of over 15 million inefficient cook- stoves and over 15 million kerosene lamps lead to 51 Mt CO2e of emissions annually
</t>
  </si>
  <si>
    <t>15 million</t>
  </si>
  <si>
    <t>With support from financial mechanism and awareness campaigns, investment and deployment of at least 200,000 additional small-scale solar energy technologies and of an additional 600,000 improved cook-stoves, worth USD 15 million, have been mobilised.</t>
  </si>
  <si>
    <t>Financing Model</t>
  </si>
  <si>
    <t>Number of enterprises that launch micro-businesses to sell either small-scale solar technologies or improved cook-stoves (or both)</t>
  </si>
  <si>
    <t>At least 120 enterprises in Ethiopia are unable to launch improved businesses due to lack of capital and business expertise.</t>
  </si>
  <si>
    <t>120 enterprises launch micro- businesses to sell either small-scale solar technologies or improved cook- stoves (or both) with at least a 25% success rate (i.e. still in business and profitable after 12 months).
12 enterprises develop their business based on innovative RETs further due to investment grants and training received.</t>
  </si>
  <si>
    <t>00127444</t>
  </si>
  <si>
    <t>National Child Project under the Africa Minigrids Program - Ethiopia</t>
  </si>
  <si>
    <t>PIMS+ https://co.pims.undp.org/project/view?id=6338</t>
  </si>
  <si>
    <t xml:space="preserve">16,664,577
</t>
  </si>
  <si>
    <t xml:space="preserve">Greenhouse gas emissions mitigated (metric tons of carbon dioxide equivalent) </t>
  </si>
  <si>
    <t xml:space="preserve">16,836 (direct)
4,905,000 (indirect) 
</t>
  </si>
  <si>
    <t>(1) GEF: 2,890,826
(2) Co-financing: 13,773,751</t>
  </si>
  <si>
    <t>Finance</t>
  </si>
  <si>
    <t>AMP</t>
  </si>
  <si>
    <t>Solar</t>
  </si>
  <si>
    <t xml:space="preserve">Number of direct beneficiaries benefitting from energy access via minigrids, disaggregated by gender and customer segment (residential, social, commercial/productive use), as co-benefit of GEF investment </t>
  </si>
  <si>
    <t>31,625</t>
  </si>
  <si>
    <r>
      <rPr>
        <i/>
        <u/>
        <sz val="11"/>
        <color rgb="FF000000"/>
        <rFont val="Calibri"/>
      </rPr>
      <t xml:space="preserve">31,625 people (total)
</t>
    </r>
    <r>
      <rPr>
        <sz val="11"/>
        <color rgb="FF000000"/>
        <rFont val="Calibri"/>
      </rPr>
      <t xml:space="preserve">30,488 people (residential)
202 people (social)
935 people (commercial/PUE)
</t>
    </r>
  </si>
  <si>
    <t xml:space="preserve">6,460 </t>
  </si>
  <si>
    <r>
      <rPr>
        <i/>
        <u/>
        <sz val="11"/>
        <color rgb="FF000000"/>
        <rFont val="Calibri"/>
      </rPr>
      <t xml:space="preserve">6,460 connections (total)
</t>
    </r>
    <r>
      <rPr>
        <sz val="11"/>
        <color rgb="FF000000"/>
        <rFont val="Calibri"/>
      </rPr>
      <t>6,098 connections (residential)
50 connections (social)
312 connections (commercial/PUE))</t>
    </r>
  </si>
  <si>
    <t>Energy (MW added)</t>
  </si>
  <si>
    <t>Increase in installed solar PV capacity (MW) and battery storage (MWh)</t>
  </si>
  <si>
    <t>0.624 MW (solar PV)
1.523 MWh (storage)</t>
  </si>
  <si>
    <t xml:space="preserve">Number of direct [and indirect] primary jobs created in the MG sector, disaggregated by gender, for mini-grid development, operation and productive use. </t>
  </si>
  <si>
    <t>120 direct jobs in minigrid development, including 50 women
150 direct jobs in productive use supported by new AMP-supported, including 75 women</t>
  </si>
  <si>
    <t>Scale up energy finance</t>
  </si>
  <si>
    <t>A minigrid delivery model to enable minigrid development is endorsed/adopted by the national government through a consultative process involving key stakeholders (e.g. relevant ministries, local authorities, rural populations, private sector, media, etc.)</t>
  </si>
  <si>
    <t>At least one cooperative minigrid delivery model is identified and endorsed by the government through the work of the multi-stakeholder platform and dialogue</t>
  </si>
  <si>
    <t>Business Model</t>
  </si>
  <si>
    <t xml:space="preserve">Financing support </t>
  </si>
  <si>
    <t>Number of policy de-risking instruments for minigrid investments identified and adopted by the national government</t>
  </si>
  <si>
    <t>No de-risking instruments for cooperative minigrids</t>
  </si>
  <si>
    <t xml:space="preserve">At least two policy de-risking instruments identified and adopted </t>
  </si>
  <si>
    <t>Minigrid pilots implemented that demonstrate a delivery model, cost-reduction measure(s) and/or productive use of electricity</t>
  </si>
  <si>
    <t xml:space="preserve">100% of the planned minigrid pilots, as identified in the project’s Minigrid Pilot Plan, are commissioned. </t>
  </si>
  <si>
    <t>Entrepreneurship Training</t>
  </si>
  <si>
    <t xml:space="preserve">Capacity of private sector minigrid developers and/or operators is enhanced to participate in sector-wide tendering processes led by MoWE and the EEU to develop and/or operate minigrids </t>
  </si>
  <si>
    <t>0 (no formal training for minigrid developers and operators in Ethiopia, within or outside AMP)</t>
  </si>
  <si>
    <t xml:space="preserve">On a scale of 1 to 5, an average score of at least 4 is achieved. </t>
  </si>
  <si>
    <t xml:space="preserve">Planned capacity building activities for year 3 and 4 are implemented. 
The capacity of targeted recipients is assessed by survey towards the end of the project. On a scale of 1 to 5, an average score of at least 4 is achieved. 
- 1 represents a low level of capacity 
- 5 represents a strong capacity to understand relevant issues and apply knowledge and skills to find effective solutions. </t>
  </si>
  <si>
    <t xml:space="preserve">Capacity of financial institutions is enhanced through training, knowledge sharing, and/or awareness raising events aimed at increasing the financial sector’s capacity to evaluate investments in minigrids. </t>
  </si>
  <si>
    <t xml:space="preserve">Planned capacity building activities for year 3 and 4 are implemented. 
The capacity of targeted recipients is assessed by survey towards the end of the project. On a scale of 1 to 5, an average score of at least 4 is achieved. 
- 1 represents a low level of capacity 
- 5 represents a strong capacity to understand relevant issues and apply knowledge and skills to find effective solutions. 
</t>
  </si>
  <si>
    <t xml:space="preserve">Number of new government- or impact investor-supported financing mechanisms offering concessional finance for renewable minigrids. </t>
  </si>
  <si>
    <t>0 (through mechanism or facility supported by AMP)</t>
  </si>
  <si>
    <t xml:space="preserve">At least one new complementary funding instrument is designed by AMP and operational. 
At least one renewable mini-grid project has managed to obtain concessional finance (i.e. sign the relevant agreements) through the designed complementary funding instrument. </t>
  </si>
  <si>
    <t xml:space="preserve">A project digital strategy is prepared and implemented by the PMU to contribute to project implementation and local minigrid market development. </t>
  </si>
  <si>
    <t xml:space="preserve">The project digital strategy is implemented. 
Recommendations for rolling out digital solutions for minigrids at national level have been shared with key national stakeholders. </t>
  </si>
  <si>
    <t xml:space="preserve">Minigrid pilots sharing data on minigrid performance with the regional project and other stakeholders following best practices and guidance received from the AMP Regional Project. </t>
  </si>
  <si>
    <t xml:space="preserve">100% of the planned minigrid pilots, as identified in the project’s Minigrid Pilot Plan, are collecting and sharing data with the AMP Regional Project [at least on a quarterly basis] using the project’s ‘digital &amp; data management platform’. </t>
  </si>
  <si>
    <t>01000459</t>
  </si>
  <si>
    <t>Accelerating Gender Equality and Women Empowerment through Clean Energy Investment</t>
  </si>
  <si>
    <t>Number of women energy entreprenours joined the energy markets</t>
  </si>
  <si>
    <t xml:space="preserve">TBC based on the mapping </t>
  </si>
  <si>
    <t> </t>
  </si>
  <si>
    <t> UNDP Headquaters:136,000</t>
  </si>
  <si>
    <t>Non-VF</t>
  </si>
  <si>
    <t>Gender</t>
  </si>
  <si>
    <t>Overall</t>
  </si>
  <si>
    <t>Grant &amp; Investment</t>
  </si>
  <si>
    <t xml:space="preserve">Number of women energy enterprises with enhanced capacities on BDS development    </t>
  </si>
  <si>
    <t xml:space="preserve"> A national gender and energy platform established and become operational </t>
  </si>
  <si>
    <t xml:space="preserve"> No advocacy strategy exists</t>
  </si>
  <si>
    <t>One advocacy strategy</t>
  </si>
  <si>
    <t xml:space="preserve">Gender mainstreaming guideline for the energy sector developed </t>
  </si>
  <si>
    <t xml:space="preserve">No gender mainstreaming guideline exists </t>
  </si>
  <si>
    <t xml:space="preserve">One guideline </t>
  </si>
  <si>
    <t># of times participating in events organized by the Lab</t>
  </si>
  <si>
    <t>At least 10 events</t>
  </si>
  <si>
    <t># of times participating / organizing Insights and Ignite Circles</t>
  </si>
  <si>
    <t>At least 2 events</t>
  </si>
  <si>
    <t># of communication products linked to Lab participation</t>
  </si>
  <si>
    <t>At least 4 communication products</t>
  </si>
  <si>
    <t>01001707</t>
  </si>
  <si>
    <t>Climate Promise 2- Improving Access to Clean Cooking Energy Sources</t>
  </si>
  <si>
    <t>1 national Comprehensive Roadmap to improve access to clean cooking energy dehelped</t>
  </si>
  <si>
    <t>UNDP: 270,000</t>
  </si>
  <si>
    <t>Clean Cooking</t>
  </si>
  <si>
    <t>NDC Support</t>
  </si>
  <si>
    <t>1 investment plan and 1 bankable proposal developed</t>
  </si>
  <si>
    <t>1 coordination structure and systems for clean cooking energy established</t>
  </si>
  <si>
    <t>1 value chain analysis and designed market development plan conducted</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</si>
  <si>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</si>
  <si>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</si>
  <si>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</si>
  <si>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</si>
  <si>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</si>
  <si>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</si>
  <si>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</si>
  <si>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</si>
  <si>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</si>
  <si>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</si>
  <si>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</si>
  <si>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</si>
  <si>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</si>
  <si>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</si>
  <si>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</si>
  <si>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</si>
  <si>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</si>
  <si>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</si>
  <si>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</si>
  <si>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</si>
  <si>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Support for the development of market ecosystem </t>
  </si>
  <si>
    <t>Medium Enterprises</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</si>
  <si>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</si>
  <si>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</si>
  <si>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</si>
  <si>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Training for enterprises on the energy business is assumed to result in at least 100 direct beneficiaries</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</si>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</sst>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0">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rgb="FF000000"/>
      <name val="Calibri"/>
      <family val="2"/>
    </font>
    <font>
      <b/>
      <sz val="11"/>
      <color theme="1"/>
      <name val="Calibri"/>
      <scheme val="minor"/>
    </font>
    <font>
      <sz val="11"/>
      <color rgb="FF000000"/>
      <name val="Calibri"/>
      <scheme val="minor"/>
    </font>
    <font>
      <sz val="11"/>
      <color rgb="FF000000"/>
      <name val="Calibri"/>
    </font>
    <font>
      <i/>
      <u/>
      <sz val="11"/>
      <color rgb="FF000000"/>
      <name val="Calibri"/>
    </font>
    <font>
      <sz val="11"/>
      <color rgb="FF000000"/>
      <name val="Calibri"/>
      <charset val="1"/>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rgb="FFEBF1F7"/>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122">
    <xf numFmtId="0" fontId="0" fillId="0" borderId="0" xfId="0"/>
    <xf numFmtId="0" fontId="0" fillId="0" borderId="1" xfId="0" applyBorder="1" applyAlignment="1">
      <alignment horizontal="center" vertical="center"/>
    </xf>
    <xf numFmtId="0" fontId="5" fillId="0" borderId="1" xfId="0" applyFont="1" applyBorder="1" applyAlignment="1">
      <alignment horizontal="center" vertical="top" wrapText="1"/>
    </xf>
    <xf numFmtId="0" fontId="6" fillId="0" borderId="1" xfId="0" applyFont="1" applyBorder="1" applyAlignment="1">
      <alignment wrapText="1"/>
    </xf>
    <xf numFmtId="0" fontId="0" fillId="0" borderId="6" xfId="0" applyBorder="1" applyAlignment="1">
      <alignment horizontal="center" vertical="center" wrapText="1"/>
    </xf>
    <xf numFmtId="0" fontId="0" fillId="0" borderId="1" xfId="0" applyBorder="1" applyAlignment="1">
      <alignment vertical="center"/>
    </xf>
    <xf numFmtId="0" fontId="0" fillId="0" borderId="0" xfId="0" applyAlignment="1">
      <alignment wrapText="1"/>
    </xf>
    <xf numFmtId="0" fontId="0" fillId="0" borderId="0" xfId="0" applyAlignment="1">
      <alignment vertical="center"/>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3" xfId="0" applyFont="1" applyFill="1" applyBorder="1" applyAlignment="1">
      <alignment vertical="center"/>
    </xf>
    <xf numFmtId="0" fontId="0" fillId="3" borderId="0" xfId="0" applyFill="1" applyAlignment="1">
      <alignment vertical="center"/>
    </xf>
    <xf numFmtId="43" fontId="2" fillId="3" borderId="1" xfId="0" applyNumberFormat="1" applyFont="1" applyFill="1" applyBorder="1" applyAlignment="1">
      <alignment horizontal="center" vertical="center"/>
    </xf>
    <xf numFmtId="43" fontId="0" fillId="0" borderId="0" xfId="0" applyNumberFormat="1"/>
    <xf numFmtId="0" fontId="2" fillId="3" borderId="3" xfId="0" applyFont="1" applyFill="1" applyBorder="1"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left" vertical="center" wrapText="1"/>
    </xf>
    <xf numFmtId="0" fontId="4" fillId="4" borderId="3" xfId="0" applyFont="1" applyFill="1" applyBorder="1" applyAlignment="1">
      <alignment vertical="top" wrapText="1"/>
    </xf>
    <xf numFmtId="0" fontId="3" fillId="4" borderId="3" xfId="1" applyFill="1" applyBorder="1" applyAlignment="1" applyProtection="1">
      <alignment vertical="top" wrapText="1"/>
    </xf>
    <xf numFmtId="0" fontId="4" fillId="4"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0" fillId="4" borderId="5" xfId="0" applyFill="1" applyBorder="1" applyAlignment="1">
      <alignment horizontal="center" vertical="center"/>
    </xf>
    <xf numFmtId="0" fontId="0" fillId="4" borderId="1" xfId="0" applyFill="1" applyBorder="1" applyAlignment="1">
      <alignment horizontal="center" vertical="center"/>
    </xf>
    <xf numFmtId="0" fontId="0" fillId="4" borderId="6" xfId="0"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vertical="center"/>
    </xf>
    <xf numFmtId="0" fontId="0" fillId="4" borderId="0" xfId="0" applyFill="1"/>
    <xf numFmtId="0" fontId="4" fillId="4" borderId="7" xfId="0" applyFont="1" applyFill="1" applyBorder="1" applyAlignment="1">
      <alignment vertical="top" wrapText="1"/>
    </xf>
    <xf numFmtId="0" fontId="3" fillId="4" borderId="7" xfId="1" applyFill="1" applyBorder="1" applyAlignment="1" applyProtection="1">
      <alignment vertical="top" wrapText="1"/>
    </xf>
    <xf numFmtId="0" fontId="4" fillId="4" borderId="2" xfId="0" applyFont="1" applyFill="1" applyBorder="1" applyAlignment="1">
      <alignment vertical="top" wrapText="1"/>
    </xf>
    <xf numFmtId="0" fontId="3" fillId="4" borderId="2" xfId="1" applyFill="1" applyBorder="1" applyAlignment="1" applyProtection="1">
      <alignment vertical="top" wrapText="1"/>
    </xf>
    <xf numFmtId="0" fontId="4" fillId="2" borderId="1" xfId="0" applyFont="1" applyFill="1" applyBorder="1" applyAlignment="1">
      <alignment horizontal="left" vertical="center" wrapText="1"/>
    </xf>
    <xf numFmtId="0" fontId="0" fillId="2" borderId="1" xfId="0" applyFill="1" applyBorder="1" applyAlignment="1">
      <alignment vertical="center"/>
    </xf>
    <xf numFmtId="0" fontId="0" fillId="2" borderId="5" xfId="0" applyFill="1" applyBorder="1" applyAlignment="1">
      <alignment horizontal="center" vertical="center"/>
    </xf>
    <xf numFmtId="0" fontId="0" fillId="2" borderId="1" xfId="0" applyFill="1" applyBorder="1" applyAlignment="1">
      <alignment horizontal="center" vertical="center"/>
    </xf>
    <xf numFmtId="0" fontId="0" fillId="2" borderId="6" xfId="0" applyFill="1" applyBorder="1" applyAlignment="1">
      <alignment horizontal="center" vertical="center" wrapText="1"/>
    </xf>
    <xf numFmtId="0" fontId="0" fillId="2" borderId="1" xfId="0" applyFill="1" applyBorder="1" applyAlignment="1">
      <alignment horizontal="center" vertical="center" wrapText="1"/>
    </xf>
    <xf numFmtId="0" fontId="0" fillId="2" borderId="0" xfId="0" applyFill="1" applyAlignment="1">
      <alignment vertical="center"/>
    </xf>
    <xf numFmtId="0" fontId="4" fillId="2"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0" fillId="4" borderId="0" xfId="0" applyFill="1" applyAlignment="1">
      <alignment vertical="center"/>
    </xf>
    <xf numFmtId="9" fontId="0" fillId="4" borderId="1" xfId="0" applyNumberFormat="1" applyFill="1" applyBorder="1" applyAlignment="1">
      <alignment horizontal="center" vertical="center" wrapText="1"/>
    </xf>
    <xf numFmtId="9" fontId="0" fillId="4" borderId="1" xfId="0" applyNumberFormat="1" applyFill="1" applyBorder="1" applyAlignment="1">
      <alignment horizontal="center" vertical="center"/>
    </xf>
    <xf numFmtId="0" fontId="0" fillId="0" borderId="0" xfId="0" applyAlignment="1">
      <alignment horizontal="center" vertical="center"/>
    </xf>
    <xf numFmtId="0" fontId="4" fillId="4" borderId="1" xfId="0" applyFont="1" applyFill="1" applyBorder="1" applyAlignment="1">
      <alignment horizontal="center" vertical="top" wrapText="1"/>
    </xf>
    <xf numFmtId="49" fontId="4" fillId="4" borderId="1" xfId="0" applyNumberFormat="1" applyFont="1" applyFill="1" applyBorder="1" applyAlignment="1">
      <alignment horizontal="center" vertical="top" wrapText="1"/>
    </xf>
    <xf numFmtId="43" fontId="4" fillId="2"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0" fontId="4" fillId="4" borderId="1" xfId="0" applyFont="1" applyFill="1" applyBorder="1" applyAlignment="1">
      <alignment horizontal="center" vertical="center" wrapText="1"/>
    </xf>
    <xf numFmtId="49" fontId="4" fillId="4" borderId="1" xfId="0" applyNumberFormat="1" applyFont="1" applyFill="1" applyBorder="1" applyAlignment="1">
      <alignment horizontal="center" vertical="center" wrapText="1"/>
    </xf>
    <xf numFmtId="0" fontId="0" fillId="0" borderId="0" xfId="0" applyAlignment="1">
      <alignment horizontal="center"/>
    </xf>
    <xf numFmtId="43" fontId="0" fillId="0" borderId="0" xfId="0" applyNumberFormat="1" applyAlignment="1">
      <alignment vertical="center"/>
    </xf>
    <xf numFmtId="0" fontId="0" fillId="0" borderId="0" xfId="0" applyAlignment="1">
      <alignment vertical="center" wrapText="1"/>
    </xf>
    <xf numFmtId="0" fontId="7" fillId="4" borderId="1" xfId="0" applyFont="1" applyFill="1" applyBorder="1" applyAlignment="1">
      <alignment horizontal="left" vertical="center" wrapText="1"/>
    </xf>
    <xf numFmtId="9" fontId="4" fillId="4" borderId="1" xfId="0" applyNumberFormat="1" applyFont="1" applyFill="1" applyBorder="1" applyAlignment="1">
      <alignment horizontal="center" vertical="center" wrapText="1"/>
    </xf>
    <xf numFmtId="0" fontId="0" fillId="4" borderId="2" xfId="0" applyFill="1" applyBorder="1" applyAlignment="1">
      <alignment horizontal="center" vertical="center"/>
    </xf>
    <xf numFmtId="3" fontId="4" fillId="2" borderId="1" xfId="0" applyNumberFormat="1" applyFont="1" applyFill="1" applyBorder="1" applyAlignment="1">
      <alignment horizontal="center" vertical="center" wrapText="1"/>
    </xf>
    <xf numFmtId="0" fontId="9" fillId="0" borderId="1" xfId="0" applyFont="1" applyBorder="1" applyAlignment="1">
      <alignment horizontal="center" vertical="center"/>
    </xf>
    <xf numFmtId="0" fontId="0" fillId="4" borderId="10" xfId="0" applyFill="1" applyBorder="1" applyAlignment="1">
      <alignment horizontal="center" vertical="center"/>
    </xf>
    <xf numFmtId="0" fontId="0" fillId="0" borderId="10" xfId="0" applyBorder="1" applyAlignment="1">
      <alignment horizontal="center" vertical="center"/>
    </xf>
    <xf numFmtId="0" fontId="0" fillId="2" borderId="10" xfId="0" applyFill="1" applyBorder="1" applyAlignment="1">
      <alignment horizontal="center" vertical="center"/>
    </xf>
    <xf numFmtId="0" fontId="0" fillId="4" borderId="3" xfId="0" applyFill="1" applyBorder="1" applyAlignment="1">
      <alignment horizontal="center" vertical="center" wrapText="1"/>
    </xf>
    <xf numFmtId="0" fontId="4" fillId="2" borderId="5" xfId="0" applyFont="1" applyFill="1" applyBorder="1" applyAlignment="1">
      <alignment horizontal="left" vertical="center" wrapText="1"/>
    </xf>
    <xf numFmtId="0" fontId="4" fillId="4" borderId="5" xfId="0" applyFont="1" applyFill="1" applyBorder="1" applyAlignment="1">
      <alignment horizontal="left" vertical="center" wrapText="1"/>
    </xf>
    <xf numFmtId="0" fontId="0" fillId="2" borderId="6" xfId="0" applyFill="1" applyBorder="1" applyAlignment="1">
      <alignment horizontal="center" vertical="center"/>
    </xf>
    <xf numFmtId="0" fontId="0" fillId="4" borderId="6" xfId="0" applyFill="1" applyBorder="1" applyAlignment="1">
      <alignment horizontal="center" vertical="center"/>
    </xf>
    <xf numFmtId="0" fontId="4" fillId="4" borderId="3" xfId="0" applyFont="1" applyFill="1" applyBorder="1" applyAlignment="1">
      <alignment vertical="center" wrapText="1"/>
    </xf>
    <xf numFmtId="0" fontId="4" fillId="4" borderId="2" xfId="0" applyFont="1" applyFill="1" applyBorder="1" applyAlignment="1">
      <alignment vertical="center" wrapText="1"/>
    </xf>
    <xf numFmtId="0" fontId="4" fillId="4" borderId="3"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4" fillId="4" borderId="7" xfId="0" applyFont="1" applyFill="1" applyBorder="1" applyAlignment="1">
      <alignment horizontal="left" vertical="center" wrapText="1"/>
    </xf>
    <xf numFmtId="0" fontId="4" fillId="4" borderId="2" xfId="0" applyFont="1" applyFill="1" applyBorder="1" applyAlignment="1">
      <alignment horizontal="left" vertical="center" wrapText="1"/>
    </xf>
    <xf numFmtId="43" fontId="4" fillId="4" borderId="3" xfId="0" applyNumberFormat="1" applyFont="1" applyFill="1" applyBorder="1" applyAlignment="1">
      <alignment horizontal="center" vertical="center" wrapText="1"/>
    </xf>
    <xf numFmtId="43" fontId="4" fillId="4" borderId="7" xfId="0" applyNumberFormat="1" applyFont="1" applyFill="1" applyBorder="1" applyAlignment="1">
      <alignment horizontal="center" vertical="center" wrapText="1"/>
    </xf>
    <xf numFmtId="43" fontId="4" fillId="4" borderId="2" xfId="0" applyNumberFormat="1" applyFont="1" applyFill="1" applyBorder="1" applyAlignment="1">
      <alignment horizontal="center" vertical="center" wrapText="1"/>
    </xf>
    <xf numFmtId="0" fontId="0" fillId="4" borderId="3" xfId="0" applyFill="1" applyBorder="1" applyAlignment="1">
      <alignment horizontal="left" vertical="top" wrapText="1"/>
    </xf>
    <xf numFmtId="0" fontId="0" fillId="4" borderId="7" xfId="0" applyFill="1" applyBorder="1" applyAlignment="1">
      <alignment horizontal="left" vertical="top" wrapText="1"/>
    </xf>
    <xf numFmtId="49" fontId="4" fillId="0" borderId="3"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0" fontId="4" fillId="0" borderId="3" xfId="0" applyFont="1" applyBorder="1" applyAlignment="1">
      <alignment horizontal="left" vertical="center" wrapText="1"/>
    </xf>
    <xf numFmtId="0" fontId="4" fillId="0" borderId="7" xfId="0" applyFont="1" applyBorder="1" applyAlignment="1">
      <alignment horizontal="left" vertical="center" wrapText="1"/>
    </xf>
    <xf numFmtId="0" fontId="4" fillId="0" borderId="2" xfId="0" applyFont="1" applyBorder="1" applyAlignment="1">
      <alignment horizontal="left" vertical="center" wrapText="1"/>
    </xf>
    <xf numFmtId="43" fontId="4" fillId="0" borderId="3" xfId="0" applyNumberFormat="1" applyFont="1" applyBorder="1" applyAlignment="1">
      <alignment horizontal="left" vertical="center" wrapText="1"/>
    </xf>
    <xf numFmtId="43" fontId="4" fillId="0" borderId="7" xfId="0" applyNumberFormat="1" applyFont="1" applyBorder="1" applyAlignment="1">
      <alignment horizontal="left" vertical="center" wrapText="1"/>
    </xf>
    <xf numFmtId="43" fontId="4" fillId="0" borderId="2" xfId="0" applyNumberFormat="1" applyFont="1" applyBorder="1" applyAlignment="1">
      <alignment horizontal="left" vertical="center" wrapText="1"/>
    </xf>
    <xf numFmtId="0" fontId="0" fillId="0" borderId="4"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4" fillId="2" borderId="3"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2" xfId="0" applyFont="1" applyFill="1" applyBorder="1" applyAlignment="1">
      <alignment horizontal="left" vertical="center" wrapText="1"/>
    </xf>
    <xf numFmtId="49" fontId="4" fillId="4" borderId="3" xfId="0" applyNumberFormat="1" applyFont="1" applyFill="1" applyBorder="1" applyAlignment="1">
      <alignment horizontal="center" vertical="center" wrapText="1"/>
    </xf>
    <xf numFmtId="49" fontId="4" fillId="4" borderId="7" xfId="0" applyNumberFormat="1" applyFont="1" applyFill="1" applyBorder="1" applyAlignment="1">
      <alignment horizontal="center" vertical="center" wrapText="1"/>
    </xf>
    <xf numFmtId="49" fontId="4" fillId="4" borderId="2" xfId="0" applyNumberFormat="1" applyFont="1" applyFill="1" applyBorder="1" applyAlignment="1">
      <alignment horizontal="center" vertical="center" wrapText="1"/>
    </xf>
    <xf numFmtId="43" fontId="4" fillId="4" borderId="3" xfId="0" applyNumberFormat="1" applyFont="1" applyFill="1" applyBorder="1" applyAlignment="1">
      <alignment horizontal="left" vertical="center" wrapText="1"/>
    </xf>
    <xf numFmtId="43" fontId="4" fillId="4" borderId="7" xfId="0" applyNumberFormat="1" applyFont="1" applyFill="1" applyBorder="1" applyAlignment="1">
      <alignment horizontal="left" vertical="center" wrapText="1"/>
    </xf>
    <xf numFmtId="43" fontId="4" fillId="4" borderId="2" xfId="0" applyNumberFormat="1" applyFont="1" applyFill="1" applyBorder="1" applyAlignment="1">
      <alignment horizontal="left" vertical="center" wrapText="1"/>
    </xf>
    <xf numFmtId="0" fontId="0" fillId="4" borderId="8" xfId="0" applyFill="1" applyBorder="1" applyAlignment="1">
      <alignment horizontal="left" vertical="top" wrapText="1"/>
    </xf>
    <xf numFmtId="0" fontId="0" fillId="4" borderId="9" xfId="0" applyFill="1" applyBorder="1" applyAlignment="1">
      <alignment horizontal="left" vertical="top" wrapText="1"/>
    </xf>
    <xf numFmtId="43" fontId="7" fillId="4" borderId="3" xfId="0" applyNumberFormat="1" applyFont="1" applyFill="1" applyBorder="1" applyAlignment="1">
      <alignment horizontal="left" vertical="top" wrapText="1"/>
    </xf>
    <xf numFmtId="43" fontId="7" fillId="4" borderId="7" xfId="0" applyNumberFormat="1" applyFont="1" applyFill="1" applyBorder="1" applyAlignment="1">
      <alignment horizontal="left" vertical="top" wrapText="1"/>
    </xf>
    <xf numFmtId="43" fontId="7" fillId="4" borderId="2" xfId="0" applyNumberFormat="1" applyFont="1" applyFill="1" applyBorder="1" applyAlignment="1">
      <alignment horizontal="left" vertical="top" wrapText="1"/>
    </xf>
    <xf numFmtId="0" fontId="4" fillId="2" borderId="3"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2" xfId="0" applyFont="1" applyFill="1" applyBorder="1" applyAlignment="1">
      <alignment horizontal="center" vertical="center" wrapText="1"/>
    </xf>
    <xf numFmtId="43" fontId="4" fillId="2" borderId="3" xfId="0" applyNumberFormat="1" applyFont="1" applyFill="1" applyBorder="1" applyAlignment="1">
      <alignment horizontal="left" vertical="center" wrapText="1"/>
    </xf>
    <xf numFmtId="43" fontId="4" fillId="2" borderId="7" xfId="0" applyNumberFormat="1" applyFont="1" applyFill="1" applyBorder="1" applyAlignment="1">
      <alignment horizontal="left" vertical="center" wrapText="1"/>
    </xf>
    <xf numFmtId="43" fontId="4" fillId="2" borderId="2" xfId="0" applyNumberFormat="1" applyFont="1" applyFill="1" applyBorder="1" applyAlignment="1">
      <alignment horizontal="left" vertical="center" wrapText="1"/>
    </xf>
    <xf numFmtId="0" fontId="0" fillId="2" borderId="1" xfId="0" applyFill="1" applyBorder="1" applyAlignment="1">
      <alignment horizontal="left"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xf numFmtId="49" fontId="4" fillId="2" borderId="2" xfId="0" applyNumberFormat="1" applyFont="1" applyFill="1" applyBorder="1" applyAlignment="1">
      <alignment horizontal="center" vertical="center" wrapText="1"/>
    </xf>
    <xf numFmtId="0" fontId="0" fillId="4" borderId="1" xfId="0" applyFill="1" applyBorder="1" applyAlignment="1">
      <alignment horizontal="left" vertical="top"/>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colors>
    <mruColors>
      <color rgb="FFEBF1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open.undp.org/projects/001206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B69F1-5289-4A21-8AB2-CC34026165BF}">
  <dimension ref="A1:V44"/>
  <sheetViews>
    <sheetView tabSelected="1" workbookViewId="0">
      <pane xSplit="2" ySplit="1" topLeftCell="C32" activePane="bottomRight" state="frozen"/>
      <selection pane="bottomRight" activeCell="D20" sqref="D20:D32"/>
      <selection pane="bottomLeft"/>
      <selection pane="topRight"/>
    </sheetView>
  </sheetViews>
  <sheetFormatPr defaultColWidth="8.85546875" defaultRowHeight="15"/>
  <cols>
    <col min="1" max="1" width="14.140625" style="7" customWidth="1"/>
    <col min="2" max="2" width="41.42578125" customWidth="1"/>
    <col min="3" max="3" width="33.85546875" customWidth="1"/>
    <col min="4" max="4" width="21.85546875" style="15" customWidth="1"/>
    <col min="5" max="5" width="20.7109375" customWidth="1"/>
    <col min="6" max="6" width="55.28515625" customWidth="1"/>
    <col min="7" max="7" width="34.85546875" style="53" customWidth="1"/>
    <col min="8" max="8" width="36" style="53" customWidth="1"/>
    <col min="9" max="9" width="81.5703125" customWidth="1"/>
    <col min="10" max="10" width="23.42578125" style="7" customWidth="1"/>
    <col min="11" max="11" width="18" style="45" bestFit="1" customWidth="1"/>
    <col min="12" max="12" width="17.42578125" customWidth="1"/>
    <col min="13" max="13" width="11.5703125" customWidth="1"/>
    <col min="14" max="14" width="24.7109375" customWidth="1"/>
    <col min="15" max="15" width="17.5703125" bestFit="1" customWidth="1"/>
    <col min="16" max="16" width="16.85546875" customWidth="1"/>
    <col min="17" max="17" width="21.5703125" style="6" bestFit="1" customWidth="1"/>
    <col min="18" max="18" width="18.140625" bestFit="1" customWidth="1"/>
    <col min="19" max="19" width="13.42578125" bestFit="1" customWidth="1"/>
    <col min="20" max="20" width="30.85546875" customWidth="1"/>
    <col min="21" max="21" width="30.28515625" bestFit="1" customWidth="1"/>
    <col min="22" max="22" width="16.7109375" bestFit="1" customWidth="1"/>
  </cols>
  <sheetData>
    <row r="1" spans="1:22" s="13" customFormat="1" ht="37.5" customHeight="1">
      <c r="A1" s="8" t="s">
        <v>0</v>
      </c>
      <c r="B1" s="8" t="s">
        <v>1</v>
      </c>
      <c r="C1" s="8" t="s">
        <v>2</v>
      </c>
      <c r="D1" s="14" t="s">
        <v>3</v>
      </c>
      <c r="E1" s="8" t="s">
        <v>4</v>
      </c>
      <c r="F1" s="8" t="s">
        <v>5</v>
      </c>
      <c r="G1" s="8" t="s">
        <v>6</v>
      </c>
      <c r="H1" s="8" t="s">
        <v>7</v>
      </c>
      <c r="I1" s="8" t="s">
        <v>8</v>
      </c>
      <c r="J1" s="9" t="s">
        <v>9</v>
      </c>
      <c r="K1" s="8" t="s">
        <v>10</v>
      </c>
      <c r="L1" s="8" t="s">
        <v>11</v>
      </c>
      <c r="M1" s="10" t="s">
        <v>12</v>
      </c>
      <c r="N1" s="8" t="s">
        <v>13</v>
      </c>
      <c r="O1" s="8" t="s">
        <v>14</v>
      </c>
      <c r="P1" s="10" t="s">
        <v>15</v>
      </c>
      <c r="Q1" s="16" t="s">
        <v>16</v>
      </c>
      <c r="R1" s="11" t="s">
        <v>17</v>
      </c>
      <c r="S1" s="12" t="s">
        <v>18</v>
      </c>
      <c r="T1" s="11" t="s">
        <v>19</v>
      </c>
      <c r="U1" s="11" t="s">
        <v>20</v>
      </c>
      <c r="V1" s="12" t="s">
        <v>21</v>
      </c>
    </row>
    <row r="2" spans="1:22" s="28" customFormat="1" ht="57.75" customHeight="1">
      <c r="A2" s="97" t="s">
        <v>22</v>
      </c>
      <c r="B2" s="19" t="s">
        <v>23</v>
      </c>
      <c r="C2" s="20" t="s">
        <v>24</v>
      </c>
      <c r="D2" s="105" t="s">
        <v>25</v>
      </c>
      <c r="E2" s="21" t="s">
        <v>26</v>
      </c>
      <c r="F2" s="21" t="s">
        <v>27</v>
      </c>
      <c r="G2" s="46">
        <v>0</v>
      </c>
      <c r="H2" s="47" t="s">
        <v>28</v>
      </c>
      <c r="I2" s="22" t="s">
        <v>29</v>
      </c>
      <c r="J2" s="80" t="s">
        <v>30</v>
      </c>
      <c r="K2" s="43" t="s">
        <v>31</v>
      </c>
      <c r="L2" s="23" t="s">
        <v>32</v>
      </c>
      <c r="M2" s="24" t="s">
        <v>33</v>
      </c>
      <c r="N2" s="25" t="s">
        <v>34</v>
      </c>
      <c r="O2" s="24" t="s">
        <v>35</v>
      </c>
      <c r="P2" s="24"/>
      <c r="Q2" s="26" t="s">
        <v>36</v>
      </c>
      <c r="R2" s="24" t="s">
        <v>37</v>
      </c>
      <c r="S2" s="27" t="s">
        <v>38</v>
      </c>
      <c r="T2" s="24" t="s">
        <v>39</v>
      </c>
      <c r="U2" s="24" t="s">
        <v>40</v>
      </c>
      <c r="V2" s="27"/>
    </row>
    <row r="3" spans="1:22" s="28" customFormat="1" ht="72.75" customHeight="1">
      <c r="A3" s="98"/>
      <c r="B3" s="29"/>
      <c r="C3" s="30"/>
      <c r="D3" s="106"/>
      <c r="E3" s="21" t="s">
        <v>41</v>
      </c>
      <c r="F3" s="21" t="s">
        <v>42</v>
      </c>
      <c r="G3" s="46">
        <v>0</v>
      </c>
      <c r="H3" s="46" t="s">
        <v>31</v>
      </c>
      <c r="I3" s="22" t="s">
        <v>31</v>
      </c>
      <c r="J3" s="81"/>
      <c r="K3" s="43">
        <v>0.32</v>
      </c>
      <c r="L3" s="23" t="s">
        <v>32</v>
      </c>
      <c r="M3" s="24" t="s">
        <v>33</v>
      </c>
      <c r="N3" s="25" t="s">
        <v>34</v>
      </c>
      <c r="O3" s="24" t="s">
        <v>35</v>
      </c>
      <c r="P3" s="24"/>
      <c r="Q3" s="26" t="s">
        <v>36</v>
      </c>
      <c r="R3" s="24" t="s">
        <v>37</v>
      </c>
      <c r="S3" s="27" t="s">
        <v>38</v>
      </c>
      <c r="T3" s="24" t="s">
        <v>39</v>
      </c>
      <c r="U3" s="24" t="s">
        <v>40</v>
      </c>
      <c r="V3" s="27"/>
    </row>
    <row r="4" spans="1:22" s="28" customFormat="1" ht="51" customHeight="1">
      <c r="A4" s="98"/>
      <c r="B4" s="29"/>
      <c r="C4" s="30"/>
      <c r="D4" s="106"/>
      <c r="E4" s="21" t="s">
        <v>26</v>
      </c>
      <c r="F4" s="21" t="s">
        <v>43</v>
      </c>
      <c r="G4" s="46">
        <v>0</v>
      </c>
      <c r="H4" s="46" t="s">
        <v>31</v>
      </c>
      <c r="I4" s="22" t="s">
        <v>31</v>
      </c>
      <c r="J4" s="81"/>
      <c r="K4" s="43" t="s">
        <v>31</v>
      </c>
      <c r="L4" s="23" t="s">
        <v>32</v>
      </c>
      <c r="M4" s="24" t="s">
        <v>33</v>
      </c>
      <c r="N4" s="25" t="s">
        <v>34</v>
      </c>
      <c r="O4" s="24" t="s">
        <v>35</v>
      </c>
      <c r="P4" s="24"/>
      <c r="Q4" s="26" t="s">
        <v>36</v>
      </c>
      <c r="R4" s="24" t="s">
        <v>37</v>
      </c>
      <c r="S4" s="27" t="s">
        <v>38</v>
      </c>
      <c r="T4" s="24" t="s">
        <v>39</v>
      </c>
      <c r="U4" s="24" t="s">
        <v>40</v>
      </c>
      <c r="V4" s="27"/>
    </row>
    <row r="5" spans="1:22" s="28" customFormat="1" ht="51" customHeight="1">
      <c r="A5" s="98"/>
      <c r="B5" s="29"/>
      <c r="C5" s="30"/>
      <c r="D5" s="106"/>
      <c r="E5" s="21" t="s">
        <v>26</v>
      </c>
      <c r="F5" s="21" t="s">
        <v>44</v>
      </c>
      <c r="G5" s="46">
        <v>0</v>
      </c>
      <c r="H5" s="46" t="s">
        <v>31</v>
      </c>
      <c r="I5" s="22" t="s">
        <v>31</v>
      </c>
      <c r="J5" s="81"/>
      <c r="K5" s="43" t="s">
        <v>31</v>
      </c>
      <c r="L5" s="23" t="s">
        <v>32</v>
      </c>
      <c r="M5" s="24" t="s">
        <v>33</v>
      </c>
      <c r="N5" s="25" t="s">
        <v>34</v>
      </c>
      <c r="O5" s="24" t="s">
        <v>35</v>
      </c>
      <c r="P5" s="24"/>
      <c r="Q5" s="26" t="s">
        <v>36</v>
      </c>
      <c r="R5" s="24" t="s">
        <v>37</v>
      </c>
      <c r="S5" s="27" t="s">
        <v>38</v>
      </c>
      <c r="T5" s="24" t="s">
        <v>39</v>
      </c>
      <c r="U5" s="24" t="s">
        <v>40</v>
      </c>
      <c r="V5" s="27"/>
    </row>
    <row r="6" spans="1:22" s="28" customFormat="1" ht="72" customHeight="1">
      <c r="A6" s="98"/>
      <c r="B6" s="29"/>
      <c r="C6" s="30"/>
      <c r="D6" s="106"/>
      <c r="E6" s="21" t="s">
        <v>26</v>
      </c>
      <c r="F6" s="21" t="s">
        <v>45</v>
      </c>
      <c r="G6" s="46">
        <v>0</v>
      </c>
      <c r="H6" s="46" t="s">
        <v>31</v>
      </c>
      <c r="I6" s="22" t="s">
        <v>31</v>
      </c>
      <c r="J6" s="81"/>
      <c r="K6" s="43" t="s">
        <v>31</v>
      </c>
      <c r="L6" s="23" t="s">
        <v>32</v>
      </c>
      <c r="M6" s="24" t="s">
        <v>33</v>
      </c>
      <c r="N6" s="25" t="s">
        <v>34</v>
      </c>
      <c r="O6" s="24" t="s">
        <v>35</v>
      </c>
      <c r="P6" s="24"/>
      <c r="Q6" s="26" t="s">
        <v>36</v>
      </c>
      <c r="R6" s="24" t="s">
        <v>37</v>
      </c>
      <c r="S6" s="27" t="s">
        <v>38</v>
      </c>
      <c r="T6" s="24" t="s">
        <v>39</v>
      </c>
      <c r="U6" s="24" t="s">
        <v>40</v>
      </c>
      <c r="V6" s="27"/>
    </row>
    <row r="7" spans="1:22" s="28" customFormat="1" ht="51" customHeight="1">
      <c r="A7" s="98"/>
      <c r="B7" s="29"/>
      <c r="C7" s="30"/>
      <c r="D7" s="106"/>
      <c r="E7" s="21" t="s">
        <v>26</v>
      </c>
      <c r="F7" s="21" t="s">
        <v>46</v>
      </c>
      <c r="G7" s="46">
        <v>0</v>
      </c>
      <c r="H7" s="46">
        <v>1</v>
      </c>
      <c r="I7" s="21" t="s">
        <v>47</v>
      </c>
      <c r="J7" s="81"/>
      <c r="K7" s="64" t="s">
        <v>31</v>
      </c>
      <c r="L7" s="23" t="s">
        <v>32</v>
      </c>
      <c r="M7" s="24" t="s">
        <v>33</v>
      </c>
      <c r="N7" s="25" t="s">
        <v>34</v>
      </c>
      <c r="O7" s="24" t="s">
        <v>35</v>
      </c>
      <c r="P7" s="24"/>
      <c r="Q7" s="26" t="s">
        <v>36</v>
      </c>
      <c r="R7" s="26" t="s">
        <v>48</v>
      </c>
      <c r="S7" s="27" t="s">
        <v>38</v>
      </c>
      <c r="T7" s="24" t="s">
        <v>39</v>
      </c>
      <c r="U7" s="24" t="s">
        <v>49</v>
      </c>
      <c r="V7" s="27"/>
    </row>
    <row r="8" spans="1:22" s="28" customFormat="1" ht="97.5" customHeight="1">
      <c r="A8" s="98"/>
      <c r="B8" s="29"/>
      <c r="C8" s="30"/>
      <c r="D8" s="106"/>
      <c r="E8" s="21" t="s">
        <v>50</v>
      </c>
      <c r="F8" s="21" t="s">
        <v>51</v>
      </c>
      <c r="G8" s="46">
        <v>0</v>
      </c>
      <c r="H8" s="46">
        <v>30</v>
      </c>
      <c r="I8" s="21" t="s">
        <v>52</v>
      </c>
      <c r="J8" s="103"/>
      <c r="K8" s="43">
        <v>0.23</v>
      </c>
      <c r="L8" s="61" t="s">
        <v>32</v>
      </c>
      <c r="M8" s="24" t="s">
        <v>33</v>
      </c>
      <c r="N8" s="25" t="s">
        <v>34</v>
      </c>
      <c r="O8" s="24" t="s">
        <v>35</v>
      </c>
      <c r="P8" s="24"/>
      <c r="Q8" s="26" t="s">
        <v>36</v>
      </c>
      <c r="R8" s="26" t="s">
        <v>48</v>
      </c>
      <c r="S8" s="27" t="s">
        <v>38</v>
      </c>
      <c r="T8" s="24" t="s">
        <v>39</v>
      </c>
      <c r="U8" s="24" t="s">
        <v>49</v>
      </c>
      <c r="V8" s="27"/>
    </row>
    <row r="9" spans="1:22" s="28" customFormat="1" ht="75.75" customHeight="1">
      <c r="A9" s="99"/>
      <c r="B9" s="31"/>
      <c r="C9" s="32"/>
      <c r="D9" s="107"/>
      <c r="E9" s="21" t="s">
        <v>50</v>
      </c>
      <c r="F9" s="21" t="s">
        <v>53</v>
      </c>
      <c r="G9" s="46">
        <v>0</v>
      </c>
      <c r="H9" s="46">
        <v>50</v>
      </c>
      <c r="I9" s="21" t="s">
        <v>54</v>
      </c>
      <c r="J9" s="104"/>
      <c r="K9" s="24" t="s">
        <v>31</v>
      </c>
      <c r="L9" s="61" t="s">
        <v>32</v>
      </c>
      <c r="M9" s="24" t="s">
        <v>33</v>
      </c>
      <c r="N9" s="25" t="s">
        <v>34</v>
      </c>
      <c r="O9" s="24" t="s">
        <v>35</v>
      </c>
      <c r="P9" s="24"/>
      <c r="Q9" s="26" t="s">
        <v>36</v>
      </c>
      <c r="R9" s="26" t="s">
        <v>48</v>
      </c>
      <c r="S9" s="27" t="s">
        <v>38</v>
      </c>
      <c r="T9" s="24" t="s">
        <v>39</v>
      </c>
      <c r="U9" s="24" t="s">
        <v>49</v>
      </c>
      <c r="V9" s="27"/>
    </row>
    <row r="10" spans="1:22" s="7" customFormat="1" ht="51" customHeight="1">
      <c r="A10" s="82" t="s">
        <v>55</v>
      </c>
      <c r="B10" s="85" t="s">
        <v>56</v>
      </c>
      <c r="C10" s="85" t="s">
        <v>57</v>
      </c>
      <c r="D10" s="88">
        <v>6115052</v>
      </c>
      <c r="E10" s="33" t="s">
        <v>58</v>
      </c>
      <c r="F10" s="33" t="s">
        <v>59</v>
      </c>
      <c r="G10" s="94" t="s">
        <v>60</v>
      </c>
      <c r="H10" s="59">
        <v>35500000</v>
      </c>
      <c r="I10" s="18" t="s">
        <v>61</v>
      </c>
      <c r="J10" s="91" t="s">
        <v>62</v>
      </c>
      <c r="K10" s="1" t="s">
        <v>31</v>
      </c>
      <c r="L10" s="62" t="s">
        <v>32</v>
      </c>
      <c r="M10" s="1" t="s">
        <v>63</v>
      </c>
      <c r="N10" s="4" t="s">
        <v>64</v>
      </c>
      <c r="O10" s="1" t="s">
        <v>65</v>
      </c>
      <c r="P10" s="1"/>
      <c r="Q10" s="17" t="s">
        <v>36</v>
      </c>
      <c r="R10" s="1" t="s">
        <v>41</v>
      </c>
      <c r="S10" s="5" t="s">
        <v>38</v>
      </c>
      <c r="T10" s="1" t="s">
        <v>39</v>
      </c>
      <c r="U10" s="1" t="s">
        <v>49</v>
      </c>
      <c r="V10" s="5"/>
    </row>
    <row r="11" spans="1:22" s="7" customFormat="1" ht="46.5" customHeight="1">
      <c r="A11" s="83"/>
      <c r="B11" s="86"/>
      <c r="C11" s="86"/>
      <c r="D11" s="89"/>
      <c r="E11" s="18" t="s">
        <v>66</v>
      </c>
      <c r="F11" s="18" t="s">
        <v>67</v>
      </c>
      <c r="G11" s="95"/>
      <c r="H11" s="49" t="s">
        <v>68</v>
      </c>
      <c r="I11" s="18" t="s">
        <v>69</v>
      </c>
      <c r="J11" s="92"/>
      <c r="K11" s="1" t="s">
        <v>31</v>
      </c>
      <c r="L11" s="62" t="s">
        <v>32</v>
      </c>
      <c r="M11" s="1" t="s">
        <v>63</v>
      </c>
      <c r="N11" s="4" t="s">
        <v>64</v>
      </c>
      <c r="O11" s="1" t="s">
        <v>65</v>
      </c>
      <c r="P11" s="1"/>
      <c r="Q11" s="17" t="s">
        <v>36</v>
      </c>
      <c r="R11" s="1" t="s">
        <v>41</v>
      </c>
      <c r="S11" s="5" t="s">
        <v>38</v>
      </c>
      <c r="T11" s="1" t="s">
        <v>39</v>
      </c>
      <c r="U11" s="1" t="s">
        <v>49</v>
      </c>
      <c r="V11" s="5"/>
    </row>
    <row r="12" spans="1:22" s="7" customFormat="1" ht="67.5" customHeight="1">
      <c r="A12" s="83"/>
      <c r="B12" s="86"/>
      <c r="C12" s="86"/>
      <c r="D12" s="89"/>
      <c r="E12" s="18" t="s">
        <v>41</v>
      </c>
      <c r="F12" s="18" t="s">
        <v>70</v>
      </c>
      <c r="G12" s="96"/>
      <c r="H12" s="49" t="s">
        <v>71</v>
      </c>
      <c r="I12" s="18" t="s">
        <v>72</v>
      </c>
      <c r="J12" s="92"/>
      <c r="K12" s="60" t="s">
        <v>31</v>
      </c>
      <c r="L12" s="62" t="s">
        <v>32</v>
      </c>
      <c r="M12" s="1" t="s">
        <v>63</v>
      </c>
      <c r="N12" s="4" t="s">
        <v>64</v>
      </c>
      <c r="O12" s="1" t="s">
        <v>65</v>
      </c>
      <c r="P12" s="1"/>
      <c r="Q12" s="17" t="s">
        <v>39</v>
      </c>
      <c r="R12" s="1" t="s">
        <v>41</v>
      </c>
      <c r="S12" s="5" t="s">
        <v>38</v>
      </c>
      <c r="T12" s="1" t="s">
        <v>39</v>
      </c>
      <c r="U12" s="1" t="s">
        <v>49</v>
      </c>
      <c r="V12" s="5"/>
    </row>
    <row r="13" spans="1:22" s="7" customFormat="1" ht="69.75" customHeight="1">
      <c r="A13" s="83"/>
      <c r="B13" s="86"/>
      <c r="C13" s="86"/>
      <c r="D13" s="89"/>
      <c r="E13" s="18" t="s">
        <v>20</v>
      </c>
      <c r="F13" s="18" t="s">
        <v>73</v>
      </c>
      <c r="G13" s="18" t="s">
        <v>74</v>
      </c>
      <c r="H13" s="18" t="s">
        <v>75</v>
      </c>
      <c r="I13" s="18" t="s">
        <v>75</v>
      </c>
      <c r="J13" s="92"/>
      <c r="K13" s="60" t="s">
        <v>31</v>
      </c>
      <c r="L13" s="62" t="s">
        <v>32</v>
      </c>
      <c r="M13" s="1" t="s">
        <v>63</v>
      </c>
      <c r="N13" s="4" t="s">
        <v>64</v>
      </c>
      <c r="O13" s="1" t="s">
        <v>65</v>
      </c>
      <c r="P13" s="1"/>
      <c r="Q13" s="17" t="s">
        <v>76</v>
      </c>
      <c r="R13" s="1" t="s">
        <v>41</v>
      </c>
      <c r="S13" s="5" t="s">
        <v>38</v>
      </c>
      <c r="T13" s="1" t="s">
        <v>39</v>
      </c>
      <c r="U13" s="1" t="s">
        <v>49</v>
      </c>
      <c r="V13" s="5"/>
    </row>
    <row r="14" spans="1:22" s="7" customFormat="1" ht="66.75" customHeight="1">
      <c r="A14" s="83"/>
      <c r="B14" s="86"/>
      <c r="C14" s="86"/>
      <c r="D14" s="89"/>
      <c r="E14" s="18" t="s">
        <v>50</v>
      </c>
      <c r="F14" s="18" t="s">
        <v>77</v>
      </c>
      <c r="G14" s="18">
        <v>0</v>
      </c>
      <c r="H14" s="49">
        <v>500</v>
      </c>
      <c r="I14" s="18" t="s">
        <v>78</v>
      </c>
      <c r="J14" s="92"/>
      <c r="K14" s="60" t="s">
        <v>31</v>
      </c>
      <c r="L14" s="62" t="s">
        <v>32</v>
      </c>
      <c r="M14" s="1" t="s">
        <v>63</v>
      </c>
      <c r="N14" s="4" t="s">
        <v>64</v>
      </c>
      <c r="O14" s="1" t="s">
        <v>65</v>
      </c>
      <c r="P14" s="1"/>
      <c r="Q14" s="17" t="s">
        <v>76</v>
      </c>
      <c r="R14" s="1" t="s">
        <v>41</v>
      </c>
      <c r="S14" s="5" t="s">
        <v>38</v>
      </c>
      <c r="T14" s="1" t="s">
        <v>79</v>
      </c>
      <c r="U14" s="1" t="s">
        <v>49</v>
      </c>
      <c r="V14" s="5"/>
    </row>
    <row r="15" spans="1:22" s="7" customFormat="1" ht="93.75" customHeight="1">
      <c r="A15" s="83"/>
      <c r="B15" s="86"/>
      <c r="C15" s="86"/>
      <c r="D15" s="89"/>
      <c r="E15" s="18" t="s">
        <v>58</v>
      </c>
      <c r="F15" s="18" t="s">
        <v>80</v>
      </c>
      <c r="G15" s="18" t="s">
        <v>81</v>
      </c>
      <c r="H15" s="50" t="s">
        <v>82</v>
      </c>
      <c r="I15" s="18" t="s">
        <v>83</v>
      </c>
      <c r="J15" s="92"/>
      <c r="K15" s="60" t="s">
        <v>31</v>
      </c>
      <c r="L15" s="62" t="s">
        <v>32</v>
      </c>
      <c r="M15" s="1" t="s">
        <v>63</v>
      </c>
      <c r="N15" s="4" t="s">
        <v>64</v>
      </c>
      <c r="O15" s="1" t="s">
        <v>65</v>
      </c>
      <c r="P15" s="1"/>
      <c r="Q15" s="17" t="s">
        <v>39</v>
      </c>
      <c r="R15" s="1" t="s">
        <v>41</v>
      </c>
      <c r="S15" s="5" t="s">
        <v>38</v>
      </c>
      <c r="T15" s="1" t="s">
        <v>39</v>
      </c>
      <c r="U15" s="1" t="s">
        <v>40</v>
      </c>
      <c r="V15" s="5"/>
    </row>
    <row r="16" spans="1:22" s="7" customFormat="1" ht="93.75" customHeight="1">
      <c r="A16" s="83"/>
      <c r="B16" s="86"/>
      <c r="C16" s="86"/>
      <c r="D16" s="89"/>
      <c r="E16" s="18" t="s">
        <v>58</v>
      </c>
      <c r="F16" s="18" t="s">
        <v>84</v>
      </c>
      <c r="G16" s="18" t="s">
        <v>85</v>
      </c>
      <c r="H16" s="50" t="s">
        <v>86</v>
      </c>
      <c r="I16" s="18" t="s">
        <v>87</v>
      </c>
      <c r="J16" s="92"/>
      <c r="K16" s="60" t="s">
        <v>31</v>
      </c>
      <c r="L16" s="62" t="s">
        <v>32</v>
      </c>
      <c r="M16" s="1" t="s">
        <v>63</v>
      </c>
      <c r="N16" s="4" t="s">
        <v>64</v>
      </c>
      <c r="O16" s="1" t="s">
        <v>65</v>
      </c>
      <c r="P16" s="1"/>
      <c r="Q16" s="17" t="s">
        <v>39</v>
      </c>
      <c r="R16" s="1" t="s">
        <v>41</v>
      </c>
      <c r="S16" s="5" t="s">
        <v>38</v>
      </c>
      <c r="T16" s="1" t="s">
        <v>39</v>
      </c>
      <c r="U16" s="1" t="s">
        <v>40</v>
      </c>
      <c r="V16" s="5"/>
    </row>
    <row r="17" spans="1:22" s="7" customFormat="1" ht="72" customHeight="1">
      <c r="A17" s="83"/>
      <c r="B17" s="86"/>
      <c r="C17" s="86"/>
      <c r="D17" s="89"/>
      <c r="E17" s="18" t="s">
        <v>88</v>
      </c>
      <c r="F17" s="18" t="s">
        <v>89</v>
      </c>
      <c r="G17" s="18" t="s">
        <v>90</v>
      </c>
      <c r="H17" s="49">
        <v>120</v>
      </c>
      <c r="I17" s="18" t="s">
        <v>91</v>
      </c>
      <c r="J17" s="92"/>
      <c r="K17" s="60" t="s">
        <v>31</v>
      </c>
      <c r="L17" s="62" t="s">
        <v>32</v>
      </c>
      <c r="M17" s="1" t="s">
        <v>63</v>
      </c>
      <c r="N17" s="4" t="s">
        <v>64</v>
      </c>
      <c r="O17" s="1" t="s">
        <v>65</v>
      </c>
      <c r="P17" s="1"/>
      <c r="Q17" s="17" t="s">
        <v>39</v>
      </c>
      <c r="R17" s="1" t="s">
        <v>41</v>
      </c>
      <c r="S17" s="5" t="s">
        <v>38</v>
      </c>
      <c r="T17" s="1" t="s">
        <v>39</v>
      </c>
      <c r="U17" s="1" t="s">
        <v>49</v>
      </c>
      <c r="V17" s="5"/>
    </row>
    <row r="18" spans="1:22" s="39" customFormat="1" ht="107.25" customHeight="1">
      <c r="A18" s="83"/>
      <c r="B18" s="86"/>
      <c r="C18" s="86"/>
      <c r="D18" s="89"/>
      <c r="E18" s="33" t="s">
        <v>19</v>
      </c>
      <c r="F18" s="33" t="s">
        <v>92</v>
      </c>
      <c r="G18" s="33" t="s">
        <v>93</v>
      </c>
      <c r="H18" s="48" t="s">
        <v>94</v>
      </c>
      <c r="I18" s="33" t="s">
        <v>95</v>
      </c>
      <c r="J18" s="92"/>
      <c r="K18" s="60" t="s">
        <v>31</v>
      </c>
      <c r="L18" s="63" t="s">
        <v>32</v>
      </c>
      <c r="M18" s="36" t="s">
        <v>63</v>
      </c>
      <c r="N18" s="37" t="s">
        <v>64</v>
      </c>
      <c r="O18" s="36" t="s">
        <v>65</v>
      </c>
      <c r="P18" s="36"/>
      <c r="Q18" s="38" t="s">
        <v>96</v>
      </c>
      <c r="R18" s="36" t="s">
        <v>41</v>
      </c>
      <c r="S18" s="34" t="s">
        <v>38</v>
      </c>
      <c r="T18" s="36" t="s">
        <v>79</v>
      </c>
      <c r="U18" s="36" t="s">
        <v>49</v>
      </c>
      <c r="V18" s="34"/>
    </row>
    <row r="19" spans="1:22" s="7" customFormat="1" ht="88.5" customHeight="1">
      <c r="A19" s="84"/>
      <c r="B19" s="87"/>
      <c r="C19" s="87"/>
      <c r="D19" s="90"/>
      <c r="E19" s="18" t="s">
        <v>88</v>
      </c>
      <c r="F19" s="18" t="s">
        <v>97</v>
      </c>
      <c r="G19" s="18" t="s">
        <v>98</v>
      </c>
      <c r="H19" s="49">
        <v>120</v>
      </c>
      <c r="I19" s="18" t="s">
        <v>99</v>
      </c>
      <c r="J19" s="93"/>
      <c r="K19" s="60" t="s">
        <v>31</v>
      </c>
      <c r="L19" s="62" t="s">
        <v>32</v>
      </c>
      <c r="M19" s="1" t="s">
        <v>63</v>
      </c>
      <c r="N19" s="4" t="s">
        <v>64</v>
      </c>
      <c r="O19" s="1" t="s">
        <v>65</v>
      </c>
      <c r="P19" s="1"/>
      <c r="Q19" s="17" t="s">
        <v>39</v>
      </c>
      <c r="R19" s="1" t="s">
        <v>41</v>
      </c>
      <c r="S19" s="5" t="s">
        <v>38</v>
      </c>
      <c r="T19" s="1" t="s">
        <v>39</v>
      </c>
      <c r="U19" s="1" t="s">
        <v>49</v>
      </c>
      <c r="V19" s="5"/>
    </row>
    <row r="20" spans="1:22" s="42" customFormat="1" ht="88.5" customHeight="1">
      <c r="A20" s="97" t="s">
        <v>100</v>
      </c>
      <c r="B20" s="71" t="s">
        <v>101</v>
      </c>
      <c r="C20" s="74" t="s">
        <v>102</v>
      </c>
      <c r="D20" s="77" t="s">
        <v>103</v>
      </c>
      <c r="E20" s="41" t="s">
        <v>66</v>
      </c>
      <c r="F20" s="41" t="s">
        <v>104</v>
      </c>
      <c r="G20" s="51">
        <v>0</v>
      </c>
      <c r="H20" s="51" t="s">
        <v>105</v>
      </c>
      <c r="I20" s="41" t="s">
        <v>105</v>
      </c>
      <c r="J20" s="80" t="s">
        <v>106</v>
      </c>
      <c r="K20" s="58" t="s">
        <v>31</v>
      </c>
      <c r="L20" s="23" t="s">
        <v>32</v>
      </c>
      <c r="M20" s="24" t="s">
        <v>107</v>
      </c>
      <c r="N20" s="25" t="s">
        <v>34</v>
      </c>
      <c r="O20" s="24" t="s">
        <v>41</v>
      </c>
      <c r="P20" s="24" t="s">
        <v>108</v>
      </c>
      <c r="Q20" s="26" t="s">
        <v>36</v>
      </c>
      <c r="R20" s="24" t="s">
        <v>35</v>
      </c>
      <c r="S20" s="27" t="s">
        <v>109</v>
      </c>
      <c r="T20" s="24" t="s">
        <v>39</v>
      </c>
      <c r="U20" s="24" t="s">
        <v>49</v>
      </c>
      <c r="V20" s="27"/>
    </row>
    <row r="21" spans="1:22" s="42" customFormat="1" ht="114.75" customHeight="1">
      <c r="A21" s="98"/>
      <c r="B21" s="72"/>
      <c r="C21" s="75"/>
      <c r="D21" s="78"/>
      <c r="E21" s="69" t="s">
        <v>41</v>
      </c>
      <c r="F21" s="74" t="s">
        <v>110</v>
      </c>
      <c r="G21" s="51">
        <v>0</v>
      </c>
      <c r="H21" s="52" t="s">
        <v>111</v>
      </c>
      <c r="I21" s="56" t="s">
        <v>112</v>
      </c>
      <c r="J21" s="81"/>
      <c r="K21" s="44">
        <v>0.5</v>
      </c>
      <c r="L21" s="23" t="s">
        <v>32</v>
      </c>
      <c r="M21" s="24" t="s">
        <v>107</v>
      </c>
      <c r="N21" s="25" t="s">
        <v>34</v>
      </c>
      <c r="O21" s="24" t="s">
        <v>41</v>
      </c>
      <c r="P21" s="24" t="s">
        <v>108</v>
      </c>
      <c r="Q21" s="26" t="s">
        <v>36</v>
      </c>
      <c r="R21" s="24" t="s">
        <v>35</v>
      </c>
      <c r="S21" s="27" t="s">
        <v>109</v>
      </c>
      <c r="T21" s="24" t="s">
        <v>39</v>
      </c>
      <c r="U21" s="24" t="s">
        <v>49</v>
      </c>
      <c r="V21" s="27"/>
    </row>
    <row r="22" spans="1:22" s="42" customFormat="1" ht="76.5" customHeight="1">
      <c r="A22" s="98"/>
      <c r="B22" s="72"/>
      <c r="C22" s="75"/>
      <c r="D22" s="78"/>
      <c r="E22" s="70"/>
      <c r="F22" s="76"/>
      <c r="G22" s="51">
        <v>0</v>
      </c>
      <c r="H22" s="52" t="s">
        <v>113</v>
      </c>
      <c r="I22" s="56" t="s">
        <v>114</v>
      </c>
      <c r="J22" s="81"/>
      <c r="K22" s="24" t="s">
        <v>31</v>
      </c>
      <c r="L22" s="23" t="s">
        <v>32</v>
      </c>
      <c r="M22" s="24" t="s">
        <v>107</v>
      </c>
      <c r="N22" s="25" t="s">
        <v>34</v>
      </c>
      <c r="O22" s="24" t="s">
        <v>41</v>
      </c>
      <c r="P22" s="24" t="s">
        <v>108</v>
      </c>
      <c r="Q22" s="26" t="s">
        <v>36</v>
      </c>
      <c r="R22" s="24" t="s">
        <v>35</v>
      </c>
      <c r="S22" s="27" t="s">
        <v>109</v>
      </c>
      <c r="T22" s="24" t="s">
        <v>39</v>
      </c>
      <c r="U22" s="24" t="s">
        <v>49</v>
      </c>
      <c r="V22" s="27"/>
    </row>
    <row r="23" spans="1:22" s="42" customFormat="1" ht="50.25" customHeight="1">
      <c r="A23" s="98"/>
      <c r="B23" s="72"/>
      <c r="C23" s="75"/>
      <c r="D23" s="78"/>
      <c r="E23" s="41" t="s">
        <v>115</v>
      </c>
      <c r="F23" s="41" t="s">
        <v>116</v>
      </c>
      <c r="G23" s="51">
        <v>0</v>
      </c>
      <c r="H23" s="26">
        <v>0.624</v>
      </c>
      <c r="I23" s="41" t="s">
        <v>117</v>
      </c>
      <c r="J23" s="81"/>
      <c r="K23" s="24" t="s">
        <v>31</v>
      </c>
      <c r="L23" s="23" t="s">
        <v>32</v>
      </c>
      <c r="M23" s="24" t="s">
        <v>107</v>
      </c>
      <c r="N23" s="25" t="s">
        <v>34</v>
      </c>
      <c r="O23" s="24" t="s">
        <v>41</v>
      </c>
      <c r="P23" s="24" t="s">
        <v>108</v>
      </c>
      <c r="Q23" s="26" t="s">
        <v>36</v>
      </c>
      <c r="R23" s="24" t="s">
        <v>35</v>
      </c>
      <c r="S23" s="27" t="s">
        <v>109</v>
      </c>
      <c r="T23" s="24" t="s">
        <v>39</v>
      </c>
      <c r="U23" s="24" t="s">
        <v>49</v>
      </c>
      <c r="V23" s="27"/>
    </row>
    <row r="24" spans="1:22" s="42" customFormat="1" ht="85.5" customHeight="1">
      <c r="A24" s="98"/>
      <c r="B24" s="72"/>
      <c r="C24" s="75"/>
      <c r="D24" s="78"/>
      <c r="E24" s="41" t="s">
        <v>26</v>
      </c>
      <c r="F24" s="41" t="s">
        <v>118</v>
      </c>
      <c r="G24" s="51">
        <v>0</v>
      </c>
      <c r="H24" s="51">
        <v>270</v>
      </c>
      <c r="I24" s="41" t="s">
        <v>119</v>
      </c>
      <c r="J24" s="81"/>
      <c r="K24" s="44">
        <f>125/270</f>
        <v>0.46296296296296297</v>
      </c>
      <c r="L24" s="23" t="s">
        <v>32</v>
      </c>
      <c r="M24" s="24" t="s">
        <v>107</v>
      </c>
      <c r="N24" s="25" t="s">
        <v>120</v>
      </c>
      <c r="O24" s="24" t="s">
        <v>41</v>
      </c>
      <c r="P24" s="24" t="s">
        <v>108</v>
      </c>
      <c r="Q24" s="26" t="s">
        <v>39</v>
      </c>
      <c r="R24" s="24" t="s">
        <v>35</v>
      </c>
      <c r="S24" s="27" t="s">
        <v>109</v>
      </c>
      <c r="T24" s="24" t="s">
        <v>39</v>
      </c>
      <c r="U24" s="24" t="s">
        <v>49</v>
      </c>
      <c r="V24" s="27"/>
    </row>
    <row r="25" spans="1:22" s="42" customFormat="1" ht="93" customHeight="1">
      <c r="A25" s="98"/>
      <c r="B25" s="72"/>
      <c r="C25" s="75"/>
      <c r="D25" s="78"/>
      <c r="E25" s="41" t="s">
        <v>26</v>
      </c>
      <c r="F25" s="41" t="s">
        <v>121</v>
      </c>
      <c r="G25" s="51">
        <v>0</v>
      </c>
      <c r="H25" s="51">
        <v>1</v>
      </c>
      <c r="I25" s="41" t="s">
        <v>122</v>
      </c>
      <c r="J25" s="81"/>
      <c r="K25" s="24" t="s">
        <v>31</v>
      </c>
      <c r="L25" s="23" t="s">
        <v>32</v>
      </c>
      <c r="M25" s="24" t="s">
        <v>107</v>
      </c>
      <c r="N25" s="25" t="s">
        <v>120</v>
      </c>
      <c r="O25" s="24" t="s">
        <v>41</v>
      </c>
      <c r="P25" s="24" t="s">
        <v>108</v>
      </c>
      <c r="Q25" s="26" t="s">
        <v>123</v>
      </c>
      <c r="R25" s="24" t="s">
        <v>41</v>
      </c>
      <c r="S25" s="27" t="s">
        <v>109</v>
      </c>
      <c r="T25" s="24" t="s">
        <v>123</v>
      </c>
      <c r="U25" s="24" t="s">
        <v>49</v>
      </c>
      <c r="V25" s="27"/>
    </row>
    <row r="26" spans="1:22" s="42" customFormat="1" ht="66" customHeight="1">
      <c r="A26" s="98"/>
      <c r="B26" s="72"/>
      <c r="C26" s="75"/>
      <c r="D26" s="78"/>
      <c r="E26" s="41" t="s">
        <v>124</v>
      </c>
      <c r="F26" s="41" t="s">
        <v>125</v>
      </c>
      <c r="G26" s="51" t="s">
        <v>126</v>
      </c>
      <c r="H26" s="51">
        <v>2</v>
      </c>
      <c r="I26" s="41" t="s">
        <v>127</v>
      </c>
      <c r="J26" s="81"/>
      <c r="K26" s="24" t="s">
        <v>31</v>
      </c>
      <c r="L26" s="23" t="s">
        <v>32</v>
      </c>
      <c r="M26" s="24" t="s">
        <v>107</v>
      </c>
      <c r="N26" s="25" t="s">
        <v>120</v>
      </c>
      <c r="O26" s="24" t="s">
        <v>41</v>
      </c>
      <c r="P26" s="24" t="s">
        <v>108</v>
      </c>
      <c r="Q26" s="26" t="s">
        <v>96</v>
      </c>
      <c r="R26" s="24" t="s">
        <v>41</v>
      </c>
      <c r="S26" s="27" t="s">
        <v>109</v>
      </c>
      <c r="T26" s="24" t="s">
        <v>79</v>
      </c>
      <c r="U26" s="24" t="s">
        <v>49</v>
      </c>
      <c r="V26" s="27"/>
    </row>
    <row r="27" spans="1:22" s="42" customFormat="1" ht="78.75" customHeight="1">
      <c r="A27" s="98"/>
      <c r="B27" s="72"/>
      <c r="C27" s="75"/>
      <c r="D27" s="78"/>
      <c r="E27" s="41" t="s">
        <v>41</v>
      </c>
      <c r="F27" s="41" t="s">
        <v>128</v>
      </c>
      <c r="G27" s="51">
        <v>0</v>
      </c>
      <c r="H27" s="57"/>
      <c r="I27" s="41" t="s">
        <v>129</v>
      </c>
      <c r="J27" s="81"/>
      <c r="K27" s="44" t="s">
        <v>31</v>
      </c>
      <c r="L27" s="23" t="s">
        <v>32</v>
      </c>
      <c r="M27" s="24" t="s">
        <v>107</v>
      </c>
      <c r="N27" s="25" t="s">
        <v>34</v>
      </c>
      <c r="O27" s="24" t="s">
        <v>41</v>
      </c>
      <c r="P27" s="24" t="s">
        <v>108</v>
      </c>
      <c r="Q27" s="26" t="s">
        <v>123</v>
      </c>
      <c r="R27" s="24" t="s">
        <v>41</v>
      </c>
      <c r="S27" s="27" t="s">
        <v>109</v>
      </c>
      <c r="T27" s="24" t="s">
        <v>123</v>
      </c>
      <c r="U27" s="24" t="s">
        <v>49</v>
      </c>
      <c r="V27" s="27"/>
    </row>
    <row r="28" spans="1:22" s="42" customFormat="1" ht="100.5" customHeight="1">
      <c r="A28" s="98"/>
      <c r="B28" s="72"/>
      <c r="C28" s="75"/>
      <c r="D28" s="78"/>
      <c r="E28" s="41" t="s">
        <v>130</v>
      </c>
      <c r="F28" s="41" t="s">
        <v>131</v>
      </c>
      <c r="G28" s="51" t="s">
        <v>132</v>
      </c>
      <c r="H28" s="51" t="s">
        <v>133</v>
      </c>
      <c r="I28" s="41" t="s">
        <v>134</v>
      </c>
      <c r="J28" s="81"/>
      <c r="K28" s="24" t="s">
        <v>31</v>
      </c>
      <c r="L28" s="23" t="s">
        <v>32</v>
      </c>
      <c r="M28" s="24" t="s">
        <v>107</v>
      </c>
      <c r="N28" s="25" t="s">
        <v>120</v>
      </c>
      <c r="O28" s="24" t="s">
        <v>41</v>
      </c>
      <c r="P28" s="24" t="s">
        <v>108</v>
      </c>
      <c r="Q28" s="26" t="s">
        <v>39</v>
      </c>
      <c r="R28" s="24" t="s">
        <v>41</v>
      </c>
      <c r="S28" s="27" t="s">
        <v>109</v>
      </c>
      <c r="T28" s="24" t="s">
        <v>39</v>
      </c>
      <c r="U28" s="24" t="s">
        <v>49</v>
      </c>
      <c r="V28" s="27"/>
    </row>
    <row r="29" spans="1:22" s="42" customFormat="1" ht="100.5" customHeight="1">
      <c r="A29" s="98"/>
      <c r="B29" s="72"/>
      <c r="C29" s="75"/>
      <c r="D29" s="78"/>
      <c r="E29" s="41" t="s">
        <v>50</v>
      </c>
      <c r="F29" s="41" t="s">
        <v>135</v>
      </c>
      <c r="G29" s="51">
        <v>0</v>
      </c>
      <c r="H29" s="51" t="s">
        <v>133</v>
      </c>
      <c r="I29" s="41" t="s">
        <v>136</v>
      </c>
      <c r="J29" s="81"/>
      <c r="K29" s="24" t="s">
        <v>31</v>
      </c>
      <c r="L29" s="23" t="s">
        <v>32</v>
      </c>
      <c r="M29" s="24" t="s">
        <v>107</v>
      </c>
      <c r="N29" s="25" t="s">
        <v>120</v>
      </c>
      <c r="O29" s="24" t="s">
        <v>41</v>
      </c>
      <c r="P29" s="24" t="s">
        <v>108</v>
      </c>
      <c r="Q29" s="26" t="s">
        <v>39</v>
      </c>
      <c r="R29" s="24" t="s">
        <v>41</v>
      </c>
      <c r="S29" s="27" t="s">
        <v>109</v>
      </c>
      <c r="T29" s="24" t="s">
        <v>39</v>
      </c>
      <c r="U29" s="24" t="s">
        <v>49</v>
      </c>
      <c r="V29" s="27"/>
    </row>
    <row r="30" spans="1:22" s="42" customFormat="1" ht="100.5" customHeight="1">
      <c r="A30" s="98"/>
      <c r="B30" s="72"/>
      <c r="C30" s="75"/>
      <c r="D30" s="78"/>
      <c r="E30" s="41" t="s">
        <v>124</v>
      </c>
      <c r="F30" s="41" t="s">
        <v>137</v>
      </c>
      <c r="G30" s="51" t="s">
        <v>138</v>
      </c>
      <c r="H30" s="51">
        <v>1</v>
      </c>
      <c r="I30" s="41" t="s">
        <v>139</v>
      </c>
      <c r="J30" s="81"/>
      <c r="K30" s="24" t="s">
        <v>31</v>
      </c>
      <c r="L30" s="23" t="s">
        <v>32</v>
      </c>
      <c r="M30" s="24" t="s">
        <v>107</v>
      </c>
      <c r="N30" s="25" t="s">
        <v>120</v>
      </c>
      <c r="O30" s="24" t="s">
        <v>41</v>
      </c>
      <c r="P30" s="24" t="s">
        <v>108</v>
      </c>
      <c r="Q30" s="26" t="s">
        <v>39</v>
      </c>
      <c r="R30" s="24" t="s">
        <v>41</v>
      </c>
      <c r="S30" s="27" t="s">
        <v>109</v>
      </c>
      <c r="T30" s="24" t="s">
        <v>79</v>
      </c>
      <c r="U30" s="24" t="s">
        <v>49</v>
      </c>
      <c r="V30" s="27"/>
    </row>
    <row r="31" spans="1:22" s="42" customFormat="1" ht="77.25" customHeight="1">
      <c r="A31" s="98"/>
      <c r="B31" s="72"/>
      <c r="C31" s="75"/>
      <c r="D31" s="78"/>
      <c r="E31" s="41" t="s">
        <v>26</v>
      </c>
      <c r="F31" s="41" t="s">
        <v>140</v>
      </c>
      <c r="G31" s="51">
        <v>0</v>
      </c>
      <c r="H31" s="51">
        <v>1</v>
      </c>
      <c r="I31" s="41" t="s">
        <v>141</v>
      </c>
      <c r="J31" s="81"/>
      <c r="K31" s="24" t="s">
        <v>31</v>
      </c>
      <c r="L31" s="23" t="s">
        <v>32</v>
      </c>
      <c r="M31" s="24" t="s">
        <v>107</v>
      </c>
      <c r="N31" s="25" t="s">
        <v>120</v>
      </c>
      <c r="O31" s="24" t="s">
        <v>41</v>
      </c>
      <c r="P31" s="24" t="s">
        <v>108</v>
      </c>
      <c r="Q31" s="26" t="s">
        <v>39</v>
      </c>
      <c r="R31" s="24" t="s">
        <v>41</v>
      </c>
      <c r="S31" s="27" t="s">
        <v>109</v>
      </c>
      <c r="T31" s="24" t="s">
        <v>39</v>
      </c>
      <c r="U31" s="24" t="s">
        <v>49</v>
      </c>
      <c r="V31" s="27"/>
    </row>
    <row r="32" spans="1:22" s="42" customFormat="1" ht="77.25" customHeight="1">
      <c r="A32" s="99"/>
      <c r="B32" s="73"/>
      <c r="C32" s="76"/>
      <c r="D32" s="79"/>
      <c r="E32" s="41" t="s">
        <v>26</v>
      </c>
      <c r="F32" s="41" t="s">
        <v>142</v>
      </c>
      <c r="G32" s="51">
        <v>0</v>
      </c>
      <c r="H32" s="57">
        <v>1</v>
      </c>
      <c r="I32" s="41" t="s">
        <v>143</v>
      </c>
      <c r="J32" s="81"/>
      <c r="K32" s="24" t="s">
        <v>31</v>
      </c>
      <c r="L32" s="23" t="s">
        <v>32</v>
      </c>
      <c r="M32" s="24" t="s">
        <v>107</v>
      </c>
      <c r="N32" s="25" t="s">
        <v>120</v>
      </c>
      <c r="O32" s="24" t="s">
        <v>41</v>
      </c>
      <c r="P32" s="24" t="s">
        <v>108</v>
      </c>
      <c r="Q32" s="26" t="s">
        <v>39</v>
      </c>
      <c r="R32" s="24" t="s">
        <v>41</v>
      </c>
      <c r="S32" s="27" t="s">
        <v>109</v>
      </c>
      <c r="T32" s="24" t="s">
        <v>39</v>
      </c>
      <c r="U32" s="24" t="s">
        <v>49</v>
      </c>
      <c r="V32" s="27"/>
    </row>
    <row r="33" spans="1:22" s="39" customFormat="1" ht="59.25" customHeight="1">
      <c r="A33" s="115" t="s">
        <v>144</v>
      </c>
      <c r="B33" s="94" t="s">
        <v>145</v>
      </c>
      <c r="C33" s="108"/>
      <c r="D33" s="111">
        <v>136000</v>
      </c>
      <c r="E33" s="33" t="s">
        <v>26</v>
      </c>
      <c r="F33" s="33" t="s">
        <v>146</v>
      </c>
      <c r="G33" s="40" t="s">
        <v>147</v>
      </c>
      <c r="H33" s="40">
        <v>300</v>
      </c>
      <c r="I33" s="65" t="s">
        <v>148</v>
      </c>
      <c r="J33" s="114" t="s">
        <v>149</v>
      </c>
      <c r="K33" s="67">
        <v>1</v>
      </c>
      <c r="L33" s="35" t="s">
        <v>150</v>
      </c>
      <c r="M33" s="36" t="s">
        <v>151</v>
      </c>
      <c r="N33" s="37" t="s">
        <v>120</v>
      </c>
      <c r="O33" s="36" t="s">
        <v>152</v>
      </c>
      <c r="P33" s="36"/>
      <c r="Q33" s="38" t="s">
        <v>39</v>
      </c>
      <c r="R33" s="36" t="s">
        <v>153</v>
      </c>
      <c r="S33" s="34" t="s">
        <v>38</v>
      </c>
      <c r="T33" s="36" t="s">
        <v>39</v>
      </c>
      <c r="U33" s="36" t="s">
        <v>148</v>
      </c>
      <c r="V33" s="34"/>
    </row>
    <row r="34" spans="1:22" s="39" customFormat="1" ht="54.75" customHeight="1">
      <c r="A34" s="116"/>
      <c r="B34" s="95"/>
      <c r="C34" s="109"/>
      <c r="D34" s="112"/>
      <c r="E34" s="33" t="s">
        <v>130</v>
      </c>
      <c r="F34" s="33" t="s">
        <v>154</v>
      </c>
      <c r="G34" s="40" t="s">
        <v>147</v>
      </c>
      <c r="H34" s="40">
        <v>400</v>
      </c>
      <c r="I34" s="65" t="s">
        <v>148</v>
      </c>
      <c r="J34" s="114"/>
      <c r="K34" s="67">
        <v>1</v>
      </c>
      <c r="L34" s="35" t="s">
        <v>150</v>
      </c>
      <c r="M34" s="36" t="s">
        <v>151</v>
      </c>
      <c r="N34" s="37" t="s">
        <v>120</v>
      </c>
      <c r="O34" s="36" t="s">
        <v>152</v>
      </c>
      <c r="P34" s="36"/>
      <c r="Q34" s="38" t="s">
        <v>39</v>
      </c>
      <c r="R34" s="36" t="s">
        <v>153</v>
      </c>
      <c r="S34" s="34" t="s">
        <v>38</v>
      </c>
      <c r="T34" s="36" t="s">
        <v>39</v>
      </c>
      <c r="U34" s="36" t="s">
        <v>148</v>
      </c>
      <c r="V34" s="34"/>
    </row>
    <row r="35" spans="1:22" s="39" customFormat="1" ht="45.75" customHeight="1">
      <c r="A35" s="116"/>
      <c r="B35" s="95"/>
      <c r="C35" s="109"/>
      <c r="D35" s="112"/>
      <c r="E35" s="33" t="s">
        <v>26</v>
      </c>
      <c r="F35" s="33" t="s">
        <v>155</v>
      </c>
      <c r="G35" s="40" t="s">
        <v>156</v>
      </c>
      <c r="H35" s="40">
        <v>1</v>
      </c>
      <c r="I35" s="65" t="s">
        <v>157</v>
      </c>
      <c r="J35" s="114"/>
      <c r="K35" s="67" t="s">
        <v>31</v>
      </c>
      <c r="L35" s="35" t="s">
        <v>150</v>
      </c>
      <c r="M35" s="36" t="s">
        <v>151</v>
      </c>
      <c r="N35" s="37" t="s">
        <v>64</v>
      </c>
      <c r="O35" s="36" t="s">
        <v>152</v>
      </c>
      <c r="P35" s="36"/>
      <c r="Q35" s="38" t="s">
        <v>36</v>
      </c>
      <c r="R35" s="36" t="s">
        <v>48</v>
      </c>
      <c r="S35" s="34" t="s">
        <v>38</v>
      </c>
      <c r="T35" s="36" t="s">
        <v>39</v>
      </c>
      <c r="U35" s="36" t="s">
        <v>49</v>
      </c>
      <c r="V35" s="34"/>
    </row>
    <row r="36" spans="1:22" s="39" customFormat="1" ht="43.5" customHeight="1">
      <c r="A36" s="116"/>
      <c r="B36" s="95"/>
      <c r="C36" s="109"/>
      <c r="D36" s="112"/>
      <c r="E36" s="33" t="s">
        <v>20</v>
      </c>
      <c r="F36" s="33" t="s">
        <v>158</v>
      </c>
      <c r="G36" s="40" t="s">
        <v>159</v>
      </c>
      <c r="H36" s="40">
        <v>1</v>
      </c>
      <c r="I36" s="65" t="s">
        <v>160</v>
      </c>
      <c r="J36" s="114"/>
      <c r="K36" s="67" t="s">
        <v>31</v>
      </c>
      <c r="L36" s="35" t="s">
        <v>150</v>
      </c>
      <c r="M36" s="36" t="s">
        <v>151</v>
      </c>
      <c r="N36" s="37" t="s">
        <v>64</v>
      </c>
      <c r="O36" s="36" t="s">
        <v>152</v>
      </c>
      <c r="P36" s="36"/>
      <c r="Q36" s="38" t="s">
        <v>36</v>
      </c>
      <c r="R36" s="36" t="s">
        <v>48</v>
      </c>
      <c r="S36" s="34" t="s">
        <v>38</v>
      </c>
      <c r="T36" s="36" t="s">
        <v>39</v>
      </c>
      <c r="U36" s="36" t="s">
        <v>49</v>
      </c>
      <c r="V36" s="34"/>
    </row>
    <row r="37" spans="1:22" s="39" customFormat="1" ht="42.75" customHeight="1">
      <c r="A37" s="116"/>
      <c r="B37" s="95"/>
      <c r="C37" s="109"/>
      <c r="D37" s="112"/>
      <c r="E37" s="33" t="s">
        <v>26</v>
      </c>
      <c r="F37" s="33" t="s">
        <v>161</v>
      </c>
      <c r="G37" s="40">
        <v>0</v>
      </c>
      <c r="H37" s="40">
        <v>10</v>
      </c>
      <c r="I37" s="65" t="s">
        <v>162</v>
      </c>
      <c r="J37" s="114"/>
      <c r="K37" s="67" t="s">
        <v>31</v>
      </c>
      <c r="L37" s="35" t="s">
        <v>150</v>
      </c>
      <c r="M37" s="36" t="s">
        <v>151</v>
      </c>
      <c r="N37" s="37" t="s">
        <v>120</v>
      </c>
      <c r="O37" s="36" t="s">
        <v>152</v>
      </c>
      <c r="P37" s="36"/>
      <c r="Q37" s="38" t="s">
        <v>39</v>
      </c>
      <c r="R37" s="36" t="s">
        <v>48</v>
      </c>
      <c r="S37" s="34" t="s">
        <v>38</v>
      </c>
      <c r="T37" s="36" t="s">
        <v>39</v>
      </c>
      <c r="U37" s="36" t="s">
        <v>49</v>
      </c>
      <c r="V37" s="34"/>
    </row>
    <row r="38" spans="1:22" s="39" customFormat="1" ht="43.5" customHeight="1">
      <c r="A38" s="116"/>
      <c r="B38" s="95"/>
      <c r="C38" s="109"/>
      <c r="D38" s="112"/>
      <c r="E38" s="33" t="s">
        <v>26</v>
      </c>
      <c r="F38" s="33" t="s">
        <v>163</v>
      </c>
      <c r="G38" s="40">
        <v>0</v>
      </c>
      <c r="H38" s="40">
        <v>2</v>
      </c>
      <c r="I38" s="65" t="s">
        <v>164</v>
      </c>
      <c r="J38" s="114"/>
      <c r="K38" s="67" t="s">
        <v>31</v>
      </c>
      <c r="L38" s="35" t="s">
        <v>150</v>
      </c>
      <c r="M38" s="36" t="s">
        <v>151</v>
      </c>
      <c r="N38" s="37" t="s">
        <v>120</v>
      </c>
      <c r="O38" s="36" t="s">
        <v>152</v>
      </c>
      <c r="P38" s="36"/>
      <c r="Q38" s="38" t="s">
        <v>39</v>
      </c>
      <c r="R38" s="36" t="s">
        <v>48</v>
      </c>
      <c r="S38" s="34" t="s">
        <v>38</v>
      </c>
      <c r="T38" s="36" t="s">
        <v>39</v>
      </c>
      <c r="U38" s="36" t="s">
        <v>49</v>
      </c>
      <c r="V38" s="34"/>
    </row>
    <row r="39" spans="1:22" s="39" customFormat="1" ht="43.5" customHeight="1">
      <c r="A39" s="117"/>
      <c r="B39" s="96"/>
      <c r="C39" s="110"/>
      <c r="D39" s="113"/>
      <c r="E39" s="33" t="s">
        <v>26</v>
      </c>
      <c r="F39" s="33" t="s">
        <v>165</v>
      </c>
      <c r="G39" s="40">
        <v>0</v>
      </c>
      <c r="H39" s="40">
        <v>4</v>
      </c>
      <c r="I39" s="65" t="s">
        <v>166</v>
      </c>
      <c r="J39" s="114"/>
      <c r="K39" s="67" t="s">
        <v>31</v>
      </c>
      <c r="L39" s="35" t="s">
        <v>150</v>
      </c>
      <c r="M39" s="36" t="s">
        <v>151</v>
      </c>
      <c r="N39" s="37" t="s">
        <v>120</v>
      </c>
      <c r="O39" s="36" t="s">
        <v>152</v>
      </c>
      <c r="P39" s="36"/>
      <c r="Q39" s="38" t="s">
        <v>39</v>
      </c>
      <c r="R39" s="36" t="s">
        <v>48</v>
      </c>
      <c r="S39" s="34" t="s">
        <v>38</v>
      </c>
      <c r="T39" s="36" t="s">
        <v>39</v>
      </c>
      <c r="U39" s="36" t="s">
        <v>49</v>
      </c>
      <c r="V39" s="34"/>
    </row>
    <row r="40" spans="1:22" s="42" customFormat="1" ht="49.5" customHeight="1">
      <c r="A40" s="97" t="s">
        <v>167</v>
      </c>
      <c r="B40" s="71" t="s">
        <v>168</v>
      </c>
      <c r="C40" s="71"/>
      <c r="D40" s="100">
        <v>270000</v>
      </c>
      <c r="E40" s="41" t="s">
        <v>20</v>
      </c>
      <c r="F40" s="41" t="s">
        <v>169</v>
      </c>
      <c r="G40" s="51">
        <v>0</v>
      </c>
      <c r="H40" s="51">
        <v>1</v>
      </c>
      <c r="I40" s="66"/>
      <c r="J40" s="118" t="s">
        <v>170</v>
      </c>
      <c r="K40" s="68" t="s">
        <v>31</v>
      </c>
      <c r="L40" s="23" t="s">
        <v>150</v>
      </c>
      <c r="M40" s="24" t="s">
        <v>63</v>
      </c>
      <c r="N40" s="25" t="s">
        <v>34</v>
      </c>
      <c r="O40" s="24" t="s">
        <v>171</v>
      </c>
      <c r="P40" s="24"/>
      <c r="Q40" s="26" t="s">
        <v>172</v>
      </c>
      <c r="R40" s="24" t="s">
        <v>171</v>
      </c>
      <c r="S40" s="27" t="s">
        <v>38</v>
      </c>
      <c r="T40" s="24" t="s">
        <v>39</v>
      </c>
      <c r="U40" s="24" t="s">
        <v>49</v>
      </c>
      <c r="V40" s="27"/>
    </row>
    <row r="41" spans="1:22" s="42" customFormat="1" ht="49.5" customHeight="1">
      <c r="A41" s="98"/>
      <c r="B41" s="72"/>
      <c r="C41" s="72"/>
      <c r="D41" s="101"/>
      <c r="E41" s="41" t="s">
        <v>20</v>
      </c>
      <c r="F41" s="41" t="s">
        <v>173</v>
      </c>
      <c r="G41" s="51">
        <v>0</v>
      </c>
      <c r="H41" s="51">
        <v>1</v>
      </c>
      <c r="I41" s="66"/>
      <c r="J41" s="118"/>
      <c r="K41" s="68" t="s">
        <v>31</v>
      </c>
      <c r="L41" s="23" t="s">
        <v>150</v>
      </c>
      <c r="M41" s="24" t="s">
        <v>107</v>
      </c>
      <c r="N41" s="25" t="s">
        <v>120</v>
      </c>
      <c r="O41" s="24" t="s">
        <v>171</v>
      </c>
      <c r="P41" s="24"/>
      <c r="Q41" s="26" t="s">
        <v>172</v>
      </c>
      <c r="R41" s="24" t="s">
        <v>171</v>
      </c>
      <c r="S41" s="27" t="s">
        <v>38</v>
      </c>
      <c r="T41" s="24" t="s">
        <v>79</v>
      </c>
      <c r="U41" s="24" t="s">
        <v>49</v>
      </c>
      <c r="V41" s="27"/>
    </row>
    <row r="42" spans="1:22" s="42" customFormat="1" ht="49.5" customHeight="1">
      <c r="A42" s="98"/>
      <c r="B42" s="72"/>
      <c r="C42" s="72"/>
      <c r="D42" s="101"/>
      <c r="E42" s="41" t="s">
        <v>20</v>
      </c>
      <c r="F42" s="41" t="s">
        <v>174</v>
      </c>
      <c r="G42" s="51">
        <v>0</v>
      </c>
      <c r="H42" s="51">
        <v>1</v>
      </c>
      <c r="I42" s="66"/>
      <c r="J42" s="118"/>
      <c r="K42" s="68" t="s">
        <v>31</v>
      </c>
      <c r="L42" s="23" t="s">
        <v>150</v>
      </c>
      <c r="M42" s="24" t="s">
        <v>107</v>
      </c>
      <c r="N42" s="25" t="s">
        <v>120</v>
      </c>
      <c r="O42" s="24" t="s">
        <v>171</v>
      </c>
      <c r="P42" s="24"/>
      <c r="Q42" s="26" t="s">
        <v>172</v>
      </c>
      <c r="R42" s="24" t="s">
        <v>171</v>
      </c>
      <c r="S42" s="27" t="s">
        <v>38</v>
      </c>
      <c r="T42" s="24" t="s">
        <v>39</v>
      </c>
      <c r="U42" s="24" t="s">
        <v>49</v>
      </c>
      <c r="V42" s="27"/>
    </row>
    <row r="43" spans="1:22" s="42" customFormat="1" ht="49.5" customHeight="1">
      <c r="A43" s="99"/>
      <c r="B43" s="73"/>
      <c r="C43" s="73"/>
      <c r="D43" s="102"/>
      <c r="E43" s="41" t="s">
        <v>20</v>
      </c>
      <c r="F43" s="41" t="s">
        <v>175</v>
      </c>
      <c r="G43" s="51">
        <v>0</v>
      </c>
      <c r="H43" s="51">
        <v>1</v>
      </c>
      <c r="I43" s="66"/>
      <c r="J43" s="118"/>
      <c r="K43" s="68" t="s">
        <v>31</v>
      </c>
      <c r="L43" s="23" t="s">
        <v>150</v>
      </c>
      <c r="M43" s="24" t="s">
        <v>107</v>
      </c>
      <c r="N43" s="25" t="s">
        <v>120</v>
      </c>
      <c r="O43" s="24" t="s">
        <v>171</v>
      </c>
      <c r="P43" s="24"/>
      <c r="Q43" s="26" t="s">
        <v>172</v>
      </c>
      <c r="R43" s="24" t="s">
        <v>171</v>
      </c>
      <c r="S43" s="27" t="s">
        <v>38</v>
      </c>
      <c r="T43" s="24" t="s">
        <v>79</v>
      </c>
      <c r="U43" s="24" t="s">
        <v>49</v>
      </c>
      <c r="V43" s="27"/>
    </row>
    <row r="44" spans="1:22" s="7" customFormat="1">
      <c r="D44" s="54"/>
      <c r="G44" s="45"/>
      <c r="H44" s="45"/>
      <c r="K44" s="45"/>
      <c r="Q44" s="55"/>
    </row>
  </sheetData>
  <mergeCells count="25">
    <mergeCell ref="A40:A43"/>
    <mergeCell ref="B40:B43"/>
    <mergeCell ref="C40:C43"/>
    <mergeCell ref="D40:D43"/>
    <mergeCell ref="J2:J9"/>
    <mergeCell ref="D2:D9"/>
    <mergeCell ref="A2:A9"/>
    <mergeCell ref="B33:B39"/>
    <mergeCell ref="C33:C39"/>
    <mergeCell ref="D33:D39"/>
    <mergeCell ref="J33:J39"/>
    <mergeCell ref="A33:A39"/>
    <mergeCell ref="J40:J43"/>
    <mergeCell ref="F21:F22"/>
    <mergeCell ref="A20:A32"/>
    <mergeCell ref="B20:B32"/>
    <mergeCell ref="C20:C32"/>
    <mergeCell ref="D20:D32"/>
    <mergeCell ref="J20:J32"/>
    <mergeCell ref="A10:A19"/>
    <mergeCell ref="B10:B19"/>
    <mergeCell ref="C10:C19"/>
    <mergeCell ref="D10:D19"/>
    <mergeCell ref="J10:J19"/>
    <mergeCell ref="G10:G12"/>
  </mergeCells>
  <dataValidations count="10">
    <dataValidation type="list" allowBlank="1" showInputMessage="1" showErrorMessage="1" sqref="N2:N43" xr:uid="{C12229AB-1F1B-4D15-B867-00F0EE5584FB}">
      <formula1>"Accelerating just energy transition, Close the gap on energy access, Scale up energy finance"</formula1>
    </dataValidation>
    <dataValidation type="list" allowBlank="1" showInputMessage="1" showErrorMessage="1" sqref="P2:P43" xr:uid="{B0E49EE3-E3C2-4AD2-AE80-EC954E5B29A2}">
      <formula1>"AMP, PUDC, Solar4Health, Action Opportunities, Italy UNDP Energy Partnership"</formula1>
    </dataValidation>
    <dataValidation type="list" allowBlank="1" showInputMessage="1" showErrorMessage="1" sqref="Q2:Q43" xr:uid="{ADAF9190-E3D1-47F1-B40C-3D3BA15F0940}">
      <formula1>"NDC Support, National Strategy, Legal Framework,Incentives and Support, Government Capacity-Building, Carbon Pricing and Monitoring, Financing Model, Business Model"</formula1>
    </dataValidation>
    <dataValidation type="list" allowBlank="1" showInputMessage="1" showErrorMessage="1" sqref="O2:O43" xr:uid="{44946E23-C81E-4262-A400-8EF6ADAAEB8D}">
      <formula1>"Electricity Access, Energy Efficiency, Clean Cooking, Renewable Energy, Overall"</formula1>
    </dataValidation>
    <dataValidation type="list" allowBlank="1" showInputMessage="1" showErrorMessage="1" sqref="L2:L43" xr:uid="{9BA1740A-0E37-4453-A043-60B5A14D2912}">
      <formula1>"Non-VF, VF"</formula1>
    </dataValidation>
    <dataValidation type="list" allowBlank="1" showInputMessage="1" showErrorMessage="1" sqref="M2:M43" xr:uid="{D144720E-6EE5-4C5D-97A3-B1A1CCDBCACC}">
      <formula1>"Finance, Gender, Efficiency, Just, Health"</formula1>
    </dataValidation>
    <dataValidation type="list" allowBlank="1" showInputMessage="1" showErrorMessage="1" sqref="U2:U43" xr:uid="{A7971B00-FD90-421F-BBAB-E5931A5159F6}">
      <formula1>"National, Regional, City, Community"</formula1>
    </dataValidation>
    <dataValidation type="list" allowBlank="1" showInputMessage="1" showErrorMessage="1" sqref="S2:S43" xr:uid="{9224EDFF-28F0-4B20-97AE-CF0F31C5BC39}">
      <formula1>"Solar, Wind, Bioenergy, Hydro, Geothermal, Waste, Some Sources, Other, Unknown"</formula1>
    </dataValidation>
    <dataValidation type="list" allowBlank="1" showInputMessage="1" showErrorMessage="1" sqref="R2:R43" xr:uid="{D998DAE1-A213-406D-8594-5480A804E4B7}">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T2:T43" xr:uid="{6E499426-379E-4469-A358-0F2C2925FD4C}">
      <formula1>"Incentives and Support, Derisking Financial Model, Business Model"</formula1>
    </dataValidation>
  </dataValidations>
  <hyperlinks>
    <hyperlink ref="C2" r:id="rId1" xr:uid="{AA37FFE1-DF1D-45BF-A394-A239A4E49D6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25A058B-D883-43F2-80A9-42519881A87E}">
          <x14:formula1>
            <xm:f>'Beneficiary Categories'!$A$2:$A$22</xm:f>
          </x14:formula1>
          <xm:sqref>E2:E21 E23:E43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11" workbookViewId="0">
      <selection activeCell="B35" sqref="B35"/>
    </sheetView>
  </sheetViews>
  <sheetFormatPr defaultColWidth="8.85546875" defaultRowHeight="15"/>
  <cols>
    <col min="1" max="2" width="52.7109375" customWidth="1"/>
  </cols>
  <sheetData>
    <row r="1" spans="1:2">
      <c r="A1" s="2" t="s">
        <v>4</v>
      </c>
      <c r="B1" s="2" t="s">
        <v>5</v>
      </c>
    </row>
    <row r="2" spans="1:2" ht="45.75">
      <c r="A2" s="119" t="s">
        <v>41</v>
      </c>
      <c r="B2" s="3" t="s">
        <v>176</v>
      </c>
    </row>
    <row r="3" spans="1:2">
      <c r="A3" s="119" t="s">
        <v>115</v>
      </c>
      <c r="B3" s="3" t="s">
        <v>177</v>
      </c>
    </row>
    <row r="4" spans="1:2" ht="30.75">
      <c r="A4" s="119" t="s">
        <v>171</v>
      </c>
      <c r="B4" s="3" t="s">
        <v>178</v>
      </c>
    </row>
    <row r="5" spans="1:2" ht="30.75">
      <c r="A5" s="119" t="s">
        <v>179</v>
      </c>
      <c r="B5" s="3" t="s">
        <v>180</v>
      </c>
    </row>
    <row r="6" spans="1:2" ht="91.5">
      <c r="A6" s="119" t="s">
        <v>181</v>
      </c>
      <c r="B6" s="3" t="s">
        <v>182</v>
      </c>
    </row>
    <row r="7" spans="1:2" ht="45.75">
      <c r="A7" s="119" t="s">
        <v>183</v>
      </c>
      <c r="B7" s="3" t="s">
        <v>184</v>
      </c>
    </row>
    <row r="8" spans="1:2" ht="45.75">
      <c r="A8" s="119" t="s">
        <v>185</v>
      </c>
      <c r="B8" s="3" t="s">
        <v>186</v>
      </c>
    </row>
    <row r="9" spans="1:2" ht="45.75">
      <c r="A9" s="119" t="s">
        <v>187</v>
      </c>
      <c r="B9" s="3" t="s">
        <v>188</v>
      </c>
    </row>
    <row r="10" spans="1:2" ht="30.75">
      <c r="A10" s="119" t="s">
        <v>189</v>
      </c>
      <c r="B10" s="120" t="s">
        <v>190</v>
      </c>
    </row>
    <row r="11" spans="1:2" ht="30.75">
      <c r="A11" s="119" t="s">
        <v>58</v>
      </c>
      <c r="B11" s="120" t="s">
        <v>191</v>
      </c>
    </row>
    <row r="12" spans="1:2" ht="45.75">
      <c r="A12" s="119" t="s">
        <v>192</v>
      </c>
      <c r="B12" s="3" t="s">
        <v>193</v>
      </c>
    </row>
    <row r="13" spans="1:2" ht="30.75">
      <c r="A13" s="119" t="s">
        <v>194</v>
      </c>
      <c r="B13" s="120" t="s">
        <v>195</v>
      </c>
    </row>
    <row r="14" spans="1:2">
      <c r="A14" s="119" t="s">
        <v>124</v>
      </c>
      <c r="B14" s="120" t="s">
        <v>196</v>
      </c>
    </row>
    <row r="15" spans="1:2" ht="30.75">
      <c r="A15" s="119" t="s">
        <v>197</v>
      </c>
      <c r="B15" s="120" t="s">
        <v>198</v>
      </c>
    </row>
    <row r="16" spans="1:2" ht="30.75">
      <c r="A16" s="119" t="s">
        <v>88</v>
      </c>
      <c r="B16" s="120" t="s">
        <v>199</v>
      </c>
    </row>
    <row r="17" spans="1:2" ht="30.75">
      <c r="A17" s="119" t="s">
        <v>50</v>
      </c>
      <c r="B17" s="3" t="s">
        <v>200</v>
      </c>
    </row>
    <row r="18" spans="1:2" ht="30.75">
      <c r="A18" s="119" t="s">
        <v>130</v>
      </c>
      <c r="B18" s="120" t="s">
        <v>201</v>
      </c>
    </row>
    <row r="19" spans="1:2" ht="76.5">
      <c r="A19" s="119" t="s">
        <v>19</v>
      </c>
      <c r="B19" s="120" t="s">
        <v>202</v>
      </c>
    </row>
    <row r="20" spans="1:2" ht="30.75">
      <c r="A20" s="119" t="s">
        <v>203</v>
      </c>
      <c r="B20" s="120" t="s">
        <v>204</v>
      </c>
    </row>
    <row r="21" spans="1:2" ht="45.75">
      <c r="A21" s="119" t="s">
        <v>20</v>
      </c>
      <c r="B21" s="121" t="s">
        <v>205</v>
      </c>
    </row>
    <row r="22" spans="1:2" ht="30.75">
      <c r="A22" s="119" t="s">
        <v>26</v>
      </c>
      <c r="B22" s="120" t="s">
        <v>206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2f2730339429c0b8052a07257e70ff76">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fe4d4c93f61cf6f34f7f371336feb375"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Yu Ding</DisplayName>
        <AccountId>1254</AccountId>
        <AccountType/>
      </UserInfo>
      <UserInfo>
        <DisplayName>Okelo Fekadu</DisplayName>
        <AccountId>1708</AccountId>
        <AccountType/>
      </UserInfo>
      <UserInfo>
        <DisplayName>Charu Bist</DisplayName>
        <AccountId>2577</AccountId>
        <AccountType/>
      </UserInfo>
      <UserInfo>
        <DisplayName>Fungai Matura</DisplayName>
        <AccountId>1028</AccountId>
        <AccountType/>
      </UserInfo>
      <UserInfo>
        <DisplayName>Benjamin Keller</DisplayName>
        <AccountId>1227</AccountId>
        <AccountType/>
      </UserInfo>
      <UserInfo>
        <DisplayName>Tannya Quinza-armenta</DisplayName>
        <AccountId>2508</AccountId>
        <AccountType/>
      </UserInfo>
      <UserInfo>
        <DisplayName>Stefano Pistolese</DisplayName>
        <AccountId>772</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E81855-3FF1-4889-9B10-C9D6E78A8629}"/>
</file>

<file path=customXml/itemProps2.xml><?xml version="1.0" encoding="utf-8"?>
<ds:datastoreItem xmlns:ds="http://schemas.openxmlformats.org/officeDocument/2006/customXml" ds:itemID="{595127E4-704E-4A86-883A-3A7A6BA0F0B8}"/>
</file>

<file path=customXml/itemProps3.xml><?xml version="1.0" encoding="utf-8"?>
<ds:datastoreItem xmlns:ds="http://schemas.openxmlformats.org/officeDocument/2006/customXml" ds:itemID="{EB66BC13-1528-4B62-8772-F6E82983ED5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2026-01-14T00:22:02Z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