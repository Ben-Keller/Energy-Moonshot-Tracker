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278" documentId="11_ADA412DA7805593B5F46F8C2634B7C7E780AA4BC" xr6:coauthVersionLast="47" xr6:coauthVersionMax="47" xr10:uidLastSave="{825D31BB-88D4-4A83-80B2-B8C662A2887E}"/>
  <bookViews>
    <workbookView xWindow="240" yWindow="15" windowWidth="16095" windowHeight="966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<sst xmlns="http://schemas.openxmlformats.org/spreadsheetml/2006/main" count="164" uniqueCount="116">
  <si>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</si>
  <si>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</si>
  <si>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</si>
  <si>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</si>
  <si>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</si>
  <si>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</si>
  <si>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</si>
  <si>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</si>
  <si>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</si>
  <si>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</si>
  <si>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</si>
  <si>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</si>
  <si>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</si>
  <si>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</si>
  <si>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</si>
  <si>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</si>
  <si>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</si>
  <si>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</si>
  <si>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</si>
  <si>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</si>
  <si>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</si>
  <si>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Forest Landscape Restoration in the Mayaga</t>
  </si>
  <si>
    <t>https://co.pims.undp.org/project/view?id=5702
https://erc.undp.org/evaluation/documents/detail/22638</t>
  </si>
  <si>
    <t>Clean Cooking</t>
  </si>
  <si>
    <t>Number of householders with improved cookstoves and biogas stations</t>
  </si>
  <si>
    <t>21500 HH</t>
  </si>
  <si>
    <t xml:space="preserve">2,1000 were provided improved cookstoves and 500 households withbiogas digesters for cooking, 20 schools were provided with LPGs </t>
  </si>
  <si>
    <t xml:space="preserve">GEF + core resources </t>
  </si>
  <si>
    <t>VF</t>
  </si>
  <si>
    <t>Close the gap on energy access</t>
  </si>
  <si>
    <t>National Strategy</t>
  </si>
  <si>
    <t>Energy Efficiency</t>
  </si>
  <si>
    <t>Other</t>
  </si>
  <si>
    <t>National</t>
  </si>
  <si>
    <t>Ecosystems/Landscape approach to climate proof the Rural Settlement Program of Rwanda</t>
  </si>
  <si>
    <t>https://pir.pims.undp.org/pir/report?id=38&amp;pirEntryId=4750</t>
  </si>
  <si>
    <t xml:space="preserve">Number of households with improved cook stoves and access to electricity for lighting </t>
  </si>
  <si>
    <t xml:space="preserve">5250 households </t>
  </si>
  <si>
    <t xml:space="preserve">5000 households were provided with improved cookstoves and 200 households connected to grid electricity </t>
  </si>
  <si>
    <t xml:space="preserve">GEF </t>
  </si>
  <si>
    <t>Efficiency</t>
  </si>
  <si>
    <t>Accelerating just energy transition</t>
  </si>
  <si>
    <t>Renewable Energy</t>
  </si>
  <si>
    <t>Hydro</t>
  </si>
  <si>
    <t>Poverty Environment Action for SDGs</t>
  </si>
  <si>
    <t>https://undp-my.sharepoint.com/query?q=pea&amp;searchScope=all&amp;id=%2Fpersonal%2Fpierre%5Fndindiyaho%5Fundp%5Forg%2FDocuments%2FPEA%5FFinal%20Report%2Epdf&amp;parentview=7</t>
  </si>
  <si>
    <t>Transportation and E-mobility Services</t>
  </si>
  <si>
    <t xml:space="preserve">Number of motorcycles retrofitted </t>
  </si>
  <si>
    <t>80</t>
  </si>
  <si>
    <t xml:space="preserve">80 motorcycles were retrofitted </t>
  </si>
  <si>
    <t>Belgium, Sida</t>
  </si>
  <si>
    <t>Non-VF</t>
  </si>
  <si>
    <t>Just</t>
  </si>
  <si>
    <t>Incentives and Support</t>
  </si>
  <si>
    <t>Transport</t>
  </si>
  <si>
    <t>Strengthening Capacities of the ENR Sector for Green Economy Transformation (SCENR)</t>
  </si>
  <si>
    <t>https://erc.undp.org/evaluation/documents/download/21990</t>
  </si>
  <si>
    <t>Electricity Access</t>
  </si>
  <si>
    <t>Number of households provided with solar PVs for lighting homes</t>
  </si>
  <si>
    <t>1006 HH</t>
  </si>
  <si>
    <t>2,945 households were connectd to solar energy, 13 SMEs were provided with Solar water heaters of 300L each</t>
  </si>
  <si>
    <t>UNDP Core resources</t>
  </si>
  <si>
    <t>NDC Support</t>
  </si>
  <si>
    <t>Solar</t>
  </si>
  <si>
    <t>N/A</t>
  </si>
  <si>
    <t xml:space="preserve">Solar powered irrigation for households and cooperatives </t>
  </si>
  <si>
    <t xml:space="preserve">Energy infrastructure services </t>
  </si>
  <si>
    <t xml:space="preserve">Number of cooperatives and households supported with solar powered irrigation infrastructure </t>
  </si>
  <si>
    <t xml:space="preserve">12 cooperatives and 18 households were provided with solar powered irrigation systems for both open field farming and hydroponics </t>
  </si>
  <si>
    <t>SGP + UNDP Core resources</t>
  </si>
  <si>
    <t>Scale up energy finance</t>
  </si>
  <si>
    <t>Infrastructure</t>
  </si>
  <si>
    <t>PIMS+</t>
  </si>
  <si>
    <t>Number of householders with improved cookstoves</t>
  </si>
  <si>
    <t>21000 HH</t>
  </si>
  <si>
    <t>Number of households provided with biogas stations</t>
  </si>
  <si>
    <t>Number of people, disaggregated by sex, who gain access to clean electricity (direct access to electricity, lighting, cooling, etc.) </t>
  </si>
  <si>
    <t>1006 (60% of women)</t>
  </si>
  <si>
    <t>Energy (MW added)</t>
  </si>
  <si>
    <t>Number of MW installed capacity</t>
  </si>
  <si>
    <t>Number of people who gain access to clean cooking (direct access to clean cook stoves, clean fuels, biomass, etc.).</t>
  </si>
  <si>
    <t>22000 HH</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</si>
  <si>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</si>
  <si>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</si>
  <si>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</si>
  <si>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</si>
  <si>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</si>
  <si>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</si>
  <si>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</si>
  <si>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</si>
  <si>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</si>
  <si>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</si>
  <si>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</si>
  <si>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</si>
  <si>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</si>
  <si>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</si>
  <si>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</si>
  <si>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</si>
  <si>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</si>
  <si>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</si>
  <si>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</si>
  <si>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</si>
  <si>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</si>
  <si>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</si>
  <si>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</si>
  <si>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</si>
  <si>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</si>
  <si>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</si>
  <si>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</si>
  <si>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</si>
  <si>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</si>
  <si>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NA</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</si>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</sst>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family val="2"/>
      <scheme val="minor"/>
    </font>
    <font>
      <sz val="11"/>
      <color theme="1"/>
      <name val="Calibri"/>
      <family val="2"/>
      <charset val="1"/>
    </font>
    <font>
      <sz val="12"/>
      <color theme="1"/>
      <name val="Calibri"/>
      <family val="2"/>
      <charset val="1"/>
    </font>
    <font>
      <b/>
      <sz val="11"/>
      <color theme="1"/>
      <name val="Calibri"/>
      <scheme val="minor"/>
    </font>
    <font>
      <sz val="11"/>
      <color rgb="FF000000"/>
      <name val="Calibri"/>
      <scheme val="minor"/>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7" fillId="0" borderId="0" applyNumberFormat="0" applyFill="0" applyBorder="0" applyAlignment="0" applyProtection="0"/>
  </cellStyleXfs>
  <cellXfs count="41">
    <xf numFmtId="0" fontId="0" fillId="0" borderId="0" xfId="0"/>
    <xf numFmtId="0" fontId="2"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xf numFmtId="0" fontId="0" fillId="0" borderId="0" xfId="0" applyAlignment="1">
      <alignment horizontal="center" wrapText="1"/>
    </xf>
    <xf numFmtId="3" fontId="0" fillId="0" borderId="0" xfId="0" applyNumberFormat="1"/>
    <xf numFmtId="0" fontId="0" fillId="2" borderId="0" xfId="0" applyFill="1"/>
    <xf numFmtId="0" fontId="2" fillId="0" borderId="0" xfId="0" applyFont="1"/>
    <xf numFmtId="0" fontId="0" fillId="0" borderId="3" xfId="0" applyBorder="1" applyAlignment="1">
      <alignment horizontal="left" vertical="center" wrapText="1"/>
    </xf>
    <xf numFmtId="0" fontId="2" fillId="0" borderId="3" xfId="0" applyFont="1" applyBorder="1" applyAlignment="1">
      <alignment horizontal="left" vertical="center" wrapText="1"/>
    </xf>
    <xf numFmtId="49" fontId="0" fillId="0" borderId="3" xfId="0" applyNumberFormat="1" applyBorder="1" applyAlignment="1">
      <alignment horizontal="left" vertical="center" wrapText="1"/>
    </xf>
    <xf numFmtId="0" fontId="0" fillId="0" borderId="3" xfId="0" applyBorder="1" applyAlignment="1">
      <alignment horizontal="center" vertical="center"/>
    </xf>
    <xf numFmtId="0" fontId="5" fillId="0" borderId="3" xfId="0" applyFont="1" applyBorder="1" applyAlignment="1">
      <alignment horizontal="center" vertical="top"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7" fillId="0" borderId="3" xfId="1" applyBorder="1" applyAlignment="1">
      <alignment horizontal="left" vertical="center" wrapText="1"/>
    </xf>
    <xf numFmtId="0" fontId="0" fillId="0" borderId="3" xfId="0" applyBorder="1"/>
    <xf numFmtId="0" fontId="6" fillId="0" borderId="6" xfId="0" applyFont="1" applyBorder="1" applyAlignment="1">
      <alignment wrapText="1"/>
    </xf>
    <xf numFmtId="0" fontId="0" fillId="0" borderId="3" xfId="0" applyBorder="1" applyAlignment="1">
      <alignment vertical="center" wrapText="1"/>
    </xf>
    <xf numFmtId="0" fontId="0" fillId="0" borderId="4" xfId="0" applyBorder="1" applyAlignment="1">
      <alignment horizontal="left" vertical="center" wrapText="1"/>
    </xf>
    <xf numFmtId="0" fontId="7" fillId="3" borderId="4" xfId="1" applyFill="1" applyBorder="1" applyAlignment="1">
      <alignment horizontal="left" vertical="center" wrapText="1"/>
    </xf>
    <xf numFmtId="0" fontId="0" fillId="3" borderId="4" xfId="0" applyFill="1" applyBorder="1" applyAlignment="1">
      <alignment horizontal="left" vertical="center" wrapText="1"/>
    </xf>
    <xf numFmtId="0" fontId="0" fillId="0" borderId="5"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wrapText="1"/>
    </xf>
    <xf numFmtId="0" fontId="0" fillId="0" borderId="4" xfId="0" applyBorder="1" applyAlignment="1">
      <alignment vertical="center"/>
    </xf>
    <xf numFmtId="0" fontId="0" fillId="0" borderId="3" xfId="0" applyBorder="1" applyAlignment="1">
      <alignment horizontal="center" vertical="center" wrapText="1"/>
    </xf>
    <xf numFmtId="0" fontId="0" fillId="0" borderId="6" xfId="0" applyBorder="1" applyAlignment="1">
      <alignment vertical="center"/>
    </xf>
    <xf numFmtId="0" fontId="0" fillId="0" borderId="7" xfId="0" applyBorder="1" applyAlignment="1">
      <alignment vertical="center" wrapText="1"/>
    </xf>
    <xf numFmtId="3" fontId="0" fillId="0" borderId="3" xfId="0" applyNumberFormat="1" applyBorder="1" applyAlignment="1">
      <alignment vertical="center"/>
    </xf>
    <xf numFmtId="0" fontId="0" fillId="0" borderId="2" xfId="0" applyBorder="1" applyAlignment="1">
      <alignment horizontal="center" vertical="center" wrapText="1"/>
    </xf>
    <xf numFmtId="0" fontId="0" fillId="0" borderId="0" xfId="0" applyAlignment="1">
      <alignment horizontal="center" vertical="center" wrapText="1"/>
    </xf>
    <xf numFmtId="0" fontId="1" fillId="0" borderId="3" xfId="0" applyFont="1" applyBorder="1" applyAlignment="1">
      <alignment horizontal="left" vertical="center" wrapText="1"/>
    </xf>
    <xf numFmtId="0" fontId="1" fillId="0" borderId="6" xfId="0" applyFont="1" applyBorder="1" applyAlignment="1">
      <alignment wrapText="1"/>
    </xf>
    <xf numFmtId="0" fontId="1" fillId="0" borderId="6"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ir.pims.undp.org/pir/report?id=38&amp;pirEntryId=4750" TargetMode="External"/><Relationship Id="rId2" Type="http://schemas.openxmlformats.org/officeDocument/2006/relationships/hyperlink" Target="https://erc.undp.org/evaluation/documents/download/21990" TargetMode="External"/><Relationship Id="rId1" Type="http://schemas.openxmlformats.org/officeDocument/2006/relationships/hyperlink" Target="https://co.pims.undp.org/project/view?id=5702" TargetMode="External"/><Relationship Id="rId4" Type="http://schemas.openxmlformats.org/officeDocument/2006/relationships/hyperlink" Target="https://undp-my.sharepoint.com/query?q=pea&amp;searchScope=all&amp;id=%2Fpersonal%2Fpierre%5Fndindiyaho%5Fundp%5Forg%2FDocuments%2FPEA%5FFinal%20Report%2Epdf&amp;parentview=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AE0D4-ECA8-4B19-8BA5-BD9F24271C59}">
  <dimension ref="A1:U8"/>
  <sheetViews>
    <sheetView tabSelected="1" topLeftCell="A5" workbookViewId="0">
      <selection activeCell="E6" sqref="E6"/>
    </sheetView>
  </sheetViews>
  <sheetFormatPr defaultRowHeight="15"/>
  <cols>
    <col min="2" max="2" width="43.7109375" customWidth="1"/>
    <col min="3" max="3" width="26.85546875" customWidth="1"/>
    <col min="5" max="6" width="20.7109375" customWidth="1"/>
    <col min="7" max="8" width="12.7109375" customWidth="1"/>
    <col min="9" max="9" width="32.7109375" customWidth="1"/>
    <col min="10" max="10" width="11" customWidth="1"/>
    <col min="11" max="11" width="12.140625" customWidth="1"/>
    <col min="12" max="12" width="12.85546875" bestFit="1" customWidth="1"/>
    <col min="13" max="13" width="10.85546875" customWidth="1"/>
    <col min="14" max="14" width="14.42578125" bestFit="1" customWidth="1"/>
    <col min="15" max="15" width="15.5703125" customWidth="1"/>
    <col min="16" max="16" width="10.710937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ht="30.75">
      <c r="A1" s="10" t="s">
        <v>0</v>
      </c>
      <c r="B1" s="10" t="s">
        <v>1</v>
      </c>
      <c r="C1" s="10" t="s">
        <v>2</v>
      </c>
      <c r="D1" s="10" t="s">
        <v>3</v>
      </c>
      <c r="E1" s="10" t="s">
        <v>4</v>
      </c>
      <c r="F1" s="10" t="s">
        <v>5</v>
      </c>
      <c r="G1" s="10" t="s">
        <v>6</v>
      </c>
      <c r="H1" s="10" t="s">
        <v>7</v>
      </c>
      <c r="I1" s="10" t="s">
        <v>8</v>
      </c>
      <c r="J1" s="10" t="s">
        <v>9</v>
      </c>
      <c r="K1" s="10" t="s">
        <v>10</v>
      </c>
      <c r="L1" s="14" t="s">
        <v>11</v>
      </c>
      <c r="M1" s="15" t="s">
        <v>12</v>
      </c>
      <c r="N1" s="14" t="s">
        <v>13</v>
      </c>
      <c r="O1" s="14" t="s">
        <v>14</v>
      </c>
      <c r="P1" s="15" t="s">
        <v>15</v>
      </c>
      <c r="Q1" s="15" t="s">
        <v>16</v>
      </c>
      <c r="R1" s="16" t="s">
        <v>17</v>
      </c>
      <c r="S1" s="17" t="s">
        <v>18</v>
      </c>
      <c r="T1" s="16" t="s">
        <v>19</v>
      </c>
      <c r="U1" s="17" t="s">
        <v>20</v>
      </c>
    </row>
    <row r="2" spans="1:21" ht="96" customHeight="1">
      <c r="A2" s="9">
        <v>5702</v>
      </c>
      <c r="B2" s="9" t="s">
        <v>21</v>
      </c>
      <c r="C2" s="21" t="s">
        <v>22</v>
      </c>
      <c r="D2" s="9">
        <v>6213538</v>
      </c>
      <c r="E2" s="9" t="s">
        <v>23</v>
      </c>
      <c r="F2" s="9" t="s">
        <v>24</v>
      </c>
      <c r="G2" s="9">
        <v>0</v>
      </c>
      <c r="H2" s="11" t="s">
        <v>25</v>
      </c>
      <c r="I2" s="9" t="s">
        <v>26</v>
      </c>
      <c r="J2" s="9" t="s">
        <v>27</v>
      </c>
      <c r="K2" s="9">
        <v>49</v>
      </c>
      <c r="L2" s="18" t="s">
        <v>28</v>
      </c>
      <c r="M2" s="12"/>
      <c r="N2" s="19" t="s">
        <v>29</v>
      </c>
      <c r="O2" s="12" t="s">
        <v>23</v>
      </c>
      <c r="P2" s="12"/>
      <c r="Q2" s="12" t="s">
        <v>30</v>
      </c>
      <c r="R2" s="12" t="s">
        <v>31</v>
      </c>
      <c r="S2" s="20" t="s">
        <v>32</v>
      </c>
      <c r="T2" s="12" t="s">
        <v>33</v>
      </c>
      <c r="U2" s="20"/>
    </row>
    <row r="3" spans="1:21" ht="57.75" customHeight="1">
      <c r="A3" s="9">
        <v>6083</v>
      </c>
      <c r="B3" s="9" t="s">
        <v>34</v>
      </c>
      <c r="C3" s="21" t="s">
        <v>35</v>
      </c>
      <c r="D3" s="9">
        <v>101455</v>
      </c>
      <c r="E3" s="9" t="s">
        <v>23</v>
      </c>
      <c r="F3" s="9" t="s">
        <v>36</v>
      </c>
      <c r="G3" s="9">
        <v>0</v>
      </c>
      <c r="H3" s="11" t="s">
        <v>37</v>
      </c>
      <c r="I3" s="9" t="s">
        <v>38</v>
      </c>
      <c r="J3" s="9" t="s">
        <v>39</v>
      </c>
      <c r="K3" s="9">
        <v>30</v>
      </c>
      <c r="L3" s="18" t="s">
        <v>28</v>
      </c>
      <c r="M3" s="12" t="s">
        <v>40</v>
      </c>
      <c r="N3" s="19" t="s">
        <v>41</v>
      </c>
      <c r="O3" s="32" t="s">
        <v>42</v>
      </c>
      <c r="P3" s="12"/>
      <c r="Q3" s="12" t="s">
        <v>30</v>
      </c>
      <c r="R3" s="12" t="s">
        <v>42</v>
      </c>
      <c r="S3" s="20" t="s">
        <v>43</v>
      </c>
      <c r="T3" s="12" t="s">
        <v>33</v>
      </c>
      <c r="U3" s="20"/>
    </row>
    <row r="4" spans="1:21" ht="57.75" customHeight="1">
      <c r="A4" s="9">
        <v>112808</v>
      </c>
      <c r="B4" s="9" t="s">
        <v>44</v>
      </c>
      <c r="C4" s="21" t="s">
        <v>45</v>
      </c>
      <c r="D4" s="9">
        <v>112808</v>
      </c>
      <c r="E4" s="9" t="s">
        <v>46</v>
      </c>
      <c r="F4" s="9" t="s">
        <v>47</v>
      </c>
      <c r="G4" s="9">
        <v>0</v>
      </c>
      <c r="H4" s="11" t="s">
        <v>48</v>
      </c>
      <c r="I4" s="9" t="s">
        <v>49</v>
      </c>
      <c r="J4" s="9" t="s">
        <v>50</v>
      </c>
      <c r="K4" s="9">
        <v>60</v>
      </c>
      <c r="L4" s="18" t="s">
        <v>51</v>
      </c>
      <c r="M4" s="12" t="s">
        <v>52</v>
      </c>
      <c r="N4" s="19" t="s">
        <v>41</v>
      </c>
      <c r="O4" s="32" t="s">
        <v>42</v>
      </c>
      <c r="P4" s="12"/>
      <c r="Q4" s="32" t="s">
        <v>53</v>
      </c>
      <c r="R4" s="12" t="s">
        <v>54</v>
      </c>
      <c r="S4" s="20" t="s">
        <v>32</v>
      </c>
      <c r="T4" s="12" t="s">
        <v>33</v>
      </c>
      <c r="U4" s="20"/>
    </row>
    <row r="5" spans="1:21" ht="60.75">
      <c r="A5" s="27">
        <v>116275</v>
      </c>
      <c r="B5" s="25" t="s">
        <v>55</v>
      </c>
      <c r="C5" s="26" t="s">
        <v>56</v>
      </c>
      <c r="D5" s="25">
        <v>116275</v>
      </c>
      <c r="E5" s="25" t="s">
        <v>57</v>
      </c>
      <c r="F5" s="25" t="s">
        <v>58</v>
      </c>
      <c r="G5" s="25">
        <v>0</v>
      </c>
      <c r="H5" s="25" t="s">
        <v>59</v>
      </c>
      <c r="I5" s="25" t="s">
        <v>60</v>
      </c>
      <c r="J5" s="27" t="s">
        <v>61</v>
      </c>
      <c r="K5" s="25">
        <v>38</v>
      </c>
      <c r="L5" s="28" t="s">
        <v>51</v>
      </c>
      <c r="M5" s="29" t="s">
        <v>40</v>
      </c>
      <c r="N5" s="30" t="s">
        <v>41</v>
      </c>
      <c r="O5" s="29" t="s">
        <v>57</v>
      </c>
      <c r="P5" s="29"/>
      <c r="Q5" s="29" t="s">
        <v>62</v>
      </c>
      <c r="R5" s="29" t="s">
        <v>57</v>
      </c>
      <c r="S5" s="31" t="s">
        <v>63</v>
      </c>
      <c r="T5" s="29" t="s">
        <v>33</v>
      </c>
      <c r="U5" s="31"/>
    </row>
    <row r="6" spans="1:21" ht="91.5">
      <c r="A6" s="20" t="s">
        <v>64</v>
      </c>
      <c r="B6" s="34" t="s">
        <v>65</v>
      </c>
      <c r="C6" s="20"/>
      <c r="D6" s="35">
        <v>300000</v>
      </c>
      <c r="E6" s="24" t="s">
        <v>66</v>
      </c>
      <c r="F6" s="24" t="s">
        <v>67</v>
      </c>
      <c r="G6" s="20">
        <v>0</v>
      </c>
      <c r="H6" s="20">
        <v>30</v>
      </c>
      <c r="I6" s="24" t="s">
        <v>68</v>
      </c>
      <c r="J6" s="24" t="s">
        <v>69</v>
      </c>
      <c r="K6" s="20">
        <v>65</v>
      </c>
      <c r="L6" s="33" t="s">
        <v>51</v>
      </c>
      <c r="M6" s="12" t="s">
        <v>52</v>
      </c>
      <c r="N6" s="32" t="s">
        <v>70</v>
      </c>
      <c r="O6" s="32" t="s">
        <v>42</v>
      </c>
      <c r="P6" s="18"/>
      <c r="Q6" s="12" t="s">
        <v>30</v>
      </c>
      <c r="R6" s="12" t="s">
        <v>71</v>
      </c>
      <c r="S6" s="20" t="s">
        <v>63</v>
      </c>
      <c r="T6" s="12" t="s">
        <v>33</v>
      </c>
      <c r="U6" s="20"/>
    </row>
    <row r="7" spans="1:21">
      <c r="C7" s="2"/>
    </row>
    <row r="8" spans="1:21" ht="15.75">
      <c r="C8" s="4"/>
    </row>
  </sheetData>
  <dataValidations count="9">
    <dataValidation type="list" allowBlank="1" showInputMessage="1" showErrorMessage="1" sqref="N2:N6" xr:uid="{915D0B8A-3FBE-4BBD-B040-16B50A06D20F}">
      <formula1>"Accelerating just energy transition, Close the gap on energy access, Scale up energy finance"</formula1>
    </dataValidation>
    <dataValidation type="list" allowBlank="1" showInputMessage="1" showErrorMessage="1" sqref="P2:P6" xr:uid="{36E1F320-CB3A-44F1-9B6E-E8B949B45350}">
      <formula1>"AMP, PUDC, Solar4Health, Action Opportunities, Italy UNDP Energy Partnership"</formula1>
    </dataValidation>
    <dataValidation type="list" allowBlank="1" showInputMessage="1" showErrorMessage="1" sqref="Q2:Q6" xr:uid="{DA98AE6A-29B6-4511-97FF-523C7B2CFCA7}">
      <formula1>"NDC Support, National Strategy, Legal Framework,Incentives and Support, Government Capacity-Building, Carbon Pricing and Monitoring, Financing Model, Business Model"</formula1>
    </dataValidation>
    <dataValidation type="list" allowBlank="1" showInputMessage="1" showErrorMessage="1" sqref="O2:O6" xr:uid="{147547DF-5ECB-4232-ACF8-846A890E591F}">
      <formula1>"Electricity Access, Energy Efficiency, Clean Cooking, Renewable Energy, Overall"</formula1>
    </dataValidation>
    <dataValidation type="list" allowBlank="1" showInputMessage="1" showErrorMessage="1" sqref="M2:M6" xr:uid="{54EF1A0A-EFB3-4342-A7A3-91127FE2E629}">
      <formula1>"Finance, Gender, Efficiency, Just, Health"</formula1>
    </dataValidation>
    <dataValidation type="list" allowBlank="1" showInputMessage="1" showErrorMessage="1" sqref="T2:T6" xr:uid="{5FF36322-E0E2-4A57-AD43-4D8526B6A971}">
      <formula1>"National, Regional, City, Community"</formula1>
    </dataValidation>
    <dataValidation type="list" allowBlank="1" showInputMessage="1" showErrorMessage="1" sqref="L2:L5" xr:uid="{E653F9F6-18E1-44C5-87C1-935B19DC0610}">
      <formula1>"Non-VF, VF"</formula1>
    </dataValidation>
    <dataValidation type="list" allowBlank="1" showInputMessage="1" showErrorMessage="1" sqref="R2:R6" xr:uid="{018BA7CC-A626-44F9-8227-16094F298019}">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6" xr:uid="{B75AE39B-A391-4A20-BD91-EB7C679AFE0E}">
      <formula1>"Solar, Wind, Bioenergy, Hydro, Geothermal, Waste, Some Sources, Other, Unknown"</formula1>
    </dataValidation>
  </dataValidations>
  <hyperlinks>
    <hyperlink ref="C2" r:id="rId1" display="https://co.pims.undp.org/project/view?id=5702" xr:uid="{6F4FBF60-4AE5-4249-944D-B758B0386193}"/>
    <hyperlink ref="C5" r:id="rId2" xr:uid="{8A6091AF-5B25-4A36-B82C-181CD7B58684}"/>
    <hyperlink ref="C3" r:id="rId3" xr:uid="{F25272D0-7B27-4263-8908-35234B8BDA00}"/>
    <hyperlink ref="C4" r:id="rId4" xr:uid="{F45418FA-558C-4689-8C88-20BA1ED817B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C71259B-06B8-416C-A6F2-69AD5F3A579D}">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workbookViewId="0">
      <selection activeCell="A4" sqref="A4"/>
    </sheetView>
  </sheetViews>
  <sheetFormatPr defaultRowHeight="15"/>
  <cols>
    <col min="2" max="2" width="43.7109375" customWidth="1"/>
    <col min="3" max="3" width="20.7109375" customWidth="1"/>
    <col min="5"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s="8" t="s">
        <v>9</v>
      </c>
    </row>
    <row r="2" spans="1:10" ht="45.75">
      <c r="A2">
        <v>5702</v>
      </c>
      <c r="B2" s="36" t="s">
        <v>21</v>
      </c>
      <c r="C2" t="s">
        <v>72</v>
      </c>
      <c r="D2">
        <v>6213538</v>
      </c>
      <c r="E2" t="s">
        <v>23</v>
      </c>
      <c r="F2" s="3" t="s">
        <v>73</v>
      </c>
      <c r="G2">
        <v>0</v>
      </c>
      <c r="H2" s="6" t="s">
        <v>74</v>
      </c>
    </row>
    <row r="3" spans="1:10" ht="45.75">
      <c r="A3">
        <v>5702</v>
      </c>
      <c r="B3" s="37"/>
      <c r="C3" t="s">
        <v>72</v>
      </c>
      <c r="E3" t="s">
        <v>23</v>
      </c>
      <c r="F3" s="3" t="s">
        <v>75</v>
      </c>
      <c r="G3">
        <v>0</v>
      </c>
      <c r="H3">
        <v>500</v>
      </c>
    </row>
    <row r="4" spans="1:10" ht="45.75">
      <c r="B4" s="5" t="s">
        <v>55</v>
      </c>
      <c r="D4">
        <v>116275</v>
      </c>
      <c r="E4" t="s">
        <v>57</v>
      </c>
      <c r="F4" s="3" t="s">
        <v>58</v>
      </c>
      <c r="G4">
        <v>0</v>
      </c>
      <c r="H4">
        <v>1006</v>
      </c>
      <c r="J4" s="7"/>
    </row>
    <row r="6" spans="1:10">
      <c r="C6" s="2"/>
    </row>
    <row r="7" spans="1:10" ht="15.75">
      <c r="C7" s="4"/>
    </row>
  </sheetData>
  <mergeCells count="1">
    <mergeCell ref="B2:B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topLeftCell="A2" workbookViewId="0">
      <selection activeCell="C18" sqref="C18"/>
    </sheetView>
  </sheetViews>
  <sheetFormatPr defaultRowHeight="15"/>
  <cols>
    <col min="1" max="2" width="52.7109375" customWidth="1"/>
    <col min="3" max="3" width="21" customWidth="1"/>
  </cols>
  <sheetData>
    <row r="1" spans="1:3">
      <c r="A1" s="13" t="s">
        <v>4</v>
      </c>
      <c r="B1" s="13" t="s">
        <v>5</v>
      </c>
    </row>
    <row r="2" spans="1:3" ht="45.75">
      <c r="A2" s="38" t="s">
        <v>57</v>
      </c>
      <c r="B2" s="23" t="s">
        <v>76</v>
      </c>
      <c r="C2" s="22" t="s">
        <v>77</v>
      </c>
    </row>
    <row r="3" spans="1:3">
      <c r="A3" s="38" t="s">
        <v>78</v>
      </c>
      <c r="B3" s="23" t="s">
        <v>79</v>
      </c>
      <c r="C3" s="22"/>
    </row>
    <row r="4" spans="1:3" ht="30.75">
      <c r="A4" s="38" t="s">
        <v>23</v>
      </c>
      <c r="B4" s="23" t="s">
        <v>80</v>
      </c>
      <c r="C4" s="22" t="s">
        <v>81</v>
      </c>
    </row>
    <row r="5" spans="1:3" ht="30.75">
      <c r="A5" s="38" t="s">
        <v>82</v>
      </c>
      <c r="B5" s="23" t="s">
        <v>83</v>
      </c>
      <c r="C5" s="22"/>
    </row>
    <row r="6" spans="1:3" ht="91.5">
      <c r="A6" s="38" t="s">
        <v>84</v>
      </c>
      <c r="B6" s="23" t="s">
        <v>85</v>
      </c>
      <c r="C6" s="22"/>
    </row>
    <row r="7" spans="1:3" ht="45.75">
      <c r="A7" s="38" t="s">
        <v>86</v>
      </c>
      <c r="B7" s="23" t="s">
        <v>87</v>
      </c>
      <c r="C7" s="22"/>
    </row>
    <row r="8" spans="1:3" ht="45.75">
      <c r="A8" s="38" t="s">
        <v>88</v>
      </c>
      <c r="B8" s="23" t="s">
        <v>89</v>
      </c>
      <c r="C8" s="22"/>
    </row>
    <row r="9" spans="1:3" ht="45.75">
      <c r="A9" s="38" t="s">
        <v>90</v>
      </c>
      <c r="B9" s="23" t="s">
        <v>91</v>
      </c>
      <c r="C9" s="22"/>
    </row>
    <row r="10" spans="1:3" ht="30.75">
      <c r="A10" s="38" t="s">
        <v>46</v>
      </c>
      <c r="B10" s="39" t="s">
        <v>92</v>
      </c>
      <c r="C10" s="22"/>
    </row>
    <row r="11" spans="1:3" ht="30.75">
      <c r="A11" s="38" t="s">
        <v>93</v>
      </c>
      <c r="B11" s="39" t="s">
        <v>94</v>
      </c>
      <c r="C11" s="22"/>
    </row>
    <row r="12" spans="1:3" ht="45.75">
      <c r="A12" s="38" t="s">
        <v>95</v>
      </c>
      <c r="B12" s="23" t="s">
        <v>96</v>
      </c>
      <c r="C12" s="22"/>
    </row>
    <row r="13" spans="1:3" ht="30.75">
      <c r="A13" s="38" t="s">
        <v>97</v>
      </c>
      <c r="B13" s="39" t="s">
        <v>98</v>
      </c>
      <c r="C13" s="22"/>
    </row>
    <row r="14" spans="1:3">
      <c r="A14" s="38" t="s">
        <v>99</v>
      </c>
      <c r="B14" s="39" t="s">
        <v>100</v>
      </c>
      <c r="C14" s="22"/>
    </row>
    <row r="15" spans="1:3" ht="30.75">
      <c r="A15" s="38" t="s">
        <v>101</v>
      </c>
      <c r="B15" s="39" t="s">
        <v>102</v>
      </c>
      <c r="C15" s="22"/>
    </row>
    <row r="16" spans="1:3" ht="30.75">
      <c r="A16" s="38" t="s">
        <v>103</v>
      </c>
      <c r="B16" s="39" t="s">
        <v>104</v>
      </c>
      <c r="C16" s="22"/>
    </row>
    <row r="17" spans="1:3" ht="30.75">
      <c r="A17" s="38" t="s">
        <v>105</v>
      </c>
      <c r="B17" s="23" t="s">
        <v>106</v>
      </c>
      <c r="C17" s="22"/>
    </row>
    <row r="18" spans="1:3" ht="30.75">
      <c r="A18" s="38" t="s">
        <v>107</v>
      </c>
      <c r="B18" s="39" t="s">
        <v>108</v>
      </c>
      <c r="C18" s="22"/>
    </row>
    <row r="19" spans="1:3" ht="76.5">
      <c r="A19" s="38" t="s">
        <v>109</v>
      </c>
      <c r="B19" s="39" t="s">
        <v>110</v>
      </c>
      <c r="C19" s="22" t="s">
        <v>111</v>
      </c>
    </row>
    <row r="20" spans="1:3" ht="30.75">
      <c r="A20" s="38" t="s">
        <v>112</v>
      </c>
      <c r="B20" s="39" t="s">
        <v>113</v>
      </c>
      <c r="C20" s="22" t="s">
        <v>111</v>
      </c>
    </row>
    <row r="21" spans="1:3" ht="45.75">
      <c r="A21" s="38" t="s">
        <v>19</v>
      </c>
      <c r="B21" s="40" t="s">
        <v>114</v>
      </c>
      <c r="C21" s="22" t="s">
        <v>111</v>
      </c>
    </row>
    <row r="22" spans="1:3" ht="30.75">
      <c r="A22" s="38" t="s">
        <v>32</v>
      </c>
      <c r="B22" s="39" t="s">
        <v>115</v>
      </c>
      <c r="C22"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F1B710-E950-4CB6-B5FC-43065A2016EA}"/>
</file>

<file path=customXml/itemProps2.xml><?xml version="1.0" encoding="utf-8"?>
<ds:datastoreItem xmlns:ds="http://schemas.openxmlformats.org/officeDocument/2006/customXml" ds:itemID="{8E8F0069-2A2C-419E-8F3D-EDEA6CBDEEAA}"/>
</file>

<file path=customXml/itemProps3.xml><?xml version="1.0" encoding="utf-8"?>
<ds:datastoreItem xmlns:ds="http://schemas.openxmlformats.org/officeDocument/2006/customXml" ds:itemID="{0B66A7FC-7D6E-422E-9DE4-E00C6D0D60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