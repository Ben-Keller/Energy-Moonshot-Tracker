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charset val="1"/>
      <family val="2"/>
      <i val="1"/>
      <color theme="1"/>
      <sz val="9"/>
    </font>
    <font>
      <name val="Calibri"/>
      <family val="2"/>
      <b val="1"/>
      <color rgb="FFFF0000"/>
      <sz val="11"/>
      <scheme val="minor"/>
    </font>
    <font>
      <name val="Calibri"/>
      <family val="2"/>
      <color rgb="FFFF0000"/>
      <sz val="11"/>
      <scheme val="minor"/>
    </font>
    <font>
      <name val="Calibri"/>
      <b val="1"/>
      <color theme="1"/>
      <sz val="11"/>
      <scheme val="minor"/>
    </font>
    <font>
      <name val="Calibri"/>
      <color rgb="FF000000"/>
      <sz val="11"/>
      <scheme val="minor"/>
    </font>
    <font>
      <name val="Calibri"/>
      <family val="2"/>
      <color theme="10"/>
      <sz val="11"/>
      <u val="single"/>
      <scheme val="minor"/>
    </font>
    <font>
      <name val="Calibri"/>
      <family val="2"/>
      <color theme="1"/>
      <sz val="11"/>
      <u val="single"/>
      <scheme val="minor"/>
    </font>
    <font>
      <name val="Aptos Narrow"/>
      <family val="2"/>
      <color rgb="FF000000"/>
      <sz val="11"/>
    </font>
    <font>
      <name val="Calibri"/>
      <family val="2"/>
      <color rgb="FF000000"/>
      <sz val="11"/>
    </font>
    <font>
      <name val="Calibri"/>
      <family val="2"/>
      <color rgb="FF0000FF"/>
      <sz val="11"/>
      <u val="single"/>
    </font>
    <font>
      <name val="Calibri"/>
      <charset val="1"/>
      <family val="2"/>
      <i val="1"/>
      <color rgb="FF000000"/>
      <sz val="9"/>
    </font>
    <font>
      <b val="1"/>
    </font>
  </fonts>
  <fills count="6">
    <fill>
      <patternFill/>
    </fill>
    <fill>
      <patternFill patternType="gray125"/>
    </fill>
    <fill>
      <patternFill patternType="solid">
        <fgColor rgb="FFFFE497"/>
        <bgColor indexed="64"/>
      </patternFill>
    </fill>
    <fill>
      <patternFill patternType="solid">
        <fgColor theme="5" tint="0.7999816888943144"/>
        <bgColor indexed="64"/>
      </patternFill>
    </fill>
    <fill>
      <patternFill patternType="solid">
        <fgColor rgb="FFFFFF00"/>
        <bgColor indexed="64"/>
      </patternFill>
    </fill>
    <fill>
      <patternFill patternType="solid">
        <fgColor rgb="00FFFF00"/>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8" fillId="0" borderId="0"/>
  </cellStyleXfs>
  <cellXfs count="52">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43" fontId="2" fillId="0" borderId="1" applyAlignment="1" pivotButton="0" quotePrefix="0" xfId="0">
      <alignment horizontal="center" vertical="top"/>
    </xf>
    <xf numFmtId="43" fontId="0" fillId="2" borderId="0" pivotButton="0" quotePrefix="0" xfId="0"/>
    <xf numFmtId="43" fontId="3" fillId="0" borderId="0" pivotButton="0" quotePrefix="0" xfId="0"/>
    <xf numFmtId="43" fontId="0" fillId="0" borderId="0" pivotButton="0" quotePrefix="0" xfId="0"/>
    <xf numFmtId="0" fontId="2" fillId="0" borderId="0" pivotButton="0" quotePrefix="0" xfId="0"/>
    <xf numFmtId="0" fontId="2" fillId="0" borderId="2" pivotButton="0" quotePrefix="0" xfId="0"/>
    <xf numFmtId="0" fontId="0" fillId="3" borderId="0" pivotButton="0" quotePrefix="0" xfId="0"/>
    <xf numFmtId="43" fontId="0" fillId="3" borderId="0" pivotButton="0" quotePrefix="0" xfId="0"/>
    <xf numFmtId="0" fontId="4" fillId="3" borderId="0" pivotButton="0" quotePrefix="0" xfId="0"/>
    <xf numFmtId="0" fontId="5" fillId="0" borderId="0" pivotButton="0" quotePrefix="0" xfId="0"/>
    <xf numFmtId="0" fontId="6" fillId="0" borderId="2" applyAlignment="1" pivotButton="0" quotePrefix="0" xfId="0">
      <alignment horizontal="center" vertical="top" wrapText="1"/>
    </xf>
    <xf numFmtId="0" fontId="7" fillId="0" borderId="2" applyAlignment="1" pivotButton="0" quotePrefix="0" xfId="0">
      <alignment wrapText="1"/>
    </xf>
    <xf numFmtId="0" fontId="0" fillId="0" borderId="2" applyAlignment="1" pivotButton="0" quotePrefix="0" xfId="0">
      <alignment horizontal="left" vertical="top"/>
    </xf>
    <xf numFmtId="0" fontId="0" fillId="0" borderId="0" applyAlignment="1" pivotButton="0" quotePrefix="0" xfId="0">
      <alignment vertical="top"/>
    </xf>
    <xf numFmtId="0" fontId="2" fillId="0" borderId="2" applyAlignment="1" pivotButton="0" quotePrefix="0" xfId="0">
      <alignment horizontal="left" vertical="top"/>
    </xf>
    <xf numFmtId="0" fontId="0" fillId="0" borderId="0" applyAlignment="1" pivotButton="0" quotePrefix="0" xfId="0">
      <alignment horizontal="left" vertical="top"/>
    </xf>
    <xf numFmtId="43" fontId="0" fillId="0" borderId="0" applyAlignment="1" pivotButton="0" quotePrefix="0" xfId="0">
      <alignment horizontal="left" vertical="top"/>
    </xf>
    <xf numFmtId="0" fontId="11" fillId="0" borderId="3" applyAlignment="1" pivotButton="0" quotePrefix="0" xfId="0">
      <alignment vertical="top"/>
    </xf>
    <xf numFmtId="0" fontId="0" fillId="0" borderId="2" applyAlignment="1" pivotButton="0" quotePrefix="0" xfId="0">
      <alignment horizontal="left" vertical="top" wrapText="1"/>
    </xf>
    <xf numFmtId="0" fontId="9" fillId="0" borderId="2" applyAlignment="1" pivotButton="0" quotePrefix="0" xfId="1">
      <alignment horizontal="left" vertical="top" wrapText="1"/>
    </xf>
    <xf numFmtId="43" fontId="0" fillId="0" borderId="2" applyAlignment="1" pivotButton="0" quotePrefix="0" xfId="0">
      <alignment horizontal="left" vertical="top" wrapText="1"/>
    </xf>
    <xf numFmtId="9" fontId="0" fillId="0" borderId="2" applyAlignment="1" pivotButton="0" quotePrefix="0" xfId="0">
      <alignment horizontal="left" vertical="top" wrapText="1"/>
    </xf>
    <xf numFmtId="0" fontId="0" fillId="3" borderId="0" applyAlignment="1" pivotButton="0" quotePrefix="0" xfId="0">
      <alignment horizontal="left" vertical="top"/>
    </xf>
    <xf numFmtId="0" fontId="0" fillId="0" borderId="0" applyAlignment="1" pivotButton="0" quotePrefix="0" xfId="0">
      <alignment horizontal="left" vertical="top" wrapText="1"/>
    </xf>
    <xf numFmtId="0" fontId="2" fillId="0" borderId="2" applyAlignment="1" pivotButton="0" quotePrefix="0" xfId="0">
      <alignment vertical="top"/>
    </xf>
    <xf numFmtId="43" fontId="2" fillId="0" borderId="2" applyAlignment="1" pivotButton="0" quotePrefix="0" xfId="0">
      <alignment horizontal="left" vertical="top"/>
    </xf>
    <xf numFmtId="0" fontId="2" fillId="0" borderId="2" applyAlignment="1" pivotButton="0" quotePrefix="0" xfId="0">
      <alignment horizontal="left" vertical="top" wrapText="1"/>
    </xf>
    <xf numFmtId="43" fontId="0" fillId="0" borderId="2" applyAlignment="1" pivotButton="0" quotePrefix="0" xfId="0">
      <alignment vertical="top" wrapText="1"/>
    </xf>
    <xf numFmtId="0" fontId="10" fillId="4" borderId="2" applyAlignment="1" pivotButton="0" quotePrefix="0" xfId="0">
      <alignment vertical="top" wrapText="1"/>
    </xf>
    <xf numFmtId="0" fontId="11" fillId="4" borderId="2" applyAlignment="1" pivotButton="0" quotePrefix="0" xfId="0">
      <alignment vertical="top" wrapText="1"/>
    </xf>
    <xf numFmtId="9" fontId="11" fillId="4" borderId="2" applyAlignment="1" pivotButton="0" quotePrefix="0" xfId="0">
      <alignment vertical="top" wrapText="1"/>
    </xf>
    <xf numFmtId="0" fontId="11" fillId="4" borderId="2" applyAlignment="1" pivotButton="0" quotePrefix="0" xfId="0">
      <alignment vertical="top"/>
    </xf>
    <xf numFmtId="4" fontId="10" fillId="4" borderId="2" applyAlignment="1" pivotButton="0" quotePrefix="0" xfId="0">
      <alignment vertical="top" wrapText="1"/>
    </xf>
    <xf numFmtId="0" fontId="12" fillId="4" borderId="2" applyAlignment="1" pivotButton="0" quotePrefix="0" xfId="0">
      <alignment vertical="top"/>
    </xf>
    <xf numFmtId="0" fontId="8" fillId="4" borderId="2" applyAlignment="1" pivotButton="0" quotePrefix="0" xfId="1">
      <alignment vertical="top" wrapText="1"/>
    </xf>
    <xf numFmtId="0" fontId="13" fillId="4" borderId="2" applyAlignment="1" pivotButton="0" quotePrefix="0" xfId="0">
      <alignment vertical="top"/>
    </xf>
    <xf numFmtId="9" fontId="11" fillId="4" borderId="2" applyAlignment="1" pivotButton="0" quotePrefix="0" xfId="0">
      <alignment vertical="top"/>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3" fontId="0" fillId="5" borderId="2" applyAlignment="1" pivotButton="0" quotePrefix="0" xfId="0">
      <alignment horizontal="left" vertical="top" wrapText="1"/>
    </xf>
    <xf numFmtId="43" fontId="0" fillId="5" borderId="2" applyAlignment="1" pivotButton="0" quotePrefix="0" xfId="0">
      <alignment vertical="top" wrapText="1"/>
    </xf>
    <xf numFmtId="0" fontId="0" fillId="5" borderId="2" applyAlignment="1" pivotButton="0" quotePrefix="0" xfId="0">
      <alignment horizontal="left" vertical="top" wrapText="1"/>
    </xf>
    <xf numFmtId="0" fontId="10" fillId="5" borderId="2" applyAlignment="1" pivotButton="0" quotePrefix="0" xfId="0">
      <alignment vertical="top" wrapText="1"/>
    </xf>
    <xf numFmtId="4" fontId="10" fillId="5" borderId="2" applyAlignment="1" pivotButton="0" quotePrefix="0" xfId="0">
      <alignment vertical="top" wrapText="1"/>
    </xf>
    <xf numFmtId="0" fontId="11" fillId="5" borderId="2" applyAlignment="1" pivotButton="0" quotePrefix="0" xfId="0">
      <alignment vertical="top"/>
    </xf>
    <xf numFmtId="0" fontId="13" fillId="5" borderId="2" applyAlignment="1" pivotButton="0" quotePrefix="0" xfId="0">
      <alignment vertical="top"/>
    </xf>
    <xf numFmtId="0" fontId="14"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4" authorId="0" shapeId="0">
      <text>
        <t>[AUTO-ADDED] Project reports access/productive-use beneficiary numbers but no MW value. Please add installed capacity (MW) or confirm not applicable.</t>
      </text>
    </comment>
    <comment ref="L4" authorId="0" shapeId="0">
      <text>
        <t>[AUTO-ADDED] Project reports access/productive-use beneficiary numbers but no MW value. Please add installed capacity (MW) or confirm not applicable.</t>
      </text>
    </comment>
    <comment ref="K9" authorId="0" shapeId="0">
      <text>
        <t>[AUTO-ADDED] Project reports access/productive-use beneficiary numbers but no MW value. Please add installed capacity (MW) or confirm not applicable.</t>
      </text>
    </comment>
    <comment ref="L9"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411" TargetMode="External" Id="rId1"/><Relationship Type="http://schemas.openxmlformats.org/officeDocument/2006/relationships/hyperlink" Target="https://co.pims.undp.org/project/view?id=5284" TargetMode="External" Id="rId2"/><Relationship Type="http://schemas.openxmlformats.org/officeDocument/2006/relationships/hyperlink" Target="https://co.pims.undp.org/project/asl?id=6169&amp;aslId=9204"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9"/>
  <sheetViews>
    <sheetView tabSelected="1" workbookViewId="0">
      <pane xSplit="1" ySplit="1" topLeftCell="B2" activePane="bottomRight" state="frozen"/>
      <selection pane="bottomRight" activeCell="U7" sqref="A7:U7"/>
      <selection pane="bottomLeft" activeCell="A1" sqref="A1"/>
      <selection pane="topRight" activeCell="A1" sqref="A1"/>
    </sheetView>
  </sheetViews>
  <sheetFormatPr baseColWidth="8" defaultRowHeight="15"/>
  <cols>
    <col width="9.140625" customWidth="1" style="18" min="1" max="1"/>
    <col width="31.140625" customWidth="1" style="18" min="2" max="2"/>
    <col width="20.7109375" customWidth="1" style="18" min="3" max="3"/>
    <col width="17.85546875" customWidth="1" style="16" min="4" max="4"/>
    <col width="17.85546875" customWidth="1" style="18" min="5" max="5"/>
    <col width="17.85546875" customWidth="1" style="18" min="6" max="6"/>
    <col width="17.85546875" customWidth="1" style="18" min="7" max="7"/>
    <col width="17.85546875" customWidth="1" style="19" min="8" max="8"/>
    <col width="36.5703125" customWidth="1" style="18" min="9" max="9"/>
    <col width="28.5703125" customWidth="1" style="18" min="10" max="10"/>
    <col width="14.140625" customWidth="1" style="18" min="11" max="11"/>
    <col width="12.85546875" bestFit="1" customWidth="1" style="18" min="12" max="12"/>
    <col width="26.28515625" customWidth="1" style="18" min="13" max="13"/>
    <col width="14.42578125" bestFit="1" customWidth="1" style="18" min="14" max="14"/>
    <col width="14.85546875" bestFit="1" customWidth="1" style="18" min="15" max="15"/>
    <col width="22.85546875" customWidth="1" style="18" min="16" max="16"/>
    <col width="16.5703125" bestFit="1" customWidth="1" style="18" min="17" max="17"/>
    <col width="18.140625" bestFit="1" customWidth="1" style="18" min="18" max="18"/>
    <col width="11.28515625" bestFit="1" customWidth="1" style="18" min="19" max="19"/>
    <col width="30.28515625" bestFit="1" customWidth="1" style="18" min="20" max="20"/>
    <col width="16.7109375" bestFit="1" customWidth="1" style="18" min="21" max="21"/>
    <col width="9.140625" customWidth="1" style="18" min="22" max="16384"/>
  </cols>
  <sheetData>
    <row r="1" ht="30.75" customHeight="1">
      <c r="A1" s="17" t="inlineStr">
        <is>
          <t>Project ID</t>
        </is>
      </c>
      <c r="B1" s="17" t="inlineStr">
        <is>
          <t>Title</t>
        </is>
      </c>
      <c r="C1" s="17" t="inlineStr">
        <is>
          <t>Link</t>
        </is>
      </c>
      <c r="D1" s="27" t="inlineStr">
        <is>
          <t>Budget</t>
        </is>
      </c>
      <c r="E1" s="27" t="inlineStr">
        <is>
          <t>Start Year</t>
        </is>
      </c>
      <c r="F1" s="27" t="inlineStr">
        <is>
          <t>End Year</t>
        </is>
      </c>
      <c r="G1" s="27" t="inlineStr">
        <is>
          <t>Status</t>
        </is>
      </c>
      <c r="H1" s="27" t="inlineStr">
        <is>
          <t>VF or Non-VF</t>
        </is>
      </c>
      <c r="I1" s="17" t="inlineStr">
        <is>
          <t>Beneficiary Category</t>
        </is>
      </c>
      <c r="J1" s="17" t="inlineStr">
        <is>
          <t>Indicator</t>
        </is>
      </c>
      <c r="K1" s="17" t="inlineStr">
        <is>
          <t>Baseline</t>
        </is>
      </c>
      <c r="L1" s="28" t="inlineStr">
        <is>
          <t>Target</t>
        </is>
      </c>
      <c r="M1" s="17" t="inlineStr">
        <is>
          <t>Notes</t>
        </is>
      </c>
      <c r="N1" s="17" t="inlineStr">
        <is>
          <t>Donors</t>
        </is>
      </c>
      <c r="O1" s="29" t="inlineStr">
        <is>
          <t>Gender (% female)</t>
        </is>
      </c>
      <c r="P1" s="17" t="inlineStr">
        <is>
          <t>Tag</t>
        </is>
      </c>
      <c r="Q1" s="17" t="inlineStr">
        <is>
          <t>SEH Taxonomy</t>
        </is>
      </c>
      <c r="R1" s="17" t="inlineStr">
        <is>
          <t>RISE Taxonomy</t>
        </is>
      </c>
      <c r="S1" s="17" t="inlineStr">
        <is>
          <t>Flagship</t>
        </is>
      </c>
      <c r="T1" s="17" t="inlineStr">
        <is>
          <t>Indirect Category</t>
        </is>
      </c>
      <c r="U1" s="17" t="inlineStr">
        <is>
          <t>Indirect Taxonomy</t>
        </is>
      </c>
      <c r="V1" s="17" t="inlineStr">
        <is>
          <t>Technology</t>
        </is>
      </c>
      <c r="W1" s="17" t="inlineStr">
        <is>
          <t>Policy or Regulatory Framework</t>
        </is>
      </c>
      <c r="X1" s="17" t="inlineStr">
        <is>
          <t>Policy Population</t>
        </is>
      </c>
    </row>
    <row r="2" ht="135" customFormat="1" customHeight="1" s="25">
      <c r="A2" s="21" t="n">
        <v>6411</v>
      </c>
      <c r="B2" s="21" t="inlineStr">
        <is>
          <t>Sustainable Cities Impact Program - Morocco</t>
        </is>
      </c>
      <c r="C2" s="22" t="inlineStr">
        <is>
          <t>https://co.pims.undp.org/project/view?id=6411</t>
        </is>
      </c>
      <c r="D2" s="23" t="n">
        <v>9416167</v>
      </c>
      <c r="E2" s="43" t="n"/>
      <c r="F2" s="43" t="n"/>
      <c r="G2" s="43" t="n"/>
      <c r="H2" s="23" t="inlineStr">
        <is>
          <t>VF</t>
        </is>
      </c>
      <c r="I2" s="21" t="inlineStr">
        <is>
          <t>Energy Infrastructure Services</t>
        </is>
      </c>
      <c r="J2" s="21" t="inlineStr">
        <is>
          <t xml:space="preserve">Direct project beneficiaries </t>
        </is>
      </c>
      <c r="K2" s="21" t="n">
        <v>0</v>
      </c>
      <c r="L2" s="23" t="n">
        <v>928850</v>
      </c>
      <c r="M2" s="21" t="inlineStr">
        <is>
          <t xml:space="preserve">The global objective of the project is to foster integration and innovative urban planning and financing for Marrakech’s sustainable development . </t>
        </is>
      </c>
      <c r="N2" s="21" t="inlineStr">
        <is>
          <t>GEF</t>
        </is>
      </c>
      <c r="O2" s="24" t="n">
        <v>0.5</v>
      </c>
      <c r="P2" s="15" t="n"/>
      <c r="Q2" s="21" t="inlineStr">
        <is>
          <t>Close the gap on energy access</t>
        </is>
      </c>
      <c r="R2" s="15" t="n"/>
      <c r="S2" s="15" t="n"/>
      <c r="T2" s="15" t="n"/>
      <c r="U2" s="15" t="n"/>
      <c r="V2" s="15" t="n"/>
      <c r="W2" s="15" t="n"/>
      <c r="X2" s="15" t="n"/>
    </row>
    <row r="3" ht="76.5" customHeight="1">
      <c r="A3" s="21" t="n">
        <v>5284</v>
      </c>
      <c r="B3" s="21" t="inlineStr">
        <is>
          <t>PV pumping systems for irrigation</t>
        </is>
      </c>
      <c r="C3" s="22" t="inlineStr">
        <is>
          <t>https://co.pims.undp.org/project/view?id=5284</t>
        </is>
      </c>
      <c r="D3" s="30" t="n">
        <v>2639726</v>
      </c>
      <c r="E3" s="44" t="n"/>
      <c r="F3" s="44" t="n"/>
      <c r="G3" s="44" t="n"/>
      <c r="H3" s="30" t="inlineStr">
        <is>
          <t>VF</t>
        </is>
      </c>
      <c r="I3" s="21" t="inlineStr">
        <is>
          <t>Water Services</t>
        </is>
      </c>
      <c r="J3" s="21" t="inlineStr">
        <is>
          <t>Number of people (Man and woman) benefiting from improved access to sustainable energy platforms</t>
        </is>
      </c>
      <c r="K3" s="21" t="n">
        <v>0</v>
      </c>
      <c r="L3" s="23" t="inlineStr">
        <is>
          <t>3750 HH</t>
        </is>
      </c>
      <c r="M3" s="21" t="inlineStr">
        <is>
          <t>3,750 solar pumping systems benefiting to 3,750 rural households composed on average of 5 persons each</t>
        </is>
      </c>
      <c r="N3" s="21" t="inlineStr">
        <is>
          <t>GEF</t>
        </is>
      </c>
      <c r="O3" s="21" t="n"/>
      <c r="P3" s="15" t="n"/>
      <c r="Q3" s="21" t="inlineStr">
        <is>
          <t>Close the gap on energy access</t>
        </is>
      </c>
      <c r="R3" s="15" t="n"/>
      <c r="S3" s="15" t="n"/>
      <c r="T3" s="15" t="n"/>
      <c r="U3" s="15" t="n"/>
      <c r="V3" s="15" t="n"/>
      <c r="W3" s="15" t="n"/>
      <c r="X3" s="15" t="n"/>
    </row>
    <row r="4" ht="183" customFormat="1" customHeight="1" s="26">
      <c r="A4" s="21" t="n"/>
      <c r="B4" s="21" t="n"/>
      <c r="C4" s="22" t="n"/>
      <c r="D4" s="30" t="n"/>
      <c r="E4" s="30" t="n"/>
      <c r="F4" s="30" t="n"/>
      <c r="G4" s="30" t="n"/>
      <c r="H4" s="30" t="n"/>
      <c r="I4" s="21" t="inlineStr">
        <is>
          <t>Energy (MW added)</t>
        </is>
      </c>
      <c r="J4" s="21" t="inlineStr">
        <is>
          <t>Installed capacity in MW for access/productive-use outputs</t>
        </is>
      </c>
      <c r="K4" s="45" t="n">
        <v>0</v>
      </c>
      <c r="L4" s="43" t="n"/>
      <c r="M4" s="21" t="n"/>
      <c r="N4" s="21" t="n"/>
      <c r="O4" s="21" t="n"/>
      <c r="P4" s="15" t="n"/>
      <c r="Q4" s="21" t="n"/>
      <c r="R4" s="15" t="n"/>
      <c r="S4" s="15" t="n"/>
      <c r="T4" s="15" t="n"/>
      <c r="U4" s="15" t="n"/>
      <c r="V4" s="15" t="n"/>
      <c r="W4" s="15" t="n"/>
      <c r="X4" s="15" t="n"/>
    </row>
    <row r="5" ht="45.75" customHeight="1">
      <c r="A5" s="31" t="n">
        <v>133712</v>
      </c>
      <c r="B5" s="31" t="inlineStr">
        <is>
          <t>Capacity Building in Energy Efficiency for local authorities (KOICA)</t>
        </is>
      </c>
      <c r="C5" s="32" t="n"/>
      <c r="D5" s="31" t="inlineStr">
        <is>
          <t xml:space="preserve"> "Korea  $450,000
Government $124,500 " </t>
        </is>
      </c>
      <c r="E5" s="46" t="n"/>
      <c r="F5" s="46" t="n"/>
      <c r="G5" s="46" t="n"/>
      <c r="H5" s="31" t="inlineStr">
        <is>
          <t>Non-VF</t>
        </is>
      </c>
      <c r="I5" s="32" t="inlineStr">
        <is>
          <t>Energy Efficiency Services</t>
        </is>
      </c>
      <c r="J5" s="32" t="inlineStr">
        <is>
          <t xml:space="preserve">Direct project beneficiaries </t>
        </is>
      </c>
      <c r="K5" s="32" t="n">
        <v>0</v>
      </c>
      <c r="L5" s="32" t="n">
        <v>500</v>
      </c>
      <c r="M5" s="32" t="inlineStr">
        <is>
          <t>The project has successfully provided Trainings of Trainers (ToT) in public lighting for 44 participants (16 female and 28 male), industry for 21 participants (6 female and 15 male), and sustainable mobility for 23 participants (10 female and 13 male). Additionally, a Training of Trainers (ToT) on international standards of energy efficiency, successful policies, and good practices of Korea was organized in Seoul, South Korea for 12 participants ( 7 female and 5 male).</t>
        </is>
      </c>
      <c r="N5" s="32" t="inlineStr">
        <is>
          <t>GOV, Korea</t>
        </is>
      </c>
      <c r="O5" s="33" t="n">
        <v>0.4</v>
      </c>
      <c r="P5" s="32" t="inlineStr">
        <is>
          <t>Efficiency</t>
        </is>
      </c>
      <c r="Q5" s="32" t="inlineStr">
        <is>
          <t>Accelerating just energy transition</t>
        </is>
      </c>
      <c r="R5" s="32" t="inlineStr">
        <is>
          <t>Energy Efficiency</t>
        </is>
      </c>
      <c r="S5" s="32" t="inlineStr">
        <is>
          <t>Action Opportunities</t>
        </is>
      </c>
      <c r="T5" s="32" t="inlineStr">
        <is>
          <t>Government Capacity-Building</t>
        </is>
      </c>
      <c r="U5" s="32" t="inlineStr">
        <is>
          <t>Infrastructure</t>
        </is>
      </c>
      <c r="V5" s="32" t="inlineStr">
        <is>
          <t>Other</t>
        </is>
      </c>
      <c r="W5" s="32" t="inlineStr">
        <is>
          <t>National</t>
        </is>
      </c>
      <c r="X5" s="32" t="inlineStr">
        <is>
          <t>Municipal and National Institutions</t>
        </is>
      </c>
    </row>
    <row r="6" ht="144.75" customHeight="1">
      <c r="A6" s="31" t="n">
        <v>109738</v>
      </c>
      <c r="B6" s="31" t="inlineStr">
        <is>
          <t>Operational Support to the 4C Morocco (Climate Change Competence Center)</t>
        </is>
      </c>
      <c r="C6" s="34" t="inlineStr">
        <is>
          <t xml:space="preserve"> </t>
        </is>
      </c>
      <c r="D6" s="35" t="n">
        <v>5412322</v>
      </c>
      <c r="E6" s="47" t="n"/>
      <c r="F6" s="47" t="n"/>
      <c r="G6" s="47" t="n"/>
      <c r="H6" s="35" t="inlineStr">
        <is>
          <t>Non-VF</t>
        </is>
      </c>
      <c r="I6" s="34" t="inlineStr">
        <is>
          <t xml:space="preserve"> </t>
        </is>
      </c>
      <c r="J6" s="32" t="inlineStr">
        <is>
          <t xml:space="preserve">Direct project beneficiaries </t>
        </is>
      </c>
      <c r="K6" s="34" t="n">
        <v>0</v>
      </c>
      <c r="L6" s="34" t="n">
        <v>400</v>
      </c>
      <c r="M6" s="32" t="n"/>
      <c r="N6" s="34" t="inlineStr">
        <is>
          <t xml:space="preserve">BMUB (Gov Germany)  </t>
        </is>
      </c>
      <c r="O6" s="33" t="n">
        <v>1.4</v>
      </c>
      <c r="P6" s="34" t="inlineStr">
        <is>
          <t>Efficiency</t>
        </is>
      </c>
      <c r="Q6" s="32" t="inlineStr">
        <is>
          <t>Accelerating just energy transition</t>
        </is>
      </c>
      <c r="R6" s="34" t="inlineStr">
        <is>
          <t>Overall</t>
        </is>
      </c>
      <c r="S6" s="34" t="inlineStr">
        <is>
          <t>Action Opportunities</t>
        </is>
      </c>
      <c r="T6" s="34" t="inlineStr">
        <is>
          <t>Government Capacity-Building</t>
        </is>
      </c>
      <c r="U6" s="34" t="inlineStr">
        <is>
          <t>Research &amp; Innovation</t>
        </is>
      </c>
      <c r="V6" s="34" t="inlineStr">
        <is>
          <t>Other</t>
        </is>
      </c>
      <c r="W6" s="34" t="inlineStr">
        <is>
          <t>National</t>
        </is>
      </c>
      <c r="X6" s="32" t="inlineStr">
        <is>
          <t>National and Regional Institutions</t>
        </is>
      </c>
    </row>
    <row r="7" ht="351" customHeight="1">
      <c r="A7" s="31" t="n">
        <v>1002052</v>
      </c>
      <c r="B7" s="31" t="inlineStr">
        <is>
          <t>Second Phase of the Climate Promise – From Pledge to Impact</t>
        </is>
      </c>
      <c r="C7" s="36" t="inlineStr">
        <is>
          <t xml:space="preserve"> </t>
        </is>
      </c>
      <c r="D7" s="31" t="inlineStr">
        <is>
          <t xml:space="preserve"> 
o Donor (BMWK): 324,000 USD
o Donor (Belgium): 64,800 USD </t>
        </is>
      </c>
      <c r="E7" s="46" t="n"/>
      <c r="F7" s="46" t="n"/>
      <c r="G7" s="46" t="n"/>
      <c r="H7" s="31" t="inlineStr">
        <is>
          <t>Non-VF</t>
        </is>
      </c>
      <c r="I7" s="34" t="inlineStr">
        <is>
          <t>Climate Governance and Youth Engagement Services</t>
        </is>
      </c>
      <c r="J7" s="32" t="inlineStr">
        <is>
          <t xml:space="preserve">Direct project beneficiaries </t>
        </is>
      </c>
      <c r="K7" s="34" t="n">
        <v>0</v>
      </c>
      <c r="L7" s="34" t="n">
        <v>600</v>
      </c>
      <c r="M7" s="31" t="inlineStr">
        <is>
          <t>In total, this project engaged 170 youth participants. Women’s participation represented around 45% across both the Hackathon and the COP negotiation training, amounting to approximately 77 young women. In addition, two of the three winning small-grant teams were composed entirely of women students, bringing the total number of direct female beneficiaries to around 82.</t>
        </is>
      </c>
      <c r="N7" s="32" t="inlineStr">
        <is>
          <t>BMWK, Belgium</t>
        </is>
      </c>
      <c r="O7" s="32" t="inlineStr">
        <is>
          <t xml:space="preserve"> </t>
        </is>
      </c>
      <c r="P7" s="34" t="inlineStr">
        <is>
          <t>Efficiency</t>
        </is>
      </c>
      <c r="Q7" s="32" t="inlineStr">
        <is>
          <t>Accelerating just energy transition</t>
        </is>
      </c>
      <c r="R7" s="34" t="inlineStr">
        <is>
          <t>Overall</t>
        </is>
      </c>
      <c r="S7" s="34" t="inlineStr">
        <is>
          <t>Action Opportunities</t>
        </is>
      </c>
      <c r="T7" s="34" t="inlineStr">
        <is>
          <t>Government Capacity-Building</t>
        </is>
      </c>
      <c r="U7" s="34" t="inlineStr">
        <is>
          <t>Research &amp; Innovation</t>
        </is>
      </c>
      <c r="V7" s="34" t="inlineStr">
        <is>
          <t>Other</t>
        </is>
      </c>
      <c r="W7" s="34" t="inlineStr">
        <is>
          <t>National</t>
        </is>
      </c>
      <c r="X7" s="34" t="n"/>
      <c r="Y7" s="20" t="inlineStr">
        <is>
          <t xml:space="preserve"> </t>
        </is>
      </c>
    </row>
    <row r="8">
      <c r="A8" s="31" t="n">
        <v>126537</v>
      </c>
      <c r="B8" s="31" t="inlineStr">
        <is>
          <t>Climate Transparency and Reporting Systems</t>
        </is>
      </c>
      <c r="C8" s="37" t="inlineStr">
        <is>
          <t>https://co.pims.undp.org/project/asl?id=6169&amp;aslId=9204</t>
        </is>
      </c>
      <c r="D8" s="35" t="n">
        <v>2329236</v>
      </c>
      <c r="E8" s="47" t="n"/>
      <c r="F8" s="47" t="n"/>
      <c r="G8" s="47" t="n"/>
      <c r="H8" s="35" t="inlineStr">
        <is>
          <t>VF</t>
        </is>
      </c>
      <c r="I8" s="32" t="inlineStr">
        <is>
          <t>Water Services</t>
        </is>
      </c>
      <c r="J8" s="32" t="inlineStr">
        <is>
          <t xml:space="preserve">Direct project beneficiaries </t>
        </is>
      </c>
      <c r="K8" s="34" t="n">
        <v>0</v>
      </c>
      <c r="L8" s="38" t="n">
        <v>200</v>
      </c>
      <c r="M8" s="32" t="inlineStr">
        <is>
          <t>The National Adaptation Plan (NAP) project aims to strengthen Morocco’s institutional and technical capacities to plan, coordinate, and implement effective climate change adaptation actions.
It seeks to integrate climate resilience into national and sectoral development planning, particularly in key sectors such as water, agriculture, health, and infrastructure, while ensuring that adaptation priorities are evidence-based, inclusive, and aligned with Morocco’s national climate strategies.
Through this project, Morocco is developing a long-term, participatory framework for adaptation planning that supports vulnerable populations, improves data and knowledge systems on climate risks, and promotes gender-responsive and locally driven adaptation solutions.</t>
        </is>
      </c>
      <c r="N8" s="34" t="inlineStr">
        <is>
          <t>GCF</t>
        </is>
      </c>
      <c r="O8" s="39" t="n">
        <v>0.45</v>
      </c>
      <c r="P8" s="34" t="inlineStr">
        <is>
          <t>Efficiency</t>
        </is>
      </c>
      <c r="Q8" s="32" t="inlineStr">
        <is>
          <t>Close the gap on energy access</t>
        </is>
      </c>
      <c r="R8" s="34" t="inlineStr">
        <is>
          <t>Overall</t>
        </is>
      </c>
      <c r="S8" s="34" t="inlineStr">
        <is>
          <t>Action Opportunities</t>
        </is>
      </c>
      <c r="T8" s="34" t="inlineStr">
        <is>
          <t>Government Capacity-Building</t>
        </is>
      </c>
      <c r="U8" s="34" t="inlineStr">
        <is>
          <t>Digital &amp; Data</t>
        </is>
      </c>
      <c r="V8" s="34" t="inlineStr">
        <is>
          <t>Other</t>
        </is>
      </c>
      <c r="W8" s="34" t="inlineStr">
        <is>
          <t>National</t>
        </is>
      </c>
      <c r="X8" s="32" t="inlineStr">
        <is>
          <t>National and Subnational Institutions</t>
        </is>
      </c>
    </row>
    <row r="9">
      <c r="A9" s="31" t="n"/>
      <c r="B9" s="31" t="n"/>
      <c r="C9" s="37" t="n"/>
      <c r="D9" s="35" t="n"/>
      <c r="E9" s="35" t="n"/>
      <c r="F9" s="35" t="n"/>
      <c r="G9" s="35" t="n"/>
      <c r="H9" s="35" t="n"/>
      <c r="I9" s="32" t="inlineStr">
        <is>
          <t>Energy (MW added)</t>
        </is>
      </c>
      <c r="J9" s="32" t="inlineStr">
        <is>
          <t>Installed capacity in MW for access/productive-use outputs</t>
        </is>
      </c>
      <c r="K9" s="48" t="n">
        <v>0</v>
      </c>
      <c r="L9" s="49" t="n"/>
      <c r="M9" s="32" t="n"/>
      <c r="N9" s="34" t="n"/>
      <c r="O9" s="39" t="n"/>
      <c r="P9" s="34" t="n"/>
      <c r="Q9" s="32" t="n"/>
      <c r="R9" s="34" t="n"/>
      <c r="S9" s="34" t="n"/>
      <c r="T9" s="34" t="n"/>
      <c r="U9" s="34" t="n"/>
      <c r="V9" s="34" t="n"/>
      <c r="W9" s="34" t="n"/>
      <c r="X9" s="32" t="n"/>
    </row>
  </sheetData>
  <dataValidations count="10">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showDropDown="0" showInputMessage="1" showErrorMessage="1" allowBlank="1" type="list">
      <formula1>"AMP, PUDC, Solar4Health, Action Opportunities, Italy UNDP Energy Partnership"</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L2:L3" showDropDown="0" showInputMessage="1" showErrorMessage="1" allowBlank="1" type="list">
      <formula1>"Non-VF, VF"</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7" r:id="rId3"/>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3" sqref="A3"/>
    </sheetView>
  </sheetViews>
  <sheetFormatPr baseColWidth="8" defaultRowHeight="15"/>
  <cols>
    <col width="20.7109375" customWidth="1" min="2" max="3"/>
    <col width="20.7109375" customWidth="1" min="5" max="5"/>
    <col width="23.85546875" customWidth="1" min="6" max="6"/>
    <col width="12.7109375" customWidth="1" min="7" max="7"/>
    <col width="12.7109375" customWidth="1" style="6" min="8" max="8"/>
    <col width="32.7109375" customWidth="1" min="9" max="9"/>
    <col width="10.28515625" customWidth="1" min="10" max="10"/>
    <col width="46.140625" customWidth="1" min="13" max="13"/>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3" t="inlineStr">
        <is>
          <t>Target</t>
        </is>
      </c>
      <c r="I1" s="1" t="inlineStr">
        <is>
          <t>Notes</t>
        </is>
      </c>
      <c r="J1" s="7" t="inlineStr">
        <is>
          <t>Donors</t>
        </is>
      </c>
      <c r="K1" s="8" t="inlineStr">
        <is>
          <t>Gender (% female)</t>
        </is>
      </c>
      <c r="L1" s="8" t="inlineStr">
        <is>
          <t>Category</t>
        </is>
      </c>
      <c r="M1" s="8" t="inlineStr">
        <is>
          <t>Comments</t>
        </is>
      </c>
    </row>
    <row r="2" customFormat="1" s="9">
      <c r="A2" s="9" t="n">
        <v>6411</v>
      </c>
      <c r="B2" s="9" t="inlineStr">
        <is>
          <t>Sustainable Cities Impact Program - Morocco</t>
        </is>
      </c>
      <c r="C2" s="9" t="inlineStr">
        <is>
          <t>PIMS+</t>
        </is>
      </c>
      <c r="D2" s="9" t="n">
        <v>9416167</v>
      </c>
      <c r="E2" t="inlineStr">
        <is>
          <t>Energy Infrastructure Services</t>
        </is>
      </c>
      <c r="F2" s="9" t="inlineStr">
        <is>
          <t xml:space="preserve">Direct project beneficiaries </t>
        </is>
      </c>
      <c r="G2" s="9" t="n">
        <v>0</v>
      </c>
      <c r="H2" s="10" t="n">
        <v>928850</v>
      </c>
      <c r="I2" s="9" t="inlineStr">
        <is>
          <t>The global objective of the project is to foster integration and innovative urban planning and financing for Marrakech’s sustainable development</t>
        </is>
      </c>
      <c r="L2" s="9" t="inlineStr">
        <is>
          <t>VF</t>
        </is>
      </c>
      <c r="M2" s="11" t="inlineStr">
        <is>
          <t>this corresponds to the number of beneficiaries of the project activities (electric buses, electric motorcycles, public lighting, energy efficiency measures in hotel establishments</t>
        </is>
      </c>
    </row>
    <row r="3">
      <c r="A3" t="n">
        <v>5284</v>
      </c>
      <c r="B3" t="inlineStr">
        <is>
          <t>PV pumping systems for irrigation</t>
        </is>
      </c>
      <c r="C3" t="inlineStr">
        <is>
          <t>PIMS+</t>
        </is>
      </c>
      <c r="D3" t="n">
        <v>2639726</v>
      </c>
      <c r="E3" s="2" t="inlineStr">
        <is>
          <t>Water Services</t>
        </is>
      </c>
      <c r="F3" s="2" t="inlineStr">
        <is>
          <t>Number of people (Man and woman) benefiting from improved access to sustainable energy platforms</t>
        </is>
      </c>
      <c r="G3" s="2" t="n">
        <v>0</v>
      </c>
      <c r="H3" s="4" t="inlineStr">
        <is>
          <t>3750 HH</t>
        </is>
      </c>
      <c r="I3" s="2" t="inlineStr">
        <is>
          <t>3,750 solar pumping systems benefiting to 3,750 rural households composed on average of 5 persons each</t>
        </is>
      </c>
      <c r="L3" t="inlineStr">
        <is>
          <t>VF</t>
        </is>
      </c>
    </row>
    <row r="5">
      <c r="B5" s="12" t="inlineStr">
        <is>
          <t>Note- check if project 6411 outputs can be disaggregated</t>
        </is>
      </c>
    </row>
    <row r="7">
      <c r="H7" s="5"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7"/>
  <sheetViews>
    <sheetView topLeftCell="D1" workbookViewId="0">
      <selection activeCell="K1" sqref="K1"/>
    </sheetView>
  </sheetViews>
  <sheetFormatPr baseColWidth="8" defaultRowHeight="15"/>
  <cols>
    <col width="20.7109375" customWidth="1" min="2" max="3"/>
    <col width="20.7109375" customWidth="1" min="5" max="5"/>
    <col width="23.85546875" customWidth="1" min="6" max="6"/>
    <col width="12.7109375" customWidth="1" min="7" max="7"/>
    <col width="12.7109375" customWidth="1" style="6" min="8"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3" t="inlineStr">
        <is>
          <t>Target</t>
        </is>
      </c>
      <c r="I1" s="1" t="inlineStr">
        <is>
          <t>Notes</t>
        </is>
      </c>
      <c r="J1" s="7" t="inlineStr">
        <is>
          <t>Donors</t>
        </is>
      </c>
    </row>
    <row r="2">
      <c r="A2" t="n">
        <v>6411</v>
      </c>
      <c r="B2" t="inlineStr">
        <is>
          <t>Sustainable Cities Impact Program - Morocco</t>
        </is>
      </c>
      <c r="C2" t="inlineStr">
        <is>
          <t>PIMS+</t>
        </is>
      </c>
      <c r="D2" t="n">
        <v>9416167</v>
      </c>
      <c r="E2" s="2" t="inlineStr">
        <is>
          <t>Other</t>
        </is>
      </c>
      <c r="F2" s="2" t="inlineStr">
        <is>
          <t xml:space="preserve">Direct project beneficiaries </t>
        </is>
      </c>
      <c r="G2" s="2" t="n">
        <v>0</v>
      </c>
      <c r="H2" s="4" t="n">
        <v>928850</v>
      </c>
      <c r="I2" s="2" t="inlineStr">
        <is>
          <t>The global objective of the project is to foster integration and innovative urban planning and financing for Marrakech’s sustainable development</t>
        </is>
      </c>
    </row>
    <row r="3">
      <c r="A3" t="n">
        <v>5284</v>
      </c>
      <c r="B3" t="inlineStr">
        <is>
          <t>PV pumping systems for irrigation</t>
        </is>
      </c>
      <c r="C3" t="inlineStr">
        <is>
          <t>PIMS+</t>
        </is>
      </c>
      <c r="D3" t="n">
        <v>2639726</v>
      </c>
      <c r="E3" s="2" t="inlineStr">
        <is>
          <t>Other Energy Services</t>
        </is>
      </c>
      <c r="F3" s="2" t="inlineStr">
        <is>
          <t>Number of people (Man and woman) benefiting from improved access to sustainable energy platforms</t>
        </is>
      </c>
      <c r="G3" s="2" t="n">
        <v>0</v>
      </c>
      <c r="H3" s="4" t="n">
        <v>18780</v>
      </c>
      <c r="I3" s="2" t="inlineStr">
        <is>
          <t>3,750 solar pumping systems benefiting to 3,750 rural households composed on average of 5 persons each</t>
        </is>
      </c>
    </row>
    <row r="7">
      <c r="H7" s="5"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50" t="inlineStr">
        <is>
          <t>Beneficiary Category</t>
        </is>
      </c>
      <c r="B1" s="50" t="inlineStr">
        <is>
          <t>Indicator</t>
        </is>
      </c>
    </row>
    <row r="2" ht="45.75" customHeight="1">
      <c r="A2" s="51" t="inlineStr">
        <is>
          <t>Electricity Access</t>
        </is>
      </c>
      <c r="B2" s="51" t="inlineStr">
        <is>
          <t>Number of people, disaggregated by sex, who gain access to clean electricity (direct access to electricity, lighting, cooling, etc.).</t>
        </is>
      </c>
    </row>
    <row r="3">
      <c r="A3" s="51" t="inlineStr">
        <is>
          <t>Energy (MW added)</t>
        </is>
      </c>
      <c r="B3" s="51" t="inlineStr">
        <is>
          <t>Installed renewable or clean-energy power capacity added, in MW.</t>
        </is>
      </c>
    </row>
    <row r="4" ht="30.75" customHeight="1">
      <c r="A4" s="51" t="inlineStr">
        <is>
          <t>Energy Storage (MW)</t>
        </is>
      </c>
      <c r="B4" s="51" t="inlineStr">
        <is>
          <t>Installed energy storage power capacity added, in MW.</t>
        </is>
      </c>
    </row>
    <row r="5" ht="30.75" customHeight="1">
      <c r="A5" s="51" t="inlineStr">
        <is>
          <t>Clean Cooking</t>
        </is>
      </c>
      <c r="B5" s="51" t="inlineStr">
        <is>
          <t>Number of people who gain access to clean cooking (direct access to clean cook stoves, clean fuels, biomass, etc.).</t>
        </is>
      </c>
    </row>
    <row r="6" ht="91.5" customHeight="1">
      <c r="A6" s="51" t="inlineStr">
        <is>
          <t>Clean Heating</t>
        </is>
      </c>
      <c r="B6" s="51" t="inlineStr">
        <is>
          <t>Number of people who gain access to clean heating (direct access to clean electric heaters, clean fuels, etc.).</t>
        </is>
      </c>
    </row>
    <row r="7" ht="45.75" customHeight="1">
      <c r="A7" s="51" t="inlineStr">
        <is>
          <t>Agriculture and Food System</t>
        </is>
      </c>
      <c r="B7" s="51" t="inlineStr">
        <is>
          <t>Number of people who gain access to clean, affordable, and sustainable energy for agricultural and food-system activities.</t>
        </is>
      </c>
    </row>
    <row r="8" ht="45.75" customHeight="1">
      <c r="A8" s="51" t="inlineStr">
        <is>
          <t>Health Services</t>
        </is>
      </c>
      <c r="B8" s="51" t="inlineStr">
        <is>
          <t>Number of people who gain access to health care facilities through clean energy systems.</t>
        </is>
      </c>
    </row>
    <row r="9" ht="45.75" customHeight="1">
      <c r="A9" s="51" t="inlineStr">
        <is>
          <t>Water Services</t>
        </is>
      </c>
      <c r="B9" s="51" t="inlineStr">
        <is>
          <t>Number of people who gain access to water services through clean energy systems.</t>
        </is>
      </c>
    </row>
    <row r="10" ht="30.75" customHeight="1">
      <c r="A10" s="51" t="inlineStr">
        <is>
          <t>Education Services</t>
        </is>
      </c>
      <c r="B10" s="51" t="inlineStr">
        <is>
          <t>Number of people who gain access to education services through clean energy systems, including students and teachers.</t>
        </is>
      </c>
    </row>
    <row r="11" ht="30.75" customHeight="1">
      <c r="A11" s="51" t="inlineStr">
        <is>
          <t>Transportation and E-mobility Services</t>
        </is>
      </c>
      <c r="B11" s="51" t="inlineStr">
        <is>
          <t>Number of people served or energy saved from transport and e-mobility interventions, such as electric vehicles or charging stations.</t>
        </is>
      </c>
    </row>
    <row r="12" ht="45.75" customHeight="1">
      <c r="A12" s="51" t="inlineStr">
        <is>
          <t>Energy Efficiency Services</t>
        </is>
      </c>
      <c r="B12" s="51" t="inlineStr">
        <is>
          <t>Energy saved from energy-efficiency interventions, such as building or industrial efficiency.</t>
        </is>
      </c>
    </row>
    <row r="13" ht="30.75" customHeight="1">
      <c r="A13" s="51" t="inlineStr">
        <is>
          <t>Energy Infrastructure Services</t>
        </is>
      </c>
      <c r="B13" s="51" t="inlineStr">
        <is>
          <t>Number of people benefiting from energy infrastructure interventions, such as streetlights, transmission, and distribution lines.</t>
        </is>
      </c>
    </row>
    <row r="14">
      <c r="A14" s="51" t="inlineStr">
        <is>
          <t>Other Energy Services</t>
        </is>
      </c>
      <c r="B14" s="51" t="inlineStr">
        <is>
          <t>Access to other energy services not captured by the categories above.</t>
        </is>
      </c>
    </row>
    <row r="15" ht="30.75" customHeight="1">
      <c r="A15" s="51" t="inlineStr">
        <is>
          <t>Financing support</t>
        </is>
      </c>
      <c r="B15" s="51" t="inlineStr">
        <is>
          <t>Support for the development of the energy market ecosystem.</t>
        </is>
      </c>
    </row>
    <row r="16" ht="30.75" customHeight="1">
      <c r="A16" s="51" t="inlineStr">
        <is>
          <t>Medium Enterprises</t>
        </is>
      </c>
      <c r="B16" s="51" t="inlineStr">
        <is>
          <t>Support for the development of medium enterprises in the energy transition market.</t>
        </is>
      </c>
    </row>
    <row r="17" ht="30.75" customHeight="1">
      <c r="A17" s="51" t="inlineStr">
        <is>
          <t>Small Enterprises</t>
        </is>
      </c>
      <c r="B17" s="51" t="inlineStr">
        <is>
          <t>Support for the development of small enterprises in the energy transition market.</t>
        </is>
      </c>
    </row>
    <row r="18" ht="30.75" customHeight="1">
      <c r="A18" s="51" t="inlineStr">
        <is>
          <t>Capacity Building Training</t>
        </is>
      </c>
      <c r="B18" s="51" t="inlineStr">
        <is>
          <t>Number of people benefiting from training on energy business, energy finance, or related implementation capacity.</t>
        </is>
      </c>
    </row>
    <row r="19" ht="76.5" customHeight="1">
      <c r="A19" s="51" t="inlineStr">
        <is>
          <t>Entrepreneurship Training</t>
        </is>
      </c>
      <c r="B19" s="51" t="inlineStr">
        <is>
          <t>Training for enterprises on the energy business, assumed to result in direct beneficiaries.</t>
        </is>
      </c>
    </row>
    <row r="20" ht="30.75" customHeight="1">
      <c r="A20" s="51" t="inlineStr">
        <is>
          <t>Market Intervention</t>
        </is>
      </c>
      <c r="B20" s="51" t="inlineStr">
        <is>
          <t>Volume of investment leveraged or barriers removed for clean, reliable, affordable, and sustainable energy solutions.</t>
        </is>
      </c>
    </row>
    <row r="21" ht="45.75" customHeight="1">
      <c r="A21" s="51" t="inlineStr">
        <is>
          <t>Campaign Participant</t>
        </is>
      </c>
      <c r="B21" s="51" t="inlineStr">
        <is>
          <t>Individuals who participate in advocacy or awareness campaigns on energy.</t>
        </is>
      </c>
    </row>
    <row r="22" ht="30.75" customHeight="1">
      <c r="A22" s="51" t="inlineStr">
        <is>
          <t>Policy or Regulatory Framework</t>
        </is>
      </c>
      <c r="B22" s="51" t="inlineStr">
        <is>
          <t>Policies, regulations, strategies, plans, or frameworks developed, approved, implemented, or strengthened.</t>
        </is>
      </c>
    </row>
    <row r="23">
      <c r="A23" s="51" t="inlineStr">
        <is>
          <t>GHG Emissions Reduction</t>
        </is>
      </c>
      <c r="B23" s="51" t="inlineStr">
        <is>
          <t>Greenhouse gas emissions reduced or mitigated, in tCO2e.</t>
        </is>
      </c>
    </row>
    <row r="24">
      <c r="A24" s="51" t="inlineStr">
        <is>
          <t>Other</t>
        </is>
      </c>
      <c r="B24" s="5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2026-06-10T12:20:16Z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