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308"/>
  <workbookPr defaultThemeVersion="124226"/>
  <mc:AlternateContent xmlns:mc="http://schemas.openxmlformats.org/markup-compatibility/2006">
    <mc:Choice Requires="x15">
      <x15ac:absPath xmlns:x15ac="http://schemas.microsoft.com/office/spreadsheetml/2010/11/ac" url="/Users/ekouedjenevrardkarol/Documents/DONNEES EVRARD/Offre Energie PNUD actualisée/"/>
    </mc:Choice>
  </mc:AlternateContent>
  <xr:revisionPtr revIDLastSave="262" documentId="13_ncr:1_{3994DE0F-CBBE-EE48-9EC1-1A8586B13E62}" xr6:coauthVersionLast="47" xr6:coauthVersionMax="47" xr10:uidLastSave="{28B827A5-B001-4A2F-8C13-BC80760E26CE}"/>
  <bookViews>
    <workbookView xWindow="0" yWindow="740" windowWidth="29400" windowHeight="17280" xr2:uid="{00000000-000D-0000-FFFF-FFFF00000000}"/>
  </bookViews>
  <sheets>
    <sheet name="Projects (3)" sheetId="5" r:id="rId1"/>
    <sheet name="Projects (2)" sheetId="4"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tc={11484F6E-76AC-46DF-860C-384CC606F360}</author>
  </authors>
  <commentList>
    <comment ref="A8" authorId="0" shapeId="0" xr:uid="{11484F6E-76AC-46DF-860C-384CC606F360}">
      <text>
        <t>[Threaded comment]
Your version of Excel allows you to read this threaded comment; however, any edits to it will get removed if the file is opened in a newer version of Excel. Learn more: https://go.microsoft.com/fwlink/?linkid=870924
Comment:
    This project seems to have two IDs in Quantum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tc={627D9D03-17DC-483F-B04C-78289CE62CA3}</author>
  </authors>
  <commentList>
    <comment ref="A7" authorId="0" shapeId="0" xr:uid="{627D9D03-17DC-483F-B04C-78289CE62CA3}">
      <text>
        <t>[Threaded comment]
Your version of Excel allows you to read this threaded comment; however, any edits to it will get removed if the file is opened in a newer version of Excel. Learn more: https://go.microsoft.com/fwlink/?linkid=870924
Comment:
    This project seems to have two IDs in Quantum</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tc={EFB6909A-CD9A-4739-AC68-5FE8E92C6DCE}</author>
  </authors>
  <commentList>
    <comment ref="A7" authorId="0" shapeId="0" xr:uid="{EFB6909A-CD9A-4739-AC68-5FE8E92C6DCE}">
      <text>
        <t>[Threaded comment]
Your version of Excel allows you to read this threaded comment; however, any edits to it will get removed if the file is opened in a newer version of Excel. Learn more: https://go.microsoft.com/fwlink/?linkid=870924
Comment:
    This project seems to have two IDs in Quantum</t>
      </text>
    </comment>
  </commentList>
</comments>
</file>

<file path=xl/sharedStrings.xml><?xml version="1.0" encoding="utf-8"?>
<sst xmlns="http://schemas.openxmlformats.org/spreadsheetml/2006/main" count="287" uniqueCount="117">
  <si>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</si>
  <si>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</si>
  <si>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</si>
  <si>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</si>
  <si>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</si>
  <si>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</si>
  <si>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</si>
  <si>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</si>
  <si>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</si>
  <si>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</si>
  <si>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</si>
  <si>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</si>
  <si>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</si>
  <si>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</si>
  <si>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</si>
  <si>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</si>
  <si>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</si>
  <si>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</si>
  <si>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</si>
  <si>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</si>
  <si>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</si>
  <si>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UNDP-MDG-00132364</t>
  </si>
  <si>
    <t>Africa mini grids projects</t>
  </si>
  <si>
    <t>Electricity Access</t>
  </si>
  <si>
    <t>number of isolated households with access to a nano-power grid</t>
  </si>
  <si>
    <t>50 HH</t>
  </si>
  <si>
    <t>Non-VF</t>
  </si>
  <si>
    <t>Close the gap on energy access</t>
  </si>
  <si>
    <t>Solar</t>
  </si>
  <si>
    <t>Note for CO: Missing targets for some outputs (all outputs need quantified targets). Please also check Project IDs and titles: the titles are the project titles, and each project should have a single ID.</t>
  </si>
  <si>
    <t>Agriculture and Food System</t>
  </si>
  <si>
    <t>number of households using renewable energy to develop their economic's activity</t>
  </si>
  <si>
    <t>100 HH</t>
  </si>
  <si>
    <t>Other Energy Services</t>
  </si>
  <si>
    <t>number of communal institutions with access to energy for digitalization and improvement of their services</t>
  </si>
  <si>
    <t>Clean Cooking</t>
  </si>
  <si>
    <t>Quantity of firewood saved</t>
  </si>
  <si>
    <t>Small Enterprises</t>
  </si>
  <si>
    <t>quantity of oil extracted in an ecological way per year</t>
  </si>
  <si>
    <t>Health Services</t>
  </si>
  <si>
    <t>number of hospital patients benefiting from a clean energy source</t>
  </si>
  <si>
    <t>5 hospitals are operational, commissionned</t>
  </si>
  <si>
    <t>Résilience &amp; Dvpt Territorial 'UNDP-MDG-00129975 &amp; UNDP-MDG-00129976</t>
  </si>
  <si>
    <t>https://open.undp.org/projects/00141254</t>
  </si>
  <si>
    <t>number of households connected to the power grid</t>
  </si>
  <si>
    <t>6569 HH</t>
  </si>
  <si>
    <t>6 solar PV-Diesel hybrid minigrids are already operational, 2 are being set up</t>
  </si>
  <si>
    <t>Education Services</t>
  </si>
  <si>
    <t>number of public school students with access to energy</t>
  </si>
  <si>
    <t>Medium Enterprises</t>
  </si>
  <si>
    <t>number of economic activities using the power grid</t>
  </si>
  <si>
    <t>Energy Efficiency Services</t>
  </si>
  <si>
    <t>amount of fuel saved per day</t>
  </si>
  <si>
    <t xml:space="preserve">The targets in terms of quantity of fuel saved are not contained in the project prodoc. I have taken the liberty of making a small estimate.
A household can consume around 1 to 2 kg of charcoal and/or 5 kg of wood per day. Assuming that half of the planned cooking stoves are wood-burning and the other half charcoal-burning, and assuming an energy efficiency of 50 percent, we get this result. The amount of fuel avoided is 3250 g per day, including 750 g of charcoal.
(Ardhi's estimate)
Average charcoal's calorific value 30 MJ/kg
Average wood's CV = 18.5/kg
Energy saved per day  = (30*2500 + 18.5*750)/1000 = 88,\.875 MJ
Energy saved per year = 88,875*365 = 32,439.375
</t>
  </si>
  <si>
    <t>Financement Intégré Energies R  (UNDP-MDG-00123355)</t>
  </si>
  <si>
    <t>https://open.undp.org/projects/00129782</t>
  </si>
  <si>
    <t>Access to energy through installed renewable energy capacity (solar PV, hydro, wind, etc. )</t>
  </si>
  <si>
    <t>NA</t>
  </si>
  <si>
    <t xml:space="preserve">Solar &amp; hydro power generation </t>
  </si>
  <si>
    <t>Mptf-Joint Sdg Fund</t>
  </si>
  <si>
    <t>Some Sources</t>
  </si>
  <si>
    <t>Access to clean cooking (direct access to clean cook stoves, clean fuels, biomass, etc.)</t>
  </si>
  <si>
    <t>Bioethanol</t>
  </si>
  <si>
    <t>Entrepreneurship Training</t>
  </si>
  <si>
    <t>Training for enterprises on the energy business is assumed to result in at least 100 direct beneficiaries</t>
  </si>
  <si>
    <t>The incubator's objective is to incubate/accelerate 15 companies/projects per incubation cycle, i.e. a total of 45 companies or start-ups.</t>
  </si>
  <si>
    <t>Access to electricity (direct access to electricity, lighting,  heating, cooling etc.)</t>
  </si>
  <si>
    <t>Category</t>
  </si>
  <si>
    <t>Comments</t>
  </si>
  <si>
    <t>Agricultural Services</t>
  </si>
  <si>
    <t>UNDP-MDG-00129975
UNDP-MDG-00129976</t>
  </si>
  <si>
    <t xml:space="preserve">Résilience &amp; Dvpt Territorial </t>
  </si>
  <si>
    <t>Energy (MW added)</t>
  </si>
  <si>
    <t>number of public schools with access to energy</t>
  </si>
  <si>
    <t>number of hospitals benefiting from a clean energy source</t>
  </si>
  <si>
    <t>UNDP-MDG-00129975</t>
  </si>
  <si>
    <t>The targets in terms of quantity of fuel saved are not contained in the project prodoc. I have taken the liberty of making a small estimate.
A household can consume around 1 to 2 kg of charcoal and/or 5 kg of wood per day. Assuming that half of the planned cooking stoves are wood-burning and the other half charcoal-burning, and assuming an energy efficiency of 50 percent, we get this result. The amount of fuel avoided is 3250 kg per day, including 750 kg of charcoal.</t>
  </si>
  <si>
    <t>annual revenue</t>
  </si>
  <si>
    <t>UNDP-MDG-00123355</t>
  </si>
  <si>
    <t>Financement Intégré Energies R</t>
  </si>
  <si>
    <t>N/A</t>
  </si>
  <si>
    <t xml:space="preserve">Comments </t>
  </si>
  <si>
    <t>$ 824,590</t>
  </si>
  <si>
    <t>$ 54,790.12</t>
  </si>
  <si>
    <t>$ 2,286,000</t>
  </si>
  <si>
    <t>$ 1,107,801</t>
  </si>
  <si>
    <t>$ 54,458</t>
  </si>
  <si>
    <t>USD 8,748,560.00</t>
  </si>
  <si>
    <t>Number of people, disaggregated by sex, who gain access to clean electricity (direct access to electricity, lighting, cooling, etc.) </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</si>
  <si>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</si>
  <si>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</si>
  <si>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</si>
  <si>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</si>
  <si>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</si>
  <si>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</si>
  <si>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</si>
  <si>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</si>
  <si>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</si>
  <si>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</si>
  <si>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</si>
  <si>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</si>
  <si>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</si>
  <si>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</si>
  <si>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</si>
  <si>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</si>
  <si>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</si>
  <si>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Support for the development of medium enterprises in the energy transition market</t>
  </si>
  <si>
    <t>Support for the development of small enterprises in the energy transition market</t>
  </si>
  <si>
    <t>Capacity Building Training</t>
  </si>
  <si>
    <t>Number of people who benefits from training for enterprises on the energy business and energy finance. </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</si>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</sst>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_);_([$$-409]* \(#,##0\);_([$$-409]* &quot;-&quot;??_);_(@_)"/>
  </numFmts>
  <fonts count="10">
    <font>
      <sz val="11"/>
      <color theme="1"/>
      <name val="Calibri"/>
      <family val="2"/>
      <scheme val="minor"/>
    </font>
    <font>
      <sz val="11"/>
      <color theme="1"/>
      <name val="Calibri"/>
      <scheme val="minor"/>
    </font>
    <font>
      <b/>
      <sz val="11"/>
      <color theme="1"/>
      <name val="Calibri"/>
      <family val="2"/>
      <scheme val="minor"/>
    </font>
    <font>
      <sz val="8"/>
      <name val="Calibri"/>
      <family val="2"/>
      <scheme val="minor"/>
    </font>
    <font>
      <b/>
      <sz val="11"/>
      <color rgb="FFFF0000"/>
      <name val="Calibri"/>
      <family val="2"/>
    </font>
    <font>
      <b/>
      <sz val="11"/>
      <color rgb="FFFF0000"/>
      <name val="Calibri"/>
      <family val="2"/>
      <scheme val="minor"/>
    </font>
    <font>
      <sz val="11"/>
      <color rgb="FF000000"/>
      <name val="Calibri"/>
      <charset val="1"/>
    </font>
    <font>
      <b/>
      <sz val="11"/>
      <color theme="1"/>
      <name val="Calibri"/>
      <scheme val="minor"/>
    </font>
    <font>
      <sz val="11"/>
      <color rgb="FF000000"/>
      <name val="Calibri"/>
      <scheme val="minor"/>
    </font>
    <font>
      <u/>
      <sz val="11"/>
      <color theme="10"/>
      <name val="Calibri"/>
      <family val="2"/>
      <scheme val="minor"/>
    </font>
  </fonts>
  <fills count="6">
    <fill>
      <patternFill patternType="none"/>
    </fill>
    <fill>
      <patternFill patternType="gray125"/>
    </fill>
    <fill>
      <patternFill patternType="solid">
        <fgColor rgb="FFFFE497"/>
        <bgColor indexed="64"/>
      </patternFill>
    </fill>
    <fill>
      <patternFill patternType="solid">
        <fgColor rgb="FFFCE4D6"/>
        <bgColor indexed="64"/>
      </patternFill>
    </fill>
    <fill>
      <patternFill patternType="solid">
        <fgColor theme="0"/>
        <bgColor indexed="64"/>
      </patternFill>
    </fill>
    <fill>
      <patternFill patternType="solid">
        <fgColor rgb="FFFFFF00"/>
        <bgColor indexed="64"/>
      </patternFill>
    </fill>
  </fills>
  <borders count="1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right/>
      <top style="thin">
        <color rgb="FF000000"/>
      </top>
      <bottom/>
      <diagonal/>
    </border>
    <border>
      <left/>
      <right/>
      <top/>
      <bottom style="thin">
        <color rgb="FF000000"/>
      </bottom>
      <diagonal/>
    </border>
    <border>
      <left/>
      <right style="thin">
        <color rgb="FF000000"/>
      </right>
      <top style="thin">
        <color rgb="FF000000"/>
      </top>
      <bottom/>
      <diagonal/>
    </border>
  </borders>
  <cellStyleXfs count="2">
    <xf numFmtId="0" fontId="0" fillId="0" borderId="0"/>
    <xf numFmtId="0" fontId="9" fillId="0" borderId="0" applyNumberFormat="0" applyFill="0" applyBorder="0" applyAlignment="0" applyProtection="0"/>
  </cellStyleXfs>
  <cellXfs count="111">
    <xf numFmtId="0" fontId="0" fillId="0" borderId="0" xfId="0"/>
    <xf numFmtId="0" fontId="2" fillId="0" borderId="1" xfId="0" applyFont="1" applyBorder="1" applyAlignment="1">
      <alignment horizontal="center"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applyFill="1" applyAlignment="1">
      <alignment horizontal="center" vertical="top"/>
    </xf>
    <xf numFmtId="0" fontId="0" fillId="0" borderId="0" xfId="0" applyAlignment="1">
      <alignment vertical="top"/>
    </xf>
    <xf numFmtId="0" fontId="0" fillId="2" borderId="0" xfId="0" applyFill="1" applyAlignment="1">
      <alignment horizontal="center" vertical="top" wrapText="1"/>
    </xf>
    <xf numFmtId="0" fontId="0" fillId="0" borderId="0" xfId="0" applyAlignment="1">
      <alignment horizontal="center" vertical="top"/>
    </xf>
    <xf numFmtId="0" fontId="2" fillId="0" borderId="1" xfId="0" applyFont="1" applyBorder="1" applyAlignment="1">
      <alignment horizontal="center" vertical="top" wrapText="1"/>
    </xf>
    <xf numFmtId="0" fontId="0" fillId="0" borderId="1" xfId="0" quotePrefix="1" applyBorder="1" applyAlignment="1">
      <alignment horizontal="left" vertical="top"/>
    </xf>
    <xf numFmtId="0" fontId="0" fillId="0" borderId="1" xfId="0" applyBorder="1" applyAlignment="1">
      <alignment horizontal="left" vertical="top"/>
    </xf>
    <xf numFmtId="0" fontId="0" fillId="2" borderId="1" xfId="0" applyFill="1" applyBorder="1" applyAlignment="1">
      <alignment vertical="top"/>
    </xf>
    <xf numFmtId="0" fontId="0" fillId="2" borderId="1" xfId="0" applyFill="1" applyBorder="1" applyAlignment="1">
      <alignment vertical="top" wrapText="1"/>
    </xf>
    <xf numFmtId="0" fontId="0" fillId="2" borderId="1" xfId="0" applyFill="1" applyBorder="1" applyAlignment="1">
      <alignment horizontal="center" vertical="top" wrapText="1"/>
    </xf>
    <xf numFmtId="0" fontId="0" fillId="0" borderId="1" xfId="0" applyBorder="1" applyAlignment="1">
      <alignment vertical="top"/>
    </xf>
    <xf numFmtId="0" fontId="2" fillId="0" borderId="0" xfId="0" applyFont="1" applyAlignment="1">
      <alignment vertical="top"/>
    </xf>
    <xf numFmtId="0" fontId="4" fillId="0" borderId="0" xfId="0" applyFont="1"/>
    <xf numFmtId="0" fontId="5" fillId="0" borderId="0" xfId="0" applyFont="1" applyAlignment="1">
      <alignment vertical="top"/>
    </xf>
    <xf numFmtId="0" fontId="6" fillId="0" borderId="0" xfId="0" applyFont="1"/>
    <xf numFmtId="0" fontId="2" fillId="3" borderId="5" xfId="0" applyFont="1" applyFill="1" applyBorder="1" applyAlignment="1">
      <alignment vertical="center" wrapText="1"/>
    </xf>
    <xf numFmtId="0" fontId="2" fillId="0" borderId="5" xfId="0" applyFont="1" applyBorder="1" applyAlignment="1">
      <alignment vertical="center" wrapText="1"/>
    </xf>
    <xf numFmtId="0" fontId="2" fillId="0" borderId="5" xfId="0" applyFont="1" applyBorder="1" applyAlignment="1">
      <alignment horizontal="center" vertical="center" wrapText="1"/>
    </xf>
    <xf numFmtId="0" fontId="0" fillId="2" borderId="5" xfId="0" applyFill="1" applyBorder="1" applyAlignment="1">
      <alignment vertical="center" wrapText="1"/>
    </xf>
    <xf numFmtId="0" fontId="0" fillId="2" borderId="5" xfId="0" applyFill="1" applyBorder="1" applyAlignment="1">
      <alignment horizontal="center" vertical="center" wrapText="1"/>
    </xf>
    <xf numFmtId="0" fontId="0" fillId="0" borderId="5" xfId="0" applyBorder="1" applyAlignment="1">
      <alignment vertical="center" wrapText="1"/>
    </xf>
    <xf numFmtId="0" fontId="5" fillId="0" borderId="5" xfId="0" applyFont="1" applyBorder="1" applyAlignment="1">
      <alignment vertical="center" wrapText="1"/>
    </xf>
    <xf numFmtId="0" fontId="0" fillId="4" borderId="0" xfId="0" applyFill="1" applyAlignment="1">
      <alignment vertical="top"/>
    </xf>
    <xf numFmtId="0" fontId="0" fillId="4" borderId="0" xfId="0" applyFill="1" applyAlignment="1">
      <alignment vertical="top" wrapText="1"/>
    </xf>
    <xf numFmtId="0" fontId="0" fillId="4" borderId="0" xfId="0" applyFill="1" applyAlignment="1">
      <alignment horizontal="center" vertical="top" wrapText="1"/>
    </xf>
    <xf numFmtId="0" fontId="4" fillId="4" borderId="0" xfId="0" applyFont="1" applyFill="1"/>
    <xf numFmtId="0" fontId="0" fillId="4" borderId="0" xfId="0" applyFill="1" applyAlignment="1">
      <alignment horizontal="center" vertical="top"/>
    </xf>
    <xf numFmtId="0" fontId="0" fillId="2" borderId="6" xfId="0" applyFill="1" applyBorder="1" applyAlignment="1">
      <alignment vertical="center" wrapText="1"/>
    </xf>
    <xf numFmtId="0" fontId="0" fillId="0" borderId="8" xfId="0" quotePrefix="1" applyBorder="1" applyAlignment="1">
      <alignment horizontal="left" vertical="center" wrapText="1"/>
    </xf>
    <xf numFmtId="0" fontId="0" fillId="0" borderId="8" xfId="0" applyBorder="1" applyAlignment="1">
      <alignment horizontal="left" vertical="center" wrapText="1"/>
    </xf>
    <xf numFmtId="0" fontId="0" fillId="0" borderId="9" xfId="0" applyBorder="1" applyAlignment="1">
      <alignment horizontal="left" vertical="center" wrapText="1"/>
    </xf>
    <xf numFmtId="0" fontId="0" fillId="0" borderId="11" xfId="0" quotePrefix="1" applyBorder="1" applyAlignment="1">
      <alignment horizontal="left" vertical="center" wrapText="1"/>
    </xf>
    <xf numFmtId="0" fontId="0" fillId="0" borderId="12" xfId="0" quotePrefix="1" applyBorder="1" applyAlignment="1">
      <alignment horizontal="left" vertical="center" wrapText="1"/>
    </xf>
    <xf numFmtId="0" fontId="0" fillId="0" borderId="8" xfId="0" applyBorder="1" applyAlignment="1">
      <alignment vertical="center" wrapText="1"/>
    </xf>
    <xf numFmtId="0" fontId="0" fillId="0" borderId="10"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164" fontId="0" fillId="0" borderId="7" xfId="0" applyNumberFormat="1" applyBorder="1" applyAlignment="1">
      <alignment horizontal="left" vertical="center" wrapText="1"/>
    </xf>
    <xf numFmtId="164" fontId="0" fillId="0" borderId="8" xfId="0" applyNumberFormat="1" applyBorder="1" applyAlignment="1">
      <alignment horizontal="left"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1" xfId="0" applyBorder="1" applyAlignment="1">
      <alignment vertical="center" wrapText="1"/>
    </xf>
    <xf numFmtId="0" fontId="0" fillId="0" borderId="12" xfId="0" applyBorder="1" applyAlignment="1">
      <alignment vertical="center" wrapText="1"/>
    </xf>
    <xf numFmtId="0" fontId="0" fillId="0" borderId="10" xfId="0" quotePrefix="1" applyBorder="1" applyAlignment="1">
      <alignment horizontal="center" vertical="center" wrapText="1"/>
    </xf>
    <xf numFmtId="0" fontId="0" fillId="0" borderId="12" xfId="0" quotePrefix="1" applyBorder="1" applyAlignment="1">
      <alignment horizontal="center" vertical="center" wrapText="1"/>
    </xf>
    <xf numFmtId="0" fontId="0" fillId="0" borderId="10" xfId="0" applyBorder="1" applyAlignment="1">
      <alignment horizontal="center" vertical="center" wrapText="1"/>
    </xf>
    <xf numFmtId="0" fontId="0" fillId="0" borderId="12" xfId="0" applyBorder="1" applyAlignment="1">
      <alignment horizontal="center" vertical="center" wrapText="1"/>
    </xf>
    <xf numFmtId="0" fontId="6" fillId="0" borderId="8" xfId="0" applyFont="1" applyBorder="1" applyAlignment="1">
      <alignment vertical="center" wrapText="1"/>
    </xf>
    <xf numFmtId="0" fontId="0" fillId="0" borderId="11" xfId="0" applyBorder="1" applyAlignment="1">
      <alignment horizontal="center" vertical="center" wrapText="1"/>
    </xf>
    <xf numFmtId="0" fontId="6" fillId="0" borderId="10" xfId="0" quotePrefix="1" applyFont="1" applyBorder="1" applyAlignment="1">
      <alignment horizontal="left" vertical="center" wrapText="1"/>
    </xf>
    <xf numFmtId="0" fontId="6" fillId="0" borderId="12" xfId="0" quotePrefix="1" applyFont="1" applyBorder="1" applyAlignment="1">
      <alignment horizontal="left" vertical="center" wrapText="1"/>
    </xf>
    <xf numFmtId="0" fontId="2" fillId="0" borderId="7" xfId="0" applyFont="1" applyBorder="1" applyAlignment="1">
      <alignment horizontal="center" vertical="center" wrapText="1"/>
    </xf>
    <xf numFmtId="0" fontId="6" fillId="0" borderId="11" xfId="0" quotePrefix="1" applyFont="1" applyBorder="1" applyAlignment="1">
      <alignment horizontal="left" vertical="center" wrapText="1"/>
    </xf>
    <xf numFmtId="0" fontId="0" fillId="4" borderId="6" xfId="0" applyFill="1" applyBorder="1" applyAlignment="1">
      <alignment vertical="center" wrapText="1"/>
    </xf>
    <xf numFmtId="0" fontId="0" fillId="4" borderId="5" xfId="0" applyFill="1" applyBorder="1" applyAlignment="1">
      <alignment vertical="center" wrapText="1"/>
    </xf>
    <xf numFmtId="0" fontId="0" fillId="4" borderId="5" xfId="0" applyFill="1" applyBorder="1" applyAlignment="1">
      <alignment horizontal="center" vertical="center" wrapText="1"/>
    </xf>
    <xf numFmtId="0" fontId="0" fillId="5" borderId="5" xfId="0" applyFill="1" applyBorder="1" applyAlignment="1">
      <alignment vertical="center" wrapText="1"/>
    </xf>
    <xf numFmtId="0" fontId="0" fillId="5" borderId="5" xfId="0" applyFill="1" applyBorder="1" applyAlignment="1">
      <alignment horizontal="center" vertical="center" wrapText="1"/>
    </xf>
    <xf numFmtId="0" fontId="0" fillId="5" borderId="6" xfId="0" applyFill="1" applyBorder="1" applyAlignment="1">
      <alignment vertical="center" wrapText="1"/>
    </xf>
    <xf numFmtId="164" fontId="0" fillId="0" borderId="5" xfId="0" applyNumberFormat="1" applyBorder="1" applyAlignment="1">
      <alignment horizontal="left" vertical="center" wrapText="1"/>
    </xf>
    <xf numFmtId="0" fontId="0" fillId="0" borderId="5" xfId="0" applyBorder="1" applyAlignment="1">
      <alignment horizontal="center" vertical="center"/>
    </xf>
    <xf numFmtId="0" fontId="7" fillId="0" borderId="5" xfId="0" applyFont="1" applyBorder="1" applyAlignment="1">
      <alignment horizontal="center" vertical="top" wrapText="1"/>
    </xf>
    <xf numFmtId="0" fontId="8" fillId="0" borderId="5" xfId="0" applyFont="1" applyBorder="1" applyAlignment="1">
      <alignment wrapText="1"/>
    </xf>
    <xf numFmtId="0" fontId="2" fillId="0" borderId="5" xfId="0" applyFont="1" applyBorder="1" applyAlignment="1">
      <alignment horizontal="center"/>
    </xf>
    <xf numFmtId="0" fontId="2" fillId="0" borderId="7" xfId="0" applyFont="1" applyBorder="1" applyAlignment="1">
      <alignment horizontal="center"/>
    </xf>
    <xf numFmtId="0" fontId="2" fillId="0" borderId="10" xfId="0" applyFont="1" applyBorder="1" applyAlignment="1">
      <alignment horizontal="center"/>
    </xf>
    <xf numFmtId="0" fontId="2" fillId="0" borderId="7" xfId="0" applyFont="1" applyBorder="1"/>
    <xf numFmtId="0" fontId="0" fillId="0" borderId="13" xfId="0" applyBorder="1" applyAlignment="1">
      <alignment horizontal="center" vertical="center"/>
    </xf>
    <xf numFmtId="0" fontId="0" fillId="0" borderId="6" xfId="0" applyBorder="1" applyAlignment="1">
      <alignment horizontal="center" vertical="center" wrapText="1"/>
    </xf>
    <xf numFmtId="0" fontId="0" fillId="0" borderId="5" xfId="0" applyBorder="1" applyAlignment="1">
      <alignmen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15" xfId="0" applyBorder="1" applyAlignment="1">
      <alignment horizontal="left" vertical="center" wrapText="1"/>
    </xf>
    <xf numFmtId="164" fontId="0" fillId="0" borderId="15" xfId="0" applyNumberFormat="1" applyBorder="1" applyAlignment="1">
      <alignment horizontal="left" vertical="center" wrapText="1"/>
    </xf>
    <xf numFmtId="0" fontId="0" fillId="0" borderId="16" xfId="0" applyBorder="1" applyAlignment="1">
      <alignment horizontal="left" vertical="center" wrapText="1"/>
    </xf>
    <xf numFmtId="0" fontId="0" fillId="0" borderId="14" xfId="0" applyBorder="1" applyAlignment="1">
      <alignment horizontal="center" vertical="center" wrapText="1"/>
    </xf>
    <xf numFmtId="0" fontId="6" fillId="0" borderId="17" xfId="0" applyFont="1" applyBorder="1" applyAlignment="1">
      <alignment vertical="center" wrapText="1"/>
    </xf>
    <xf numFmtId="0" fontId="0" fillId="0" borderId="15" xfId="0" applyBorder="1" applyAlignment="1">
      <alignment vertical="center" wrapText="1"/>
    </xf>
    <xf numFmtId="0" fontId="0" fillId="0" borderId="7" xfId="0" applyBorder="1" applyAlignment="1">
      <alignment horizontal="left" vertical="center" wrapText="1"/>
    </xf>
    <xf numFmtId="0" fontId="0" fillId="0" borderId="16" xfId="0" applyBorder="1" applyAlignment="1">
      <alignment horizontal="center" vertical="center" wrapText="1"/>
    </xf>
    <xf numFmtId="0" fontId="0" fillId="0" borderId="14" xfId="0" applyBorder="1" applyAlignment="1">
      <alignment horizontal="left" vertical="center" wrapText="1"/>
    </xf>
    <xf numFmtId="164" fontId="0" fillId="0" borderId="18" xfId="0" applyNumberFormat="1" applyBorder="1" applyAlignment="1">
      <alignment horizontal="left" vertical="center" wrapText="1"/>
    </xf>
    <xf numFmtId="0" fontId="0" fillId="0" borderId="9" xfId="0" quotePrefix="1" applyBorder="1" applyAlignment="1">
      <alignment horizontal="left" vertical="center" wrapText="1"/>
    </xf>
    <xf numFmtId="0" fontId="0" fillId="0" borderId="10" xfId="0" quotePrefix="1" applyBorder="1" applyAlignment="1">
      <alignment horizontal="left" vertical="center" wrapText="1"/>
    </xf>
    <xf numFmtId="0" fontId="0" fillId="0" borderId="18" xfId="0" applyBorder="1" applyAlignment="1">
      <alignment horizontal="center" vertical="center" wrapText="1"/>
    </xf>
    <xf numFmtId="0" fontId="0" fillId="0" borderId="17" xfId="0" applyBorder="1" applyAlignment="1">
      <alignment horizontal="center" vertical="center" wrapText="1"/>
    </xf>
    <xf numFmtId="0" fontId="0" fillId="0" borderId="15" xfId="0" applyBorder="1" applyAlignment="1">
      <alignment horizontal="center" vertical="center" wrapText="1"/>
    </xf>
    <xf numFmtId="0" fontId="9" fillId="0" borderId="9" xfId="1" applyBorder="1" applyAlignment="1">
      <alignment vertical="center" wrapText="1"/>
    </xf>
    <xf numFmtId="0" fontId="6" fillId="0" borderId="2" xfId="0" quotePrefix="1" applyFont="1" applyBorder="1" applyAlignment="1">
      <alignment horizontal="left" vertical="top"/>
    </xf>
    <xf numFmtId="0" fontId="6" fillId="0" borderId="4" xfId="0" quotePrefix="1" applyFont="1" applyBorder="1" applyAlignment="1">
      <alignment horizontal="left" vertical="top"/>
    </xf>
    <xf numFmtId="0" fontId="0" fillId="0" borderId="2" xfId="0" applyBorder="1" applyAlignment="1">
      <alignment horizontal="left" vertical="top"/>
    </xf>
    <xf numFmtId="0" fontId="0" fillId="0" borderId="3" xfId="0" applyBorder="1" applyAlignment="1">
      <alignment horizontal="left" vertical="top"/>
    </xf>
    <xf numFmtId="0" fontId="0" fillId="0" borderId="4" xfId="0" applyBorder="1" applyAlignment="1">
      <alignment horizontal="left" vertical="top"/>
    </xf>
    <xf numFmtId="0" fontId="0" fillId="0" borderId="2" xfId="0" quotePrefix="1" applyBorder="1" applyAlignment="1">
      <alignment horizontal="left" vertical="top" wrapText="1"/>
    </xf>
    <xf numFmtId="0" fontId="0" fillId="0" borderId="3" xfId="0" quotePrefix="1" applyBorder="1" applyAlignment="1">
      <alignment horizontal="left" vertical="top" wrapText="1"/>
    </xf>
    <xf numFmtId="0" fontId="0" fillId="0" borderId="4" xfId="0" quotePrefix="1" applyBorder="1" applyAlignment="1">
      <alignment horizontal="left" vertical="top" wrapText="1"/>
    </xf>
    <xf numFmtId="0" fontId="6" fillId="0" borderId="3" xfId="0" quotePrefix="1" applyFont="1" applyBorder="1" applyAlignment="1">
      <alignment horizontal="left" vertical="top"/>
    </xf>
    <xf numFmtId="0" fontId="0" fillId="0" borderId="2" xfId="0" applyBorder="1" applyAlignment="1">
      <alignment horizontal="center" vertical="top"/>
    </xf>
    <xf numFmtId="0" fontId="0" fillId="0" borderId="4" xfId="0" applyBorder="1" applyAlignment="1">
      <alignment horizontal="center" vertical="top"/>
    </xf>
    <xf numFmtId="0" fontId="0" fillId="0" borderId="3" xfId="0" applyBorder="1" applyAlignment="1">
      <alignment horizontal="center" vertical="top"/>
    </xf>
    <xf numFmtId="0" fontId="0" fillId="0" borderId="2" xfId="0" quotePrefix="1" applyBorder="1" applyAlignment="1">
      <alignment horizontal="center" vertical="top"/>
    </xf>
    <xf numFmtId="0" fontId="0" fillId="0" borderId="4" xfId="0" quotePrefix="1" applyBorder="1" applyAlignment="1">
      <alignment horizontal="center" vertical="top"/>
    </xf>
    <xf numFmtId="0" fontId="9" fillId="0" borderId="11" xfId="1" applyBorder="1" applyAlignment="1">
      <alignment horizontal="center" vertical="center" wrapText="1"/>
    </xf>
    <xf numFmtId="0" fontId="1" fillId="0" borderId="5" xfId="0" applyFont="1" applyBorder="1" applyAlignment="1">
      <alignment horizontal="left" vertical="center" wrapText="1"/>
    </xf>
    <xf numFmtId="0" fontId="1" fillId="0" borderId="5" xfId="0" applyFont="1" applyBorder="1" applyAlignment="1">
      <alignment wrapText="1"/>
    </xf>
    <xf numFmtId="0" fontId="1" fillId="0" borderId="5"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Evrard Karol EKOUEDJEN" id="{2FAA20FA-7B65-4402-A66A-B9C81499D4BD}" userId="S::evrard.karol.ekouedjen@undp.org::2f704457-d5b8-4402-9cd4-98cf3e3bbc4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8" dT="2023-07-14T07:02:41.22" personId="{2FAA20FA-7B65-4402-A66A-B9C81499D4BD}" id="{11484F6E-76AC-46DF-860C-384CC606F360}">
    <text>This project seems to have two IDs in Quantum</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3-07-14T07:02:41.22" personId="{2FAA20FA-7B65-4402-A66A-B9C81499D4BD}" id="{627D9D03-17DC-483F-B04C-78289CE62CA3}">
    <text>This project seems to have two IDs in Quantum</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3-07-14T07:02:41.22" personId="{2FAA20FA-7B65-4402-A66A-B9C81499D4BD}" id="{EFB6909A-CD9A-4739-AC68-5FE8E92C6DCE}">
    <text>This project seems to have two IDs in Quantum</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open.undp.org/projects/00141254" TargetMode="External"/><Relationship Id="rId1" Type="http://schemas.openxmlformats.org/officeDocument/2006/relationships/hyperlink" Target="https://open.undp.org/projects/00129782"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81A14-83DD-43C1-A18A-C22B7DB8731B}">
  <dimension ref="A1:W27"/>
  <sheetViews>
    <sheetView tabSelected="1" workbookViewId="0">
      <pane xSplit="1" ySplit="1" topLeftCell="B6" activePane="bottomRight" state="frozen"/>
      <selection pane="bottomRight" activeCell="A8" sqref="A8:B8"/>
      <selection pane="bottomLeft"/>
      <selection pane="topRight"/>
    </sheetView>
  </sheetViews>
  <sheetFormatPr defaultColWidth="8.85546875" defaultRowHeight="15"/>
  <cols>
    <col min="1" max="1" width="21.140625" style="27" bestFit="1" customWidth="1"/>
    <col min="2" max="2" width="41.7109375" style="27" customWidth="1"/>
    <col min="3" max="3" width="23.7109375" style="27" customWidth="1"/>
    <col min="4" max="4" width="16.85546875" style="27" customWidth="1"/>
    <col min="5" max="5" width="28.42578125" style="27" customWidth="1"/>
    <col min="6" max="6" width="35" style="28" customWidth="1"/>
    <col min="7" max="7" width="17" style="31" customWidth="1"/>
    <col min="8" max="8" width="20.140625" style="28" customWidth="1"/>
    <col min="9" max="9" width="65.140625" style="28" customWidth="1"/>
    <col min="10" max="11" width="9.140625" style="27"/>
    <col min="12" max="12" width="12.85546875" style="27" bestFit="1" customWidth="1"/>
    <col min="13" max="13" width="4.28515625" style="27" bestFit="1" customWidth="1"/>
    <col min="14" max="14" width="14.42578125" style="27" bestFit="1" customWidth="1"/>
    <col min="15" max="15" width="14.85546875" style="27" bestFit="1" customWidth="1"/>
    <col min="16" max="16" width="8.85546875" style="27"/>
    <col min="17" max="17" width="16.5703125" style="27" bestFit="1" customWidth="1"/>
    <col min="18" max="18" width="18.140625" style="27" bestFit="1" customWidth="1"/>
    <col min="19" max="19" width="13.42578125" style="27" bestFit="1" customWidth="1"/>
    <col min="20" max="20" width="30.28515625" style="27" bestFit="1" customWidth="1"/>
    <col min="21" max="21" width="16.7109375" style="27" bestFit="1" customWidth="1"/>
    <col min="22" max="16384" width="8.85546875" style="27"/>
  </cols>
  <sheetData>
    <row r="1" spans="1:23" s="6" customFormat="1" ht="45.75">
      <c r="A1" s="56" t="s">
        <v>0</v>
      </c>
      <c r="B1" s="56" t="s">
        <v>1</v>
      </c>
      <c r="C1" s="56" t="s">
        <v>2</v>
      </c>
      <c r="D1" s="56" t="s">
        <v>3</v>
      </c>
      <c r="E1" s="22" t="s">
        <v>4</v>
      </c>
      <c r="F1" s="22" t="s">
        <v>5</v>
      </c>
      <c r="G1" s="22" t="s">
        <v>6</v>
      </c>
      <c r="H1" s="22" t="s">
        <v>7</v>
      </c>
      <c r="I1" s="22" t="s">
        <v>8</v>
      </c>
      <c r="J1" s="21" t="s">
        <v>9</v>
      </c>
      <c r="K1" s="20" t="s">
        <v>10</v>
      </c>
      <c r="L1" s="68" t="s">
        <v>11</v>
      </c>
      <c r="M1" s="69" t="s">
        <v>12</v>
      </c>
      <c r="N1" s="68" t="s">
        <v>13</v>
      </c>
      <c r="O1" s="68" t="s">
        <v>14</v>
      </c>
      <c r="P1" s="69" t="s">
        <v>15</v>
      </c>
      <c r="Q1" s="69" t="s">
        <v>16</v>
      </c>
      <c r="R1" s="70" t="s">
        <v>17</v>
      </c>
      <c r="S1" s="71" t="s">
        <v>18</v>
      </c>
      <c r="T1" s="70" t="s">
        <v>19</v>
      </c>
      <c r="U1" s="71" t="s">
        <v>20</v>
      </c>
    </row>
    <row r="2" spans="1:23" s="6" customFormat="1" ht="73.5" customHeight="1">
      <c r="A2" s="54" t="s">
        <v>21</v>
      </c>
      <c r="B2" s="39" t="s">
        <v>22</v>
      </c>
      <c r="C2" s="50"/>
      <c r="D2" s="42">
        <v>824590</v>
      </c>
      <c r="E2" s="58" t="s">
        <v>23</v>
      </c>
      <c r="F2" s="59" t="s">
        <v>24</v>
      </c>
      <c r="G2" s="60">
        <v>0</v>
      </c>
      <c r="H2" s="59" t="s">
        <v>25</v>
      </c>
      <c r="I2" s="59"/>
      <c r="J2" s="25"/>
      <c r="K2" s="25"/>
      <c r="L2" s="72" t="s">
        <v>26</v>
      </c>
      <c r="M2" s="65"/>
      <c r="N2" s="73" t="s">
        <v>27</v>
      </c>
      <c r="O2" s="65"/>
      <c r="P2" s="65"/>
      <c r="Q2" s="65"/>
      <c r="R2" s="65"/>
      <c r="S2" s="74" t="s">
        <v>28</v>
      </c>
      <c r="T2" s="65"/>
      <c r="U2" s="74"/>
      <c r="W2" s="26" t="s">
        <v>29</v>
      </c>
    </row>
    <row r="3" spans="1:23" s="6" customFormat="1" ht="45.75">
      <c r="A3" s="54"/>
      <c r="B3" s="79"/>
      <c r="C3" s="84"/>
      <c r="D3" s="83"/>
      <c r="E3" s="58" t="s">
        <v>30</v>
      </c>
      <c r="F3" s="59" t="s">
        <v>31</v>
      </c>
      <c r="G3" s="60">
        <v>0</v>
      </c>
      <c r="H3" s="59" t="s">
        <v>32</v>
      </c>
      <c r="I3" s="59"/>
      <c r="J3" s="25"/>
      <c r="K3" s="25"/>
      <c r="L3" s="72" t="s">
        <v>26</v>
      </c>
      <c r="M3" s="65"/>
      <c r="N3" s="73" t="s">
        <v>27</v>
      </c>
      <c r="O3" s="65"/>
      <c r="P3" s="65"/>
      <c r="Q3" s="65"/>
      <c r="R3" s="65"/>
      <c r="S3" s="74"/>
      <c r="T3" s="65"/>
      <c r="U3" s="74"/>
    </row>
    <row r="4" spans="1:23" s="6" customFormat="1" ht="45.75">
      <c r="A4" s="57"/>
      <c r="B4" s="75"/>
      <c r="C4" s="76"/>
      <c r="D4" s="34"/>
      <c r="E4" s="58" t="s">
        <v>33</v>
      </c>
      <c r="F4" s="59" t="s">
        <v>34</v>
      </c>
      <c r="G4" s="60">
        <v>0</v>
      </c>
      <c r="H4" s="59">
        <v>150</v>
      </c>
      <c r="I4" s="59"/>
      <c r="J4" s="25"/>
      <c r="K4" s="25"/>
      <c r="L4" s="72" t="s">
        <v>26</v>
      </c>
      <c r="M4" s="65"/>
      <c r="N4" s="73" t="s">
        <v>27</v>
      </c>
      <c r="O4" s="65"/>
      <c r="P4" s="65"/>
      <c r="Q4" s="65"/>
      <c r="R4" s="65"/>
      <c r="S4" s="74"/>
      <c r="T4" s="65"/>
      <c r="U4" s="74"/>
    </row>
    <row r="5" spans="1:23" s="6" customFormat="1" ht="45.75">
      <c r="A5" s="57"/>
      <c r="B5" s="75"/>
      <c r="C5" s="76"/>
      <c r="D5" s="64">
        <v>54790.12</v>
      </c>
      <c r="E5" s="58" t="s">
        <v>35</v>
      </c>
      <c r="F5" s="59" t="s">
        <v>36</v>
      </c>
      <c r="G5" s="60">
        <v>0</v>
      </c>
      <c r="H5" s="59">
        <v>0</v>
      </c>
      <c r="I5" s="59"/>
      <c r="J5" s="25"/>
      <c r="K5" s="25"/>
      <c r="L5" s="72" t="s">
        <v>26</v>
      </c>
      <c r="M5" s="65"/>
      <c r="N5" s="73" t="s">
        <v>27</v>
      </c>
      <c r="O5" s="65"/>
      <c r="P5" s="65"/>
      <c r="Q5" s="65"/>
      <c r="R5" s="65"/>
      <c r="S5" s="74"/>
      <c r="T5" s="65"/>
      <c r="U5" s="74"/>
    </row>
    <row r="6" spans="1:23" s="6" customFormat="1" ht="45.75">
      <c r="A6" s="57"/>
      <c r="B6" s="75"/>
      <c r="C6" s="80"/>
      <c r="D6" s="77"/>
      <c r="E6" s="58" t="s">
        <v>37</v>
      </c>
      <c r="F6" s="59" t="s">
        <v>38</v>
      </c>
      <c r="G6" s="60">
        <v>0</v>
      </c>
      <c r="H6" s="59">
        <v>0</v>
      </c>
      <c r="I6" s="59"/>
      <c r="J6" s="25"/>
      <c r="K6" s="25"/>
      <c r="L6" s="72" t="s">
        <v>26</v>
      </c>
      <c r="M6" s="65"/>
      <c r="N6" s="73" t="s">
        <v>27</v>
      </c>
      <c r="O6" s="65"/>
      <c r="P6" s="65"/>
      <c r="Q6" s="65"/>
      <c r="R6" s="65"/>
      <c r="S6" s="74"/>
      <c r="T6" s="65"/>
      <c r="U6" s="74"/>
    </row>
    <row r="7" spans="1:23" s="6" customFormat="1" ht="45.75">
      <c r="A7" s="37"/>
      <c r="B7" s="81"/>
      <c r="C7" s="82"/>
      <c r="D7" s="78">
        <v>1107801</v>
      </c>
      <c r="E7" s="61" t="s">
        <v>39</v>
      </c>
      <c r="F7" s="61" t="s">
        <v>40</v>
      </c>
      <c r="G7" s="62">
        <v>0</v>
      </c>
      <c r="H7" s="61">
        <v>150000</v>
      </c>
      <c r="I7" s="59" t="s">
        <v>41</v>
      </c>
      <c r="J7" s="25"/>
      <c r="K7" s="25"/>
      <c r="L7" s="72" t="s">
        <v>26</v>
      </c>
      <c r="M7" s="65"/>
      <c r="N7" s="73" t="s">
        <v>27</v>
      </c>
      <c r="O7" s="65"/>
      <c r="P7" s="65"/>
      <c r="Q7" s="65"/>
      <c r="R7" s="65"/>
      <c r="S7" s="74"/>
      <c r="T7" s="65"/>
      <c r="U7" s="74"/>
    </row>
    <row r="8" spans="1:23" s="6" customFormat="1" ht="45.75">
      <c r="A8" s="36">
        <v>141254</v>
      </c>
      <c r="B8" s="40" t="s">
        <v>42</v>
      </c>
      <c r="C8" s="107" t="s">
        <v>43</v>
      </c>
      <c r="D8" s="43">
        <v>2286000</v>
      </c>
      <c r="E8" s="58" t="s">
        <v>23</v>
      </c>
      <c r="F8" s="59" t="s">
        <v>44</v>
      </c>
      <c r="G8" s="60">
        <v>0</v>
      </c>
      <c r="H8" s="59" t="s">
        <v>45</v>
      </c>
      <c r="I8" s="59" t="s">
        <v>46</v>
      </c>
      <c r="J8" s="25"/>
      <c r="K8" s="25"/>
      <c r="L8" s="72" t="s">
        <v>26</v>
      </c>
      <c r="M8" s="65"/>
      <c r="N8" s="73" t="s">
        <v>27</v>
      </c>
      <c r="O8" s="65"/>
      <c r="P8" s="65"/>
      <c r="Q8" s="65"/>
      <c r="R8" s="65"/>
      <c r="S8" s="74" t="s">
        <v>28</v>
      </c>
      <c r="T8" s="65"/>
      <c r="U8" s="74"/>
    </row>
    <row r="9" spans="1:23" s="6" customFormat="1" ht="32.1" customHeight="1">
      <c r="A9" s="88"/>
      <c r="B9" s="79"/>
      <c r="C9" s="89"/>
      <c r="D9" s="85"/>
      <c r="E9" s="63" t="s">
        <v>47</v>
      </c>
      <c r="F9" s="61" t="s">
        <v>48</v>
      </c>
      <c r="G9" s="62">
        <v>0</v>
      </c>
      <c r="H9" s="61">
        <v>300</v>
      </c>
      <c r="I9" s="59"/>
      <c r="J9" s="25"/>
      <c r="K9" s="25"/>
      <c r="L9" s="72" t="s">
        <v>26</v>
      </c>
      <c r="M9" s="65"/>
      <c r="N9" s="73" t="s">
        <v>27</v>
      </c>
      <c r="O9" s="65"/>
      <c r="P9" s="65"/>
      <c r="Q9" s="65"/>
      <c r="R9" s="65"/>
      <c r="S9" s="74"/>
      <c r="T9" s="65"/>
      <c r="U9" s="74"/>
    </row>
    <row r="10" spans="1:23" s="6" customFormat="1" ht="45.75">
      <c r="A10" s="36"/>
      <c r="B10" s="75"/>
      <c r="C10" s="80"/>
      <c r="D10" s="77"/>
      <c r="E10" s="58" t="s">
        <v>49</v>
      </c>
      <c r="F10" s="59" t="s">
        <v>50</v>
      </c>
      <c r="G10" s="60">
        <v>0</v>
      </c>
      <c r="H10" s="59">
        <v>63</v>
      </c>
      <c r="I10" s="59"/>
      <c r="J10" s="25"/>
      <c r="K10" s="25"/>
      <c r="L10" s="72" t="s">
        <v>26</v>
      </c>
      <c r="M10" s="65"/>
      <c r="N10" s="73" t="s">
        <v>27</v>
      </c>
      <c r="O10" s="65"/>
      <c r="P10" s="65"/>
      <c r="Q10" s="65"/>
      <c r="R10" s="65"/>
      <c r="S10" s="74"/>
      <c r="T10" s="65"/>
      <c r="U10" s="74"/>
    </row>
    <row r="11" spans="1:23" s="6" customFormat="1" ht="244.5">
      <c r="A11" s="49"/>
      <c r="B11" s="90"/>
      <c r="C11" s="91"/>
      <c r="D11" s="86">
        <v>54458</v>
      </c>
      <c r="E11" s="58" t="s">
        <v>51</v>
      </c>
      <c r="F11" s="59" t="s">
        <v>52</v>
      </c>
      <c r="G11" s="60">
        <v>0</v>
      </c>
      <c r="H11" s="59">
        <v>32439.375</v>
      </c>
      <c r="I11" s="59" t="s">
        <v>53</v>
      </c>
      <c r="J11" s="25"/>
      <c r="K11" s="25"/>
      <c r="L11" s="72" t="s">
        <v>26</v>
      </c>
      <c r="M11" s="65"/>
      <c r="N11" s="73" t="s">
        <v>27</v>
      </c>
      <c r="O11" s="65"/>
      <c r="P11" s="65"/>
      <c r="Q11" s="65"/>
      <c r="R11" s="65"/>
      <c r="S11" s="74"/>
      <c r="T11" s="65"/>
      <c r="U11" s="74"/>
    </row>
    <row r="12" spans="1:23" s="6" customFormat="1" ht="45.75">
      <c r="A12" s="87">
        <v>129782</v>
      </c>
      <c r="B12" s="35" t="s">
        <v>54</v>
      </c>
      <c r="C12" s="92" t="s">
        <v>55</v>
      </c>
      <c r="D12" s="64">
        <v>8748560</v>
      </c>
      <c r="E12" s="58" t="s">
        <v>23</v>
      </c>
      <c r="F12" s="59" t="s">
        <v>56</v>
      </c>
      <c r="G12" s="60" t="s">
        <v>57</v>
      </c>
      <c r="H12" s="60">
        <v>29600</v>
      </c>
      <c r="I12" s="59" t="s">
        <v>58</v>
      </c>
      <c r="J12" s="25" t="s">
        <v>59</v>
      </c>
      <c r="K12" s="25"/>
      <c r="L12" s="72" t="s">
        <v>26</v>
      </c>
      <c r="M12" s="65"/>
      <c r="N12" s="73" t="s">
        <v>27</v>
      </c>
      <c r="O12" s="65"/>
      <c r="P12" s="65"/>
      <c r="Q12" s="65"/>
      <c r="R12" s="65"/>
      <c r="S12" s="74" t="s">
        <v>60</v>
      </c>
      <c r="T12" s="65"/>
      <c r="U12" s="74"/>
    </row>
    <row r="13" spans="1:23" s="6" customFormat="1" ht="45.75">
      <c r="A13" s="36"/>
      <c r="B13" s="40"/>
      <c r="C13" s="46"/>
      <c r="D13" s="43"/>
      <c r="E13" s="58" t="s">
        <v>35</v>
      </c>
      <c r="F13" s="59" t="s">
        <v>61</v>
      </c>
      <c r="G13" s="60">
        <v>0</v>
      </c>
      <c r="H13" s="60">
        <v>8400</v>
      </c>
      <c r="I13" s="59" t="s">
        <v>62</v>
      </c>
      <c r="J13" s="25" t="s">
        <v>59</v>
      </c>
      <c r="K13" s="25"/>
      <c r="L13" s="72" t="s">
        <v>26</v>
      </c>
      <c r="M13" s="65"/>
      <c r="N13" s="73" t="s">
        <v>27</v>
      </c>
      <c r="O13" s="65"/>
      <c r="P13" s="65"/>
      <c r="Q13" s="65"/>
      <c r="R13" s="65"/>
      <c r="S13" s="74"/>
      <c r="T13" s="65"/>
      <c r="U13" s="74"/>
    </row>
    <row r="14" spans="1:23" s="6" customFormat="1" ht="45.75">
      <c r="A14" s="36"/>
      <c r="B14" s="40"/>
      <c r="C14" s="46"/>
      <c r="D14" s="44"/>
      <c r="E14" s="58" t="s">
        <v>63</v>
      </c>
      <c r="F14" s="59" t="s">
        <v>64</v>
      </c>
      <c r="G14" s="60">
        <v>0</v>
      </c>
      <c r="H14" s="60">
        <v>45</v>
      </c>
      <c r="I14" s="59" t="s">
        <v>65</v>
      </c>
      <c r="J14" s="25" t="s">
        <v>59</v>
      </c>
      <c r="K14" s="25"/>
      <c r="L14" s="72" t="s">
        <v>26</v>
      </c>
      <c r="M14" s="65"/>
      <c r="N14" s="73" t="s">
        <v>27</v>
      </c>
      <c r="O14" s="65"/>
      <c r="P14" s="65"/>
      <c r="Q14" s="65"/>
      <c r="R14" s="65"/>
      <c r="S14" s="74"/>
      <c r="T14" s="65"/>
      <c r="U14" s="74"/>
    </row>
    <row r="15" spans="1:23" s="6" customFormat="1" ht="45.75">
      <c r="A15" s="37"/>
      <c r="B15" s="41"/>
      <c r="C15" s="47"/>
      <c r="D15" s="45"/>
      <c r="E15" s="58" t="s">
        <v>23</v>
      </c>
      <c r="F15" s="59" t="s">
        <v>66</v>
      </c>
      <c r="G15" s="60" t="s">
        <v>57</v>
      </c>
      <c r="H15" s="60">
        <v>42000</v>
      </c>
      <c r="I15" s="59"/>
      <c r="J15" s="25" t="s">
        <v>59</v>
      </c>
      <c r="K15" s="25"/>
      <c r="L15" s="72" t="s">
        <v>26</v>
      </c>
      <c r="M15" s="65"/>
      <c r="N15" s="73" t="s">
        <v>27</v>
      </c>
      <c r="O15" s="65"/>
      <c r="P15" s="65"/>
      <c r="Q15" s="65"/>
      <c r="R15" s="65"/>
      <c r="S15" s="74" t="s">
        <v>60</v>
      </c>
      <c r="T15" s="65"/>
      <c r="U15" s="74"/>
    </row>
    <row r="16" spans="1:23">
      <c r="G16" s="29"/>
    </row>
    <row r="17" spans="1:7">
      <c r="A17" s="30"/>
      <c r="G17" s="29"/>
    </row>
    <row r="18" spans="1:7">
      <c r="G18" s="29"/>
    </row>
    <row r="19" spans="1:7">
      <c r="G19" s="29"/>
    </row>
    <row r="20" spans="1:7">
      <c r="G20" s="29"/>
    </row>
    <row r="21" spans="1:7">
      <c r="G21" s="29"/>
    </row>
    <row r="22" spans="1:7">
      <c r="G22" s="29"/>
    </row>
    <row r="23" spans="1:7">
      <c r="G23" s="29"/>
    </row>
    <row r="24" spans="1:7">
      <c r="G24" s="29"/>
    </row>
    <row r="25" spans="1:7">
      <c r="G25" s="29"/>
    </row>
    <row r="26" spans="1:7">
      <c r="G26" s="29"/>
    </row>
    <row r="27" spans="1:7">
      <c r="G27" s="29"/>
    </row>
  </sheetData>
  <phoneticPr fontId="3" type="noConversion"/>
  <dataValidations count="9">
    <dataValidation type="list" allowBlank="1" showInputMessage="1" showErrorMessage="1" sqref="Q2:Q15" xr:uid="{6C062286-3124-4C55-B0EB-D4C30DB49B10}">
      <formula1>"NDC Support, National Strategy, Legal Framework,Incentives and Support, Government Capacity-Building, Carbon Pricing and Monitoring, Financing Model, Business Model"</formula1>
    </dataValidation>
    <dataValidation type="list" allowBlank="1" showInputMessage="1" showErrorMessage="1" sqref="P2:P15" xr:uid="{DFC450EF-4AE9-4B61-8D8B-5B70DC1B4B99}">
      <formula1>"AMP, PUDC, Solar4Health, Action Opportunities, Italy UNDP Energy Partnership"</formula1>
    </dataValidation>
    <dataValidation type="list" allowBlank="1" showInputMessage="1" showErrorMessage="1" sqref="N2:N15" xr:uid="{A026E5A1-437D-4176-A1E5-9F061AC7B880}">
      <formula1>"Accelerating just energy transition, Close the gap on energy access, Scale up energy finance"</formula1>
    </dataValidation>
    <dataValidation type="list" allowBlank="1" showInputMessage="1" showErrorMessage="1" sqref="O2:O15" xr:uid="{5156067E-7D98-44AE-BEBA-86AAA7B10791}">
      <formula1>"Electricity Access, Energy Efficiency, Clean Cooking, Renewable Energy, Overall"</formula1>
    </dataValidation>
    <dataValidation type="list" allowBlank="1" showInputMessage="1" showErrorMessage="1" sqref="L2:L15" xr:uid="{43D40374-9125-4705-B197-1D343AF3599B}">
      <formula1>"Non-VF, VF"</formula1>
    </dataValidation>
    <dataValidation type="list" allowBlank="1" showInputMessage="1" showErrorMessage="1" sqref="M2:M15" xr:uid="{9328B2BC-FBFC-4DFA-8221-57D21648358A}">
      <formula1>"Finance, Gender, Efficiency, Just, Health"</formula1>
    </dataValidation>
    <dataValidation type="list" allowBlank="1" showInputMessage="1" showErrorMessage="1" sqref="T2:T15" xr:uid="{DA9B005D-B9DA-4949-9107-61ABB1D46F33}">
      <formula1>"National, Regional, City, Community"</formula1>
    </dataValidation>
    <dataValidation type="list" allowBlank="1" showInputMessage="1" showErrorMessage="1" sqref="R2:R15" xr:uid="{54F9FF5B-B9FE-4571-8706-647C2D1E8CA5}">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5" xr:uid="{267F51C8-D682-4B24-B18D-6DCEEDF61309}">
      <formula1>"Solar, Wind, Bioenergy, Hydro, Geothermal, Waste, Some Sources, Other, Unknown"</formula1>
    </dataValidation>
  </dataValidations>
  <hyperlinks>
    <hyperlink ref="C12" r:id="rId1" xr:uid="{AE69BB2D-473B-413E-9EF7-C78E869F527A}"/>
    <hyperlink ref="C8" r:id="rId2" xr:uid="{18E16DB8-15C1-4471-A056-CA2F3535D6FC}"/>
  </hyperlinks>
  <pageMargins left="0.7" right="0.7" top="0.75" bottom="0.75" header="0.3" footer="0.3"/>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E6391180-236B-478C-9886-17345DBB77D7}">
          <x14:formula1>
            <xm:f>'Beneficiary Categories'!$A$2:$A$16</xm:f>
          </x14:formula1>
          <xm:sqref>E16:E31</xm:sqref>
        </x14:dataValidation>
        <x14:dataValidation type="list" allowBlank="1" showInputMessage="1" showErrorMessage="1" xr:uid="{F920E086-7D52-4399-8BCE-E5385B87CE9D}">
          <x14:formula1>
            <xm:f>'Beneficiary Categories'!$A$2:$A$22</xm:f>
          </x14:formula1>
          <xm:sqref>E2:E15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D601F-6277-4308-94C5-4B46BE1AE938}">
  <dimension ref="A1:S28"/>
  <sheetViews>
    <sheetView topLeftCell="A2" workbookViewId="0">
      <selection activeCell="A12" sqref="A12"/>
    </sheetView>
  </sheetViews>
  <sheetFormatPr defaultColWidth="8.85546875" defaultRowHeight="15"/>
  <cols>
    <col min="1" max="1" width="21.140625" style="27" bestFit="1" customWidth="1"/>
    <col min="2" max="2" width="41.7109375" style="27" customWidth="1"/>
    <col min="3" max="3" width="23.7109375" style="27" customWidth="1"/>
    <col min="4" max="4" width="16.85546875" style="27" customWidth="1"/>
    <col min="5" max="5" width="28.42578125" style="27" customWidth="1"/>
    <col min="6" max="6" width="35" style="28" customWidth="1"/>
    <col min="7" max="7" width="17" style="31" customWidth="1"/>
    <col min="8" max="8" width="20.140625" style="28" customWidth="1"/>
    <col min="9" max="9" width="65.140625" style="28" customWidth="1"/>
    <col min="10" max="12" width="9.140625" style="27"/>
    <col min="13" max="13" width="56.85546875" style="27" customWidth="1"/>
    <col min="14" max="16384" width="8.85546875" style="27"/>
  </cols>
  <sheetData>
    <row r="1" spans="1:19" s="6" customFormat="1" ht="45.75">
      <c r="A1" s="56" t="s">
        <v>0</v>
      </c>
      <c r="B1" s="56" t="s">
        <v>1</v>
      </c>
      <c r="C1" s="56" t="s">
        <v>2</v>
      </c>
      <c r="D1" s="56" t="s">
        <v>3</v>
      </c>
      <c r="E1" s="22" t="s">
        <v>4</v>
      </c>
      <c r="F1" s="22" t="s">
        <v>5</v>
      </c>
      <c r="G1" s="22" t="s">
        <v>6</v>
      </c>
      <c r="H1" s="22" t="s">
        <v>7</v>
      </c>
      <c r="I1" s="22" t="s">
        <v>8</v>
      </c>
      <c r="J1" s="21" t="s">
        <v>9</v>
      </c>
      <c r="K1" s="20" t="s">
        <v>10</v>
      </c>
      <c r="L1" s="20" t="s">
        <v>67</v>
      </c>
      <c r="M1" s="20" t="s">
        <v>68</v>
      </c>
      <c r="N1" s="21" t="s">
        <v>12</v>
      </c>
      <c r="O1" s="21" t="s">
        <v>13</v>
      </c>
      <c r="P1" s="21" t="s">
        <v>14</v>
      </c>
      <c r="Q1" s="21" t="s">
        <v>15</v>
      </c>
      <c r="R1" s="21" t="s">
        <v>16</v>
      </c>
      <c r="S1" s="21" t="s">
        <v>17</v>
      </c>
    </row>
    <row r="2" spans="1:19" s="6" customFormat="1" ht="73.5" customHeight="1">
      <c r="A2" s="54" t="s">
        <v>21</v>
      </c>
      <c r="B2" s="39" t="s">
        <v>22</v>
      </c>
      <c r="C2" s="50"/>
      <c r="D2" s="42">
        <v>824590</v>
      </c>
      <c r="E2" s="32" t="s">
        <v>23</v>
      </c>
      <c r="F2" s="23" t="s">
        <v>24</v>
      </c>
      <c r="G2" s="24">
        <v>0</v>
      </c>
      <c r="H2" s="23">
        <v>50</v>
      </c>
      <c r="I2" s="23"/>
      <c r="J2" s="25"/>
      <c r="K2" s="25"/>
      <c r="L2" s="25"/>
      <c r="M2" s="26" t="s">
        <v>29</v>
      </c>
      <c r="N2" s="25"/>
      <c r="O2" s="25"/>
      <c r="P2" s="25"/>
      <c r="Q2" s="25"/>
      <c r="R2" s="25"/>
      <c r="S2" s="25"/>
    </row>
    <row r="3" spans="1:19" s="6" customFormat="1" ht="45.75">
      <c r="A3" s="57"/>
      <c r="B3" s="40"/>
      <c r="C3" s="53"/>
      <c r="D3" s="34"/>
      <c r="E3" s="32" t="s">
        <v>69</v>
      </c>
      <c r="F3" s="23" t="s">
        <v>31</v>
      </c>
      <c r="G3" s="24">
        <v>0</v>
      </c>
      <c r="H3" s="23" t="s">
        <v>32</v>
      </c>
      <c r="I3" s="23"/>
      <c r="J3" s="25"/>
      <c r="K3" s="25"/>
      <c r="L3" s="25"/>
      <c r="M3" s="25"/>
      <c r="N3" s="25"/>
      <c r="O3" s="25"/>
      <c r="P3" s="25"/>
      <c r="Q3" s="25"/>
      <c r="R3" s="25"/>
      <c r="S3" s="25"/>
    </row>
    <row r="4" spans="1:19" s="6" customFormat="1" ht="45.75">
      <c r="A4" s="55"/>
      <c r="B4" s="41"/>
      <c r="C4" s="51"/>
      <c r="D4" s="35"/>
      <c r="E4" s="32" t="s">
        <v>33</v>
      </c>
      <c r="F4" s="23" t="s">
        <v>34</v>
      </c>
      <c r="G4" s="24">
        <v>0</v>
      </c>
      <c r="H4" s="23">
        <v>150</v>
      </c>
      <c r="I4" s="23"/>
      <c r="J4" s="25"/>
      <c r="K4" s="25"/>
      <c r="L4" s="25"/>
      <c r="M4" s="25"/>
      <c r="N4" s="25"/>
      <c r="O4" s="25"/>
      <c r="P4" s="25"/>
      <c r="Q4" s="25"/>
      <c r="R4" s="25"/>
      <c r="S4" s="25"/>
    </row>
    <row r="5" spans="1:19" s="6" customFormat="1">
      <c r="A5" s="57" t="s">
        <v>21</v>
      </c>
      <c r="B5" s="40" t="s">
        <v>22</v>
      </c>
      <c r="C5" s="53"/>
      <c r="D5" s="43">
        <v>54790.12</v>
      </c>
      <c r="E5" s="32" t="s">
        <v>35</v>
      </c>
      <c r="F5" s="23" t="s">
        <v>36</v>
      </c>
      <c r="G5" s="24">
        <v>0</v>
      </c>
      <c r="H5" s="23">
        <v>0</v>
      </c>
      <c r="I5" s="23"/>
      <c r="J5" s="25"/>
      <c r="K5" s="25"/>
      <c r="L5" s="25"/>
      <c r="M5" s="25"/>
      <c r="N5" s="25"/>
      <c r="O5" s="25"/>
      <c r="P5" s="25"/>
      <c r="Q5" s="25"/>
      <c r="R5" s="25"/>
      <c r="S5" s="25"/>
    </row>
    <row r="6" spans="1:19" s="6" customFormat="1" ht="30.75">
      <c r="A6" s="55"/>
      <c r="B6" s="41"/>
      <c r="C6" s="51"/>
      <c r="D6" s="35"/>
      <c r="E6" s="32" t="s">
        <v>37</v>
      </c>
      <c r="F6" s="23" t="s">
        <v>38</v>
      </c>
      <c r="G6" s="24">
        <v>0</v>
      </c>
      <c r="H6" s="23">
        <v>0</v>
      </c>
      <c r="I6" s="23"/>
      <c r="J6" s="25"/>
      <c r="K6" s="25"/>
      <c r="L6" s="25"/>
      <c r="M6" s="25"/>
      <c r="N6" s="25"/>
      <c r="O6" s="25"/>
      <c r="P6" s="25"/>
      <c r="Q6" s="25"/>
      <c r="R6" s="25"/>
      <c r="S6" s="25"/>
    </row>
    <row r="7" spans="1:19" s="6" customFormat="1" ht="30.75">
      <c r="A7" s="36" t="s">
        <v>70</v>
      </c>
      <c r="B7" s="40" t="s">
        <v>71</v>
      </c>
      <c r="C7" s="53"/>
      <c r="D7" s="43">
        <v>2286000</v>
      </c>
      <c r="E7" s="32" t="s">
        <v>72</v>
      </c>
      <c r="F7" s="23" t="s">
        <v>44</v>
      </c>
      <c r="G7" s="24">
        <v>0</v>
      </c>
      <c r="H7" s="23" t="s">
        <v>45</v>
      </c>
      <c r="I7" s="23" t="s">
        <v>46</v>
      </c>
      <c r="J7" s="25"/>
      <c r="K7" s="25"/>
      <c r="L7" s="25"/>
      <c r="M7" s="25"/>
      <c r="N7" s="25"/>
      <c r="O7" s="25"/>
      <c r="P7" s="25"/>
      <c r="Q7" s="25"/>
      <c r="R7" s="25"/>
      <c r="S7" s="25"/>
    </row>
    <row r="8" spans="1:19" s="6" customFormat="1" ht="32.1" customHeight="1">
      <c r="A8" s="36"/>
      <c r="B8" s="40"/>
      <c r="C8" s="53"/>
      <c r="D8" s="34"/>
      <c r="E8" s="32" t="s">
        <v>47</v>
      </c>
      <c r="F8" s="23" t="s">
        <v>73</v>
      </c>
      <c r="G8" s="24">
        <v>6</v>
      </c>
      <c r="H8" s="23">
        <v>8</v>
      </c>
      <c r="I8" s="23"/>
      <c r="J8" s="25"/>
      <c r="K8" s="25"/>
      <c r="L8" s="25"/>
      <c r="M8" s="25"/>
      <c r="N8" s="25"/>
      <c r="O8" s="25"/>
      <c r="P8" s="25"/>
      <c r="Q8" s="25"/>
      <c r="R8" s="25"/>
      <c r="S8" s="25"/>
    </row>
    <row r="9" spans="1:19" s="6" customFormat="1" ht="30.75">
      <c r="A9" s="37"/>
      <c r="B9" s="41"/>
      <c r="C9" s="51"/>
      <c r="D9" s="35"/>
      <c r="E9" s="32" t="s">
        <v>49</v>
      </c>
      <c r="F9" s="23" t="s">
        <v>50</v>
      </c>
      <c r="G9" s="24">
        <v>0</v>
      </c>
      <c r="H9" s="23">
        <v>63</v>
      </c>
      <c r="I9" s="23"/>
      <c r="J9" s="25"/>
      <c r="K9" s="25"/>
      <c r="L9" s="25"/>
      <c r="M9" s="25"/>
      <c r="N9" s="25"/>
      <c r="O9" s="25"/>
      <c r="P9" s="25"/>
      <c r="Q9" s="25"/>
      <c r="R9" s="25"/>
      <c r="S9" s="25"/>
    </row>
    <row r="10" spans="1:19" s="6" customFormat="1" ht="30.75">
      <c r="A10" s="33" t="s">
        <v>21</v>
      </c>
      <c r="B10" s="52" t="s">
        <v>22</v>
      </c>
      <c r="C10" s="38"/>
      <c r="D10" s="43">
        <v>1107801</v>
      </c>
      <c r="E10" s="23" t="s">
        <v>39</v>
      </c>
      <c r="F10" s="23" t="s">
        <v>74</v>
      </c>
      <c r="G10" s="24">
        <v>0</v>
      </c>
      <c r="H10" s="23">
        <v>5</v>
      </c>
      <c r="I10" s="23" t="s">
        <v>41</v>
      </c>
      <c r="J10" s="25"/>
      <c r="K10" s="25"/>
      <c r="L10" s="25"/>
      <c r="M10" s="25"/>
      <c r="N10" s="25"/>
      <c r="O10" s="25"/>
      <c r="P10" s="25"/>
      <c r="Q10" s="25"/>
      <c r="R10" s="25"/>
      <c r="S10" s="25"/>
    </row>
    <row r="11" spans="1:19" s="6" customFormat="1" ht="153" customHeight="1">
      <c r="A11" s="48" t="s">
        <v>75</v>
      </c>
      <c r="B11" s="50" t="s">
        <v>71</v>
      </c>
      <c r="C11" s="50"/>
      <c r="D11" s="42">
        <v>54458</v>
      </c>
      <c r="E11" s="32" t="s">
        <v>35</v>
      </c>
      <c r="F11" s="23" t="s">
        <v>52</v>
      </c>
      <c r="G11" s="24">
        <v>0</v>
      </c>
      <c r="H11" s="23">
        <v>3250</v>
      </c>
      <c r="I11" s="23" t="s">
        <v>76</v>
      </c>
      <c r="J11" s="25"/>
      <c r="K11" s="25"/>
      <c r="L11" s="25"/>
      <c r="M11" s="25"/>
      <c r="N11" s="25"/>
      <c r="O11" s="25"/>
      <c r="P11" s="25"/>
      <c r="Q11" s="25"/>
      <c r="R11" s="25"/>
      <c r="S11" s="25"/>
    </row>
    <row r="12" spans="1:19" s="6" customFormat="1" ht="15.95" customHeight="1">
      <c r="A12" s="49"/>
      <c r="B12" s="51"/>
      <c r="C12" s="51"/>
      <c r="D12" s="35"/>
      <c r="E12" s="32" t="s">
        <v>37</v>
      </c>
      <c r="F12" s="23" t="s">
        <v>77</v>
      </c>
      <c r="G12" s="24">
        <v>0</v>
      </c>
      <c r="H12" s="23">
        <v>0</v>
      </c>
      <c r="I12" s="23"/>
      <c r="J12" s="25"/>
      <c r="K12" s="25"/>
      <c r="L12" s="25"/>
      <c r="M12" s="25"/>
      <c r="N12" s="25"/>
      <c r="O12" s="25"/>
      <c r="P12" s="25"/>
      <c r="Q12" s="25"/>
      <c r="R12" s="25"/>
      <c r="S12" s="25"/>
    </row>
    <row r="13" spans="1:19" s="6" customFormat="1" ht="45.75">
      <c r="A13" s="36" t="s">
        <v>78</v>
      </c>
      <c r="B13" s="40" t="s">
        <v>79</v>
      </c>
      <c r="C13" s="46"/>
      <c r="D13" s="43">
        <v>8748560</v>
      </c>
      <c r="E13" s="32" t="s">
        <v>72</v>
      </c>
      <c r="F13" s="23" t="s">
        <v>56</v>
      </c>
      <c r="G13" s="24" t="s">
        <v>80</v>
      </c>
      <c r="H13" s="24">
        <v>29600</v>
      </c>
      <c r="I13" s="23" t="s">
        <v>58</v>
      </c>
      <c r="J13" s="25"/>
      <c r="K13" s="25"/>
      <c r="L13" s="25"/>
      <c r="M13" s="25"/>
      <c r="N13" s="25"/>
      <c r="O13" s="25"/>
      <c r="P13" s="25"/>
      <c r="Q13" s="25"/>
      <c r="R13" s="25"/>
      <c r="S13" s="25"/>
    </row>
    <row r="14" spans="1:19" s="6" customFormat="1" ht="45.75">
      <c r="A14" s="36"/>
      <c r="B14" s="40"/>
      <c r="C14" s="46"/>
      <c r="D14" s="43"/>
      <c r="E14" s="32" t="s">
        <v>35</v>
      </c>
      <c r="F14" s="23" t="s">
        <v>61</v>
      </c>
      <c r="G14" s="24">
        <v>0</v>
      </c>
      <c r="H14" s="24">
        <v>8400</v>
      </c>
      <c r="I14" s="23" t="s">
        <v>62</v>
      </c>
      <c r="J14" s="25"/>
      <c r="K14" s="25"/>
      <c r="L14" s="25"/>
      <c r="M14" s="25"/>
      <c r="N14" s="25"/>
      <c r="O14" s="25"/>
      <c r="P14" s="25"/>
      <c r="Q14" s="25"/>
      <c r="R14" s="25"/>
      <c r="S14" s="25"/>
    </row>
    <row r="15" spans="1:19" s="6" customFormat="1" ht="45.75">
      <c r="A15" s="36"/>
      <c r="B15" s="40"/>
      <c r="C15" s="46"/>
      <c r="D15" s="44"/>
      <c r="E15" s="32" t="s">
        <v>63</v>
      </c>
      <c r="F15" s="23" t="s">
        <v>64</v>
      </c>
      <c r="G15" s="24">
        <v>0</v>
      </c>
      <c r="H15" s="24">
        <v>45</v>
      </c>
      <c r="I15" s="23" t="s">
        <v>65</v>
      </c>
      <c r="J15" s="25"/>
      <c r="K15" s="25"/>
      <c r="L15" s="25"/>
      <c r="M15" s="25"/>
      <c r="N15" s="25"/>
      <c r="O15" s="25"/>
      <c r="P15" s="25"/>
      <c r="Q15" s="25"/>
      <c r="R15" s="25"/>
      <c r="S15" s="25"/>
    </row>
    <row r="16" spans="1:19" s="6" customFormat="1" ht="45.75">
      <c r="A16" s="37"/>
      <c r="B16" s="41"/>
      <c r="C16" s="47"/>
      <c r="D16" s="45"/>
      <c r="E16" s="32" t="s">
        <v>23</v>
      </c>
      <c r="F16" s="23" t="s">
        <v>66</v>
      </c>
      <c r="G16" s="24" t="s">
        <v>80</v>
      </c>
      <c r="H16" s="24">
        <v>42000</v>
      </c>
      <c r="I16" s="23"/>
      <c r="J16" s="25"/>
      <c r="K16" s="25"/>
      <c r="L16" s="25"/>
      <c r="M16" s="25"/>
      <c r="N16" s="25"/>
      <c r="O16" s="25"/>
      <c r="P16" s="25"/>
      <c r="Q16" s="25"/>
      <c r="R16" s="25"/>
      <c r="S16" s="25"/>
    </row>
    <row r="17" spans="1:7">
      <c r="G17" s="29"/>
    </row>
    <row r="18" spans="1:7">
      <c r="A18" s="30"/>
      <c r="G18" s="29"/>
    </row>
    <row r="19" spans="1:7">
      <c r="G19" s="29"/>
    </row>
    <row r="20" spans="1:7">
      <c r="G20" s="29"/>
    </row>
    <row r="21" spans="1:7">
      <c r="G21" s="29"/>
    </row>
    <row r="22" spans="1:7">
      <c r="G22" s="29"/>
    </row>
    <row r="23" spans="1:7">
      <c r="G23" s="29"/>
    </row>
    <row r="24" spans="1:7">
      <c r="G24" s="29"/>
    </row>
    <row r="25" spans="1:7">
      <c r="G25" s="29"/>
    </row>
    <row r="26" spans="1:7">
      <c r="G26" s="29"/>
    </row>
    <row r="27" spans="1:7">
      <c r="G27" s="29"/>
    </row>
    <row r="28" spans="1:7">
      <c r="G28" s="29"/>
    </row>
  </sheetData>
  <phoneticPr fontId="3"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86FE17A-9BE9-4231-B185-36F1B09BA11A}">
          <x14:formula1>
            <xm:f>'Beneficiary Categories'!$A$2:$A$16</xm:f>
          </x14:formula1>
          <xm:sqref>E2:E32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2"/>
  <sheetViews>
    <sheetView topLeftCell="A9" workbookViewId="0">
      <selection activeCell="C19" sqref="C19"/>
    </sheetView>
  </sheetViews>
  <sheetFormatPr defaultColWidth="8.85546875" defaultRowHeight="15"/>
  <cols>
    <col min="1" max="1" width="21.140625" style="6" bestFit="1" customWidth="1"/>
    <col min="2" max="2" width="41.7109375" style="6" customWidth="1"/>
    <col min="3" max="3" width="23.7109375" style="6" customWidth="1"/>
    <col min="4" max="4" width="16.85546875" style="6" customWidth="1"/>
    <col min="5" max="5" width="28.42578125" style="6" customWidth="1"/>
    <col min="6" max="6" width="35" style="2" customWidth="1"/>
    <col min="7" max="7" width="17" style="8" customWidth="1"/>
    <col min="8" max="8" width="20.140625" style="2" customWidth="1"/>
    <col min="9" max="9" width="65.140625" style="2" customWidth="1"/>
    <col min="10" max="16384" width="8.85546875" style="6"/>
  </cols>
  <sheetData>
    <row r="1" spans="1:11">
      <c r="A1" s="1" t="s">
        <v>0</v>
      </c>
      <c r="B1" s="1" t="s">
        <v>1</v>
      </c>
      <c r="C1" s="1" t="s">
        <v>2</v>
      </c>
      <c r="D1" s="1" t="s">
        <v>3</v>
      </c>
      <c r="E1" s="1" t="s">
        <v>4</v>
      </c>
      <c r="F1" s="9" t="s">
        <v>5</v>
      </c>
      <c r="G1" s="1" t="s">
        <v>6</v>
      </c>
      <c r="H1" s="9" t="s">
        <v>7</v>
      </c>
      <c r="I1" s="9" t="s">
        <v>8</v>
      </c>
      <c r="J1" s="16" t="s">
        <v>9</v>
      </c>
      <c r="K1" s="16" t="s">
        <v>81</v>
      </c>
    </row>
    <row r="2" spans="1:11" ht="30.75">
      <c r="A2" s="93" t="s">
        <v>21</v>
      </c>
      <c r="B2" s="95" t="s">
        <v>22</v>
      </c>
      <c r="C2" s="102"/>
      <c r="D2" s="95" t="s">
        <v>82</v>
      </c>
      <c r="E2" s="12" t="s">
        <v>23</v>
      </c>
      <c r="F2" s="13" t="s">
        <v>24</v>
      </c>
      <c r="G2" s="14">
        <v>0</v>
      </c>
      <c r="H2" s="13">
        <v>50</v>
      </c>
      <c r="I2" s="13"/>
      <c r="K2" s="18" t="s">
        <v>29</v>
      </c>
    </row>
    <row r="3" spans="1:11" ht="45.75">
      <c r="A3" s="101"/>
      <c r="B3" s="96"/>
      <c r="C3" s="104"/>
      <c r="D3" s="96"/>
      <c r="E3" s="12" t="s">
        <v>69</v>
      </c>
      <c r="F3" s="13" t="s">
        <v>31</v>
      </c>
      <c r="G3" s="14">
        <v>0</v>
      </c>
      <c r="H3" s="13">
        <v>100</v>
      </c>
      <c r="I3" s="13"/>
    </row>
    <row r="4" spans="1:11" ht="45.75">
      <c r="A4" s="94"/>
      <c r="B4" s="97"/>
      <c r="C4" s="103"/>
      <c r="D4" s="97"/>
      <c r="E4" s="12" t="s">
        <v>33</v>
      </c>
      <c r="F4" s="13" t="s">
        <v>34</v>
      </c>
      <c r="G4" s="14">
        <v>0</v>
      </c>
      <c r="H4" s="13">
        <v>150</v>
      </c>
      <c r="I4" s="13"/>
    </row>
    <row r="5" spans="1:11">
      <c r="A5" s="93" t="s">
        <v>21</v>
      </c>
      <c r="B5" s="95" t="s">
        <v>22</v>
      </c>
      <c r="C5" s="102"/>
      <c r="D5" s="95" t="s">
        <v>83</v>
      </c>
      <c r="E5" s="12" t="s">
        <v>35</v>
      </c>
      <c r="F5" s="13" t="s">
        <v>36</v>
      </c>
      <c r="G5" s="14">
        <v>0</v>
      </c>
      <c r="H5" s="13">
        <v>0</v>
      </c>
      <c r="I5" s="13"/>
    </row>
    <row r="6" spans="1:11" ht="30.75">
      <c r="A6" s="94"/>
      <c r="B6" s="97"/>
      <c r="C6" s="103"/>
      <c r="D6" s="97"/>
      <c r="E6" s="12" t="s">
        <v>37</v>
      </c>
      <c r="F6" s="13" t="s">
        <v>38</v>
      </c>
      <c r="G6" s="14">
        <v>0</v>
      </c>
      <c r="H6" s="13">
        <v>0</v>
      </c>
      <c r="I6" s="13"/>
    </row>
    <row r="7" spans="1:11" ht="30.75">
      <c r="A7" s="98" t="s">
        <v>70</v>
      </c>
      <c r="B7" s="95" t="s">
        <v>71</v>
      </c>
      <c r="C7" s="102"/>
      <c r="D7" s="95" t="s">
        <v>84</v>
      </c>
      <c r="E7" s="12" t="s">
        <v>72</v>
      </c>
      <c r="F7" s="13" t="s">
        <v>44</v>
      </c>
      <c r="G7" s="14">
        <v>0</v>
      </c>
      <c r="H7" s="13">
        <v>6569</v>
      </c>
      <c r="I7" s="13" t="s">
        <v>46</v>
      </c>
    </row>
    <row r="8" spans="1:11" ht="32.1" customHeight="1">
      <c r="A8" s="99"/>
      <c r="B8" s="96"/>
      <c r="C8" s="104"/>
      <c r="D8" s="96"/>
      <c r="E8" s="12" t="s">
        <v>47</v>
      </c>
      <c r="F8" s="13" t="s">
        <v>73</v>
      </c>
      <c r="G8" s="14">
        <v>6</v>
      </c>
      <c r="H8" s="13">
        <v>8</v>
      </c>
      <c r="I8" s="13"/>
    </row>
    <row r="9" spans="1:11" ht="30.75">
      <c r="A9" s="100"/>
      <c r="B9" s="97"/>
      <c r="C9" s="103"/>
      <c r="D9" s="97"/>
      <c r="E9" s="12" t="s">
        <v>49</v>
      </c>
      <c r="F9" s="13" t="s">
        <v>50</v>
      </c>
      <c r="G9" s="14">
        <v>0</v>
      </c>
      <c r="H9" s="13">
        <v>63</v>
      </c>
      <c r="I9" s="13"/>
    </row>
    <row r="10" spans="1:11" ht="30.75">
      <c r="A10" s="10" t="s">
        <v>21</v>
      </c>
      <c r="B10" s="19" t="s">
        <v>22</v>
      </c>
      <c r="C10" s="15"/>
      <c r="D10" s="11" t="s">
        <v>85</v>
      </c>
      <c r="E10" s="12" t="s">
        <v>39</v>
      </c>
      <c r="F10" s="13" t="s">
        <v>74</v>
      </c>
      <c r="G10" s="14">
        <v>0</v>
      </c>
      <c r="H10" s="13">
        <v>5</v>
      </c>
      <c r="I10" s="13" t="s">
        <v>41</v>
      </c>
    </row>
    <row r="11" spans="1:11" ht="15.95" customHeight="1">
      <c r="A11" s="105" t="s">
        <v>75</v>
      </c>
      <c r="B11" s="102" t="s">
        <v>71</v>
      </c>
      <c r="C11" s="102"/>
      <c r="D11" s="95" t="s">
        <v>86</v>
      </c>
      <c r="E11" s="12" t="s">
        <v>35</v>
      </c>
      <c r="F11" s="13" t="s">
        <v>52</v>
      </c>
      <c r="G11" s="14">
        <v>0</v>
      </c>
      <c r="H11" s="13">
        <v>3250</v>
      </c>
      <c r="I11" s="13" t="s">
        <v>76</v>
      </c>
    </row>
    <row r="12" spans="1:11" ht="15.95" customHeight="1">
      <c r="A12" s="106"/>
      <c r="B12" s="103"/>
      <c r="C12" s="103"/>
      <c r="D12" s="97"/>
      <c r="E12" s="12" t="s">
        <v>37</v>
      </c>
      <c r="F12" s="13" t="s">
        <v>77</v>
      </c>
      <c r="G12" s="14">
        <v>0</v>
      </c>
      <c r="H12" s="13">
        <v>0</v>
      </c>
      <c r="I12" s="13"/>
    </row>
    <row r="13" spans="1:11" ht="45.75">
      <c r="A13" s="10" t="s">
        <v>78</v>
      </c>
      <c r="B13" s="11" t="s">
        <v>79</v>
      </c>
      <c r="C13" s="15"/>
      <c r="D13" s="102" t="s">
        <v>87</v>
      </c>
      <c r="E13" s="12" t="s">
        <v>72</v>
      </c>
      <c r="F13" s="13" t="s">
        <v>56</v>
      </c>
      <c r="G13" s="14" t="s">
        <v>80</v>
      </c>
      <c r="H13" s="14">
        <v>29600</v>
      </c>
      <c r="I13" s="13" t="s">
        <v>58</v>
      </c>
    </row>
    <row r="14" spans="1:11" ht="45.75">
      <c r="A14" s="10"/>
      <c r="B14" s="11"/>
      <c r="C14" s="15"/>
      <c r="D14" s="104"/>
      <c r="E14" s="12" t="s">
        <v>35</v>
      </c>
      <c r="F14" s="13" t="s">
        <v>61</v>
      </c>
      <c r="G14" s="14">
        <v>0</v>
      </c>
      <c r="H14" s="14">
        <v>8400</v>
      </c>
      <c r="I14" s="13" t="s">
        <v>62</v>
      </c>
    </row>
    <row r="15" spans="1:11" ht="45.75">
      <c r="A15" s="10"/>
      <c r="B15" s="11"/>
      <c r="C15" s="15"/>
      <c r="D15" s="104"/>
      <c r="E15" s="12" t="s">
        <v>63</v>
      </c>
      <c r="F15" s="13" t="s">
        <v>64</v>
      </c>
      <c r="G15" s="14">
        <v>0</v>
      </c>
      <c r="H15" s="14">
        <v>45</v>
      </c>
      <c r="I15" s="13" t="s">
        <v>65</v>
      </c>
    </row>
    <row r="16" spans="1:11" ht="45.75">
      <c r="A16" s="10"/>
      <c r="B16" s="11"/>
      <c r="C16" s="15"/>
      <c r="D16" s="103"/>
      <c r="E16" s="12" t="s">
        <v>23</v>
      </c>
      <c r="F16" s="13" t="s">
        <v>66</v>
      </c>
      <c r="G16" s="14" t="s">
        <v>80</v>
      </c>
      <c r="H16" s="14">
        <v>42000</v>
      </c>
      <c r="I16" s="13"/>
    </row>
    <row r="17" spans="1:9">
      <c r="E17" s="3"/>
      <c r="F17" s="4"/>
      <c r="G17" s="7"/>
      <c r="H17" s="4"/>
      <c r="I17" s="4"/>
    </row>
    <row r="18" spans="1:9">
      <c r="A18" s="17"/>
      <c r="E18" s="3"/>
      <c r="F18" s="4"/>
      <c r="G18" s="7"/>
      <c r="H18" s="4"/>
      <c r="I18" s="4"/>
    </row>
    <row r="19" spans="1:9">
      <c r="E19" s="3"/>
      <c r="F19" s="4"/>
      <c r="G19" s="7"/>
      <c r="H19" s="4"/>
      <c r="I19" s="4"/>
    </row>
    <row r="20" spans="1:9">
      <c r="E20" s="3"/>
      <c r="F20" s="4"/>
      <c r="G20" s="7"/>
      <c r="H20" s="4"/>
      <c r="I20" s="4"/>
    </row>
    <row r="21" spans="1:9">
      <c r="E21" s="3"/>
      <c r="F21" s="4"/>
      <c r="G21" s="7"/>
      <c r="H21" s="4"/>
      <c r="I21" s="4"/>
    </row>
    <row r="22" spans="1:9">
      <c r="E22" s="3"/>
      <c r="F22" s="4"/>
      <c r="G22" s="7"/>
      <c r="H22" s="4"/>
      <c r="I22" s="4"/>
    </row>
    <row r="23" spans="1:9">
      <c r="E23" s="3"/>
      <c r="F23" s="4"/>
      <c r="G23" s="7"/>
      <c r="H23" s="4"/>
      <c r="I23" s="4"/>
    </row>
    <row r="24" spans="1:9">
      <c r="E24" s="3"/>
      <c r="F24" s="4"/>
      <c r="G24" s="7"/>
      <c r="H24" s="4"/>
      <c r="I24" s="4"/>
    </row>
    <row r="25" spans="1:9">
      <c r="E25" s="3"/>
      <c r="F25" s="4"/>
      <c r="G25" s="7"/>
      <c r="H25" s="4"/>
      <c r="I25" s="4"/>
    </row>
    <row r="26" spans="1:9">
      <c r="E26" s="3"/>
      <c r="F26" s="4"/>
      <c r="G26" s="7"/>
      <c r="H26" s="4"/>
      <c r="I26" s="4"/>
    </row>
    <row r="27" spans="1:9">
      <c r="E27" s="3"/>
      <c r="F27" s="4"/>
      <c r="G27" s="7"/>
      <c r="H27" s="4"/>
      <c r="I27" s="4"/>
    </row>
    <row r="28" spans="1:9">
      <c r="E28" s="3"/>
      <c r="F28" s="4"/>
      <c r="G28" s="7"/>
      <c r="H28" s="4"/>
      <c r="I28" s="4"/>
    </row>
    <row r="29" spans="1:9">
      <c r="E29" s="3"/>
      <c r="F29" s="4"/>
      <c r="G29" s="5"/>
      <c r="H29" s="4"/>
      <c r="I29" s="4"/>
    </row>
    <row r="30" spans="1:9">
      <c r="E30" s="3"/>
      <c r="F30" s="4"/>
      <c r="G30" s="5"/>
      <c r="H30" s="4"/>
      <c r="I30" s="4"/>
    </row>
    <row r="31" spans="1:9">
      <c r="E31" s="3"/>
      <c r="F31" s="4"/>
      <c r="G31" s="5"/>
      <c r="H31" s="4"/>
      <c r="I31" s="4"/>
    </row>
    <row r="32" spans="1:9">
      <c r="E32" s="3"/>
      <c r="F32" s="4"/>
      <c r="G32" s="5"/>
      <c r="H32" s="4"/>
      <c r="I32" s="4"/>
    </row>
  </sheetData>
  <mergeCells count="17">
    <mergeCell ref="A11:A12"/>
    <mergeCell ref="B11:B12"/>
    <mergeCell ref="C11:C12"/>
    <mergeCell ref="D11:D12"/>
    <mergeCell ref="D13:D16"/>
    <mergeCell ref="D5:D6"/>
    <mergeCell ref="C5:C6"/>
    <mergeCell ref="C2:C4"/>
    <mergeCell ref="D2:D4"/>
    <mergeCell ref="D7:D9"/>
    <mergeCell ref="C7:C9"/>
    <mergeCell ref="A5:A6"/>
    <mergeCell ref="B2:B4"/>
    <mergeCell ref="B5:B6"/>
    <mergeCell ref="B7:B9"/>
    <mergeCell ref="A7:A9"/>
    <mergeCell ref="A2:A4"/>
  </mergeCells>
  <phoneticPr fontId="3"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E2:E32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ColWidth="8.85546875" defaultRowHeight="15"/>
  <cols>
    <col min="1" max="1" width="36" customWidth="1"/>
    <col min="2" max="2" width="96" customWidth="1"/>
  </cols>
  <sheetData>
    <row r="1" spans="1:2">
      <c r="A1" s="66" t="s">
        <v>4</v>
      </c>
      <c r="B1" s="66" t="s">
        <v>5</v>
      </c>
    </row>
    <row r="2" spans="1:2" ht="30.75">
      <c r="A2" s="108" t="s">
        <v>23</v>
      </c>
      <c r="B2" s="67" t="s">
        <v>88</v>
      </c>
    </row>
    <row r="3" spans="1:2">
      <c r="A3" s="108" t="s">
        <v>72</v>
      </c>
      <c r="B3" s="67" t="s">
        <v>89</v>
      </c>
    </row>
    <row r="4" spans="1:2" ht="30.75">
      <c r="A4" s="108" t="s">
        <v>35</v>
      </c>
      <c r="B4" s="67" t="s">
        <v>90</v>
      </c>
    </row>
    <row r="5" spans="1:2">
      <c r="A5" s="108" t="s">
        <v>91</v>
      </c>
      <c r="B5" s="67" t="s">
        <v>92</v>
      </c>
    </row>
    <row r="6" spans="1:2" ht="45.75">
      <c r="A6" s="108" t="s">
        <v>30</v>
      </c>
      <c r="B6" s="67" t="s">
        <v>93</v>
      </c>
    </row>
    <row r="7" spans="1:2" ht="30.75">
      <c r="A7" s="108" t="s">
        <v>39</v>
      </c>
      <c r="B7" s="67" t="s">
        <v>94</v>
      </c>
    </row>
    <row r="8" spans="1:2" ht="30.75">
      <c r="A8" s="108" t="s">
        <v>95</v>
      </c>
      <c r="B8" s="67" t="s">
        <v>96</v>
      </c>
    </row>
    <row r="9" spans="1:2" ht="30.75">
      <c r="A9" s="108" t="s">
        <v>47</v>
      </c>
      <c r="B9" s="67" t="s">
        <v>97</v>
      </c>
    </row>
    <row r="10" spans="1:2" ht="30.75">
      <c r="A10" s="108" t="s">
        <v>98</v>
      </c>
      <c r="B10" s="109" t="s">
        <v>99</v>
      </c>
    </row>
    <row r="11" spans="1:2">
      <c r="A11" s="108" t="s">
        <v>51</v>
      </c>
      <c r="B11" s="109" t="s">
        <v>100</v>
      </c>
    </row>
    <row r="12" spans="1:2" ht="30.75">
      <c r="A12" s="108" t="s">
        <v>101</v>
      </c>
      <c r="B12" s="67" t="s">
        <v>102</v>
      </c>
    </row>
    <row r="13" spans="1:2">
      <c r="A13" s="108" t="s">
        <v>33</v>
      </c>
      <c r="B13" s="109" t="s">
        <v>103</v>
      </c>
    </row>
    <row r="14" spans="1:2">
      <c r="A14" s="108" t="s">
        <v>104</v>
      </c>
      <c r="B14" s="109" t="s">
        <v>105</v>
      </c>
    </row>
    <row r="15" spans="1:2">
      <c r="A15" s="108" t="s">
        <v>49</v>
      </c>
      <c r="B15" s="109" t="s">
        <v>106</v>
      </c>
    </row>
    <row r="16" spans="1:2">
      <c r="A16" s="108" t="s">
        <v>37</v>
      </c>
      <c r="B16" s="109" t="s">
        <v>107</v>
      </c>
    </row>
    <row r="17" spans="1:2">
      <c r="A17" s="108" t="s">
        <v>108</v>
      </c>
      <c r="B17" s="67" t="s">
        <v>109</v>
      </c>
    </row>
    <row r="18" spans="1:2">
      <c r="A18" s="108" t="s">
        <v>63</v>
      </c>
      <c r="B18" s="109" t="s">
        <v>64</v>
      </c>
    </row>
    <row r="19" spans="1:2" ht="45.75">
      <c r="A19" s="108" t="s">
        <v>110</v>
      </c>
      <c r="B19" s="109" t="s">
        <v>111</v>
      </c>
    </row>
    <row r="20" spans="1:2">
      <c r="A20" s="108" t="s">
        <v>112</v>
      </c>
      <c r="B20" s="109" t="s">
        <v>113</v>
      </c>
    </row>
    <row r="21" spans="1:2" ht="30.75">
      <c r="A21" s="108" t="s">
        <v>19</v>
      </c>
      <c r="B21" s="110" t="s">
        <v>114</v>
      </c>
    </row>
    <row r="22" spans="1:2">
      <c r="A22" s="108" t="s">
        <v>115</v>
      </c>
      <c r="B22" s="109" t="s">
        <v>116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Evrard Karol EKOUEDJEN</DisplayName>
        <AccountId>1139</AccountId>
        <AccountType/>
      </UserInfo>
      <UserInfo>
        <DisplayName>Isidore Agbokou</DisplayName>
        <AccountId>2024</AccountId>
        <AccountType/>
      </UserInfo>
      <UserInfo>
        <DisplayName>Kanil Lopes</DisplayName>
        <AccountId>2025</AccountId>
        <AccountType/>
      </UserInfo>
      <UserInfo>
        <DisplayName>Karim Ali Ahmed</DisplayName>
        <AccountId>1226</AccountId>
        <AccountType/>
      </UserInfo>
      <UserInfo>
        <DisplayName>Chibulu Luo</DisplayName>
        <AccountId>328</AccountId>
        <AccountType/>
      </UserInfo>
      <UserInfo>
        <DisplayName>Charles Nyandiga</DisplayName>
        <AccountId>94</AccountId>
        <AccountType/>
      </UserInfo>
      <UserInfo>
        <DisplayName>Riad Meddeb</DisplayName>
        <AccountId>9</AccountId>
        <AccountType/>
      </UserInfo>
      <UserInfo>
        <DisplayName>Stefano Pistolese</DisplayName>
        <AccountId>772</AccountId>
        <AccountType/>
      </UserInfo>
    </SharedWithUse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D06A8A7-AAD0-46D5-9E3E-4D298B186157}"/>
</file>

<file path=customXml/itemProps2.xml><?xml version="1.0" encoding="utf-8"?>
<ds:datastoreItem xmlns:ds="http://schemas.openxmlformats.org/officeDocument/2006/customXml" ds:itemID="{84AEDBCE-AE29-4AA3-A5BD-B932231712F2}"/>
</file>

<file path=customXml/itemProps3.xml><?xml version="1.0" encoding="utf-8"?>
<ds:datastoreItem xmlns:ds="http://schemas.openxmlformats.org/officeDocument/2006/customXml" ds:itemID="{8F624B1C-A124-4E32-92C4-21E4FBA3A4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Danae franco Lopera</cp:lastModifiedBy>
  <cp:revision/>
  <dcterms:created xsi:type="dcterms:W3CDTF">2023-05-05T09:33:41Z</dcterms:created>
  <dcterms:modified xsi:type="dcterms:W3CDTF">2024-11-18T19:00:18Z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