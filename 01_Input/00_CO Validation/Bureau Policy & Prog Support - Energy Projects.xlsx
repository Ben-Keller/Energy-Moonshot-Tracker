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3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Alignment="1" applyProtection="1">
      <alignment vertical="top"/>
      <protection locked="0" hidden="0"/>
    </xf>
  </cellStyleXfs>
  <cellXfs count="23">
    <xf numFmtId="0" fontId="0" fillId="0" borderId="0" pivotButton="0" quotePrefix="0" xfId="0"/>
    <xf numFmtId="0" fontId="2" fillId="0" borderId="1" pivotButton="0" quotePrefix="0" xfId="0"/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wrapText="1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top"/>
    </xf>
    <xf numFmtId="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top"/>
    </xf>
    <xf numFmtId="0" fontId="0" fillId="0" borderId="1" pivotButton="0" quotePrefix="0" xfId="0"/>
    <xf numFmtId="0" fontId="3" fillId="0" borderId="1" pivotButton="0" quotePrefix="0" xfId="1"/>
    <xf numFmtId="0" fontId="0" fillId="2" borderId="1" pivotButton="0" quotePrefix="0" xfId="0"/>
    <xf numFmtId="0" fontId="0" fillId="2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0" fillId="3" borderId="1" pivotButton="0" quotePrefix="0" xfId="0"/>
    <xf numFmtId="0" fontId="0" fillId="3" borderId="1" applyAlignment="1" pivotButton="0" quotePrefix="0" xfId="0">
      <alignment wrapText="1"/>
    </xf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open.undp.org/projects/0012473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://open.undp.org/projects/00124739" TargetMode="External" Id="rId1"/><Relationship Type="http://schemas.openxmlformats.org/officeDocument/2006/relationships/hyperlink" Target="http://open.undp.org/projects/00139866" TargetMode="External" Id="rId2"/><Relationship Type="http://schemas.openxmlformats.org/officeDocument/2006/relationships/hyperlink" Target="http://open.undp.org/projects/00111467" TargetMode="External" Id="rId3"/></Relationships>
</file>

<file path=xl/worksheets/_rels/sheet3.xml.rels><Relationships xmlns="http://schemas.openxmlformats.org/package/2006/relationships"><Relationship Type="http://schemas.openxmlformats.org/officeDocument/2006/relationships/hyperlink" Target="http://open.undp.org/projects/00124739" TargetMode="External" Id="rId1"/><Relationship Type="http://schemas.openxmlformats.org/officeDocument/2006/relationships/hyperlink" Target="http://open.undp.org/projects/00139866" TargetMode="External" Id="rId2"/><Relationship Type="http://schemas.openxmlformats.org/officeDocument/2006/relationships/hyperlink" Target="http://open.undp.org/projects/0011146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tabSelected="1" workbookViewId="0">
      <pane xSplit="1" ySplit="1" topLeftCell="B2" activePane="bottomRight" state="frozen"/>
      <selection pane="bottomRight" activeCell="F3" sqref="F3"/>
      <selection pane="bottomLeft" activeCell="A1" sqref="A1"/>
      <selection pane="topRight" activeCell="A1" sqref="A1"/>
    </sheetView>
  </sheetViews>
  <sheetFormatPr baseColWidth="8" defaultRowHeight="15"/>
  <cols>
    <col width="62.85546875" customWidth="1" min="2" max="2"/>
    <col width="20.7109375" customWidth="1" min="3" max="3"/>
    <col width="13" customWidth="1" min="4" max="4"/>
    <col width="13" customWidth="1" min="5" max="6"/>
    <col width="13" customWidth="1" min="6" max="6"/>
    <col width="13" customWidth="1" min="7" max="8"/>
    <col width="13" customWidth="1" min="8" max="8"/>
    <col width="32.7109375" customWidth="1" min="9" max="9"/>
    <col width="12.85546875" bestFit="1" customWidth="1" min="12" max="12"/>
    <col width="14.42578125" bestFit="1" customWidth="1" min="14" max="14"/>
    <col width="14.85546875" bestFit="1" customWidth="1" min="15" max="15"/>
    <col width="16.5703125" bestFit="1" customWidth="1" min="17" max="17"/>
    <col width="18.140625" bestFit="1" customWidth="1" min="18" max="18"/>
    <col width="11.28515625" bestFit="1" customWidth="1" min="19" max="19"/>
    <col width="16.7109375" bestFit="1" customWidth="1" min="21" max="21"/>
  </cols>
  <sheetData>
    <row r="1">
      <c r="A1" s="10" t="inlineStr">
        <is>
          <t>Project ID</t>
        </is>
      </c>
      <c r="B1" s="10" t="inlineStr">
        <is>
          <t>Title</t>
        </is>
      </c>
      <c r="C1" s="10" t="inlineStr">
        <is>
          <t>Link</t>
        </is>
      </c>
      <c r="D1" s="10" t="inlineStr">
        <is>
          <t>Budget</t>
        </is>
      </c>
      <c r="E1" s="10" t="inlineStr">
        <is>
          <t>Start Year</t>
        </is>
      </c>
      <c r="F1" s="10" t="inlineStr">
        <is>
          <t>End Year</t>
        </is>
      </c>
      <c r="G1" s="10" t="inlineStr">
        <is>
          <t>Status</t>
        </is>
      </c>
      <c r="H1" s="10" t="inlineStr">
        <is>
          <t>VF or Non-VF</t>
        </is>
      </c>
      <c r="I1" s="10" t="inlineStr">
        <is>
          <t>Beneficiary Category</t>
        </is>
      </c>
      <c r="J1" s="10" t="inlineStr">
        <is>
          <t>Indicator</t>
        </is>
      </c>
      <c r="K1" s="10" t="inlineStr">
        <is>
          <t>Baseline</t>
        </is>
      </c>
      <c r="L1" s="10" t="inlineStr">
        <is>
          <t>Target</t>
        </is>
      </c>
      <c r="M1" s="10" t="inlineStr">
        <is>
          <t>Notes</t>
        </is>
      </c>
      <c r="N1" s="1" t="inlineStr">
        <is>
          <t>Donors</t>
        </is>
      </c>
      <c r="O1" s="1" t="inlineStr">
        <is>
          <t>Gender (% female)</t>
        </is>
      </c>
      <c r="P1" s="6" t="inlineStr">
        <is>
          <t>Tag</t>
        </is>
      </c>
      <c r="Q1" s="6" t="inlineStr">
        <is>
          <t>SEH Taxonomy</t>
        </is>
      </c>
      <c r="R1" s="6" t="inlineStr">
        <is>
          <t>RISE Taxonomy</t>
        </is>
      </c>
      <c r="S1" s="6" t="inlineStr">
        <is>
          <t>Flagship</t>
        </is>
      </c>
      <c r="T1" s="6" t="inlineStr">
        <is>
          <t>Indirect Category</t>
        </is>
      </c>
      <c r="U1" s="6" t="inlineStr">
        <is>
          <t>Indirect Taxonomy</t>
        </is>
      </c>
      <c r="V1" s="1" t="inlineStr">
        <is>
          <t>Technology</t>
        </is>
      </c>
      <c r="W1" s="6" t="inlineStr">
        <is>
          <t>Policy or Regulatory Framework</t>
        </is>
      </c>
      <c r="X1" s="1" t="inlineStr">
        <is>
          <t>Policy Population</t>
        </is>
      </c>
    </row>
    <row r="2" ht="152.25" customHeight="1">
      <c r="A2" s="11" t="n">
        <v>124739</v>
      </c>
      <c r="B2" s="11" t="inlineStr">
        <is>
          <t>SIDA UNDP Strategic Collaboration on Env and CC</t>
        </is>
      </c>
      <c r="C2" s="12" t="inlineStr">
        <is>
          <t>http://open.undp.org/projects/00124739</t>
        </is>
      </c>
      <c r="D2" s="11" t="n">
        <v>3254214.05</v>
      </c>
      <c r="E2" s="19" t="n"/>
      <c r="F2" s="19" t="n"/>
      <c r="G2" s="19" t="n"/>
      <c r="H2" s="11" t="inlineStr">
        <is>
          <t>Non-VF</t>
        </is>
      </c>
      <c r="I2" s="13" t="inlineStr">
        <is>
          <t>Electricity Access</t>
        </is>
      </c>
      <c r="J2" s="14" t="inlineStr">
        <is>
          <t xml:space="preserve">Number and
proportion of
households
benefitting from
clean, affordable
and sustainable
energy access
Women-headed
and In rural
areas. </t>
        </is>
      </c>
      <c r="K2" s="13">
        <f>14055+1175227</f>
        <v/>
      </c>
      <c r="L2" s="13">
        <f>3625109+2030081</f>
        <v/>
      </c>
      <c r="M2" s="14" t="inlineStr">
        <is>
          <t>Solutions adopted to
achieve universal access
to clean, affordable and
sustainable energy
a) women headed 3,625,109;
78%
b) in rural areas 2,030,081;
28%</t>
        </is>
      </c>
      <c r="N2" s="11" t="inlineStr">
        <is>
          <t>SIDA</t>
        </is>
      </c>
      <c r="O2" s="8" t="n">
        <v>0.78</v>
      </c>
      <c r="P2" s="7" t="n"/>
      <c r="Q2" s="15" t="inlineStr">
        <is>
          <t>Close the gap on energy access</t>
        </is>
      </c>
      <c r="R2" s="7" t="n"/>
      <c r="S2" s="7" t="n"/>
      <c r="T2" s="7" t="n"/>
      <c r="U2" s="7" t="n"/>
      <c r="V2" s="3" t="inlineStr">
        <is>
          <t>Solar</t>
        </is>
      </c>
      <c r="W2" s="7" t="n"/>
      <c r="X2" s="3" t="n"/>
    </row>
    <row r="3" ht="91.5" customHeight="1">
      <c r="A3" s="11" t="n"/>
      <c r="B3" s="11" t="n"/>
      <c r="C3" s="12" t="n"/>
      <c r="D3" s="11" t="n"/>
      <c r="E3" s="11" t="n"/>
      <c r="F3" s="11" t="n"/>
      <c r="G3" s="11" t="n"/>
      <c r="H3" s="11" t="n"/>
      <c r="I3" s="13" t="inlineStr">
        <is>
          <t>Energy (MW added)</t>
        </is>
      </c>
      <c r="J3" s="14" t="inlineStr">
        <is>
          <t>Installed capacity in MW for access/productive-use outputs</t>
        </is>
      </c>
      <c r="K3" s="13" t="n">
        <v>0</v>
      </c>
      <c r="L3" s="19" t="n"/>
      <c r="M3" s="20" t="inlineStr">
        <is>
          <t>[AUTO-ADDED] Project reports access/productive-use beneficiary numbers but no MW value. Please add installed capacity (MW) or confirm not applicable.</t>
        </is>
      </c>
      <c r="N3" s="11" t="n"/>
      <c r="O3" s="8" t="n"/>
      <c r="P3" s="7" t="n"/>
      <c r="Q3" s="15" t="n"/>
      <c r="R3" s="7" t="n"/>
      <c r="S3" s="7" t="n"/>
      <c r="T3" s="7" t="n"/>
      <c r="U3" s="7" t="n"/>
      <c r="V3" s="3" t="n"/>
      <c r="W3" s="7" t="n"/>
      <c r="X3" s="3" t="n"/>
    </row>
    <row r="4" ht="60.75" customHeight="1">
      <c r="A4" s="11" t="n">
        <v>139866</v>
      </c>
      <c r="B4" s="11" t="inlineStr">
        <is>
          <t>Programme Initiation plan energy hub</t>
        </is>
      </c>
      <c r="C4" s="12" t="inlineStr">
        <is>
          <t>http://open.undp.org/projects/00139866</t>
        </is>
      </c>
      <c r="D4" s="11" t="n">
        <v>1174548</v>
      </c>
      <c r="E4" s="19" t="n"/>
      <c r="F4" s="19" t="n"/>
      <c r="G4" s="19" t="n"/>
      <c r="H4" s="11" t="inlineStr">
        <is>
          <t>Non-VF</t>
        </is>
      </c>
      <c r="I4" s="13" t="inlineStr">
        <is>
          <t>Capacity Building Training</t>
        </is>
      </c>
      <c r="J4" s="14" t="inlineStr">
        <is>
          <t xml:space="preserve">Number of trained persons
(disaggregated by gender and departments).
</t>
        </is>
      </c>
      <c r="K4" s="13" t="n"/>
      <c r="L4" s="13" t="n">
        <v>50</v>
      </c>
      <c r="M4" s="13" t="n"/>
      <c r="N4" s="11" t="n"/>
      <c r="O4" s="9">
        <f>1/3</f>
        <v/>
      </c>
      <c r="P4" s="7" t="n"/>
      <c r="Q4" s="15" t="inlineStr">
        <is>
          <t>Accelerating just energy transition</t>
        </is>
      </c>
      <c r="R4" s="7" t="n"/>
      <c r="S4" s="7" t="n"/>
      <c r="T4" s="7" t="n"/>
      <c r="U4" s="7" t="n"/>
      <c r="V4" s="3" t="n"/>
      <c r="W4" s="7" t="n"/>
      <c r="X4" s="3" t="n"/>
    </row>
    <row r="5" ht="45.75" customHeight="1">
      <c r="A5" s="11" t="n"/>
      <c r="B5" s="11" t="n"/>
      <c r="C5" s="12" t="n"/>
      <c r="D5" s="11" t="n"/>
      <c r="E5" s="11" t="n"/>
      <c r="F5" s="11" t="n"/>
      <c r="G5" s="11" t="n"/>
      <c r="H5" s="11" t="n"/>
      <c r="I5" s="13" t="inlineStr">
        <is>
          <t>Policy or Regulatory Framework</t>
        </is>
      </c>
      <c r="J5" s="14" t="inlineStr">
        <is>
          <t xml:space="preserve">Legal authority for transfer of titles to ITMOs defined in all countries. </t>
        </is>
      </c>
      <c r="K5" s="13" t="n"/>
      <c r="L5" s="13" t="n"/>
      <c r="M5" s="14" t="n"/>
      <c r="N5" s="11" t="n"/>
      <c r="O5" s="9" t="n"/>
      <c r="P5" s="7" t="n"/>
      <c r="Q5" s="15" t="inlineStr">
        <is>
          <t>Accelerating just energy transition</t>
        </is>
      </c>
      <c r="R5" s="7" t="inlineStr">
        <is>
          <t>Overall</t>
        </is>
      </c>
      <c r="S5" s="7" t="n"/>
      <c r="T5" s="7" t="inlineStr">
        <is>
          <t>Legal Framework</t>
        </is>
      </c>
      <c r="U5" s="7" t="inlineStr">
        <is>
          <t>Decarbonization</t>
        </is>
      </c>
      <c r="V5" s="3" t="n"/>
      <c r="W5" s="7" t="inlineStr">
        <is>
          <t>National</t>
        </is>
      </c>
      <c r="X5" s="3" t="inlineStr">
        <is>
          <t>Countries willing to implement the legal recommendations to ensure ability to transfer titles to ITMOs in their own name.</t>
        </is>
      </c>
    </row>
    <row r="6">
      <c r="A6" s="11" t="n">
        <v>111467</v>
      </c>
      <c r="B6" s="11" t="inlineStr">
        <is>
          <t>Linking the Kigali Amendment with EE in the RAC Sector</t>
        </is>
      </c>
      <c r="C6" s="12" t="inlineStr">
        <is>
          <t>http://open.undp.org/projects/00111467</t>
        </is>
      </c>
      <c r="D6" s="11" t="n">
        <v>11205031</v>
      </c>
      <c r="E6" s="19" t="n"/>
      <c r="F6" s="19" t="n"/>
      <c r="G6" s="19" t="n"/>
      <c r="H6" s="11" t="inlineStr">
        <is>
          <t>Non-VF</t>
        </is>
      </c>
      <c r="I6" s="13" t="inlineStr">
        <is>
          <t>Policy or Regulatory Framework</t>
        </is>
      </c>
      <c r="J6" s="13" t="inlineStr">
        <is>
          <t>Ratification of the Kigali amendment and energy effciency interventions policies</t>
        </is>
      </c>
      <c r="K6" s="13" t="n"/>
      <c r="L6" s="13" t="n"/>
      <c r="M6" s="13" t="n"/>
      <c r="N6" s="11" t="inlineStr">
        <is>
          <t>Climateworks Foundation, Montreal Protocol, New Zealand, Canada, GIZ</t>
        </is>
      </c>
      <c r="O6" s="2" t="n"/>
      <c r="P6" s="7" t="n"/>
      <c r="Q6" s="15" t="inlineStr">
        <is>
          <t>Accelerating just energy transition</t>
        </is>
      </c>
      <c r="R6" s="7" t="inlineStr">
        <is>
          <t>Energy Efficiency</t>
        </is>
      </c>
      <c r="S6" s="7" t="n"/>
      <c r="T6" s="7" t="inlineStr">
        <is>
          <t>Legal Framework</t>
        </is>
      </c>
      <c r="U6" s="7" t="inlineStr">
        <is>
          <t>Energy Efficiency</t>
        </is>
      </c>
      <c r="V6" s="3" t="n"/>
      <c r="W6" s="7" t="inlineStr">
        <is>
          <t>National</t>
        </is>
      </c>
      <c r="X6" s="3" t="inlineStr">
        <is>
          <t>Countries willing to implement the legal recommendations</t>
        </is>
      </c>
    </row>
  </sheetData>
  <dataValidations count="12">
    <dataValidation sqref="N2:N5" showDropDown="0" showInputMessage="1" showErrorMessage="1" allowBlank="1" type="list">
      <formula1>"Accelerating just energy transition, Close the gap on energy access, Scale up energy finance"</formula1>
    </dataValidation>
    <dataValidation sqref="P2:P5" showDropDown="0" showInputMessage="1" showErrorMessage="1" allowBlank="1" type="list">
      <formula1>"AMP, PUDC, Solar4Health, Action Opportunities, Italy UNDP Energy Partnership"</formula1>
    </dataValidation>
    <dataValidation sqref="Q2:Q5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R2:R5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  <dataValidation sqref="O2:O5" showDropDown="0" showInputMessage="1" showErrorMessage="1" allowBlank="1" type="list">
      <formula1>"Electricity Access, Energy Efficiency, Clean Cooking, Renewable Energy, Overall"</formula1>
    </dataValidation>
    <dataValidation sqref="L2:L5" showDropDown="0" showInputMessage="1" showErrorMessage="1" allowBlank="1" type="list">
      <formula1>"Non-VF, VF"</formula1>
    </dataValidation>
    <dataValidation sqref="M2:M5" showDropDown="0" showInputMessage="1" showErrorMessage="1" allowBlank="1" type="list">
      <formula1>"Finance, Gender, Efficiency, Just, Health"</formula1>
    </dataValidation>
    <dataValidation sqref="T2:T5" showDropDown="0" showInputMessage="1" showErrorMessage="1" allowBlank="1" type="list">
      <formula1>"National, Regional, City, Community"</formula1>
    </dataValidation>
    <dataValidation sqref="S2:S5" showDropDown="0" showInputMessage="1" showErrorMessage="1" allowBlank="1" type="list">
      <formula1>"Solar, Wind, Bioenergy, Hydro, Geothermal, Waste, Other, Unknown"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xSplit="1" ySplit="1" topLeftCell="B2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62.85546875" customWidth="1" min="2" max="2"/>
    <col width="20.7109375" customWidth="1" min="3" max="3"/>
    <col width="20.7109375" customWidth="1" min="5" max="6"/>
    <col width="12.7109375" customWidth="1" min="7" max="8"/>
    <col width="32.7109375" customWidth="1" min="9" max="9"/>
    <col width="12.85546875" bestFit="1" customWidth="1" min="12" max="12"/>
    <col width="14.42578125" bestFit="1" customWidth="1" min="14" max="14"/>
    <col width="14.85546875" bestFit="1" customWidth="1" min="15" max="15"/>
    <col width="16.5703125" bestFit="1" customWidth="1" min="17" max="17"/>
    <col width="18.140625" bestFit="1" customWidth="1" min="18" max="18"/>
    <col width="11.28515625" bestFit="1" customWidth="1" min="19" max="19"/>
    <col width="16.7109375" bestFit="1" customWidth="1" min="21" max="21"/>
  </cols>
  <sheetData>
    <row r="1">
      <c r="A1" s="10" t="inlineStr">
        <is>
          <t>Project ID</t>
        </is>
      </c>
      <c r="B1" s="10" t="inlineStr">
        <is>
          <t>Title</t>
        </is>
      </c>
      <c r="C1" s="10" t="inlineStr">
        <is>
          <t>Link</t>
        </is>
      </c>
      <c r="D1" s="10" t="inlineStr">
        <is>
          <t>Budget</t>
        </is>
      </c>
      <c r="E1" s="10" t="inlineStr">
        <is>
          <t>Beneficiary Category</t>
        </is>
      </c>
      <c r="F1" s="10" t="inlineStr">
        <is>
          <t>Indicator</t>
        </is>
      </c>
      <c r="G1" s="10" t="inlineStr">
        <is>
          <t>Baseline</t>
        </is>
      </c>
      <c r="H1" s="10" t="inlineStr">
        <is>
          <t>Target</t>
        </is>
      </c>
      <c r="I1" s="10" t="inlineStr">
        <is>
          <t>Notes</t>
        </is>
      </c>
      <c r="J1" s="1" t="inlineStr">
        <is>
          <t>Donors</t>
        </is>
      </c>
      <c r="K1" s="1" t="inlineStr">
        <is>
          <t>Gender (% female)</t>
        </is>
      </c>
      <c r="L1" s="6" t="inlineStr">
        <is>
          <t>VF or Non-VF</t>
        </is>
      </c>
      <c r="M1" s="6" t="inlineStr">
        <is>
          <t>Tag</t>
        </is>
      </c>
      <c r="N1" s="6" t="inlineStr">
        <is>
          <t>SEH Taxonomy</t>
        </is>
      </c>
      <c r="O1" s="6" t="inlineStr">
        <is>
          <t>RISE Taxonomy</t>
        </is>
      </c>
      <c r="P1" s="6" t="inlineStr">
        <is>
          <t>Flagship</t>
        </is>
      </c>
      <c r="Q1" s="6" t="inlineStr">
        <is>
          <t>Indirect Category</t>
        </is>
      </c>
      <c r="R1" s="6" t="inlineStr">
        <is>
          <t>Indirect Taxonomy</t>
        </is>
      </c>
      <c r="S1" s="1" t="inlineStr">
        <is>
          <t>Technology</t>
        </is>
      </c>
      <c r="T1" s="6" t="inlineStr">
        <is>
          <t>Policy or Regulatory Framework</t>
        </is>
      </c>
      <c r="U1" s="1" t="inlineStr">
        <is>
          <t>Policy Population</t>
        </is>
      </c>
    </row>
    <row r="2" ht="152.25" customHeight="1">
      <c r="A2" s="11" t="n">
        <v>124739</v>
      </c>
      <c r="B2" s="11" t="inlineStr">
        <is>
          <t>SIDA UNDP Strategic Collaboration on Env and CC</t>
        </is>
      </c>
      <c r="C2" s="12" t="inlineStr">
        <is>
          <t>http://open.undp.org/projects/00124739</t>
        </is>
      </c>
      <c r="D2" s="11" t="n">
        <v>36443657</v>
      </c>
      <c r="E2" s="13" t="inlineStr">
        <is>
          <t>Electricity Access</t>
        </is>
      </c>
      <c r="F2" s="14" t="inlineStr">
        <is>
          <t xml:space="preserve">Number and
proportion of
households
benefitting from
clean, affordable
and sustainable
energy access
Women-headed
and In rural
areas. </t>
        </is>
      </c>
      <c r="G2" s="13">
        <f>14055+1175227</f>
        <v/>
      </c>
      <c r="H2" s="13">
        <f>3625109+2030081</f>
        <v/>
      </c>
      <c r="I2" s="14" t="inlineStr">
        <is>
          <t>Solutions adopted to
achieve universal access
to clean, affordable and
sustainable energy
a) women headed 3,625,109;
78%
b) in rural areas 2,030,081;
28%</t>
        </is>
      </c>
      <c r="J2" s="11" t="inlineStr">
        <is>
          <t>SIDA</t>
        </is>
      </c>
      <c r="K2" s="8" t="n">
        <v>0.78</v>
      </c>
      <c r="L2" s="7" t="inlineStr">
        <is>
          <t>Non-VF</t>
        </is>
      </c>
      <c r="M2" s="7" t="n"/>
      <c r="N2" s="15" t="inlineStr">
        <is>
          <t>Close the gap on energy access</t>
        </is>
      </c>
      <c r="O2" s="7" t="n"/>
      <c r="P2" s="7" t="n"/>
      <c r="Q2" s="7" t="n"/>
      <c r="R2" s="7" t="n"/>
      <c r="S2" s="3" t="inlineStr">
        <is>
          <t>Solar</t>
        </is>
      </c>
      <c r="T2" s="7" t="n"/>
      <c r="U2" s="3" t="n"/>
    </row>
    <row r="3" ht="91.5" customHeight="1">
      <c r="A3" s="11" t="n">
        <v>139866</v>
      </c>
      <c r="B3" s="11" t="inlineStr">
        <is>
          <t>Programme Initiation plan energy hub</t>
        </is>
      </c>
      <c r="C3" s="12" t="inlineStr">
        <is>
          <t>http://open.undp.org/projects/00139866</t>
        </is>
      </c>
      <c r="D3" s="11" t="n">
        <v>1174548</v>
      </c>
      <c r="E3" s="13" t="inlineStr">
        <is>
          <t>Capacity Building Training</t>
        </is>
      </c>
      <c r="F3" s="14" t="inlineStr">
        <is>
          <t xml:space="preserve">Number of trained persons
(disaggregated by gender and departments).
</t>
        </is>
      </c>
      <c r="G3" s="13" t="n"/>
      <c r="H3" s="13" t="n">
        <v>50</v>
      </c>
      <c r="I3" s="13" t="n"/>
      <c r="J3" s="11" t="n"/>
      <c r="K3" s="9">
        <f>1/3</f>
        <v/>
      </c>
      <c r="L3" s="7" t="inlineStr">
        <is>
          <t>Non-VF</t>
        </is>
      </c>
      <c r="M3" s="7" t="n"/>
      <c r="N3" s="15" t="inlineStr">
        <is>
          <t>Accelerating just energy transition</t>
        </is>
      </c>
      <c r="O3" s="7" t="n"/>
      <c r="P3" s="7" t="n"/>
      <c r="Q3" s="7" t="n"/>
      <c r="R3" s="7" t="n"/>
      <c r="S3" s="3" t="n"/>
      <c r="T3" s="7" t="n"/>
      <c r="U3" s="3" t="n"/>
    </row>
    <row r="4" ht="60.75" customHeight="1">
      <c r="A4" s="11" t="n"/>
      <c r="B4" s="11" t="n"/>
      <c r="C4" s="12" t="n"/>
      <c r="D4" s="11" t="n"/>
      <c r="E4" s="13" t="inlineStr">
        <is>
          <t>Policy or Regulatory Framework</t>
        </is>
      </c>
      <c r="F4" s="14" t="inlineStr">
        <is>
          <t xml:space="preserve">Legal authority for transfer of titles to ITMOs defined in all countries. </t>
        </is>
      </c>
      <c r="G4" s="13" t="n"/>
      <c r="H4" s="13" t="n"/>
      <c r="I4" s="14" t="n"/>
      <c r="J4" s="11" t="n"/>
      <c r="K4" s="9" t="n"/>
      <c r="L4" s="7" t="n"/>
      <c r="M4" s="7" t="n"/>
      <c r="N4" s="15" t="inlineStr">
        <is>
          <t>Accelerating just energy transition</t>
        </is>
      </c>
      <c r="O4" s="7" t="inlineStr">
        <is>
          <t>Overall</t>
        </is>
      </c>
      <c r="P4" s="7" t="n"/>
      <c r="Q4" s="7" t="inlineStr">
        <is>
          <t>Legal Framework</t>
        </is>
      </c>
      <c r="R4" s="7" t="inlineStr">
        <is>
          <t>Decarbonization</t>
        </is>
      </c>
      <c r="S4" s="3" t="n"/>
      <c r="T4" s="7" t="inlineStr">
        <is>
          <t>National</t>
        </is>
      </c>
      <c r="U4" s="3" t="inlineStr">
        <is>
          <t>Countries willing to implement the legal recommendations to ensure ability to transfer titles to ITMOs in their own name.</t>
        </is>
      </c>
    </row>
    <row r="5" ht="45.75" customHeight="1">
      <c r="A5" s="11" t="n">
        <v>111467</v>
      </c>
      <c r="B5" s="11" t="inlineStr">
        <is>
          <t>Linking the Kigali Amendment with EE in the RAC Sector</t>
        </is>
      </c>
      <c r="C5" s="12" t="inlineStr">
        <is>
          <t>http://open.undp.org/projects/00111467</t>
        </is>
      </c>
      <c r="D5" s="11" t="n">
        <v>11205031</v>
      </c>
      <c r="E5" s="13" t="inlineStr">
        <is>
          <t>Policy or Regulatory Framework</t>
        </is>
      </c>
      <c r="F5" s="13" t="inlineStr">
        <is>
          <t>Ratification of the Kigali amendment and energy effciency interventions policies</t>
        </is>
      </c>
      <c r="G5" s="13" t="n"/>
      <c r="H5" s="13" t="n"/>
      <c r="I5" s="13" t="n"/>
      <c r="J5" s="11" t="inlineStr">
        <is>
          <t>Climateworks Foundation, Montreal Protocol, New Zealand, Canada, GIZ</t>
        </is>
      </c>
      <c r="K5" s="2" t="n"/>
      <c r="L5" s="7" t="inlineStr">
        <is>
          <t>Non-VF</t>
        </is>
      </c>
      <c r="M5" s="7" t="n"/>
      <c r="N5" s="15" t="inlineStr">
        <is>
          <t>Accelerating just energy transition</t>
        </is>
      </c>
      <c r="O5" s="7" t="inlineStr">
        <is>
          <t>Energy Efficiency</t>
        </is>
      </c>
      <c r="P5" s="7" t="n"/>
      <c r="Q5" s="7" t="inlineStr">
        <is>
          <t>Legal Framework</t>
        </is>
      </c>
      <c r="R5" s="7" t="inlineStr">
        <is>
          <t>Energy Efficiency</t>
        </is>
      </c>
      <c r="S5" s="3" t="n"/>
      <c r="T5" s="7" t="inlineStr">
        <is>
          <t>National</t>
        </is>
      </c>
      <c r="U5" s="3" t="inlineStr">
        <is>
          <t>Countries willing to implement the legal recommendations</t>
        </is>
      </c>
    </row>
  </sheetData>
  <dataValidations count="9">
    <dataValidation sqref="S2:S5" showDropDown="0" showInputMessage="1" showErrorMessage="1" allowBlank="1" type="list">
      <formula1>"Solar, Wind, Bioenergy, Hydro, Geothermal, Waste, Other, Unknown"</formula1>
    </dataValidation>
    <dataValidation sqref="T2:T5" showDropDown="0" showInputMessage="1" showErrorMessage="1" allowBlank="1" type="list">
      <formula1>"National, Regional, City, Community"</formula1>
    </dataValidation>
    <dataValidation sqref="M2:M5" showDropDown="0" showInputMessage="1" showErrorMessage="1" allowBlank="1" type="list">
      <formula1>"Finance, Gender, Efficiency, Just, Health"</formula1>
    </dataValidation>
    <dataValidation sqref="L2:L5" showDropDown="0" showInputMessage="1" showErrorMessage="1" allowBlank="1" type="list">
      <formula1>"Non-VF, VF"</formula1>
    </dataValidation>
    <dataValidation sqref="O2:O5" showDropDown="0" showInputMessage="1" showErrorMessage="1" allowBlank="1" type="list">
      <formula1>"Electricity Access, Energy Efficiency, Clean Cooking, Renewable Energy, Overall"</formula1>
    </dataValidation>
    <dataValidation sqref="R2:R5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  <dataValidation sqref="Q2:Q5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:P5" showDropDown="0" showInputMessage="1" showErrorMessage="1" allowBlank="1" type="list">
      <formula1>"AMP, PUDC, Solar4Health, Action Opportunities, Italy UNDP Energy Partnership"</formula1>
    </dataValidation>
    <dataValidation sqref="N2:N5" showDropDown="0" showInputMessage="1" showErrorMessage="1" allowBlank="1" type="list">
      <formula1>"Accelerating just energy transition, Close the gap on energy access, Scale up energy finance"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5" r:id="rId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xSplit="1" ySplit="1" topLeftCell="I5" activePane="bottomRight" state="frozen"/>
      <selection pane="bottomRight" activeCell="J5" sqref="J5"/>
      <selection pane="bottomLeft" activeCell="A1" sqref="A1"/>
      <selection pane="topRight" activeCell="A1" sqref="A1"/>
    </sheetView>
  </sheetViews>
  <sheetFormatPr baseColWidth="8" defaultRowHeight="15"/>
  <cols>
    <col width="62.85546875" customWidth="1" min="2" max="2"/>
    <col width="20.7109375" customWidth="1" min="3" max="3"/>
    <col width="20.7109375" customWidth="1" min="5" max="6"/>
    <col width="12.7109375" customWidth="1" min="7" max="8"/>
    <col width="32.7109375" customWidth="1" min="9" max="9"/>
    <col width="12.85546875" bestFit="1" customWidth="1" min="12" max="12"/>
    <col width="14.42578125" bestFit="1" customWidth="1" min="14" max="14"/>
    <col width="14.85546875" bestFit="1" customWidth="1" min="15" max="15"/>
    <col width="16.5703125" bestFit="1" customWidth="1" min="17" max="17"/>
    <col width="18.140625" bestFit="1" customWidth="1" min="18" max="18"/>
    <col width="11.28515625" bestFit="1" customWidth="1" min="19" max="19"/>
    <col width="16.7109375" bestFit="1" customWidth="1" min="21" max="21"/>
  </cols>
  <sheetData>
    <row r="1">
      <c r="A1" s="10" t="inlineStr">
        <is>
          <t>Project ID</t>
        </is>
      </c>
      <c r="B1" s="10" t="inlineStr">
        <is>
          <t>Title</t>
        </is>
      </c>
      <c r="C1" s="10" t="inlineStr">
        <is>
          <t>Link</t>
        </is>
      </c>
      <c r="D1" s="10" t="inlineStr">
        <is>
          <t>Budget</t>
        </is>
      </c>
      <c r="E1" s="10" t="inlineStr">
        <is>
          <t>Beneficiary Category</t>
        </is>
      </c>
      <c r="F1" s="10" t="inlineStr">
        <is>
          <t>Indicator</t>
        </is>
      </c>
      <c r="G1" s="10" t="inlineStr">
        <is>
          <t>Baseline</t>
        </is>
      </c>
      <c r="H1" s="10" t="inlineStr">
        <is>
          <t>Target</t>
        </is>
      </c>
      <c r="I1" s="10" t="inlineStr">
        <is>
          <t>Notes</t>
        </is>
      </c>
      <c r="J1" s="1" t="inlineStr">
        <is>
          <t>Donors</t>
        </is>
      </c>
      <c r="K1" s="1" t="inlineStr">
        <is>
          <t>Gender (% female)</t>
        </is>
      </c>
      <c r="L1" s="6" t="inlineStr">
        <is>
          <t>VF or Non-VF</t>
        </is>
      </c>
      <c r="M1" s="6" t="inlineStr">
        <is>
          <t>Tag</t>
        </is>
      </c>
      <c r="N1" s="6" t="inlineStr">
        <is>
          <t>SEH Taxonomy</t>
        </is>
      </c>
      <c r="O1" s="6" t="inlineStr">
        <is>
          <t>RISE Taxonomy</t>
        </is>
      </c>
      <c r="P1" s="6" t="inlineStr">
        <is>
          <t>Flagship</t>
        </is>
      </c>
      <c r="Q1" s="6" t="inlineStr">
        <is>
          <t>Indirect Category</t>
        </is>
      </c>
      <c r="R1" s="6" t="inlineStr">
        <is>
          <t>Indirect Taxonomy</t>
        </is>
      </c>
      <c r="S1" s="1" t="inlineStr">
        <is>
          <t>Technology</t>
        </is>
      </c>
      <c r="T1" s="6" t="inlineStr">
        <is>
          <t>Policy or Regulatory Framework</t>
        </is>
      </c>
      <c r="U1" s="1" t="inlineStr">
        <is>
          <t>Policy Population</t>
        </is>
      </c>
    </row>
    <row r="2" ht="152.25" customHeight="1">
      <c r="A2" s="11" t="n">
        <v>124739</v>
      </c>
      <c r="B2" s="11" t="inlineStr">
        <is>
          <t>SIDA UNDP Strategic Collaboration on Env and CC</t>
        </is>
      </c>
      <c r="C2" s="12" t="inlineStr">
        <is>
          <t>http://open.undp.org/projects/00124739</t>
        </is>
      </c>
      <c r="D2" s="11" t="n">
        <v>36443657</v>
      </c>
      <c r="E2" s="13" t="inlineStr">
        <is>
          <t>Electricity Access</t>
        </is>
      </c>
      <c r="F2" s="14" t="inlineStr">
        <is>
          <t xml:space="preserve">Number and
proportion of
households
benefitting from
clean, affordable
and sustainable
energy access
Women-headed
and In rural
areas. </t>
        </is>
      </c>
      <c r="G2" s="13">
        <f>14055+1175227</f>
        <v/>
      </c>
      <c r="H2" s="13">
        <f>3625109+2030081</f>
        <v/>
      </c>
      <c r="I2" s="14" t="inlineStr">
        <is>
          <t>Solutions adopted to
achieve universal access
to clean, affordable and
sustainable energy
a) women headed 3,625,109;
78%
b) in rural areas 2,030,081;
28%</t>
        </is>
      </c>
      <c r="J2" s="11" t="inlineStr">
        <is>
          <t>SIDA</t>
        </is>
      </c>
      <c r="K2" s="8" t="n">
        <v>0.78</v>
      </c>
      <c r="L2" s="7" t="inlineStr">
        <is>
          <t>Non-VF</t>
        </is>
      </c>
      <c r="M2" s="7" t="n"/>
      <c r="N2" s="15" t="inlineStr">
        <is>
          <t>Close the gap on energy access</t>
        </is>
      </c>
      <c r="O2" s="7" t="n"/>
      <c r="P2" s="7" t="n"/>
      <c r="Q2" s="7" t="n"/>
      <c r="R2" s="7" t="n"/>
      <c r="S2" s="3" t="inlineStr">
        <is>
          <t>Solar</t>
        </is>
      </c>
      <c r="T2" s="7" t="n"/>
      <c r="U2" s="3" t="n"/>
    </row>
    <row r="3" ht="91.5" customHeight="1">
      <c r="A3" s="11" t="n">
        <v>139866</v>
      </c>
      <c r="B3" s="11" t="inlineStr">
        <is>
          <t>Programme Initiation plan energy hub</t>
        </is>
      </c>
      <c r="C3" s="12" t="inlineStr">
        <is>
          <t>http://open.undp.org/projects/00139866</t>
        </is>
      </c>
      <c r="D3" s="11" t="n">
        <v>1174548</v>
      </c>
      <c r="E3" s="13" t="inlineStr">
        <is>
          <t>Capacity Building Training</t>
        </is>
      </c>
      <c r="F3" s="14" t="inlineStr">
        <is>
          <t xml:space="preserve">Number of trained persons
(disaggregated by gender and departments).
</t>
        </is>
      </c>
      <c r="G3" s="13" t="n"/>
      <c r="H3" s="13" t="n">
        <v>50</v>
      </c>
      <c r="I3" s="13" t="n"/>
      <c r="J3" s="11" t="n"/>
      <c r="K3" s="9">
        <f>1/3</f>
        <v/>
      </c>
      <c r="L3" s="7" t="inlineStr">
        <is>
          <t>Non-VF</t>
        </is>
      </c>
      <c r="M3" s="7" t="n"/>
      <c r="N3" s="15" t="inlineStr">
        <is>
          <t>Accelerating just energy transition</t>
        </is>
      </c>
      <c r="O3" s="7" t="n"/>
      <c r="P3" s="7" t="n"/>
      <c r="Q3" s="7" t="n"/>
      <c r="R3" s="7" t="n"/>
      <c r="S3" s="3" t="n"/>
      <c r="T3" s="7" t="n"/>
      <c r="U3" s="3" t="n"/>
    </row>
    <row r="4" ht="60.75" customHeight="1">
      <c r="A4" s="11" t="n"/>
      <c r="B4" s="11" t="n"/>
      <c r="C4" s="12" t="n"/>
      <c r="D4" s="11" t="n"/>
      <c r="E4" s="13" t="inlineStr">
        <is>
          <t>Policy or Regulatory Framework</t>
        </is>
      </c>
      <c r="F4" s="14" t="inlineStr">
        <is>
          <t xml:space="preserve">Legal authority for transfer of titles to ITMOs defined in all countries. </t>
        </is>
      </c>
      <c r="G4" s="13" t="n"/>
      <c r="H4" s="13" t="n"/>
      <c r="I4" s="14" t="n"/>
      <c r="J4" s="11" t="n"/>
      <c r="K4" s="9" t="n"/>
      <c r="L4" s="7" t="n"/>
      <c r="M4" s="7" t="n"/>
      <c r="N4" s="15" t="inlineStr">
        <is>
          <t>Accelerating just energy transition</t>
        </is>
      </c>
      <c r="O4" s="7" t="inlineStr">
        <is>
          <t>Overall</t>
        </is>
      </c>
      <c r="P4" s="7" t="n"/>
      <c r="Q4" s="7" t="inlineStr">
        <is>
          <t>Legal Framework</t>
        </is>
      </c>
      <c r="R4" s="7" t="inlineStr">
        <is>
          <t>Decarbonization</t>
        </is>
      </c>
      <c r="S4" s="3" t="n"/>
      <c r="T4" s="7" t="inlineStr">
        <is>
          <t>National</t>
        </is>
      </c>
      <c r="U4" s="3" t="inlineStr">
        <is>
          <t>Countries willing to implement the legal recommendations to ensure ability to transfer titles to ITMOs in their own name.</t>
        </is>
      </c>
    </row>
    <row r="5" ht="45.75" customHeight="1">
      <c r="A5" s="11" t="n">
        <v>111467</v>
      </c>
      <c r="B5" s="11" t="inlineStr">
        <is>
          <t>Linking the Kigali Amendment with EE in the RAC Sector</t>
        </is>
      </c>
      <c r="C5" s="12" t="inlineStr">
        <is>
          <t>http://open.undp.org/projects/00111467</t>
        </is>
      </c>
      <c r="D5" s="11" t="n">
        <v>11205031</v>
      </c>
      <c r="E5" s="13" t="inlineStr">
        <is>
          <t>Policy or Regulatory Framework</t>
        </is>
      </c>
      <c r="F5" s="13" t="inlineStr">
        <is>
          <t>Ratification of the Kigali amendment and energy effciency interventions policies</t>
        </is>
      </c>
      <c r="G5" s="13" t="n"/>
      <c r="H5" s="13" t="n"/>
      <c r="I5" s="13" t="n"/>
      <c r="J5" s="11" t="inlineStr">
        <is>
          <t>Climateworks Foundation, Montreal Protocol, New Zealand, Canada, GIZ</t>
        </is>
      </c>
      <c r="K5" s="2" t="n"/>
      <c r="L5" s="7" t="inlineStr">
        <is>
          <t>Non-VF</t>
        </is>
      </c>
      <c r="M5" s="7" t="n"/>
      <c r="N5" s="15" t="inlineStr">
        <is>
          <t>Accelerating just energy transition</t>
        </is>
      </c>
      <c r="O5" s="7" t="inlineStr">
        <is>
          <t>Energy Efficiency</t>
        </is>
      </c>
      <c r="P5" s="7" t="n"/>
      <c r="Q5" s="7" t="inlineStr">
        <is>
          <t>Legal Framework</t>
        </is>
      </c>
      <c r="R5" s="7" t="inlineStr">
        <is>
          <t>Energy Efficiency</t>
        </is>
      </c>
      <c r="S5" s="3" t="n"/>
      <c r="T5" s="7" t="inlineStr">
        <is>
          <t>National</t>
        </is>
      </c>
      <c r="U5" s="3" t="inlineStr">
        <is>
          <t>Countries willing to implement the legal recommendations</t>
        </is>
      </c>
    </row>
  </sheetData>
  <dataValidations count="9">
    <dataValidation sqref="N2:N5" showDropDown="0" showInputMessage="1" showErrorMessage="1" allowBlank="1" type="list">
      <formula1>"Accelerating just energy transition, Close the gap on energy access, Scale up energy finance"</formula1>
    </dataValidation>
    <dataValidation sqref="P2:P5" showDropDown="0" showInputMessage="1" showErrorMessage="1" allowBlank="1" type="list">
      <formula1>"AMP, PUDC, Solar4Health, Action Opportunities, Italy UNDP Energy Partnership"</formula1>
    </dataValidation>
    <dataValidation sqref="Q2:Q5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R2:R5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  <dataValidation sqref="O2:O5" showDropDown="0" showInputMessage="1" showErrorMessage="1" allowBlank="1" type="list">
      <formula1>"Electricity Access, Energy Efficiency, Clean Cooking, Renewable Energy, Overall"</formula1>
    </dataValidation>
    <dataValidation sqref="L2:L5" showDropDown="0" showInputMessage="1" showErrorMessage="1" allowBlank="1" type="list">
      <formula1>"Non-VF, VF"</formula1>
    </dataValidation>
    <dataValidation sqref="M2:M5" showDropDown="0" showInputMessage="1" showErrorMessage="1" allowBlank="1" type="list">
      <formula1>"Finance, Gender, Efficiency, Just, Health"</formula1>
    </dataValidation>
    <dataValidation sqref="T2:T5" showDropDown="0" showInputMessage="1" showErrorMessage="1" allowBlank="1" type="list">
      <formula1>"National, Regional, City, Community"</formula1>
    </dataValidation>
    <dataValidation sqref="S2:S5" showDropDown="0" showInputMessage="1" showErrorMessage="1" allowBlank="1" type="list">
      <formula1>"Solar, Wind, Bioenergy, Hydro, Geothermal, Waste, Other, Unknown"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5" r:id="rId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2"/>
    <col width="110" customWidth="1" min="2" max="2"/>
  </cols>
  <sheetData>
    <row r="1">
      <c r="A1" s="21" t="inlineStr">
        <is>
          <t>Beneficiary Category</t>
        </is>
      </c>
      <c r="B1" s="21" t="inlineStr">
        <is>
          <t>Indicator</t>
        </is>
      </c>
    </row>
    <row r="2" ht="45.75" customHeight="1">
      <c r="A2" s="22" t="inlineStr">
        <is>
          <t>Electricity Access</t>
        </is>
      </c>
      <c r="B2" s="22" t="inlineStr">
        <is>
          <t>Number of people, disaggregated by sex, who gain access to clean electricity (direct access to electricity, lighting, cooling, etc.).</t>
        </is>
      </c>
    </row>
    <row r="3">
      <c r="A3" s="22" t="inlineStr">
        <is>
          <t>Energy (MW added)</t>
        </is>
      </c>
      <c r="B3" s="22" t="inlineStr">
        <is>
          <t>Installed renewable or clean-energy power capacity added, in MW.</t>
        </is>
      </c>
    </row>
    <row r="4" ht="30.75" customHeight="1">
      <c r="A4" s="22" t="inlineStr">
        <is>
          <t>Energy Storage (MW)</t>
        </is>
      </c>
      <c r="B4" s="22" t="inlineStr">
        <is>
          <t>Installed energy storage power capacity added, in MW.</t>
        </is>
      </c>
    </row>
    <row r="5" ht="30.75" customHeight="1">
      <c r="A5" s="22" t="inlineStr">
        <is>
          <t>Clean Cooking</t>
        </is>
      </c>
      <c r="B5" s="22" t="inlineStr">
        <is>
          <t>Number of people who gain access to clean cooking (direct access to clean cook stoves, clean fuels, biomass, etc.).</t>
        </is>
      </c>
    </row>
    <row r="6" ht="91.5" customHeight="1">
      <c r="A6" s="22" t="inlineStr">
        <is>
          <t>Clean Heating</t>
        </is>
      </c>
      <c r="B6" s="22" t="inlineStr">
        <is>
          <t>Number of people who gain access to clean heating (direct access to clean electric heaters, clean fuels, etc.).</t>
        </is>
      </c>
    </row>
    <row r="7" ht="45.75" customHeight="1">
      <c r="A7" s="22" t="inlineStr">
        <is>
          <t>Agriculture and Food System</t>
        </is>
      </c>
      <c r="B7" s="22" t="inlineStr">
        <is>
          <t>Number of people who gain access to clean, affordable, and sustainable energy for agricultural and food-system activities.</t>
        </is>
      </c>
    </row>
    <row r="8" ht="45.75" customHeight="1">
      <c r="A8" s="22" t="inlineStr">
        <is>
          <t>Health Services</t>
        </is>
      </c>
      <c r="B8" s="22" t="inlineStr">
        <is>
          <t>Number of people who gain access to health care facilities through clean energy systems.</t>
        </is>
      </c>
    </row>
    <row r="9" ht="45.75" customHeight="1">
      <c r="A9" s="22" t="inlineStr">
        <is>
          <t>Water Services</t>
        </is>
      </c>
      <c r="B9" s="22" t="inlineStr">
        <is>
          <t>Number of people who gain access to water services through clean energy systems.</t>
        </is>
      </c>
    </row>
    <row r="10" ht="30.75" customHeight="1">
      <c r="A10" s="22" t="inlineStr">
        <is>
          <t>Education Services</t>
        </is>
      </c>
      <c r="B10" s="22" t="inlineStr">
        <is>
          <t>Number of people who gain access to education services through clean energy systems, including students and teachers.</t>
        </is>
      </c>
    </row>
    <row r="11" ht="30.75" customHeight="1">
      <c r="A11" s="22" t="inlineStr">
        <is>
          <t>Transportation and E-mobility Services</t>
        </is>
      </c>
      <c r="B11" s="22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22" t="inlineStr">
        <is>
          <t>Energy Efficiency Services</t>
        </is>
      </c>
      <c r="B12" s="22" t="inlineStr">
        <is>
          <t>Energy saved from energy-efficiency interventions, such as building or industrial efficiency.</t>
        </is>
      </c>
    </row>
    <row r="13" ht="30.75" customHeight="1">
      <c r="A13" s="22" t="inlineStr">
        <is>
          <t>Energy Infrastructure Services</t>
        </is>
      </c>
      <c r="B13" s="22" t="inlineStr">
        <is>
          <t>Number of people benefiting from energy infrastructure interventions, such as streetlights, transmission, and distribution lines.</t>
        </is>
      </c>
    </row>
    <row r="14">
      <c r="A14" s="22" t="inlineStr">
        <is>
          <t>Other Energy Services</t>
        </is>
      </c>
      <c r="B14" s="22" t="inlineStr">
        <is>
          <t>Access to other energy services not captured by the categories above.</t>
        </is>
      </c>
    </row>
    <row r="15" ht="30.75" customHeight="1">
      <c r="A15" s="22" t="inlineStr">
        <is>
          <t>Financing support</t>
        </is>
      </c>
      <c r="B15" s="22" t="inlineStr">
        <is>
          <t>Support for the development of the energy market ecosystem.</t>
        </is>
      </c>
    </row>
    <row r="16" ht="30.75" customHeight="1">
      <c r="A16" s="22" t="inlineStr">
        <is>
          <t>Medium Enterprises</t>
        </is>
      </c>
      <c r="B16" s="22" t="inlineStr">
        <is>
          <t>Support for the development of medium enterprises in the energy transition market.</t>
        </is>
      </c>
    </row>
    <row r="17" ht="30.75" customHeight="1">
      <c r="A17" s="22" t="inlineStr">
        <is>
          <t>Small Enterprises</t>
        </is>
      </c>
      <c r="B17" s="22" t="inlineStr">
        <is>
          <t>Support for the development of small enterprises in the energy transition market.</t>
        </is>
      </c>
    </row>
    <row r="18" ht="30.75" customHeight="1">
      <c r="A18" s="22" t="inlineStr">
        <is>
          <t>Capacity Building Training</t>
        </is>
      </c>
      <c r="B18" s="22" t="inlineStr">
        <is>
          <t>Number of people benefiting from training on energy business, energy finance, or related implementation capacity.</t>
        </is>
      </c>
    </row>
    <row r="19" ht="76.5" customHeight="1">
      <c r="A19" s="22" t="inlineStr">
        <is>
          <t>Entrepreneurship Training</t>
        </is>
      </c>
      <c r="B19" s="22" t="inlineStr">
        <is>
          <t>Training for enterprises on the energy business, assumed to result in direct beneficiaries.</t>
        </is>
      </c>
    </row>
    <row r="20" ht="30.75" customHeight="1">
      <c r="A20" s="22" t="inlineStr">
        <is>
          <t>Market Intervention</t>
        </is>
      </c>
      <c r="B20" s="22" t="inlineStr">
        <is>
          <t>Volume of investment leveraged or barriers removed for clean, reliable, affordable, and sustainable energy solutions.</t>
        </is>
      </c>
    </row>
    <row r="21" ht="45.75" customHeight="1">
      <c r="A21" s="22" t="inlineStr">
        <is>
          <t>Campaign Participant</t>
        </is>
      </c>
      <c r="B21" s="22" t="inlineStr">
        <is>
          <t>Individuals who participate in advocacy or awareness campaigns on energy.</t>
        </is>
      </c>
    </row>
    <row r="22" ht="30.75" customHeight="1">
      <c r="A22" s="22" t="inlineStr">
        <is>
          <t>Policy or Regulatory Framework</t>
        </is>
      </c>
      <c r="B22" s="22" t="inlineStr">
        <is>
          <t>Policies, regulations, strategies, plans, or frameworks developed, approved, implemented, or strengthened.</t>
        </is>
      </c>
    </row>
    <row r="23">
      <c r="A23" s="22" t="inlineStr">
        <is>
          <t>GHG Emissions Reduction</t>
        </is>
      </c>
      <c r="B23" s="22" t="inlineStr">
        <is>
          <t>Greenhouse gas emissions reduced or mitigated, in tCO2e.</t>
        </is>
      </c>
    </row>
    <row r="24">
      <c r="A24" s="22" t="inlineStr">
        <is>
          <t>Other</t>
        </is>
      </c>
      <c r="B24" s="22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2026-06-08T15:49:45Z</dcterms:modified>
  <cp:lastModifiedBy>Benjamin Keller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