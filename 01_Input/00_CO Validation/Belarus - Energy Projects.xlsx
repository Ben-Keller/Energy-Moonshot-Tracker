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alibri"/>
      <color theme="1"/>
      <sz val="11"/>
      <scheme val="minor"/>
    </font>
    <font>
      <name val="Calibri"/>
      <family val="2"/>
      <b val="1"/>
      <color theme="1"/>
      <sz val="11"/>
      <scheme val="minor"/>
    </font>
    <font>
      <name val="Calibri"/>
      <charset val="1"/>
      <family val="2"/>
      <color theme="1"/>
      <sz val="11"/>
    </font>
    <font>
      <name val="Calibri"/>
      <family val="2"/>
      <color rgb="FFFF0000"/>
      <sz val="11"/>
      <scheme val="minor"/>
    </font>
    <font>
      <name val="Calibri"/>
      <family val="2"/>
      <b val="1"/>
      <color rgb="FFFF0000"/>
      <sz val="11"/>
      <scheme val="minor"/>
    </font>
    <font>
      <name val="Calibri"/>
      <family val="2"/>
      <color theme="10"/>
      <sz val="11"/>
      <u val="single"/>
      <scheme val="minor"/>
    </font>
    <font>
      <name val="Calibri"/>
      <color rgb="FF000000"/>
      <sz val="11"/>
      <scheme val="minor"/>
    </font>
    <font>
      <name val="Calibri"/>
      <charset val="1"/>
      <b val="1"/>
      <color rgb="FF000000"/>
      <sz val="11"/>
    </font>
    <font>
      <name val="Calibri"/>
      <charset val="1"/>
      <b val="1"/>
      <color rgb="FF242424"/>
      <sz val="11"/>
    </font>
    <font>
      <name val="Calibri"/>
      <b val="1"/>
      <color theme="1"/>
      <sz val="11"/>
      <scheme val="minor"/>
    </font>
    <font>
      <name val="Calibri"/>
      <family val="2"/>
      <color rgb="FF000000"/>
      <sz val="11"/>
      <scheme val="minor"/>
    </font>
    <font>
      <name val="Calibri"/>
      <charset val="1"/>
      <color theme="1"/>
      <sz val="11"/>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6" fillId="0" borderId="0"/>
  </cellStyleXfs>
  <cellXfs count="56">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2" fillId="0" borderId="2" pivotButton="0" quotePrefix="0" xfId="0"/>
    <xf numFmtId="0" fontId="2" fillId="0" borderId="3" applyAlignment="1" pivotButton="0" quotePrefix="0" xfId="0">
      <alignment horizontal="center" vertical="top"/>
    </xf>
    <xf numFmtId="43" fontId="0" fillId="0" borderId="0" pivotButton="0" quotePrefix="0" xfId="0"/>
    <xf numFmtId="0" fontId="0" fillId="2" borderId="0" applyAlignment="1" pivotButton="0" quotePrefix="0" xfId="0">
      <alignment wrapText="1"/>
    </xf>
    <xf numFmtId="0" fontId="0" fillId="2" borderId="0" applyAlignment="1" pivotButton="0" quotePrefix="0" xfId="0">
      <alignment horizontal="center"/>
    </xf>
    <xf numFmtId="0" fontId="3" fillId="3" borderId="0" applyAlignment="1" pivotButton="0" quotePrefix="0" xfId="0">
      <alignment vertical="top" wrapText="1"/>
    </xf>
    <xf numFmtId="0" fontId="5" fillId="0" borderId="0" pivotButton="0" quotePrefix="0" xfId="0"/>
    <xf numFmtId="0" fontId="4" fillId="3" borderId="0" applyAlignment="1" pivotButton="0" quotePrefix="0" xfId="0">
      <alignment wrapText="1"/>
    </xf>
    <xf numFmtId="3" fontId="0" fillId="2" borderId="0" applyAlignment="1" pivotButton="0" quotePrefix="0" xfId="0">
      <alignment horizontal="center"/>
    </xf>
    <xf numFmtId="0" fontId="6" fillId="0" borderId="0" applyAlignment="1" pivotButton="0" quotePrefix="0" xfId="1">
      <alignment vertical="top"/>
    </xf>
    <xf numFmtId="0" fontId="2" fillId="0" borderId="2" applyAlignment="1" pivotButton="0" quotePrefix="0" xfId="0">
      <alignment horizontal="center" vertical="top"/>
    </xf>
    <xf numFmtId="0" fontId="6" fillId="0" borderId="2" applyAlignment="1" pivotButton="0" quotePrefix="0" xfId="1">
      <alignment vertical="top"/>
    </xf>
    <xf numFmtId="0" fontId="3" fillId="3" borderId="2" applyAlignment="1" pivotButton="0" quotePrefix="0" xfId="0">
      <alignment vertical="top" wrapText="1"/>
    </xf>
    <xf numFmtId="0" fontId="0" fillId="0" borderId="2" applyAlignment="1" pivotButton="0" quotePrefix="0" xfId="0">
      <alignment vertical="top"/>
    </xf>
    <xf numFmtId="43" fontId="0" fillId="0" borderId="2" applyAlignment="1" pivotButton="0" quotePrefix="0" xfId="0">
      <alignment vertical="top"/>
    </xf>
    <xf numFmtId="0" fontId="0" fillId="2" borderId="2" applyAlignment="1" pivotButton="0" quotePrefix="0" xfId="0">
      <alignment vertical="top"/>
    </xf>
    <xf numFmtId="0" fontId="2" fillId="0" borderId="4" pivotButton="0" quotePrefix="0" xfId="0"/>
    <xf numFmtId="0" fontId="0" fillId="0" borderId="5" pivotButton="0" quotePrefix="0" xfId="0"/>
    <xf numFmtId="0" fontId="7" fillId="3" borderId="2" applyAlignment="1" pivotButton="0" quotePrefix="0" xfId="0">
      <alignment horizontal="left" vertical="top" wrapText="1"/>
    </xf>
    <xf numFmtId="0" fontId="0" fillId="2" borderId="2" applyAlignment="1" pivotButton="0" quotePrefix="0" xfId="0">
      <alignment horizontal="center" vertical="top"/>
    </xf>
    <xf numFmtId="3" fontId="0" fillId="2" borderId="2" applyAlignment="1" pivotButton="0" quotePrefix="0" xfId="0">
      <alignment horizontal="center" vertical="top"/>
    </xf>
    <xf numFmtId="0" fontId="0" fillId="0" borderId="5" applyAlignment="1" pivotButton="0" quotePrefix="0" xfId="0">
      <alignment vertical="top"/>
    </xf>
    <xf numFmtId="0" fontId="8" fillId="0" borderId="0" pivotButton="0" quotePrefix="0" xfId="0"/>
    <xf numFmtId="0" fontId="9" fillId="0" borderId="0" pivotButton="0" quotePrefix="0" xfId="0"/>
    <xf numFmtId="0" fontId="2" fillId="0" borderId="2" applyAlignment="1" pivotButton="0" quotePrefix="0" xfId="0">
      <alignment horizontal="center" vertical="center"/>
    </xf>
    <xf numFmtId="0" fontId="0" fillId="0" borderId="2" applyAlignment="1" pivotButton="0" quotePrefix="0" xfId="0">
      <alignment horizontal="center" vertical="center"/>
    </xf>
    <xf numFmtId="43" fontId="0" fillId="0" borderId="2" applyAlignment="1" pivotButton="0" quotePrefix="0" xfId="0">
      <alignment horizontal="center" vertical="center"/>
    </xf>
    <xf numFmtId="0" fontId="0" fillId="2" borderId="2" applyAlignment="1" pivotButton="0" quotePrefix="0" xfId="0">
      <alignment horizontal="center" vertical="center"/>
    </xf>
    <xf numFmtId="0" fontId="7" fillId="3" borderId="2" applyAlignment="1" pivotButton="0" quotePrefix="0" xfId="0">
      <alignment horizontal="center" vertical="center" wrapText="1"/>
    </xf>
    <xf numFmtId="3" fontId="0"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2" borderId="4" applyAlignment="1" pivotButton="0" quotePrefix="0" xfId="0">
      <alignment horizontal="center" vertical="center"/>
    </xf>
    <xf numFmtId="0" fontId="0" fillId="0" borderId="6" applyAlignment="1" pivotButton="0" quotePrefix="0" xfId="0">
      <alignment horizontal="center" vertical="center"/>
    </xf>
    <xf numFmtId="0" fontId="2" fillId="0" borderId="7" applyAlignment="1" pivotButton="0" quotePrefix="0" xfId="0">
      <alignment horizontal="center" vertical="center"/>
    </xf>
    <xf numFmtId="0" fontId="6" fillId="0" borderId="2" applyAlignment="1" pivotButton="0" quotePrefix="0" xfId="1">
      <alignment horizontal="center" vertical="center" wrapText="1"/>
    </xf>
    <xf numFmtId="0" fontId="2" fillId="0" borderId="2" applyAlignment="1" pivotButton="0" quotePrefix="0" xfId="0">
      <alignment horizontal="center"/>
    </xf>
    <xf numFmtId="0" fontId="10" fillId="0" borderId="2" applyAlignment="1" pivotButton="0" quotePrefix="0" xfId="0">
      <alignment horizontal="center" vertical="top" wrapText="1"/>
    </xf>
    <xf numFmtId="0" fontId="7" fillId="0" borderId="2" applyAlignment="1" pivotButton="0" quotePrefix="0" xfId="0">
      <alignment wrapText="1"/>
    </xf>
    <xf numFmtId="0" fontId="2" fillId="0" borderId="7" applyAlignment="1" pivotButton="0" quotePrefix="0" xfId="0">
      <alignment horizontal="center"/>
    </xf>
    <xf numFmtId="0" fontId="2" fillId="0" borderId="8" applyAlignment="1" pivotButton="0" quotePrefix="0" xfId="0">
      <alignment horizontal="center"/>
    </xf>
    <xf numFmtId="0" fontId="2" fillId="0" borderId="7" pivotButton="0" quotePrefix="0" xfId="0"/>
    <xf numFmtId="0" fontId="0" fillId="0" borderId="6" applyAlignment="1" pivotButton="0" quotePrefix="0" xfId="0">
      <alignment horizontal="center" vertical="center" wrapText="1"/>
    </xf>
    <xf numFmtId="0" fontId="0" fillId="0" borderId="2" applyAlignment="1" pivotButton="0" quotePrefix="0" xfId="0">
      <alignment vertical="center"/>
    </xf>
    <xf numFmtId="0" fontId="11" fillId="3" borderId="2" applyAlignment="1" pivotButton="0" quotePrefix="0" xfId="0">
      <alignment horizontal="center" vertical="center" wrapText="1"/>
    </xf>
    <xf numFmtId="0" fontId="12" fillId="3" borderId="2" applyAlignment="1" pivotButton="0" quotePrefix="0" xfId="0">
      <alignment horizontal="center" vertical="center" wrapText="1"/>
    </xf>
    <xf numFmtId="3" fontId="0" fillId="2" borderId="2" applyAlignment="1" pivotButton="0" quotePrefix="0" xfId="0">
      <alignment horizontal="center" vertical="center" wrapText="1"/>
    </xf>
    <xf numFmtId="0" fontId="0" fillId="0" borderId="0" applyAlignment="1" pivotButton="0" quotePrefix="0" xfId="0">
      <alignment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3" fontId="0" fillId="4" borderId="2" applyAlignment="1" pivotButton="0" quotePrefix="0" xfId="0">
      <alignment horizontal="center" vertical="center"/>
    </xf>
    <xf numFmtId="0" fontId="13"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161" TargetMode="External" Id="rId1"/></Relationships>
</file>

<file path=xl/worksheets/_rels/sheet2.xml.rels><Relationships xmlns="http://schemas.openxmlformats.org/package/2006/relationships"><Relationship Type="http://schemas.openxmlformats.org/officeDocument/2006/relationships/hyperlink" Target="https://co.pims.undp.org/project/view?id=6161" TargetMode="External" Id="rId1"/></Relationships>
</file>

<file path=xl/worksheets/_rels/sheet3.xml.rels><Relationships xmlns="http://schemas.openxmlformats.org/package/2006/relationships"><Relationship Type="http://schemas.openxmlformats.org/officeDocument/2006/relationships/hyperlink" Target="https://co.pims.undp.org/project/view?id=6161" TargetMode="External" Id="rId1"/></Relationships>
</file>

<file path=xl/worksheets/sheet1.xml><?xml version="1.0" encoding="utf-8"?>
<worksheet xmlns="http://schemas.openxmlformats.org/spreadsheetml/2006/main">
  <sheetPr>
    <outlinePr summaryBelow="1" summaryRight="1"/>
    <pageSetUpPr/>
  </sheetPr>
  <dimension ref="A1:Y3"/>
  <sheetViews>
    <sheetView showGridLines="0" tabSelected="1" workbookViewId="0">
      <selection activeCell="B3" sqref="B3"/>
    </sheetView>
  </sheetViews>
  <sheetFormatPr baseColWidth="8" defaultRowHeight="15"/>
  <cols>
    <col width="35.140625" bestFit="1" customWidth="1" min="2" max="2"/>
    <col width="20.7109375" customWidth="1" min="3" max="3"/>
    <col width="11.85546875" bestFit="1" customWidth="1" min="4" max="4"/>
    <col width="12" bestFit="1" customWidth="1" min="5" max="5"/>
    <col width="12" customWidth="1" min="6" max="6"/>
    <col width="12" customWidth="1" min="7" max="8"/>
    <col width="12" customWidth="1" min="8" max="8"/>
    <col width="32.7109375" customWidth="1" min="9" max="9"/>
    <col width="19.42578125" customWidth="1" min="11" max="11"/>
    <col width="16.28515625" customWidth="1" min="12" max="12"/>
    <col width="28.7109375" bestFit="1" customWidth="1" min="14" max="14"/>
    <col width="22.28515625" customWidth="1" min="15" max="16"/>
    <col width="28.42578125" bestFit="1" customWidth="1" min="17" max="17"/>
    <col width="18.140625" bestFit="1" customWidth="1" min="18" max="18"/>
    <col width="14.7109375" customWidth="1" min="19" max="19"/>
    <col width="30.28515625" bestFit="1" customWidth="1" min="20" max="20"/>
    <col width="16.7109375" bestFit="1" customWidth="1" min="21" max="21"/>
  </cols>
  <sheetData>
    <row r="1">
      <c r="A1" s="27" t="inlineStr">
        <is>
          <t>Project ID</t>
        </is>
      </c>
      <c r="B1" s="27" t="inlineStr">
        <is>
          <t>Title</t>
        </is>
      </c>
      <c r="C1" s="27" t="inlineStr">
        <is>
          <t>Link</t>
        </is>
      </c>
      <c r="D1" s="27" t="inlineStr">
        <is>
          <t>Budget</t>
        </is>
      </c>
      <c r="E1" s="27" t="inlineStr">
        <is>
          <t>Start Year</t>
        </is>
      </c>
      <c r="F1" s="27" t="inlineStr">
        <is>
          <t>End Year</t>
        </is>
      </c>
      <c r="G1" s="27" t="inlineStr">
        <is>
          <t>Status</t>
        </is>
      </c>
      <c r="H1" s="27" t="inlineStr">
        <is>
          <t>VF or Non-VF</t>
        </is>
      </c>
      <c r="I1" s="27" t="inlineStr">
        <is>
          <t>Beneficiary Category</t>
        </is>
      </c>
      <c r="J1" s="27" t="inlineStr">
        <is>
          <t>Indicator</t>
        </is>
      </c>
      <c r="K1" s="27" t="inlineStr">
        <is>
          <t>Baseline</t>
        </is>
      </c>
      <c r="L1" s="27" t="inlineStr">
        <is>
          <t>Target</t>
        </is>
      </c>
      <c r="M1" s="27" t="inlineStr">
        <is>
          <t>Notes</t>
        </is>
      </c>
      <c r="N1" s="27" t="inlineStr">
        <is>
          <t>Donors</t>
        </is>
      </c>
      <c r="O1" s="36" t="inlineStr">
        <is>
          <t>Gender (% female)</t>
        </is>
      </c>
      <c r="P1" s="41" t="inlineStr">
        <is>
          <t>Tag</t>
        </is>
      </c>
      <c r="Q1" s="38" t="inlineStr">
        <is>
          <t>SEH Taxonomy</t>
        </is>
      </c>
      <c r="R1" s="38" t="inlineStr">
        <is>
          <t>RISE Taxonomy</t>
        </is>
      </c>
      <c r="S1" s="41" t="inlineStr">
        <is>
          <t>Flagship</t>
        </is>
      </c>
      <c r="T1" s="41" t="inlineStr">
        <is>
          <t>Indirect Category</t>
        </is>
      </c>
      <c r="U1" s="42" t="inlineStr">
        <is>
          <t>Indirect Taxonomy</t>
        </is>
      </c>
      <c r="V1" s="43" t="inlineStr">
        <is>
          <t>Technology</t>
        </is>
      </c>
      <c r="W1" s="42" t="inlineStr">
        <is>
          <t>Policy or Regulatory Framework</t>
        </is>
      </c>
      <c r="X1" s="43" t="inlineStr">
        <is>
          <t>Policy Population</t>
        </is>
      </c>
    </row>
    <row r="2" ht="305.25" customHeight="1">
      <c r="A2" s="28" t="inlineStr">
        <is>
          <t>6161, 106273</t>
        </is>
      </c>
      <c r="B2" s="28" t="inlineStr">
        <is>
          <t>Emissions Trading and MRV in Belarus</t>
        </is>
      </c>
      <c r="C2" s="37" t="inlineStr">
        <is>
          <t>https://co.pims.undp.org/project/view?id=6161</t>
        </is>
      </c>
      <c r="D2" s="29" t="n">
        <v>840000</v>
      </c>
      <c r="E2" s="53" t="n"/>
      <c r="F2" s="53" t="n"/>
      <c r="G2" s="53" t="n"/>
      <c r="H2" s="29" t="inlineStr">
        <is>
          <t>VF</t>
        </is>
      </c>
      <c r="I2" s="30" t="inlineStr">
        <is>
          <t>Other Energy Services</t>
        </is>
      </c>
      <c r="J2" s="31" t="inlineStr">
        <is>
          <t>Number of people benefiting from the project</t>
        </is>
      </c>
      <c r="K2" s="30" t="n">
        <v>0</v>
      </c>
      <c r="L2" s="32" t="n">
        <v>136600</v>
      </c>
      <c r="M2" s="33" t="inlineStr">
        <is>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
Population of Polock: 79,960 people
Population of Bereza: 28,619 people
Population of Novogrudok: 28,021
Total number of beneficiaries: 136,600 people</t>
        </is>
      </c>
      <c r="N2" s="34" t="inlineStr">
        <is>
          <t>GEF</t>
        </is>
      </c>
      <c r="O2" s="28" t="n"/>
      <c r="P2" s="28" t="inlineStr">
        <is>
          <t>Efficiency</t>
        </is>
      </c>
      <c r="Q2" s="44" t="inlineStr">
        <is>
          <t>Accelerating just energy transition</t>
        </is>
      </c>
      <c r="R2" s="28" t="n"/>
      <c r="S2" s="28" t="n"/>
      <c r="T2" s="28" t="n"/>
      <c r="U2" s="28" t="n"/>
      <c r="V2" s="45" t="n"/>
      <c r="W2" s="28" t="n"/>
      <c r="X2" s="45" t="n"/>
      <c r="Y2" s="49" t="inlineStr">
        <is>
          <t>Aleksandra: please move beneficiearies to the right category (now it is under Evergy saving)</t>
        </is>
      </c>
    </row>
    <row r="3" ht="167.25" customHeight="1">
      <c r="A3" s="28" t="n"/>
      <c r="B3" s="28" t="n"/>
      <c r="C3" s="37" t="n"/>
      <c r="D3" s="29" t="n"/>
      <c r="E3" s="29" t="n"/>
      <c r="F3" s="29" t="n"/>
      <c r="G3" s="29" t="n"/>
      <c r="H3" s="29" t="n"/>
      <c r="I3" s="30" t="inlineStr">
        <is>
          <t>Policy or Regulatory Framework</t>
        </is>
      </c>
      <c r="J3" s="46" t="inlineStr">
        <is>
          <t xml:space="preserve">Status of domestic market-based climate finance mechanisms  </t>
        </is>
      </c>
      <c r="K3" s="30" t="n">
        <v>0</v>
      </c>
      <c r="L3" s="48" t="inlineStr">
        <is>
          <t>Appropriate climate-finance mechanisms identified and roadmap for their implementation prepared and approved</t>
        </is>
      </c>
      <c r="M3" s="47" t="n"/>
      <c r="N3" s="34" t="inlineStr">
        <is>
          <t>GEF</t>
        </is>
      </c>
      <c r="O3" s="28" t="n"/>
      <c r="P3" s="28" t="n"/>
      <c r="Q3" s="44" t="inlineStr">
        <is>
          <t>Accelerating just energy transition</t>
        </is>
      </c>
      <c r="R3" s="28" t="inlineStr">
        <is>
          <t>Renewable Energy</t>
        </is>
      </c>
      <c r="S3" s="28" t="n"/>
      <c r="T3" s="28" t="inlineStr">
        <is>
          <t>Carbon Pricing and Monitoring</t>
        </is>
      </c>
      <c r="U3" s="28" t="inlineStr">
        <is>
          <t>Decarbonization</t>
        </is>
      </c>
      <c r="V3" s="45" t="n"/>
      <c r="W3" s="28" t="inlineStr">
        <is>
          <t>National</t>
        </is>
      </c>
      <c r="X3" s="45" t="n"/>
    </row>
  </sheetData>
  <dataValidations count="11">
    <dataValidation sqref="Q2:Q3 R4:R12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Q4:Q114" showDropDown="0" showInputMessage="1" showErrorMessage="1" allowBlank="1" type="list">
      <formula1>"AMP, PUDC, Solar4Health, Action Opportunities, Italy UNDP Energy Partnership"</formula1>
    </dataValidation>
    <dataValidation sqref="O2:O3" showDropDown="0" showInputMessage="1" showErrorMessage="1" allowBlank="1" type="list">
      <formula1>"Electricity Access, Energy Efficiency, Clean Cooking, Renewable Energy, Overall"</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S2:S3" showDropDown="0" showInputMessage="1" showErrorMessage="1" allowBlank="1" type="list">
      <formula1>"Solar, Wind, Bioenergy, Hydro, Geothermal, Waste, Other, Unknown"</formula1>
    </dataValidation>
    <dataValidation sqref="L2:L3" showDropDown="0" showInputMessage="1" showErrorMessage="1" allowBlank="1" type="list">
      <formula1>"Non-VF, VF"</formula1>
    </dataValidation>
    <dataValidation sqref="O4:P105" showDropDown="0" showInputMessage="1" showErrorMessage="1" allowBlank="1" type="list">
      <formula1>"Electricity Access, Energy Efficiency, Clean Cooking, Renewable Energy"</formula1>
    </dataValidation>
    <dataValidation sqref="N2:N105" showDropDown="0" showInputMessage="1" showErrorMessage="1" allowBlank="1" type="list">
      <formula1>"Accelerating just energy transition, Close the gap on energy access, Scale up energy finance"</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2"/>
  <sheetViews>
    <sheetView topLeftCell="I1" workbookViewId="0">
      <selection activeCell="M2" sqref="M2"/>
    </sheetView>
  </sheetViews>
  <sheetFormatPr baseColWidth="8" defaultRowHeight="15"/>
  <cols>
    <col width="35.140625" bestFit="1" customWidth="1" min="2" max="2"/>
    <col width="20.7109375" customWidth="1" min="3" max="3"/>
    <col width="11.85546875" bestFit="1" customWidth="1" min="4" max="4"/>
    <col width="29.5703125" bestFit="1" customWidth="1" min="5" max="5"/>
    <col width="29.5703125" customWidth="1" min="6" max="6"/>
    <col width="12.7109375" customWidth="1" min="7" max="8"/>
    <col width="32.7109375" customWidth="1" min="9" max="9"/>
    <col width="21.7109375" customWidth="1" min="13" max="13"/>
    <col width="22.28515625" customWidth="1" min="14" max="14"/>
    <col width="22.85546875" customWidth="1" min="15" max="15"/>
    <col width="22.7109375" customWidth="1" min="16" max="16"/>
    <col width="26.85546875" customWidth="1" min="17" max="17"/>
  </cols>
  <sheetData>
    <row r="1">
      <c r="A1" s="13" t="inlineStr">
        <is>
          <t>Project ID</t>
        </is>
      </c>
      <c r="B1" s="13" t="inlineStr">
        <is>
          <t>Title</t>
        </is>
      </c>
      <c r="C1" s="13" t="inlineStr">
        <is>
          <t>Link</t>
        </is>
      </c>
      <c r="D1" s="13" t="inlineStr">
        <is>
          <t>Budget</t>
        </is>
      </c>
      <c r="E1" s="13" t="inlineStr">
        <is>
          <t>Beneficiary Category</t>
        </is>
      </c>
      <c r="F1" s="13" t="inlineStr">
        <is>
          <t>Indicator</t>
        </is>
      </c>
      <c r="G1" s="13" t="inlineStr">
        <is>
          <t>Baseline</t>
        </is>
      </c>
      <c r="H1" s="13" t="inlineStr">
        <is>
          <t>Target</t>
        </is>
      </c>
      <c r="I1" s="13" t="inlineStr">
        <is>
          <t>Notes</t>
        </is>
      </c>
      <c r="J1" s="19" t="inlineStr">
        <is>
          <t>Donors</t>
        </is>
      </c>
      <c r="K1" s="3" t="inlineStr">
        <is>
          <t>Gender (% female)</t>
        </is>
      </c>
      <c r="L1" s="3" t="inlineStr">
        <is>
          <t>Category</t>
        </is>
      </c>
      <c r="M1" s="25" t="inlineStr">
        <is>
          <t>SEH Taxonomy</t>
        </is>
      </c>
      <c r="N1" s="25" t="inlineStr">
        <is>
          <t>RISE Taxonomy</t>
        </is>
      </c>
      <c r="O1" s="25" t="inlineStr">
        <is>
          <t>Flagship</t>
        </is>
      </c>
      <c r="P1" s="26" t="inlineStr">
        <is>
          <t>Indirect Category</t>
        </is>
      </c>
      <c r="Q1" s="25" t="inlineStr">
        <is>
          <t>Indirect Taxonomy</t>
        </is>
      </c>
    </row>
    <row r="2" ht="213" customHeight="1">
      <c r="A2" s="16" t="inlineStr">
        <is>
          <t>6161, 106273</t>
        </is>
      </c>
      <c r="B2" s="16" t="inlineStr">
        <is>
          <t>Emissions Trading and MRV in Belarus</t>
        </is>
      </c>
      <c r="C2" s="14" t="inlineStr">
        <is>
          <t>https://co.pims.undp.org/project/view?id=6161</t>
        </is>
      </c>
      <c r="D2" s="17" t="n">
        <v>840000</v>
      </c>
      <c r="E2" s="18" t="inlineStr">
        <is>
          <t>Electricity Access</t>
        </is>
      </c>
      <c r="F2" s="21" t="inlineStr">
        <is>
          <t>Population of Polock: 79,960 people
Population of Bereza: 28,619 people
Population of Novogrudok: 28,021
Total number of beneficiaries: 136,600 people</t>
        </is>
      </c>
      <c r="G2" s="22" t="n">
        <v>0</v>
      </c>
      <c r="H2" s="23" t="n">
        <v>136600</v>
      </c>
      <c r="I2" s="15" t="inlineStr">
        <is>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t>
        </is>
      </c>
      <c r="J2" s="18" t="inlineStr">
        <is>
          <t>GEF</t>
        </is>
      </c>
      <c r="K2" s="20" t="n"/>
      <c r="L2" s="24" t="inlineStr">
        <is>
          <t>VF, Non-VF</t>
        </is>
      </c>
      <c r="M2" t="inlineStr">
        <is>
          <t>Close the gap on energy access</t>
        </is>
      </c>
      <c r="N2" t="inlineStr">
        <is>
          <t>Electricity Access</t>
        </is>
      </c>
    </row>
  </sheetData>
  <dataValidations count="5">
    <dataValidation sqref="M2:M106" showDropDown="0" showInputMessage="1" showErrorMessage="1" allowBlank="1" type="list">
      <formula1>"Accelerating just energy transition, Close the gap on energy access, Scale up energy finance"</formula1>
    </dataValidation>
    <dataValidation sqref="N2:N106" showDropDown="0" showInputMessage="1" showErrorMessage="1" allowBlank="1" type="list">
      <formula1>"Electricity Access, Energy Efficiency, Clean Cooking, Renewable Energy"</formula1>
    </dataValidation>
    <dataValidation sqref="O2:O115" showDropDown="0" showInputMessage="1" showErrorMessage="1" allowBlank="1" type="list">
      <formula1>"AMP, PUDC, Solar4Health, Action Opportunities, Italy UNDP Energy Partnership"</formula1>
    </dataValidation>
    <dataValidation sqref="P2:P12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119"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
  <sheetViews>
    <sheetView workbookViewId="0">
      <selection activeCell="C9" sqref="C9"/>
    </sheetView>
  </sheetViews>
  <sheetFormatPr baseColWidth="8" defaultRowHeight="15"/>
  <cols>
    <col width="35.140625" bestFit="1" customWidth="1" min="2" max="2"/>
    <col width="20.7109375" customWidth="1" min="3" max="3"/>
    <col width="11.85546875" bestFit="1" customWidth="1" min="4" max="4"/>
    <col width="29.5703125" bestFit="1" customWidth="1" min="5" max="5"/>
    <col width="20.7109375" customWidth="1" min="6" max="6"/>
    <col width="12.7109375" customWidth="1" min="7" max="8"/>
    <col width="32.7109375" customWidth="1" min="9" max="9"/>
    <col width="23" bestFit="1"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4" t="inlineStr">
        <is>
          <t>Notes</t>
        </is>
      </c>
      <c r="J1" s="3" t="inlineStr">
        <is>
          <t>Donors</t>
        </is>
      </c>
      <c r="K1" s="9" t="inlineStr">
        <is>
          <t>Number of beneficiaries</t>
        </is>
      </c>
    </row>
    <row r="2" ht="137.25" customHeight="1">
      <c r="A2" t="inlineStr">
        <is>
          <t>6161, 106273</t>
        </is>
      </c>
      <c r="B2" t="inlineStr">
        <is>
          <t>Emissions Trading and MRV in Belarus</t>
        </is>
      </c>
      <c r="C2" s="12" t="inlineStr">
        <is>
          <t>https://co.pims.undp.org/project/view?id=6161</t>
        </is>
      </c>
      <c r="D2" s="5" t="n">
        <v>840000</v>
      </c>
      <c r="E2" s="2" t="inlineStr">
        <is>
          <t>Electricity Access</t>
        </is>
      </c>
      <c r="F2" s="10" t="inlineStr">
        <is>
          <t>Population of Polock: 79,960 people
Population of Bereza: 28,619 people
Population of Novogrudok: 28,021
Total number of beneficiaries: 136,600 people</t>
        </is>
      </c>
      <c r="G2" s="7" t="n">
        <v>0</v>
      </c>
      <c r="H2" s="11" t="n">
        <v>136600</v>
      </c>
      <c r="I2" s="8" t="inlineStr">
        <is>
          <t>Planned pilot territories: Polock, Bereza, Novogrudok
Risks: Coordination issues and delay in activities may arise due to the need to synchronize decision-making for funding allocation for pilot projects between different agencies involved</t>
        </is>
      </c>
      <c r="J2" s="2" t="inlineStr">
        <is>
          <t>GEF</t>
        </is>
      </c>
      <c r="K2" s="6" t="inlineStr">
        <is>
          <t>4,300 m2 Scale of lighting sector MRV system (number of lighting fixtures covered by MRV) in line with international best practices and requirements</t>
        </is>
      </c>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8" workbookViewId="0">
      <pane ySplit="1" topLeftCell="A2" activePane="bottomLeft" state="frozen"/>
      <selection pane="bottomLeft" activeCell="J8" sqref="J8"/>
    </sheetView>
  </sheetViews>
  <sheetFormatPr baseColWidth="8" defaultRowHeight="15"/>
  <cols>
    <col width="36" customWidth="1" min="1" max="2"/>
    <col width="110" customWidth="1" min="2" max="2"/>
  </cols>
  <sheetData>
    <row r="1">
      <c r="A1" s="54" t="inlineStr">
        <is>
          <t>Beneficiary Category</t>
        </is>
      </c>
      <c r="B1" s="54" t="inlineStr">
        <is>
          <t>Indicator</t>
        </is>
      </c>
    </row>
    <row r="2" ht="45.75" customHeight="1">
      <c r="A2" s="55" t="inlineStr">
        <is>
          <t>Electricity Access</t>
        </is>
      </c>
      <c r="B2" s="55" t="inlineStr">
        <is>
          <t>Number of people, disaggregated by sex, who gain access to clean electricity (direct access to electricity, lighting, cooling, etc.).</t>
        </is>
      </c>
    </row>
    <row r="3">
      <c r="A3" s="55" t="inlineStr">
        <is>
          <t>Energy (MW added)</t>
        </is>
      </c>
      <c r="B3" s="55" t="inlineStr">
        <is>
          <t>Installed renewable or clean-energy power capacity added, in MW.</t>
        </is>
      </c>
    </row>
    <row r="4" ht="30.75" customHeight="1">
      <c r="A4" s="55" t="inlineStr">
        <is>
          <t>Energy Storage (MW)</t>
        </is>
      </c>
      <c r="B4" s="55" t="inlineStr">
        <is>
          <t>Installed energy storage power capacity added, in MW.</t>
        </is>
      </c>
    </row>
    <row r="5" ht="30.75" customHeight="1">
      <c r="A5" s="55" t="inlineStr">
        <is>
          <t>Clean Cooking</t>
        </is>
      </c>
      <c r="B5" s="55" t="inlineStr">
        <is>
          <t>Number of people who gain access to clean cooking (direct access to clean cook stoves, clean fuels, biomass, etc.).</t>
        </is>
      </c>
    </row>
    <row r="6" ht="91.5" customHeight="1">
      <c r="A6" s="55" t="inlineStr">
        <is>
          <t>Clean Heating</t>
        </is>
      </c>
      <c r="B6" s="55" t="inlineStr">
        <is>
          <t>Number of people who gain access to clean heating (direct access to clean electric heaters, clean fuels, etc.).</t>
        </is>
      </c>
    </row>
    <row r="7" ht="45.75" customHeight="1">
      <c r="A7" s="55" t="inlineStr">
        <is>
          <t>Agriculture and Food System</t>
        </is>
      </c>
      <c r="B7" s="55" t="inlineStr">
        <is>
          <t>Number of people who gain access to clean, affordable, and sustainable energy for agricultural and food-system activities.</t>
        </is>
      </c>
    </row>
    <row r="8" ht="45.75" customHeight="1">
      <c r="A8" s="55" t="inlineStr">
        <is>
          <t>Health Services</t>
        </is>
      </c>
      <c r="B8" s="55" t="inlineStr">
        <is>
          <t>Number of people who gain access to health care facilities through clean energy systems.</t>
        </is>
      </c>
    </row>
    <row r="9" ht="45.75" customHeight="1">
      <c r="A9" s="55" t="inlineStr">
        <is>
          <t>Water Services</t>
        </is>
      </c>
      <c r="B9" s="55" t="inlineStr">
        <is>
          <t>Number of people who gain access to water services through clean energy systems.</t>
        </is>
      </c>
    </row>
    <row r="10" ht="30.75" customHeight="1">
      <c r="A10" s="55" t="inlineStr">
        <is>
          <t>Education Services</t>
        </is>
      </c>
      <c r="B10" s="55" t="inlineStr">
        <is>
          <t>Number of people who gain access to education services through clean energy systems, including students and teachers.</t>
        </is>
      </c>
    </row>
    <row r="11" ht="30.75" customHeight="1">
      <c r="A11" s="55" t="inlineStr">
        <is>
          <t>Transportation and E-mobility Services</t>
        </is>
      </c>
      <c r="B11" s="55" t="inlineStr">
        <is>
          <t>Number of people served or energy saved from transport and e-mobility interventions, such as electric vehicles or charging stations.</t>
        </is>
      </c>
    </row>
    <row r="12" ht="45.75" customHeight="1">
      <c r="A12" s="55" t="inlineStr">
        <is>
          <t>Energy Efficiency Services</t>
        </is>
      </c>
      <c r="B12" s="55" t="inlineStr">
        <is>
          <t>Energy saved from energy-efficiency interventions, such as building or industrial efficiency.</t>
        </is>
      </c>
    </row>
    <row r="13" ht="30.75" customHeight="1">
      <c r="A13" s="55" t="inlineStr">
        <is>
          <t>Energy Infrastructure Services</t>
        </is>
      </c>
      <c r="B13" s="55" t="inlineStr">
        <is>
          <t>Number of people benefiting from energy infrastructure interventions, such as streetlights, transmission, and distribution lines.</t>
        </is>
      </c>
    </row>
    <row r="14">
      <c r="A14" s="55" t="inlineStr">
        <is>
          <t>Other Energy Services</t>
        </is>
      </c>
      <c r="B14" s="55" t="inlineStr">
        <is>
          <t>Access to other energy services not captured by the categories above.</t>
        </is>
      </c>
    </row>
    <row r="15" ht="30.75" customHeight="1">
      <c r="A15" s="55" t="inlineStr">
        <is>
          <t>Financing support</t>
        </is>
      </c>
      <c r="B15" s="55" t="inlineStr">
        <is>
          <t>Support for the development of the energy market ecosystem.</t>
        </is>
      </c>
    </row>
    <row r="16" ht="30.75" customHeight="1">
      <c r="A16" s="55" t="inlineStr">
        <is>
          <t>Medium Enterprises</t>
        </is>
      </c>
      <c r="B16" s="55" t="inlineStr">
        <is>
          <t>Support for the development of medium enterprises in the energy transition market.</t>
        </is>
      </c>
    </row>
    <row r="17" ht="30.75" customHeight="1">
      <c r="A17" s="55" t="inlineStr">
        <is>
          <t>Small Enterprises</t>
        </is>
      </c>
      <c r="B17" s="55" t="inlineStr">
        <is>
          <t>Support for the development of small enterprises in the energy transition market.</t>
        </is>
      </c>
    </row>
    <row r="18" ht="30.75" customHeight="1">
      <c r="A18" s="55" t="inlineStr">
        <is>
          <t>Capacity Building Training</t>
        </is>
      </c>
      <c r="B18" s="55" t="inlineStr">
        <is>
          <t>Number of people benefiting from training on energy business, energy finance, or related implementation capacity.</t>
        </is>
      </c>
    </row>
    <row r="19" ht="76.5" customHeight="1">
      <c r="A19" s="55" t="inlineStr">
        <is>
          <t>Entrepreneurship Training</t>
        </is>
      </c>
      <c r="B19" s="55" t="inlineStr">
        <is>
          <t>Training for enterprises on the energy business, assumed to result in direct beneficiaries.</t>
        </is>
      </c>
    </row>
    <row r="20" ht="30.75" customHeight="1">
      <c r="A20" s="55" t="inlineStr">
        <is>
          <t>Market Intervention</t>
        </is>
      </c>
      <c r="B20" s="55" t="inlineStr">
        <is>
          <t>Volume of investment leveraged or barriers removed for clean, reliable, affordable, and sustainable energy solutions.</t>
        </is>
      </c>
    </row>
    <row r="21" ht="45.75" customHeight="1">
      <c r="A21" s="55" t="inlineStr">
        <is>
          <t>Campaign Participant</t>
        </is>
      </c>
      <c r="B21" s="55" t="inlineStr">
        <is>
          <t>Individuals who participate in advocacy or awareness campaigns on energy.</t>
        </is>
      </c>
    </row>
    <row r="22" ht="30.75" customHeight="1">
      <c r="A22" s="55" t="inlineStr">
        <is>
          <t>Policy or Regulatory Framework</t>
        </is>
      </c>
      <c r="B22" s="55" t="inlineStr">
        <is>
          <t>Policies, regulations, strategies, plans, or frameworks developed, approved, implemented, or strengthened.</t>
        </is>
      </c>
    </row>
    <row r="23">
      <c r="A23" s="55" t="inlineStr">
        <is>
          <t>GHG Emissions Reduction</t>
        </is>
      </c>
      <c r="B23" s="55" t="inlineStr">
        <is>
          <t>Greenhouse gas emissions reduced or mitigated, in tCO2e.</t>
        </is>
      </c>
    </row>
    <row r="24">
      <c r="A24" s="55" t="inlineStr">
        <is>
          <t>Other</t>
        </is>
      </c>
      <c r="B24" s="5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2026-06-10T12:20:12Z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