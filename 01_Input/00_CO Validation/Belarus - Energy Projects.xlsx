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4">
    <font>
      <name val="Calibri"/>
      <family val="2"/>
      <color theme="1"/>
      <sz val="11"/>
      <scheme val="minor"/>
    </font>
    <font>
      <name val="Calibri"/>
      <color theme="1"/>
      <sz val="11"/>
      <scheme val="minor"/>
    </font>
    <font>
      <name val="Calibri"/>
      <family val="2"/>
      <b val="1"/>
      <color theme="1"/>
      <sz val="11"/>
      <scheme val="minor"/>
    </font>
    <font>
      <name val="Calibri"/>
      <charset val="1"/>
      <family val="2"/>
      <color theme="1"/>
      <sz val="11"/>
    </font>
    <font>
      <name val="Calibri"/>
      <family val="2"/>
      <color rgb="FFFF0000"/>
      <sz val="11"/>
      <scheme val="minor"/>
    </font>
    <font>
      <name val="Calibri"/>
      <family val="2"/>
      <b val="1"/>
      <color rgb="FFFF0000"/>
      <sz val="11"/>
      <scheme val="minor"/>
    </font>
    <font>
      <name val="Calibri"/>
      <family val="2"/>
      <color theme="10"/>
      <sz val="11"/>
      <u val="single"/>
      <scheme val="minor"/>
    </font>
    <font>
      <name val="Calibri"/>
      <color rgb="FF000000"/>
      <sz val="11"/>
      <scheme val="minor"/>
    </font>
    <font>
      <name val="Calibri"/>
      <charset val="1"/>
      <b val="1"/>
      <color rgb="FF000000"/>
      <sz val="11"/>
    </font>
    <font>
      <name val="Calibri"/>
      <charset val="1"/>
      <b val="1"/>
      <color rgb="FF242424"/>
      <sz val="11"/>
    </font>
    <font>
      <name val="Calibri"/>
      <b val="1"/>
      <color theme="1"/>
      <sz val="11"/>
      <scheme val="minor"/>
    </font>
    <font>
      <name val="Calibri"/>
      <family val="2"/>
      <color rgb="FF000000"/>
      <sz val="11"/>
      <scheme val="minor"/>
    </font>
    <font>
      <name val="Calibri"/>
      <charset val="1"/>
      <color theme="1"/>
      <sz val="11"/>
    </font>
    <font>
      <b val="1"/>
    </font>
  </fonts>
  <fills count="5">
    <fill>
      <patternFill/>
    </fill>
    <fill>
      <patternFill patternType="gray125"/>
    </fill>
    <fill>
      <patternFill patternType="solid">
        <fgColor rgb="FFFFE497"/>
        <bgColor indexed="64"/>
      </patternFill>
    </fill>
    <fill>
      <patternFill patternType="solid">
        <fgColor rgb="FFFFE699"/>
        <bgColor indexed="64"/>
      </patternFill>
    </fill>
    <fill>
      <patternFill patternType="solid">
        <fgColor rgb="00FFFF00"/>
      </patternFill>
    </fill>
  </fills>
  <borders count="9">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2">
    <xf numFmtId="0" fontId="0" fillId="0" borderId="0"/>
    <xf numFmtId="0" fontId="6" fillId="0" borderId="0"/>
  </cellStyleXfs>
  <cellXfs count="56">
    <xf numFmtId="0" fontId="0" fillId="0" borderId="0" pivotButton="0" quotePrefix="0" xfId="0"/>
    <xf numFmtId="0" fontId="2" fillId="0" borderId="1" applyAlignment="1" pivotButton="0" quotePrefix="0" xfId="0">
      <alignment horizontal="center" vertical="top"/>
    </xf>
    <xf numFmtId="0" fontId="0" fillId="2" borderId="0" pivotButton="0" quotePrefix="0" xfId="0"/>
    <xf numFmtId="0" fontId="2" fillId="0" borderId="2" pivotButton="0" quotePrefix="0" xfId="0"/>
    <xf numFmtId="0" fontId="2" fillId="0" borderId="3" applyAlignment="1" pivotButton="0" quotePrefix="0" xfId="0">
      <alignment horizontal="center" vertical="top"/>
    </xf>
    <xf numFmtId="43" fontId="0" fillId="0" borderId="0" pivotButton="0" quotePrefix="0" xfId="0"/>
    <xf numFmtId="0" fontId="0" fillId="2" borderId="0" applyAlignment="1" pivotButton="0" quotePrefix="0" xfId="0">
      <alignment wrapText="1"/>
    </xf>
    <xf numFmtId="0" fontId="0" fillId="2" borderId="0" applyAlignment="1" pivotButton="0" quotePrefix="0" xfId="0">
      <alignment horizontal="center"/>
    </xf>
    <xf numFmtId="0" fontId="3" fillId="3" borderId="0" applyAlignment="1" pivotButton="0" quotePrefix="0" xfId="0">
      <alignment vertical="top" wrapText="1"/>
    </xf>
    <xf numFmtId="0" fontId="5" fillId="0" borderId="0" pivotButton="0" quotePrefix="0" xfId="0"/>
    <xf numFmtId="0" fontId="4" fillId="3" borderId="0" applyAlignment="1" pivotButton="0" quotePrefix="0" xfId="0">
      <alignment wrapText="1"/>
    </xf>
    <xf numFmtId="3" fontId="0" fillId="2" borderId="0" applyAlignment="1" pivotButton="0" quotePrefix="0" xfId="0">
      <alignment horizontal="center"/>
    </xf>
    <xf numFmtId="0" fontId="6" fillId="0" borderId="0" applyAlignment="1" pivotButton="0" quotePrefix="0" xfId="1">
      <alignment vertical="top"/>
    </xf>
    <xf numFmtId="0" fontId="2" fillId="0" borderId="2" applyAlignment="1" pivotButton="0" quotePrefix="0" xfId="0">
      <alignment horizontal="center" vertical="top"/>
    </xf>
    <xf numFmtId="0" fontId="6" fillId="0" borderId="2" applyAlignment="1" pivotButton="0" quotePrefix="0" xfId="1">
      <alignment vertical="top"/>
    </xf>
    <xf numFmtId="0" fontId="3" fillId="3" borderId="2" applyAlignment="1" pivotButton="0" quotePrefix="0" xfId="0">
      <alignment vertical="top" wrapText="1"/>
    </xf>
    <xf numFmtId="0" fontId="0" fillId="0" borderId="2" applyAlignment="1" pivotButton="0" quotePrefix="0" xfId="0">
      <alignment vertical="top"/>
    </xf>
    <xf numFmtId="43" fontId="0" fillId="0" borderId="2" applyAlignment="1" pivotButton="0" quotePrefix="0" xfId="0">
      <alignment vertical="top"/>
    </xf>
    <xf numFmtId="0" fontId="0" fillId="2" borderId="2" applyAlignment="1" pivotButton="0" quotePrefix="0" xfId="0">
      <alignment vertical="top"/>
    </xf>
    <xf numFmtId="0" fontId="2" fillId="0" borderId="4" pivotButton="0" quotePrefix="0" xfId="0"/>
    <xf numFmtId="0" fontId="0" fillId="0" borderId="5" pivotButton="0" quotePrefix="0" xfId="0"/>
    <xf numFmtId="0" fontId="7" fillId="3" borderId="2" applyAlignment="1" pivotButton="0" quotePrefix="0" xfId="0">
      <alignment horizontal="left" vertical="top" wrapText="1"/>
    </xf>
    <xf numFmtId="0" fontId="0" fillId="2" borderId="2" applyAlignment="1" pivotButton="0" quotePrefix="0" xfId="0">
      <alignment horizontal="center" vertical="top"/>
    </xf>
    <xf numFmtId="3" fontId="0" fillId="2" borderId="2" applyAlignment="1" pivotButton="0" quotePrefix="0" xfId="0">
      <alignment horizontal="center" vertical="top"/>
    </xf>
    <xf numFmtId="0" fontId="0" fillId="0" borderId="5" applyAlignment="1" pivotButton="0" quotePrefix="0" xfId="0">
      <alignment vertical="top"/>
    </xf>
    <xf numFmtId="0" fontId="8" fillId="0" borderId="0" pivotButton="0" quotePrefix="0" xfId="0"/>
    <xf numFmtId="0" fontId="9" fillId="0" borderId="0" pivotButton="0" quotePrefix="0" xfId="0"/>
    <xf numFmtId="0" fontId="2" fillId="0" borderId="2" applyAlignment="1" pivotButton="0" quotePrefix="0" xfId="0">
      <alignment horizontal="center" vertical="center"/>
    </xf>
    <xf numFmtId="0" fontId="0" fillId="0" borderId="2" applyAlignment="1" pivotButton="0" quotePrefix="0" xfId="0">
      <alignment horizontal="center" vertical="center"/>
    </xf>
    <xf numFmtId="43" fontId="0" fillId="0" borderId="2" applyAlignment="1" pivotButton="0" quotePrefix="0" xfId="0">
      <alignment horizontal="center" vertical="center"/>
    </xf>
    <xf numFmtId="0" fontId="0" fillId="2" borderId="2" applyAlignment="1" pivotButton="0" quotePrefix="0" xfId="0">
      <alignment horizontal="center" vertical="center"/>
    </xf>
    <xf numFmtId="0" fontId="7" fillId="3" borderId="2" applyAlignment="1" pivotButton="0" quotePrefix="0" xfId="0">
      <alignment horizontal="center" vertical="center" wrapText="1"/>
    </xf>
    <xf numFmtId="3" fontId="0" fillId="2" borderId="2" applyAlignment="1" pivotButton="0" quotePrefix="0" xfId="0">
      <alignment horizontal="center" vertical="center"/>
    </xf>
    <xf numFmtId="0" fontId="3" fillId="3" borderId="2" applyAlignment="1" pivotButton="0" quotePrefix="0" xfId="0">
      <alignment horizontal="center" vertical="center" wrapText="1"/>
    </xf>
    <xf numFmtId="0" fontId="0" fillId="2" borderId="4" applyAlignment="1" pivotButton="0" quotePrefix="0" xfId="0">
      <alignment horizontal="center" vertical="center"/>
    </xf>
    <xf numFmtId="0" fontId="0" fillId="0" borderId="6" applyAlignment="1" pivotButton="0" quotePrefix="0" xfId="0">
      <alignment horizontal="center" vertical="center"/>
    </xf>
    <xf numFmtId="0" fontId="2" fillId="0" borderId="7" applyAlignment="1" pivotButton="0" quotePrefix="0" xfId="0">
      <alignment horizontal="center" vertical="center"/>
    </xf>
    <xf numFmtId="0" fontId="6" fillId="0" borderId="2" applyAlignment="1" pivotButton="0" quotePrefix="0" xfId="1">
      <alignment horizontal="center" vertical="center" wrapText="1"/>
    </xf>
    <xf numFmtId="0" fontId="2" fillId="0" borderId="2" applyAlignment="1" pivotButton="0" quotePrefix="0" xfId="0">
      <alignment horizontal="center"/>
    </xf>
    <xf numFmtId="0" fontId="10" fillId="0" borderId="2" applyAlignment="1" pivotButton="0" quotePrefix="0" xfId="0">
      <alignment horizontal="center" vertical="top" wrapText="1"/>
    </xf>
    <xf numFmtId="0" fontId="7" fillId="0" borderId="2" applyAlignment="1" pivotButton="0" quotePrefix="0" xfId="0">
      <alignment wrapText="1"/>
    </xf>
    <xf numFmtId="0" fontId="2" fillId="0" borderId="7" applyAlignment="1" pivotButton="0" quotePrefix="0" xfId="0">
      <alignment horizontal="center"/>
    </xf>
    <xf numFmtId="0" fontId="2" fillId="0" borderId="8" applyAlignment="1" pivotButton="0" quotePrefix="0" xfId="0">
      <alignment horizontal="center"/>
    </xf>
    <xf numFmtId="0" fontId="2" fillId="0" borderId="7" pivotButton="0" quotePrefix="0" xfId="0"/>
    <xf numFmtId="0" fontId="0" fillId="0" borderId="6" applyAlignment="1" pivotButton="0" quotePrefix="0" xfId="0">
      <alignment horizontal="center" vertical="center" wrapText="1"/>
    </xf>
    <xf numFmtId="0" fontId="0" fillId="0" borderId="2" applyAlignment="1" pivotButton="0" quotePrefix="0" xfId="0">
      <alignment vertical="center"/>
    </xf>
    <xf numFmtId="0" fontId="11" fillId="3" borderId="2" applyAlignment="1" pivotButton="0" quotePrefix="0" xfId="0">
      <alignment horizontal="center" vertical="center" wrapText="1"/>
    </xf>
    <xf numFmtId="0" fontId="12" fillId="3" borderId="2" applyAlignment="1" pivotButton="0" quotePrefix="0" xfId="0">
      <alignment horizontal="center" vertical="center" wrapText="1"/>
    </xf>
    <xf numFmtId="3" fontId="0" fillId="2" borderId="2" applyAlignment="1" pivotButton="0" quotePrefix="0" xfId="0">
      <alignment horizontal="center" vertical="center" wrapText="1"/>
    </xf>
    <xf numFmtId="0" fontId="0" fillId="0" borderId="0" applyAlignment="1" pivotButton="0" quotePrefix="0" xfId="0">
      <alignment wrapText="1"/>
    </xf>
    <xf numFmtId="0" fontId="1" fillId="0" borderId="2" applyAlignment="1" pivotButton="0" quotePrefix="0" xfId="0">
      <alignment horizontal="left" vertical="center" wrapText="1"/>
    </xf>
    <xf numFmtId="0" fontId="1" fillId="0" borderId="2" applyAlignment="1" pivotButton="0" quotePrefix="0" xfId="0">
      <alignment wrapText="1"/>
    </xf>
    <xf numFmtId="0" fontId="1" fillId="0" borderId="2" applyAlignment="1" pivotButton="0" quotePrefix="0" xfId="0">
      <alignment vertical="center" wrapText="1"/>
    </xf>
    <xf numFmtId="43" fontId="0" fillId="4" borderId="2" applyAlignment="1" pivotButton="0" quotePrefix="0" xfId="0">
      <alignment horizontal="center"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pims.undp.org/project/view?id=6161" TargetMode="External" Id="rId1"/></Relationships>
</file>

<file path=xl/worksheets/_rels/sheet2.xml.rels><Relationships xmlns="http://schemas.openxmlformats.org/package/2006/relationships"><Relationship Type="http://schemas.openxmlformats.org/officeDocument/2006/relationships/hyperlink" Target="https://co.pims.undp.org/project/view?id=6161" TargetMode="External" Id="rId1"/></Relationships>
</file>

<file path=xl/worksheets/_rels/sheet3.xml.rels><Relationships xmlns="http://schemas.openxmlformats.org/package/2006/relationships"><Relationship Type="http://schemas.openxmlformats.org/officeDocument/2006/relationships/hyperlink" Target="https://co.pims.undp.org/project/view?id=6161" TargetMode="External" Id="rId1"/></Relationships>
</file>

<file path=xl/worksheets/sheet1.xml><?xml version="1.0" encoding="utf-8"?>
<worksheet xmlns="http://schemas.openxmlformats.org/spreadsheetml/2006/main">
  <sheetPr>
    <outlinePr summaryBelow="1" summaryRight="1"/>
    <pageSetUpPr/>
  </sheetPr>
  <dimension ref="A1:Y3"/>
  <sheetViews>
    <sheetView showGridLines="0" tabSelected="1" workbookViewId="0">
      <selection activeCell="B3" sqref="B3"/>
    </sheetView>
  </sheetViews>
  <sheetFormatPr baseColWidth="8" defaultRowHeight="15"/>
  <cols>
    <col width="35.140625" bestFit="1" customWidth="1" min="2" max="2"/>
    <col width="20.7109375" customWidth="1" min="3" max="3"/>
    <col width="11.85546875" bestFit="1" customWidth="1" min="4" max="4"/>
    <col width="12" bestFit="1" customWidth="1" min="5" max="5"/>
    <col width="12" customWidth="1" min="6" max="6"/>
    <col width="12" customWidth="1" min="7" max="8"/>
    <col width="12" customWidth="1" min="8" max="8"/>
    <col width="32.7109375" customWidth="1" min="9" max="9"/>
    <col width="19.42578125" customWidth="1" min="11" max="11"/>
    <col width="16.28515625" customWidth="1" min="12" max="12"/>
    <col width="28.7109375" bestFit="1" customWidth="1" min="14" max="14"/>
    <col width="22.28515625" customWidth="1" min="15" max="16"/>
    <col width="28.42578125" bestFit="1" customWidth="1" min="17" max="17"/>
    <col width="18.140625" bestFit="1" customWidth="1" min="18" max="18"/>
    <col width="14.7109375" customWidth="1" min="19" max="19"/>
    <col width="30.28515625" bestFit="1" customWidth="1" min="20" max="20"/>
    <col width="16.7109375" bestFit="1" customWidth="1" min="21" max="21"/>
  </cols>
  <sheetData>
    <row r="1">
      <c r="A1" s="27" t="inlineStr">
        <is>
          <t>Project ID</t>
        </is>
      </c>
      <c r="B1" s="27" t="inlineStr">
        <is>
          <t>Title</t>
        </is>
      </c>
      <c r="C1" s="27" t="inlineStr">
        <is>
          <t>Link</t>
        </is>
      </c>
      <c r="D1" s="27" t="inlineStr">
        <is>
          <t>Budget</t>
        </is>
      </c>
      <c r="E1" s="27" t="inlineStr">
        <is>
          <t>Start Year</t>
        </is>
      </c>
      <c r="F1" s="27" t="inlineStr">
        <is>
          <t>End Year</t>
        </is>
      </c>
      <c r="G1" s="27" t="inlineStr">
        <is>
          <t>Status</t>
        </is>
      </c>
      <c r="H1" s="27" t="inlineStr">
        <is>
          <t>VF or Non-VF</t>
        </is>
      </c>
      <c r="I1" s="27" t="inlineStr">
        <is>
          <t>Beneficiary Category</t>
        </is>
      </c>
      <c r="J1" s="27" t="inlineStr">
        <is>
          <t>Indicator</t>
        </is>
      </c>
      <c r="K1" s="27" t="inlineStr">
        <is>
          <t>Baseline</t>
        </is>
      </c>
      <c r="L1" s="27" t="inlineStr">
        <is>
          <t>Target</t>
        </is>
      </c>
      <c r="M1" s="27" t="inlineStr">
        <is>
          <t>Notes</t>
        </is>
      </c>
      <c r="N1" s="27" t="inlineStr">
        <is>
          <t>Donors</t>
        </is>
      </c>
      <c r="O1" s="36" t="inlineStr">
        <is>
          <t>Gender (% female)</t>
        </is>
      </c>
      <c r="P1" s="41" t="inlineStr">
        <is>
          <t>Tag</t>
        </is>
      </c>
      <c r="Q1" s="38" t="inlineStr">
        <is>
          <t>SEH Taxonomy</t>
        </is>
      </c>
      <c r="R1" s="38" t="inlineStr">
        <is>
          <t>RISE Taxonomy</t>
        </is>
      </c>
      <c r="S1" s="41" t="inlineStr">
        <is>
          <t>Flagship</t>
        </is>
      </c>
      <c r="T1" s="41" t="inlineStr">
        <is>
          <t>Indirect Category</t>
        </is>
      </c>
      <c r="U1" s="42" t="inlineStr">
        <is>
          <t>Indirect Taxonomy</t>
        </is>
      </c>
      <c r="V1" s="43" t="inlineStr">
        <is>
          <t>Technology</t>
        </is>
      </c>
      <c r="W1" s="42" t="inlineStr">
        <is>
          <t>Policy or Regulatory Framework</t>
        </is>
      </c>
      <c r="X1" s="43" t="inlineStr">
        <is>
          <t>Policy Population</t>
        </is>
      </c>
    </row>
    <row r="2" ht="305.25" customHeight="1">
      <c r="A2" s="28" t="inlineStr">
        <is>
          <t>6161, 106273</t>
        </is>
      </c>
      <c r="B2" s="28" t="inlineStr">
        <is>
          <t>Emissions Trading and MRV in Belarus</t>
        </is>
      </c>
      <c r="C2" s="37" t="inlineStr">
        <is>
          <t>https://co.pims.undp.org/project/view?id=6161</t>
        </is>
      </c>
      <c r="D2" s="29" t="n">
        <v>840000</v>
      </c>
      <c r="E2" s="53" t="n"/>
      <c r="F2" s="53" t="n"/>
      <c r="G2" s="53" t="n"/>
      <c r="H2" s="29" t="inlineStr">
        <is>
          <t>VF</t>
        </is>
      </c>
      <c r="I2" s="30" t="inlineStr">
        <is>
          <t>Other Energy Services</t>
        </is>
      </c>
      <c r="J2" s="31" t="inlineStr">
        <is>
          <t>Number of people benefiting from the project</t>
        </is>
      </c>
      <c r="K2" s="30" t="n">
        <v>0</v>
      </c>
      <c r="L2" s="32" t="n">
        <v>136600</v>
      </c>
      <c r="M2" s="33" t="inlineStr">
        <is>
          <t>Planned pilot territories: Polock, Bereza, Novogrudok
Risks: Coordination issues and delay in activities may arise due to the need to synchronize decision-making for funding allocation for pilot projects between different agencies involved.
4,300 m2 Scale of lighting sector MRV system (number of lighting fixtures covered by MRV) in line with international best practices and requirements
Population of Polock: 79,960 people
Population of Bereza: 28,619 people
Population of Novogrudok: 28,021
Total number of beneficiaries: 136,600 people</t>
        </is>
      </c>
      <c r="N2" s="34" t="inlineStr">
        <is>
          <t>GEF</t>
        </is>
      </c>
      <c r="O2" s="28" t="n"/>
      <c r="P2" s="28" t="inlineStr">
        <is>
          <t>Efficiency</t>
        </is>
      </c>
      <c r="Q2" s="44" t="inlineStr">
        <is>
          <t>Accelerating just energy transition</t>
        </is>
      </c>
      <c r="R2" s="28" t="n"/>
      <c r="S2" s="28" t="n"/>
      <c r="T2" s="28" t="n"/>
      <c r="U2" s="28" t="n"/>
      <c r="V2" s="45" t="n"/>
      <c r="W2" s="28" t="n"/>
      <c r="X2" s="45" t="n"/>
      <c r="Y2" s="49" t="inlineStr">
        <is>
          <t>Aleksandra: please move beneficiearies to the right category (now it is under Evergy saving)</t>
        </is>
      </c>
    </row>
    <row r="3" ht="167.25" customHeight="1">
      <c r="A3" s="28" t="n"/>
      <c r="B3" s="28" t="n"/>
      <c r="C3" s="37" t="n"/>
      <c r="D3" s="29" t="n"/>
      <c r="E3" s="29" t="n"/>
      <c r="F3" s="29" t="n"/>
      <c r="G3" s="29" t="n"/>
      <c r="H3" s="29" t="n"/>
      <c r="I3" s="30" t="inlineStr">
        <is>
          <t>Policy or Regulatory Framework</t>
        </is>
      </c>
      <c r="J3" s="46" t="inlineStr">
        <is>
          <t xml:space="preserve">Status of domestic market-based climate finance mechanisms  </t>
        </is>
      </c>
      <c r="K3" s="30" t="n">
        <v>0</v>
      </c>
      <c r="L3" s="48" t="inlineStr">
        <is>
          <t>Appropriate climate-finance mechanisms identified and roadmap for their implementation prepared and approved</t>
        </is>
      </c>
      <c r="M3" s="47" t="n"/>
      <c r="N3" s="34" t="inlineStr">
        <is>
          <t>GEF</t>
        </is>
      </c>
      <c r="O3" s="28" t="n"/>
      <c r="P3" s="28" t="n"/>
      <c r="Q3" s="44" t="inlineStr">
        <is>
          <t>Accelerating just energy transition</t>
        </is>
      </c>
      <c r="R3" s="28" t="inlineStr">
        <is>
          <t>Renewable Energy</t>
        </is>
      </c>
      <c r="S3" s="28" t="n"/>
      <c r="T3" s="28" t="inlineStr">
        <is>
          <t>Carbon Pricing and Monitoring</t>
        </is>
      </c>
      <c r="U3" s="28" t="inlineStr">
        <is>
          <t>Decarbonization</t>
        </is>
      </c>
      <c r="V3" s="45" t="n"/>
      <c r="W3" s="28" t="inlineStr">
        <is>
          <t>National</t>
        </is>
      </c>
      <c r="X3" s="45" t="n"/>
    </row>
  </sheetData>
  <dataValidations count="13">
    <dataValidation sqref="Q2:Q3 R4:R127"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3 Q4:Q114" showDropDown="0" showInputMessage="1" showErrorMessage="1" allowBlank="1" type="list">
      <formula1>"AMP, PUDC, Solar4Health, Action Opportunities, Italy UNDP Energy Partnership"</formula1>
    </dataValidation>
    <dataValidation sqref="O2:O3" showDropDown="0" showInputMessage="1" showErrorMessage="1" allowBlank="1" type="list">
      <formula1>"Electricity Access, Energy Efficiency, Clean Cooking, Renewable Energy, Overall"</formula1>
    </dataValidation>
    <dataValidation sqref="M2:M3" showDropDown="0" showInputMessage="1" showErrorMessage="1" allowBlank="1" type="list">
      <formula1>"Finance, Gender, Efficiency, Just, Health"</formula1>
    </dataValidation>
    <dataValidation sqref="T2:T3" showDropDown="0" showInputMessage="1" showErrorMessage="1" allowBlank="1" type="list">
      <formula1>"National, Regional, City, Community"</formula1>
    </dataValidation>
    <dataValidation sqref="S2:S3" showDropDown="0" showInputMessage="1" showErrorMessage="1" allowBlank="1" type="list">
      <formula1>"Solar, Wind, Bioenergy, Hydro, Geothermal, Waste, Other, Unknown"</formula1>
    </dataValidation>
    <dataValidation sqref="L2:L3" showDropDown="0" showInputMessage="1" showErrorMessage="1" allowBlank="1" type="list">
      <formula1>"Non-VF, VF"</formula1>
    </dataValidation>
    <dataValidation sqref="O4:P105" showDropDown="0" showInputMessage="1" showErrorMessage="1" allowBlank="1" type="list">
      <formula1>"Electricity Access, Energy Efficiency, Clean Cooking, Renewable Energy"</formula1>
    </dataValidation>
    <dataValidation sqref="N2:N105" showDropDown="0" showInputMessage="1" showErrorMessage="1" allowBlank="1" type="list">
      <formula1>"Accelerating just energy transition, Close the gap on energy access, Scale up energy finance"</formula1>
    </dataValidation>
    <dataValidation sqref="R2:R3"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Q2"/>
  <sheetViews>
    <sheetView topLeftCell="I1" workbookViewId="0">
      <selection activeCell="M2" sqref="M2"/>
    </sheetView>
  </sheetViews>
  <sheetFormatPr baseColWidth="8" defaultRowHeight="15"/>
  <cols>
    <col width="35.140625" bestFit="1" customWidth="1" min="2" max="2"/>
    <col width="20.7109375" customWidth="1" min="3" max="3"/>
    <col width="11.85546875" bestFit="1" customWidth="1" min="4" max="4"/>
    <col width="29.5703125" bestFit="1" customWidth="1" min="5" max="5"/>
    <col width="29.5703125" customWidth="1" min="6" max="6"/>
    <col width="12.7109375" customWidth="1" min="7" max="8"/>
    <col width="32.7109375" customWidth="1" min="9" max="9"/>
    <col width="21.7109375" customWidth="1" min="13" max="13"/>
    <col width="22.28515625" customWidth="1" min="14" max="14"/>
    <col width="22.85546875" customWidth="1" min="15" max="15"/>
    <col width="22.7109375" customWidth="1" min="16" max="16"/>
    <col width="26.85546875" customWidth="1" min="17" max="17"/>
  </cols>
  <sheetData>
    <row r="1">
      <c r="A1" s="13" t="inlineStr">
        <is>
          <t>Project ID</t>
        </is>
      </c>
      <c r="B1" s="13" t="inlineStr">
        <is>
          <t>Title</t>
        </is>
      </c>
      <c r="C1" s="13" t="inlineStr">
        <is>
          <t>Link</t>
        </is>
      </c>
      <c r="D1" s="13" t="inlineStr">
        <is>
          <t>Budget</t>
        </is>
      </c>
      <c r="E1" s="13" t="inlineStr">
        <is>
          <t>Beneficiary Category</t>
        </is>
      </c>
      <c r="F1" s="13" t="inlineStr">
        <is>
          <t>Indicator</t>
        </is>
      </c>
      <c r="G1" s="13" t="inlineStr">
        <is>
          <t>Baseline</t>
        </is>
      </c>
      <c r="H1" s="13" t="inlineStr">
        <is>
          <t>Target</t>
        </is>
      </c>
      <c r="I1" s="13" t="inlineStr">
        <is>
          <t>Notes</t>
        </is>
      </c>
      <c r="J1" s="19" t="inlineStr">
        <is>
          <t>Donors</t>
        </is>
      </c>
      <c r="K1" s="3" t="inlineStr">
        <is>
          <t>Gender (% female)</t>
        </is>
      </c>
      <c r="L1" s="3" t="inlineStr">
        <is>
          <t>Category</t>
        </is>
      </c>
      <c r="M1" s="25" t="inlineStr">
        <is>
          <t>SEH Taxonomy</t>
        </is>
      </c>
      <c r="N1" s="25" t="inlineStr">
        <is>
          <t>RISE Taxonomy</t>
        </is>
      </c>
      <c r="O1" s="25" t="inlineStr">
        <is>
          <t>Flagship</t>
        </is>
      </c>
      <c r="P1" s="26" t="inlineStr">
        <is>
          <t>Indirect Category</t>
        </is>
      </c>
      <c r="Q1" s="25" t="inlineStr">
        <is>
          <t>Indirect Taxonomy</t>
        </is>
      </c>
    </row>
    <row r="2" ht="213" customHeight="1">
      <c r="A2" s="16" t="inlineStr">
        <is>
          <t>6161, 106273</t>
        </is>
      </c>
      <c r="B2" s="16" t="inlineStr">
        <is>
          <t>Emissions Trading and MRV in Belarus</t>
        </is>
      </c>
      <c r="C2" s="14" t="inlineStr">
        <is>
          <t>https://co.pims.undp.org/project/view?id=6161</t>
        </is>
      </c>
      <c r="D2" s="17" t="n">
        <v>840000</v>
      </c>
      <c r="E2" s="18" t="inlineStr">
        <is>
          <t>Electricity Access</t>
        </is>
      </c>
      <c r="F2" s="21" t="inlineStr">
        <is>
          <t>Population of Polock: 79,960 people
Population of Bereza: 28,619 people
Population of Novogrudok: 28,021
Total number of beneficiaries: 136,600 people</t>
        </is>
      </c>
      <c r="G2" s="22" t="n">
        <v>0</v>
      </c>
      <c r="H2" s="23" t="n">
        <v>136600</v>
      </c>
      <c r="I2" s="15" t="inlineStr">
        <is>
          <t>Planned pilot territories: Polock, Bereza, Novogrudok
Risks: Coordination issues and delay in activities may arise due to the need to synchronize decision-making for funding allocation for pilot projects between different agencies involved.
4,300 m2 Scale of lighting sector MRV system (number of lighting fixtures covered by MRV) in line with international best practices and requirements</t>
        </is>
      </c>
      <c r="J2" s="18" t="inlineStr">
        <is>
          <t>GEF</t>
        </is>
      </c>
      <c r="K2" s="20" t="n"/>
      <c r="L2" s="24" t="inlineStr">
        <is>
          <t>VF, Non-VF</t>
        </is>
      </c>
      <c r="M2" t="inlineStr">
        <is>
          <t>Close the gap on energy access</t>
        </is>
      </c>
      <c r="N2" t="inlineStr">
        <is>
          <t>Electricity Access</t>
        </is>
      </c>
    </row>
  </sheetData>
  <dataValidations count="5">
    <dataValidation sqref="M2:M106" showDropDown="0" showInputMessage="1" showErrorMessage="1" allowBlank="1" type="list">
      <formula1>"Accelerating just energy transition, Close the gap on energy access, Scale up energy finance"</formula1>
    </dataValidation>
    <dataValidation sqref="N2:N106" showDropDown="0" showInputMessage="1" showErrorMessage="1" allowBlank="1" type="list">
      <formula1>"Electricity Access, Energy Efficiency, Clean Cooking, Renewable Energy"</formula1>
    </dataValidation>
    <dataValidation sqref="O2:O115" showDropDown="0" showInputMessage="1" showErrorMessage="1" allowBlank="1" type="list">
      <formula1>"AMP, PUDC, Solar4Health, Action Opportunities, Italy UNDP Energy Partnership"</formula1>
    </dataValidation>
    <dataValidation sqref="P2:P12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Q2:Q119"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2"/>
  <sheetViews>
    <sheetView workbookViewId="0">
      <selection activeCell="C9" sqref="C9"/>
    </sheetView>
  </sheetViews>
  <sheetFormatPr baseColWidth="8" defaultRowHeight="15"/>
  <cols>
    <col width="35.140625" bestFit="1" customWidth="1" min="2" max="2"/>
    <col width="20.7109375" customWidth="1" min="3" max="3"/>
    <col width="11.85546875" bestFit="1" customWidth="1" min="4" max="4"/>
    <col width="29.5703125" bestFit="1" customWidth="1" min="5" max="5"/>
    <col width="20.7109375" customWidth="1" min="6" max="6"/>
    <col width="12.7109375" customWidth="1" min="7" max="8"/>
    <col width="32.7109375" customWidth="1" min="9" max="9"/>
    <col width="23" bestFit="1" customWidth="1" min="11" max="11"/>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4" t="inlineStr">
        <is>
          <t>Notes</t>
        </is>
      </c>
      <c r="J1" s="3" t="inlineStr">
        <is>
          <t>Donors</t>
        </is>
      </c>
      <c r="K1" s="9" t="inlineStr">
        <is>
          <t>Number of beneficiaries</t>
        </is>
      </c>
    </row>
    <row r="2" ht="137.25" customHeight="1">
      <c r="A2" t="inlineStr">
        <is>
          <t>6161, 106273</t>
        </is>
      </c>
      <c r="B2" t="inlineStr">
        <is>
          <t>Emissions Trading and MRV in Belarus</t>
        </is>
      </c>
      <c r="C2" s="12" t="inlineStr">
        <is>
          <t>https://co.pims.undp.org/project/view?id=6161</t>
        </is>
      </c>
      <c r="D2" s="5" t="n">
        <v>840000</v>
      </c>
      <c r="E2" s="2" t="inlineStr">
        <is>
          <t>Electricity Access</t>
        </is>
      </c>
      <c r="F2" s="10" t="inlineStr">
        <is>
          <t>Population of Polock: 79,960 people
Population of Bereza: 28,619 people
Population of Novogrudok: 28,021
Total number of beneficiaries: 136,600 people</t>
        </is>
      </c>
      <c r="G2" s="7" t="n">
        <v>0</v>
      </c>
      <c r="H2" s="11" t="n">
        <v>136600</v>
      </c>
      <c r="I2" s="8" t="inlineStr">
        <is>
          <t>Planned pilot territories: Polock, Bereza, Novogrudok
Risks: Coordination issues and delay in activities may arise due to the need to synchronize decision-making for funding allocation for pilot projects between different agencies involved</t>
        </is>
      </c>
      <c r="J2" s="2" t="inlineStr">
        <is>
          <t>GEF</t>
        </is>
      </c>
      <c r="K2" s="6" t="inlineStr">
        <is>
          <t>4,300 m2 Scale of lighting sector MRV system (number of lighting fixtures covered by MRV) in line with international best practices and requirements</t>
        </is>
      </c>
    </row>
  </sheetData>
  <hyperlinks>
    <hyperlink xmlns:r="http://schemas.openxmlformats.org/officeDocument/2006/relationships" ref="C2" r:id="rId1"/>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opLeftCell="A8" workbookViewId="0">
      <pane ySplit="1" topLeftCell="A2" activePane="bottomLeft" state="frozen"/>
      <selection pane="bottomLeft" activeCell="J8" sqref="J8"/>
    </sheetView>
  </sheetViews>
  <sheetFormatPr baseColWidth="8" defaultRowHeight="15"/>
  <cols>
    <col width="36" customWidth="1" min="1" max="2"/>
    <col width="110" customWidth="1" min="2" max="2"/>
  </cols>
  <sheetData>
    <row r="1">
      <c r="A1" s="54" t="inlineStr">
        <is>
          <t>Beneficiary Category</t>
        </is>
      </c>
      <c r="B1" s="54" t="inlineStr">
        <is>
          <t>Indicator</t>
        </is>
      </c>
    </row>
    <row r="2" ht="45.75" customHeight="1">
      <c r="A2" s="55" t="inlineStr">
        <is>
          <t>Electricity Access</t>
        </is>
      </c>
      <c r="B2" s="55" t="inlineStr">
        <is>
          <t>Number of people, disaggregated by sex, who gain access to clean electricity (direct access to electricity, lighting, cooling, etc.).</t>
        </is>
      </c>
    </row>
    <row r="3">
      <c r="A3" s="55" t="inlineStr">
        <is>
          <t>Energy (MW added)</t>
        </is>
      </c>
      <c r="B3" s="55" t="inlineStr">
        <is>
          <t>Installed renewable or clean-energy power capacity added, in MW.</t>
        </is>
      </c>
    </row>
    <row r="4" ht="30.75" customHeight="1">
      <c r="A4" s="55" t="inlineStr">
        <is>
          <t>Energy Storage (MW)</t>
        </is>
      </c>
      <c r="B4" s="55" t="inlineStr">
        <is>
          <t>Installed energy storage power capacity added, in MW.</t>
        </is>
      </c>
    </row>
    <row r="5" ht="30.75" customHeight="1">
      <c r="A5" s="55" t="inlineStr">
        <is>
          <t>Clean Cooking</t>
        </is>
      </c>
      <c r="B5" s="55" t="inlineStr">
        <is>
          <t>Number of people who gain access to clean cooking (direct access to clean cook stoves, clean fuels, biomass, etc.).</t>
        </is>
      </c>
    </row>
    <row r="6" ht="91.5" customHeight="1">
      <c r="A6" s="55" t="inlineStr">
        <is>
          <t>Clean Heating</t>
        </is>
      </c>
      <c r="B6" s="55" t="inlineStr">
        <is>
          <t>Number of people who gain access to clean heating (direct access to clean electric heaters, clean fuels, etc.).</t>
        </is>
      </c>
    </row>
    <row r="7" ht="45.75" customHeight="1">
      <c r="A7" s="55" t="inlineStr">
        <is>
          <t>Agriculture and Food System</t>
        </is>
      </c>
      <c r="B7" s="55" t="inlineStr">
        <is>
          <t>Number of people who gain access to clean, affordable, and sustainable energy for agricultural and food-system activities.</t>
        </is>
      </c>
    </row>
    <row r="8" ht="45.75" customHeight="1">
      <c r="A8" s="55" t="inlineStr">
        <is>
          <t>Health Services</t>
        </is>
      </c>
      <c r="B8" s="55" t="inlineStr">
        <is>
          <t>Number of people who gain access to health care facilities through clean energy systems.</t>
        </is>
      </c>
    </row>
    <row r="9" ht="45.75" customHeight="1">
      <c r="A9" s="55" t="inlineStr">
        <is>
          <t>Water Services</t>
        </is>
      </c>
      <c r="B9" s="55" t="inlineStr">
        <is>
          <t>Number of people who gain access to water services through clean energy systems.</t>
        </is>
      </c>
    </row>
    <row r="10" ht="30.75" customHeight="1">
      <c r="A10" s="55" t="inlineStr">
        <is>
          <t>Education Services</t>
        </is>
      </c>
      <c r="B10" s="55" t="inlineStr">
        <is>
          <t>Number of people who gain access to education services through clean energy systems, including students and teachers.</t>
        </is>
      </c>
    </row>
    <row r="11" ht="30.75" customHeight="1">
      <c r="A11" s="55" t="inlineStr">
        <is>
          <t>Transportation and E-mobility Services</t>
        </is>
      </c>
      <c r="B11" s="55" t="inlineStr">
        <is>
          <t>Number of people served or energy saved from transport and e-mobility interventions, such as electric vehicles or charging stations.</t>
        </is>
      </c>
    </row>
    <row r="12" ht="45.75" customHeight="1">
      <c r="A12" s="55" t="inlineStr">
        <is>
          <t>Energy Efficiency Services</t>
        </is>
      </c>
      <c r="B12" s="55" t="inlineStr">
        <is>
          <t>Energy saved from energy-efficiency interventions, such as building or industrial efficiency.</t>
        </is>
      </c>
    </row>
    <row r="13" ht="30.75" customHeight="1">
      <c r="A13" s="55" t="inlineStr">
        <is>
          <t>Energy Infrastructure Services</t>
        </is>
      </c>
      <c r="B13" s="55" t="inlineStr">
        <is>
          <t>Number of people benefiting from energy infrastructure interventions, such as streetlights, transmission, and distribution lines.</t>
        </is>
      </c>
    </row>
    <row r="14">
      <c r="A14" s="55" t="inlineStr">
        <is>
          <t>Other Energy Services</t>
        </is>
      </c>
      <c r="B14" s="55" t="inlineStr">
        <is>
          <t>Access to other energy services not captured by the categories above.</t>
        </is>
      </c>
    </row>
    <row r="15" ht="30.75" customHeight="1">
      <c r="A15" s="55" t="inlineStr">
        <is>
          <t>Financing support</t>
        </is>
      </c>
      <c r="B15" s="55" t="inlineStr">
        <is>
          <t>Support for the development of the energy market ecosystem.</t>
        </is>
      </c>
    </row>
    <row r="16" ht="30.75" customHeight="1">
      <c r="A16" s="55" t="inlineStr">
        <is>
          <t>Medium Enterprises</t>
        </is>
      </c>
      <c r="B16" s="55" t="inlineStr">
        <is>
          <t>Support for the development of medium enterprises in the energy transition market.</t>
        </is>
      </c>
    </row>
    <row r="17" ht="30.75" customHeight="1">
      <c r="A17" s="55" t="inlineStr">
        <is>
          <t>Small Enterprises</t>
        </is>
      </c>
      <c r="B17" s="55" t="inlineStr">
        <is>
          <t>Support for the development of small enterprises in the energy transition market.</t>
        </is>
      </c>
    </row>
    <row r="18" ht="30.75" customHeight="1">
      <c r="A18" s="55" t="inlineStr">
        <is>
          <t>Capacity Building Training</t>
        </is>
      </c>
      <c r="B18" s="55" t="inlineStr">
        <is>
          <t>Number of people benefiting from training on energy business, energy finance, or related implementation capacity.</t>
        </is>
      </c>
    </row>
    <row r="19" ht="76.5" customHeight="1">
      <c r="A19" s="55" t="inlineStr">
        <is>
          <t>Entrepreneurship Training</t>
        </is>
      </c>
      <c r="B19" s="55" t="inlineStr">
        <is>
          <t>Training for enterprises on the energy business, assumed to result in direct beneficiaries.</t>
        </is>
      </c>
    </row>
    <row r="20" ht="30.75" customHeight="1">
      <c r="A20" s="55" t="inlineStr">
        <is>
          <t>Market Intervention</t>
        </is>
      </c>
      <c r="B20" s="55" t="inlineStr">
        <is>
          <t>Volume of investment leveraged or barriers removed for clean, reliable, affordable, and sustainable energy solutions.</t>
        </is>
      </c>
    </row>
    <row r="21" ht="45.75" customHeight="1">
      <c r="A21" s="55" t="inlineStr">
        <is>
          <t>Campaign Participant</t>
        </is>
      </c>
      <c r="B21" s="55" t="inlineStr">
        <is>
          <t>Individuals who participate in advocacy or awareness campaigns on energy.</t>
        </is>
      </c>
    </row>
    <row r="22" ht="30.75" customHeight="1">
      <c r="A22" s="55" t="inlineStr">
        <is>
          <t>Policy or Regulatory Framework</t>
        </is>
      </c>
      <c r="B22" s="55" t="inlineStr">
        <is>
          <t>Policies, regulations, strategies, plans, or frameworks developed, approved, implemented, or strengthened.</t>
        </is>
      </c>
    </row>
    <row r="23">
      <c r="A23" s="55" t="inlineStr">
        <is>
          <t>GHG Emissions Reduction</t>
        </is>
      </c>
      <c r="B23" s="55" t="inlineStr">
        <is>
          <t>Greenhouse gas emissions reduced or mitigated, in tCO2e.</t>
        </is>
      </c>
    </row>
    <row r="24">
      <c r="A24" s="55" t="inlineStr">
        <is>
          <t>Other</t>
        </is>
      </c>
      <c r="B24" s="55"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2026-06-08T15:49:45Z</dcterms:modified>
  <cp:lastModifiedBy>Danae franco Lopera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