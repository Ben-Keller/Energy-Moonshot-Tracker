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582" documentId="11_9B942BB7F348A3B6AE88B8ED56ED3DCB9C2B3A77" xr6:coauthVersionLast="47" xr6:coauthVersionMax="47" xr10:uidLastSave="{196C0229-403D-4D0F-81CA-04A877E87C83}"/>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<sst xmlns="http://schemas.openxmlformats.org/spreadsheetml/2006/main" count="277" uniqueCount="129">
  <si>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</si>
  <si>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</si>
  <si>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</si>
  <si>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</si>
  <si>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</si>
  <si>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</si>
  <si>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</si>
  <si>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</si>
  <si>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</si>
  <si>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</si>
  <si>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</si>
  <si>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</si>
  <si>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</si>
  <si>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</si>
  <si>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</si>
  <si>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</si>
  <si>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</si>
  <si>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</si>
  <si>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</si>
  <si>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</si>
  <si>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</si>
  <si>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Market Transformation for solar energy PV acceleration</t>
  </si>
  <si>
    <t>https://www.undp.org/albania/projects/market-transformation-solar-energy-pv-acceleration</t>
  </si>
  <si>
    <t>Energy (MW added)</t>
  </si>
  <si>
    <t xml:space="preserve">
Megawatts of renewable or low-emission energy capacity installed, generated or rehabilitated 
                                       </t>
  </si>
  <si>
    <t xml:space="preserve">
10 MW of solar PV capacity connected to the grid- year 2018
</t>
  </si>
  <si>
    <t xml:space="preserve">installation of the 560 kW of PVs in 10 municipal buildings </t>
  </si>
  <si>
    <t>The Project is supporting the development of two governmental decrees related to solar PV autoproducers: (i) Support measures for electricity produced by renewable sources; and (ii) Communities of renewable energies. 
Two pieces of legislation in support to the RES law.
The Project is supporting one economic model for catalyzing the use of solar PV systems, demonstrated through facilitation of an additional installed capacity of Solar PV.
10 pilot solar PV plants installed in four municipalities, with an overall capacity of 560 kW.
2124 people to benefit from services of solar power systems to be installed in 10 public buidings in municipalities of Shkoder, Klos, Diber and Permet
Exchange of know-how to share knowledge and experience on strategies for deploying solar PV and increase technical, planning, operational and entrepreneurial skills for integrating solar PV systems.</t>
  </si>
  <si>
    <t>Government of Germany; Government of Japan</t>
  </si>
  <si>
    <t>Non-VF</t>
  </si>
  <si>
    <t>Close the gap on energy access</t>
  </si>
  <si>
    <t>Solar</t>
  </si>
  <si>
    <t>all the country</t>
  </si>
  <si>
    <t>Yevgen: corrected the added capacity (560 kW)</t>
  </si>
  <si>
    <t>Electricity Access</t>
  </si>
  <si>
    <t>Number of people benefitting from services of solar power systems</t>
  </si>
  <si>
    <t>Yevgen: corrected the number of beneficiaries in baseline and target</t>
  </si>
  <si>
    <t>Capacity Building Training</t>
  </si>
  <si>
    <t>Number of people trained/educated/informed 
through technical transfers, dialogues, workshops, 
campaigns, and other efforts</t>
  </si>
  <si>
    <t>Croatia Education Recovery Support (Albania)</t>
  </si>
  <si>
    <t>https://open.undp.org/projects/00132984</t>
  </si>
  <si>
    <t>Education Services</t>
  </si>
  <si>
    <t>Number of students and teachers benefitting from clean energy systems</t>
  </si>
  <si>
    <t>"Iliria" 9 -year school and kindergarten has been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This facility provides better services for 156 students and 14 teachers.</t>
  </si>
  <si>
    <t>Government of Croatia</t>
  </si>
  <si>
    <t>Accelerating just energy transition</t>
  </si>
  <si>
    <t>Community Infrastructure Support (Albania)</t>
  </si>
  <si>
    <t>https://open.undp.org/projects/00129778</t>
  </si>
  <si>
    <t>3 education facilities are repaired and retroffited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</si>
  <si>
    <t>Government Of Albania; MPTF-SDGs Acceleration Fund for Albania with financing of the Government of Denmark and United Kingdom</t>
  </si>
  <si>
    <t>EU4Schools Phase I (Albania)</t>
  </si>
  <si>
    <t>https://open.undp.org/projects/00126861</t>
  </si>
  <si>
    <t xml:space="preserve">22 education facilities are repaired and retroffited  or built new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
  </si>
  <si>
    <t>European Commision</t>
  </si>
  <si>
    <t>EU4Schools Phase II (Albania)</t>
  </si>
  <si>
    <t>https://open.undp.org/projects/00129706</t>
  </si>
  <si>
    <t xml:space="preserve">41  education facilities are repaired and retroffited  or built new  in line with the best energy saving standards such as (i) high quality thermal insulated façade and terrace in an envelope system which prevents heat loss in the winter and heat gain in the summer, (ii) solar hot water collectors especially applied in kindergartens and dormitories, (iii) efficient lighting system as well as (iv) efficient heating systems. </t>
  </si>
  <si>
    <t xml:space="preserve"> </t>
  </si>
  <si>
    <t>Category</t>
  </si>
  <si>
    <t>Assist NDC implementation in Albania</t>
  </si>
  <si>
    <t>http://open.undp.org/projects/00142609</t>
  </si>
  <si>
    <t>US$127205</t>
  </si>
  <si>
    <t xml:space="preserve">
0.56
</t>
  </si>
  <si>
    <t>Renewable Energy</t>
  </si>
  <si>
    <t>Capacity Training</t>
  </si>
  <si>
    <t>US$1194743.13</t>
  </si>
  <si>
    <t>Number of education facilities repaired/reconstrcuted in line with best energy saving standards</t>
  </si>
  <si>
    <t>Energy Efficiency</t>
  </si>
  <si>
    <t>US$2611239</t>
  </si>
  <si>
    <t>3 education facilities are foreseen to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</si>
  <si>
    <t>US$16955148.23</t>
  </si>
  <si>
    <t>Numberof students and teachers benefitting from clean energy systems</t>
  </si>
  <si>
    <t>US$67752565.21</t>
  </si>
  <si>
    <t>Private Sector Development</t>
  </si>
  <si>
    <t>http://open.undp.org/projects/00134985</t>
  </si>
  <si>
    <t>Legislation</t>
  </si>
  <si>
    <t>0 - year 2020</t>
  </si>
  <si>
    <t>Two pieces of legislation in support to the RES law</t>
  </si>
  <si>
    <t xml:space="preserve">The Project is supporting the development of two governmental decrees related to solar PV autoproducers: (i) Support measures for electricity produced by renewable sources; and (ii) Communities of renewable energies. </t>
  </si>
  <si>
    <t>Financial instruments or models</t>
  </si>
  <si>
    <t>One financial instrument</t>
  </si>
  <si>
    <t>The Project is supporting one economic model for catalyzing the use of solar PV systems, demonstrated through facilitation of an additional installed capacity of Solar PV.</t>
  </si>
  <si>
    <t>Megawatts of renewable or low-emission energy capacity installed, generated or rehabilitated</t>
  </si>
  <si>
    <t>10 MW of solar PV capacity connected to the grid- year 2018</t>
  </si>
  <si>
    <t>10 pilot solar PV plants installed in four municipalities, with an overall capacity of 560 kW</t>
  </si>
  <si>
    <t>2124 people to benefit from services of solar power systems to be installed in 10 public buidings in municipalities of Shkoder, Klos, Diber and Permet</t>
  </si>
  <si>
    <t xml:space="preserve">Number of people trained/educated/informed through technical transfers, dialogues, workshops, campaigns, and other efforts </t>
  </si>
  <si>
    <t>At least 250 people trained/educated/informed</t>
  </si>
  <si>
    <t>Exchange of know-how to share knowledge and experience on strategies for deploying solar PV and increase technical, planning, operational and entrepreneurial skills for integrating solar PV systems.</t>
  </si>
  <si>
    <t>Number of education facilities where hot water system is foreseen with Solar Thermal System</t>
  </si>
  <si>
    <t>Number of LED lamps installed</t>
  </si>
  <si>
    <t>Number of education facilities with access to energy through solar panels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</si>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</sst>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ont>
    <font>
      <sz val="11"/>
      <color theme="1"/>
      <name val="Calibri"/>
    </font>
    <font>
      <sz val="11"/>
      <color rgb="FF000000"/>
      <name val="Calibri"/>
      <family val="2"/>
    </font>
    <font>
      <sz val="11"/>
      <color rgb="FF000000"/>
      <name val="Calibri"/>
      <charset val="1"/>
    </font>
    <font>
      <sz val="11"/>
      <color theme="1"/>
      <name val="Calibri"/>
      <family val="2"/>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E2EFDA"/>
        <bgColor indexed="64"/>
      </patternFill>
    </fill>
    <fill>
      <patternFill patternType="solid">
        <fgColor rgb="FFFFFF0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106">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0" fillId="3" borderId="0" xfId="0" applyFill="1"/>
    <xf numFmtId="0" fontId="0" fillId="2" borderId="0" xfId="0" applyFill="1" applyAlignment="1">
      <alignment wrapText="1"/>
    </xf>
    <xf numFmtId="0" fontId="0" fillId="3" borderId="0" xfId="0" applyFill="1" applyAlignment="1">
      <alignment wrapText="1"/>
    </xf>
    <xf numFmtId="0" fontId="4" fillId="3" borderId="0" xfId="0" applyFont="1" applyFill="1" applyAlignment="1">
      <alignment wrapText="1"/>
    </xf>
    <xf numFmtId="0" fontId="5" fillId="3" borderId="0" xfId="0" applyFont="1" applyFill="1" applyAlignment="1">
      <alignment wrapText="1"/>
    </xf>
    <xf numFmtId="43" fontId="0" fillId="0" borderId="0" xfId="0" applyNumberFormat="1"/>
    <xf numFmtId="0" fontId="0" fillId="0" borderId="0" xfId="0" applyAlignment="1">
      <alignment vertical="center" wrapText="1"/>
    </xf>
    <xf numFmtId="0" fontId="0" fillId="0" borderId="0" xfId="0" applyAlignment="1">
      <alignment vertical="top" wrapText="1"/>
    </xf>
    <xf numFmtId="0" fontId="6" fillId="0" borderId="0" xfId="0" applyFont="1" applyAlignment="1">
      <alignment vertical="center"/>
    </xf>
    <xf numFmtId="0" fontId="3" fillId="0" borderId="0" xfId="1" applyFill="1" applyBorder="1" applyAlignment="1" applyProtection="1">
      <alignment vertical="center" wrapText="1"/>
    </xf>
    <xf numFmtId="4" fontId="6"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horizontal="right" vertical="center"/>
    </xf>
    <xf numFmtId="0" fontId="3" fillId="0" borderId="0" xfId="1" applyAlignment="1" applyProtection="1">
      <alignment horizontal="left" vertical="center" wrapText="1"/>
    </xf>
    <xf numFmtId="4" fontId="4" fillId="0" borderId="0" xfId="0" applyNumberFormat="1" applyFont="1" applyAlignment="1">
      <alignment horizontal="right" vertical="center"/>
    </xf>
    <xf numFmtId="0" fontId="4" fillId="0" borderId="0" xfId="0" applyFont="1" applyAlignment="1">
      <alignment vertical="center"/>
    </xf>
    <xf numFmtId="0" fontId="4" fillId="0" borderId="0" xfId="0" applyFont="1" applyAlignment="1">
      <alignment vertical="center" wrapText="1"/>
    </xf>
    <xf numFmtId="0" fontId="2" fillId="0" borderId="2" xfId="0" applyFont="1" applyBorder="1"/>
    <xf numFmtId="0" fontId="6" fillId="0" borderId="0" xfId="0" applyFont="1"/>
    <xf numFmtId="0" fontId="3" fillId="0" borderId="0" xfId="1" applyFill="1" applyBorder="1" applyAlignment="1" applyProtection="1">
      <alignment wrapText="1"/>
    </xf>
    <xf numFmtId="4" fontId="6" fillId="0" borderId="0" xfId="0" applyNumberFormat="1" applyFont="1"/>
    <xf numFmtId="0" fontId="6" fillId="4" borderId="0" xfId="0" applyFont="1" applyFill="1" applyAlignment="1">
      <alignment wrapText="1"/>
    </xf>
    <xf numFmtId="0" fontId="0" fillId="4" borderId="0" xfId="0" applyFill="1"/>
    <xf numFmtId="0" fontId="0" fillId="0" borderId="0" xfId="0" applyAlignment="1">
      <alignment vertical="center"/>
    </xf>
    <xf numFmtId="0" fontId="0" fillId="0" borderId="0" xfId="0" applyAlignment="1">
      <alignment vertical="top"/>
    </xf>
    <xf numFmtId="0" fontId="0" fillId="0" borderId="3" xfId="0" applyBorder="1"/>
    <xf numFmtId="0" fontId="4" fillId="0" borderId="3" xfId="0" applyFont="1" applyBorder="1" applyAlignment="1">
      <alignment horizontal="right" vertical="center"/>
    </xf>
    <xf numFmtId="0" fontId="4" fillId="0" borderId="3" xfId="0" applyFont="1" applyBorder="1" applyAlignment="1">
      <alignment horizontal="left" vertical="center"/>
    </xf>
    <xf numFmtId="0" fontId="3" fillId="0" borderId="3" xfId="1" applyBorder="1" applyAlignment="1" applyProtection="1">
      <alignment horizontal="left" vertical="center" wrapText="1"/>
    </xf>
    <xf numFmtId="4" fontId="4" fillId="0" borderId="3" xfId="0" applyNumberFormat="1" applyFont="1" applyBorder="1" applyAlignment="1">
      <alignment horizontal="right" vertical="center"/>
    </xf>
    <xf numFmtId="0" fontId="6" fillId="0" borderId="3" xfId="0" applyFont="1" applyBorder="1" applyAlignment="1">
      <alignment vertical="center"/>
    </xf>
    <xf numFmtId="0" fontId="3" fillId="0" borderId="3" xfId="1" applyFill="1" applyBorder="1" applyAlignment="1" applyProtection="1">
      <alignment vertical="center" wrapText="1"/>
    </xf>
    <xf numFmtId="4" fontId="6" fillId="0" borderId="3" xfId="0" applyNumberFormat="1" applyFont="1" applyBorder="1" applyAlignment="1">
      <alignment vertical="center"/>
    </xf>
    <xf numFmtId="0" fontId="6" fillId="0" borderId="3" xfId="0" applyFont="1" applyBorder="1"/>
    <xf numFmtId="0" fontId="3" fillId="0" borderId="3" xfId="1" applyFill="1" applyBorder="1" applyAlignment="1" applyProtection="1">
      <alignment wrapText="1"/>
    </xf>
    <xf numFmtId="4" fontId="6" fillId="0" borderId="3" xfId="0" applyNumberFormat="1" applyFont="1" applyBorder="1"/>
    <xf numFmtId="0" fontId="0" fillId="0" borderId="3" xfId="0" applyBorder="1" applyAlignment="1">
      <alignment vertical="center"/>
    </xf>
    <xf numFmtId="0" fontId="0" fillId="0" borderId="3" xfId="0" applyBorder="1" applyAlignment="1">
      <alignment vertical="top"/>
    </xf>
    <xf numFmtId="0" fontId="2" fillId="0" borderId="3" xfId="0" applyFont="1" applyBorder="1" applyAlignment="1">
      <alignment horizontal="center" vertical="top"/>
    </xf>
    <xf numFmtId="0" fontId="2" fillId="0" borderId="3" xfId="0" applyFont="1" applyBorder="1"/>
    <xf numFmtId="0" fontId="0" fillId="0" borderId="3" xfId="0" applyBorder="1" applyAlignment="1">
      <alignment vertical="top" wrapText="1"/>
    </xf>
    <xf numFmtId="0" fontId="0" fillId="0" borderId="3" xfId="0" applyBorder="1" applyAlignment="1">
      <alignment horizontal="center" vertical="top" wrapText="1"/>
    </xf>
    <xf numFmtId="0" fontId="4" fillId="0" borderId="3" xfId="0" applyFont="1" applyBorder="1" applyAlignment="1">
      <alignment vertical="center"/>
    </xf>
    <xf numFmtId="0" fontId="4" fillId="0" borderId="3" xfId="0" applyFont="1" applyBorder="1" applyAlignment="1">
      <alignment vertical="center" wrapText="1"/>
    </xf>
    <xf numFmtId="0" fontId="0" fillId="0" borderId="3" xfId="0" applyBorder="1" applyAlignment="1">
      <alignment vertical="center" wrapText="1"/>
    </xf>
    <xf numFmtId="0" fontId="6" fillId="0" borderId="3" xfId="0" applyFont="1" applyBorder="1" applyAlignment="1">
      <alignment wrapText="1"/>
    </xf>
    <xf numFmtId="0" fontId="0" fillId="0" borderId="0" xfId="0" applyAlignment="1">
      <alignment horizontal="center" vertical="center"/>
    </xf>
    <xf numFmtId="0" fontId="7" fillId="0" borderId="0" xfId="0" applyFont="1" applyAlignment="1">
      <alignment horizontal="left" vertical="top" wrapText="1"/>
    </xf>
    <xf numFmtId="0" fontId="4" fillId="0" borderId="3" xfId="0" applyFont="1" applyBorder="1" applyAlignment="1">
      <alignment horizontal="center" vertical="center"/>
    </xf>
    <xf numFmtId="0" fontId="2" fillId="0" borderId="0" xfId="0" applyFont="1"/>
    <xf numFmtId="0" fontId="0" fillId="0" borderId="3"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xf>
    <xf numFmtId="0" fontId="3" fillId="0" borderId="4" xfId="1" applyBorder="1" applyAlignment="1" applyProtection="1">
      <alignment horizontal="center" vertical="center"/>
    </xf>
    <xf numFmtId="43" fontId="0" fillId="0" borderId="4" xfId="0" applyNumberFormat="1" applyBorder="1" applyAlignment="1">
      <alignment horizontal="center" vertical="center"/>
    </xf>
    <xf numFmtId="0" fontId="4" fillId="0" borderId="5" xfId="0" applyFont="1" applyBorder="1" applyAlignment="1">
      <alignment horizontal="center" vertical="center"/>
    </xf>
    <xf numFmtId="0" fontId="3" fillId="0" borderId="5" xfId="1" applyBorder="1" applyAlignment="1" applyProtection="1">
      <alignment horizontal="center" vertical="center" wrapText="1"/>
    </xf>
    <xf numFmtId="4" fontId="4" fillId="0" borderId="5" xfId="0" applyNumberFormat="1" applyFont="1" applyBorder="1" applyAlignment="1">
      <alignment horizontal="center" vertical="center"/>
    </xf>
    <xf numFmtId="0" fontId="6" fillId="0" borderId="3" xfId="0" applyFont="1" applyBorder="1" applyAlignment="1">
      <alignment horizontal="center" vertical="center"/>
    </xf>
    <xf numFmtId="0" fontId="3" fillId="0" borderId="3" xfId="1" applyFill="1" applyBorder="1" applyAlignment="1" applyProtection="1">
      <alignment horizontal="center" vertical="center" wrapText="1"/>
    </xf>
    <xf numFmtId="4" fontId="6" fillId="0" borderId="3" xfId="0" applyNumberFormat="1" applyFont="1" applyBorder="1" applyAlignment="1">
      <alignment horizontal="center" vertical="center"/>
    </xf>
    <xf numFmtId="0" fontId="6" fillId="0" borderId="3"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0" fillId="0" borderId="6" xfId="0" applyBorder="1" applyAlignment="1">
      <alignment horizontal="center" vertical="center" wrapText="1"/>
    </xf>
    <xf numFmtId="0" fontId="0" fillId="0" borderId="6" xfId="0" applyBorder="1" applyAlignment="1">
      <alignment horizontal="center" vertical="center"/>
    </xf>
    <xf numFmtId="0" fontId="8" fillId="0" borderId="3" xfId="0" applyFont="1" applyBorder="1" applyAlignment="1">
      <alignment horizontal="center" vertical="center" wrapText="1"/>
    </xf>
    <xf numFmtId="0" fontId="0" fillId="5" borderId="7" xfId="0" applyFill="1" applyBorder="1" applyAlignment="1">
      <alignment horizontal="center" vertical="center"/>
    </xf>
    <xf numFmtId="0" fontId="0" fillId="5" borderId="0" xfId="0" applyFill="1" applyAlignment="1">
      <alignment horizontal="center" vertical="center" wrapText="1"/>
    </xf>
    <xf numFmtId="0" fontId="0" fillId="5" borderId="3" xfId="0" applyFill="1" applyBorder="1" applyAlignment="1">
      <alignment horizontal="center" vertical="center" wrapText="1"/>
    </xf>
    <xf numFmtId="0" fontId="7" fillId="0" borderId="3" xfId="0" applyFont="1" applyBorder="1" applyAlignment="1">
      <alignment horizontal="center" vertical="center" wrapText="1"/>
    </xf>
    <xf numFmtId="0" fontId="0" fillId="0" borderId="9" xfId="0" applyBorder="1" applyAlignment="1">
      <alignment horizontal="center" vertical="center"/>
    </xf>
    <xf numFmtId="0" fontId="0" fillId="0" borderId="7" xfId="0" applyBorder="1" applyAlignment="1">
      <alignment horizontal="center" vertical="center" wrapText="1"/>
    </xf>
    <xf numFmtId="0" fontId="6" fillId="0" borderId="5" xfId="0" applyFont="1" applyBorder="1" applyAlignment="1">
      <alignment horizontal="center" vertical="center" wrapText="1"/>
    </xf>
    <xf numFmtId="0" fontId="0" fillId="0" borderId="10" xfId="0" applyBorder="1" applyAlignment="1">
      <alignment horizontal="center" vertical="center"/>
    </xf>
    <xf numFmtId="0" fontId="3" fillId="0" borderId="11" xfId="1" applyBorder="1" applyAlignment="1" applyProtection="1">
      <alignment horizontal="center" vertical="center"/>
    </xf>
    <xf numFmtId="43" fontId="0" fillId="0" borderId="12" xfId="0" applyNumberFormat="1" applyBorder="1" applyAlignment="1">
      <alignment horizontal="center" vertical="center"/>
    </xf>
    <xf numFmtId="0" fontId="0" fillId="0" borderId="13" xfId="0" applyBorder="1" applyAlignment="1">
      <alignment horizontal="center" vertical="center"/>
    </xf>
    <xf numFmtId="0" fontId="3" fillId="0" borderId="2" xfId="1" applyBorder="1" applyAlignment="1" applyProtection="1">
      <alignment horizontal="center" vertical="center"/>
    </xf>
    <xf numFmtId="43" fontId="0" fillId="0" borderId="14" xfId="0" applyNumberFormat="1" applyBorder="1" applyAlignment="1">
      <alignment horizontal="center" vertical="center"/>
    </xf>
    <xf numFmtId="0" fontId="0" fillId="0" borderId="11" xfId="0" applyBorder="1" applyAlignment="1">
      <alignment horizontal="center" vertical="center"/>
    </xf>
    <xf numFmtId="0" fontId="0" fillId="0" borderId="2" xfId="0" applyBorder="1" applyAlignment="1">
      <alignment horizontal="center" vertical="center"/>
    </xf>
    <xf numFmtId="0" fontId="2" fillId="0" borderId="3" xfId="0" applyFont="1" applyBorder="1" applyAlignment="1">
      <alignment horizontal="center"/>
    </xf>
    <xf numFmtId="0" fontId="9" fillId="0" borderId="3" xfId="0" applyFont="1" applyBorder="1" applyAlignment="1">
      <alignment horizontal="center" vertical="top" wrapText="1"/>
    </xf>
    <xf numFmtId="0" fontId="10" fillId="0" borderId="3" xfId="0" applyFont="1" applyBorder="1" applyAlignment="1">
      <alignment wrapText="1"/>
    </xf>
    <xf numFmtId="0" fontId="2" fillId="0" borderId="4" xfId="0" applyFont="1" applyBorder="1" applyAlignment="1">
      <alignment horizontal="center"/>
    </xf>
    <xf numFmtId="0" fontId="2" fillId="0" borderId="10" xfId="0" applyFont="1" applyBorder="1" applyAlignment="1">
      <alignment horizontal="center"/>
    </xf>
    <xf numFmtId="0" fontId="2" fillId="0" borderId="4" xfId="0" applyFont="1" applyBorder="1"/>
    <xf numFmtId="0" fontId="0" fillId="0" borderId="4" xfId="0" applyBorder="1" applyAlignment="1">
      <alignment horizontal="center" vertical="center" wrapText="1"/>
    </xf>
    <xf numFmtId="0" fontId="0" fillId="0" borderId="8" xfId="0"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top"/>
    </xf>
    <xf numFmtId="0" fontId="0" fillId="0" borderId="5" xfId="0" applyBorder="1" applyAlignment="1">
      <alignment horizontal="center" vertical="top"/>
    </xf>
    <xf numFmtId="0" fontId="3" fillId="0" borderId="4" xfId="1" applyBorder="1" applyAlignment="1" applyProtection="1">
      <alignment horizontal="center" vertical="top"/>
    </xf>
    <xf numFmtId="0" fontId="3" fillId="0" borderId="5" xfId="1" applyBorder="1" applyAlignment="1" applyProtection="1">
      <alignment horizontal="center" vertical="top"/>
    </xf>
    <xf numFmtId="43" fontId="0" fillId="0" borderId="4" xfId="0" applyNumberFormat="1" applyBorder="1" applyAlignment="1">
      <alignment horizontal="center" vertical="top"/>
    </xf>
    <xf numFmtId="43" fontId="0" fillId="0" borderId="5" xfId="0" applyNumberFormat="1" applyBorder="1" applyAlignment="1">
      <alignment horizontal="center" vertical="top"/>
    </xf>
    <xf numFmtId="0" fontId="0" fillId="0" borderId="4" xfId="0" applyBorder="1" applyAlignment="1">
      <alignment horizontal="center" vertical="top" wrapText="1"/>
    </xf>
    <xf numFmtId="0" fontId="0" fillId="0" borderId="5" xfId="0" applyBorder="1" applyAlignment="1">
      <alignment horizontal="center" vertical="top" wrapText="1"/>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129778" TargetMode="External"/><Relationship Id="rId2" Type="http://schemas.openxmlformats.org/officeDocument/2006/relationships/hyperlink" Target="https://open.undp.org/projects/00132984" TargetMode="External"/><Relationship Id="rId1" Type="http://schemas.openxmlformats.org/officeDocument/2006/relationships/hyperlink" Target="https://www.undp.org/albania/projects/market-transformation-solar-energy-pv-acceleration" TargetMode="External"/><Relationship Id="rId5" Type="http://schemas.openxmlformats.org/officeDocument/2006/relationships/hyperlink" Target="https://open.undp.org/projects/00126861" TargetMode="External"/><Relationship Id="rId4" Type="http://schemas.openxmlformats.org/officeDocument/2006/relationships/hyperlink" Target="https://open.undp.org/projects/00129706"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129778" TargetMode="External"/><Relationship Id="rId2" Type="http://schemas.openxmlformats.org/officeDocument/2006/relationships/hyperlink" Target="https://open.undp.org/projects/00132984" TargetMode="External"/><Relationship Id="rId1" Type="http://schemas.openxmlformats.org/officeDocument/2006/relationships/hyperlink" Target="http://open.undp.org/projects/00142609" TargetMode="External"/><Relationship Id="rId6" Type="http://schemas.openxmlformats.org/officeDocument/2006/relationships/hyperlink" Target="https://open.undp.org/projects/00126861" TargetMode="External"/><Relationship Id="rId5" Type="http://schemas.openxmlformats.org/officeDocument/2006/relationships/hyperlink" Target="https://open.undp.org/projects/00132984" TargetMode="External"/><Relationship Id="rId4" Type="http://schemas.openxmlformats.org/officeDocument/2006/relationships/hyperlink" Target="https://open.undp.org/projects/00129706"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open.undp.org/projects/00129706" TargetMode="External"/><Relationship Id="rId13" Type="http://schemas.openxmlformats.org/officeDocument/2006/relationships/hyperlink" Target="https://open.undp.org/projects/00126861" TargetMode="External"/><Relationship Id="rId3" Type="http://schemas.openxmlformats.org/officeDocument/2006/relationships/hyperlink" Target="https://open.undp.org/projects/00132984" TargetMode="External"/><Relationship Id="rId7" Type="http://schemas.openxmlformats.org/officeDocument/2006/relationships/hyperlink" Target="https://open.undp.org/projects/00129706" TargetMode="External"/><Relationship Id="rId12" Type="http://schemas.openxmlformats.org/officeDocument/2006/relationships/hyperlink" Target="https://open.undp.org/projects/00129778" TargetMode="External"/><Relationship Id="rId2" Type="http://schemas.openxmlformats.org/officeDocument/2006/relationships/hyperlink" Target="http://open.undp.org/projects/00142609" TargetMode="External"/><Relationship Id="rId1" Type="http://schemas.openxmlformats.org/officeDocument/2006/relationships/hyperlink" Target="http://open.undp.org/projects/00134985" TargetMode="External"/><Relationship Id="rId6" Type="http://schemas.openxmlformats.org/officeDocument/2006/relationships/hyperlink" Target="https://open.undp.org/projects/00129706" TargetMode="External"/><Relationship Id="rId11" Type="http://schemas.openxmlformats.org/officeDocument/2006/relationships/hyperlink" Target="https://open.undp.org/projects/00132984" TargetMode="External"/><Relationship Id="rId5" Type="http://schemas.openxmlformats.org/officeDocument/2006/relationships/hyperlink" Target="https://open.undp.org/projects/00129706" TargetMode="External"/><Relationship Id="rId15" Type="http://schemas.openxmlformats.org/officeDocument/2006/relationships/hyperlink" Target="https://open.undp.org/projects/00126861" TargetMode="External"/><Relationship Id="rId10" Type="http://schemas.openxmlformats.org/officeDocument/2006/relationships/hyperlink" Target="https://open.undp.org/projects/00132984" TargetMode="External"/><Relationship Id="rId4" Type="http://schemas.openxmlformats.org/officeDocument/2006/relationships/hyperlink" Target="https://open.undp.org/projects/00129778" TargetMode="External"/><Relationship Id="rId9" Type="http://schemas.openxmlformats.org/officeDocument/2006/relationships/hyperlink" Target="https://open.undp.org/projects/00132984" TargetMode="External"/><Relationship Id="rId14" Type="http://schemas.openxmlformats.org/officeDocument/2006/relationships/hyperlink" Target="https://open.undp.org/projects/001268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3D3B4-462C-4974-B3DB-74F2A245E8C5}">
  <dimension ref="A1:V9"/>
  <sheetViews>
    <sheetView showGridLines="0" tabSelected="1" topLeftCell="D1" workbookViewId="0">
      <selection activeCell="H11" sqref="H11"/>
    </sheetView>
  </sheetViews>
  <sheetFormatPr defaultRowHeight="15"/>
  <cols>
    <col min="1" max="1" width="11.5703125" customWidth="1"/>
    <col min="2" max="2" width="41.85546875" bestFit="1" customWidth="1"/>
    <col min="3" max="3" width="37.140625" customWidth="1"/>
    <col min="4" max="4" width="16.140625" bestFit="1" customWidth="1"/>
    <col min="5" max="5" width="24" bestFit="1" customWidth="1"/>
    <col min="6" max="6" width="27.85546875" customWidth="1"/>
    <col min="7" max="7" width="18.85546875" customWidth="1"/>
    <col min="8" max="8" width="26.7109375" customWidth="1"/>
    <col min="9" max="9" width="48.42578125" customWidth="1"/>
    <col min="10" max="10" width="21.5703125" bestFit="1" customWidth="1"/>
    <col min="11" max="11" width="19.5703125" customWidth="1"/>
    <col min="12" max="12" width="17.85546875" customWidth="1"/>
    <col min="14" max="14" width="31.7109375" bestFit="1" customWidth="1"/>
    <col min="15" max="15" width="17.5703125" bestFit="1" customWidth="1"/>
    <col min="16" max="16" width="17.5703125" customWidth="1"/>
    <col min="17" max="17" width="16.5703125" bestFit="1" customWidth="1"/>
    <col min="18" max="18" width="16.7109375" customWidth="1"/>
    <col min="19" max="19" width="11.28515625" bestFit="1" customWidth="1"/>
    <col min="20" max="20" width="30.28515625" bestFit="1" customWidth="1"/>
    <col min="21" max="21" width="16.7109375" bestFit="1" customWidth="1"/>
  </cols>
  <sheetData>
    <row r="1" spans="1:22">
      <c r="A1" s="66" t="s">
        <v>0</v>
      </c>
      <c r="B1" s="66" t="s">
        <v>1</v>
      </c>
      <c r="C1" s="66" t="s">
        <v>2</v>
      </c>
      <c r="D1" s="66" t="s">
        <v>3</v>
      </c>
      <c r="E1" s="66" t="s">
        <v>4</v>
      </c>
      <c r="F1" s="66" t="s">
        <v>5</v>
      </c>
      <c r="G1" s="66" t="s">
        <v>6</v>
      </c>
      <c r="H1" s="66" t="s">
        <v>7</v>
      </c>
      <c r="I1" s="66" t="s">
        <v>8</v>
      </c>
      <c r="J1" s="66" t="s">
        <v>9</v>
      </c>
      <c r="K1" s="67" t="s">
        <v>10</v>
      </c>
      <c r="L1" s="86" t="s">
        <v>11</v>
      </c>
      <c r="M1" s="89" t="s">
        <v>12</v>
      </c>
      <c r="N1" s="86" t="s">
        <v>13</v>
      </c>
      <c r="O1" s="86" t="s">
        <v>14</v>
      </c>
      <c r="P1" s="89" t="s">
        <v>15</v>
      </c>
      <c r="Q1" s="89" t="s">
        <v>16</v>
      </c>
      <c r="R1" s="90" t="s">
        <v>17</v>
      </c>
      <c r="S1" s="91" t="s">
        <v>18</v>
      </c>
      <c r="T1" s="90" t="s">
        <v>19</v>
      </c>
      <c r="U1" s="91" t="s">
        <v>20</v>
      </c>
    </row>
    <row r="2" spans="1:22" ht="262.5" customHeight="1">
      <c r="A2" s="56">
        <v>142609</v>
      </c>
      <c r="B2" s="56" t="s">
        <v>21</v>
      </c>
      <c r="C2" s="57" t="s">
        <v>22</v>
      </c>
      <c r="D2" s="58">
        <v>867505</v>
      </c>
      <c r="E2" s="54" t="s">
        <v>23</v>
      </c>
      <c r="F2" s="55" t="s">
        <v>24</v>
      </c>
      <c r="G2" s="55" t="s">
        <v>25</v>
      </c>
      <c r="H2" s="55" t="s">
        <v>26</v>
      </c>
      <c r="I2" s="92" t="s">
        <v>27</v>
      </c>
      <c r="J2" s="68" t="s">
        <v>28</v>
      </c>
      <c r="K2" s="69"/>
      <c r="L2" s="69" t="s">
        <v>29</v>
      </c>
      <c r="M2" s="54"/>
      <c r="N2" s="76" t="s">
        <v>30</v>
      </c>
      <c r="O2" s="54"/>
      <c r="P2" s="54"/>
      <c r="Q2" s="54"/>
      <c r="R2" s="54"/>
      <c r="S2" s="40" t="s">
        <v>31</v>
      </c>
      <c r="T2" s="54"/>
      <c r="U2" s="40" t="s">
        <v>32</v>
      </c>
      <c r="V2" t="s">
        <v>33</v>
      </c>
    </row>
    <row r="3" spans="1:22" ht="262.5" customHeight="1">
      <c r="A3" s="78"/>
      <c r="B3" s="84"/>
      <c r="C3" s="79"/>
      <c r="D3" s="80"/>
      <c r="E3" s="71" t="s">
        <v>34</v>
      </c>
      <c r="F3" s="72" t="s">
        <v>35</v>
      </c>
      <c r="G3" s="73">
        <v>0</v>
      </c>
      <c r="H3" s="73">
        <v>2124</v>
      </c>
      <c r="I3" s="93"/>
      <c r="J3" s="68"/>
      <c r="K3" s="69"/>
      <c r="L3" s="54" t="s">
        <v>29</v>
      </c>
      <c r="M3" s="54"/>
      <c r="N3" s="54" t="s">
        <v>30</v>
      </c>
      <c r="O3" s="69"/>
      <c r="P3" s="29"/>
      <c r="Q3" s="54"/>
      <c r="R3" s="54"/>
      <c r="S3" s="40" t="s">
        <v>31</v>
      </c>
      <c r="T3" s="54"/>
      <c r="U3" s="40"/>
      <c r="V3" t="s">
        <v>36</v>
      </c>
    </row>
    <row r="4" spans="1:22" ht="125.25" customHeight="1">
      <c r="A4" s="81"/>
      <c r="B4" s="85"/>
      <c r="C4" s="82"/>
      <c r="D4" s="83"/>
      <c r="E4" s="75" t="s">
        <v>37</v>
      </c>
      <c r="F4" s="74" t="s">
        <v>38</v>
      </c>
      <c r="G4" s="76">
        <v>0</v>
      </c>
      <c r="H4" s="55">
        <v>250</v>
      </c>
      <c r="I4" s="94"/>
      <c r="J4" s="54"/>
      <c r="K4" s="69"/>
      <c r="L4" s="54" t="s">
        <v>29</v>
      </c>
      <c r="M4" s="54"/>
      <c r="N4" s="54" t="s">
        <v>30</v>
      </c>
      <c r="O4" s="69"/>
      <c r="P4" s="29"/>
      <c r="Q4" s="54"/>
      <c r="R4" s="54"/>
      <c r="S4" s="40"/>
      <c r="T4" s="54"/>
      <c r="U4" s="40"/>
    </row>
    <row r="5" spans="1:22" ht="152.25">
      <c r="A5" s="59">
        <v>132984</v>
      </c>
      <c r="B5" s="59" t="s">
        <v>39</v>
      </c>
      <c r="C5" s="60" t="s">
        <v>40</v>
      </c>
      <c r="D5" s="61">
        <v>1194743.1299999999</v>
      </c>
      <c r="E5" s="52" t="s">
        <v>41</v>
      </c>
      <c r="F5" s="77" t="s">
        <v>42</v>
      </c>
      <c r="G5" s="52">
        <v>0</v>
      </c>
      <c r="H5" s="52">
        <v>170</v>
      </c>
      <c r="I5" s="55" t="s">
        <v>43</v>
      </c>
      <c r="J5" s="54" t="s">
        <v>44</v>
      </c>
      <c r="K5" s="69"/>
      <c r="L5" s="54" t="s">
        <v>29</v>
      </c>
      <c r="M5" s="54"/>
      <c r="N5" s="54" t="s">
        <v>45</v>
      </c>
      <c r="O5" s="69"/>
      <c r="P5" s="29"/>
      <c r="Q5" s="54"/>
      <c r="R5" s="54"/>
      <c r="S5" s="40"/>
      <c r="T5" s="54"/>
      <c r="U5" s="40"/>
    </row>
    <row r="6" spans="1:22" ht="152.25">
      <c r="A6" s="62">
        <v>129778</v>
      </c>
      <c r="B6" s="62" t="s">
        <v>46</v>
      </c>
      <c r="C6" s="63" t="s">
        <v>47</v>
      </c>
      <c r="D6" s="64">
        <v>2611239</v>
      </c>
      <c r="E6" s="52" t="s">
        <v>41</v>
      </c>
      <c r="F6" s="65" t="s">
        <v>42</v>
      </c>
      <c r="G6" s="52">
        <v>0</v>
      </c>
      <c r="H6" s="52">
        <v>906</v>
      </c>
      <c r="I6" s="55" t="s">
        <v>48</v>
      </c>
      <c r="J6" s="70" t="s">
        <v>49</v>
      </c>
      <c r="K6" s="69"/>
      <c r="L6" s="54" t="s">
        <v>29</v>
      </c>
      <c r="M6" s="54"/>
      <c r="N6" s="54" t="s">
        <v>45</v>
      </c>
      <c r="O6" s="69"/>
      <c r="P6" s="29"/>
      <c r="Q6" s="54"/>
      <c r="R6" s="54"/>
      <c r="S6" s="40"/>
      <c r="T6" s="54"/>
      <c r="U6" s="40"/>
    </row>
    <row r="7" spans="1:22" s="27" customFormat="1" ht="121.5">
      <c r="A7" s="62">
        <v>126861</v>
      </c>
      <c r="B7" s="62" t="s">
        <v>50</v>
      </c>
      <c r="C7" s="63" t="s">
        <v>51</v>
      </c>
      <c r="D7" s="64">
        <v>16955148.23</v>
      </c>
      <c r="E7" s="65" t="s">
        <v>41</v>
      </c>
      <c r="F7" s="65" t="s">
        <v>42</v>
      </c>
      <c r="G7" s="54">
        <v>0</v>
      </c>
      <c r="H7" s="65">
        <v>1429</v>
      </c>
      <c r="I7" s="55" t="s">
        <v>52</v>
      </c>
      <c r="J7" s="54" t="s">
        <v>53</v>
      </c>
      <c r="K7" s="69"/>
      <c r="L7" s="54" t="s">
        <v>29</v>
      </c>
      <c r="M7" s="50"/>
      <c r="N7" s="54" t="s">
        <v>45</v>
      </c>
      <c r="O7" s="69"/>
      <c r="P7" s="40"/>
      <c r="Q7" s="54"/>
      <c r="R7" s="54"/>
      <c r="S7" s="40"/>
      <c r="T7" s="54"/>
      <c r="U7" s="40"/>
    </row>
    <row r="8" spans="1:22" s="28" customFormat="1" ht="123" customHeight="1">
      <c r="A8" s="62">
        <v>129706</v>
      </c>
      <c r="B8" s="62" t="s">
        <v>54</v>
      </c>
      <c r="C8" s="63" t="s">
        <v>55</v>
      </c>
      <c r="D8" s="64">
        <v>67752565.209999993</v>
      </c>
      <c r="E8" s="65" t="s">
        <v>41</v>
      </c>
      <c r="F8" s="65" t="s">
        <v>42</v>
      </c>
      <c r="G8" s="54">
        <v>177</v>
      </c>
      <c r="H8" s="65">
        <v>4490</v>
      </c>
      <c r="I8" s="55" t="s">
        <v>56</v>
      </c>
      <c r="J8" s="54" t="s">
        <v>53</v>
      </c>
      <c r="K8" s="69"/>
      <c r="L8" s="54" t="s">
        <v>29</v>
      </c>
      <c r="M8" s="54"/>
      <c r="N8" s="54" t="s">
        <v>45</v>
      </c>
      <c r="O8" s="69"/>
      <c r="P8" s="41"/>
      <c r="Q8" s="54"/>
      <c r="R8" s="54"/>
      <c r="S8" s="40"/>
      <c r="T8" s="54"/>
      <c r="U8" s="40"/>
    </row>
    <row r="9" spans="1:22" s="28" customFormat="1">
      <c r="A9" s="62"/>
      <c r="B9" s="62"/>
      <c r="C9" s="63"/>
      <c r="D9" s="64"/>
      <c r="E9" s="65" t="s">
        <v>41</v>
      </c>
      <c r="F9" s="65" t="s">
        <v>57</v>
      </c>
      <c r="G9" s="54" t="s">
        <v>57</v>
      </c>
      <c r="H9" s="65" t="s">
        <v>57</v>
      </c>
      <c r="I9" s="54"/>
      <c r="J9" s="54"/>
      <c r="K9" s="69"/>
      <c r="L9" s="54" t="s">
        <v>29</v>
      </c>
      <c r="M9" s="54"/>
      <c r="N9" s="54" t="s">
        <v>45</v>
      </c>
      <c r="O9" s="69"/>
      <c r="P9" s="41"/>
      <c r="Q9" s="54"/>
      <c r="R9" s="54"/>
      <c r="S9" s="40"/>
      <c r="T9" s="54"/>
      <c r="U9" s="40"/>
    </row>
  </sheetData>
  <mergeCells count="1">
    <mergeCell ref="I2:I4"/>
  </mergeCells>
  <dataValidations count="9">
    <dataValidation type="list" allowBlank="1" showInputMessage="1" showErrorMessage="1" sqref="Q2:Q9" xr:uid="{F0B5E755-4D80-468E-9554-BF31C10DA503}">
      <formula1>"NDC Support, National Strategy, Legal Framework,Incentives and Support, Government Capacity-Building, Carbon Pricing and Monitoring, Financing Model, Business Model"</formula1>
    </dataValidation>
    <dataValidation type="list" allowBlank="1" showInputMessage="1" showErrorMessage="1" sqref="N2:N9" xr:uid="{5B486731-1E01-4C71-B950-F19C83A2FE5E}">
      <formula1>"Accelerating just energy transition, Close the gap on energy access, Scale up energy finance"</formula1>
    </dataValidation>
    <dataValidation type="list" allowBlank="1" showInputMessage="1" showErrorMessage="1" sqref="O2:O9" xr:uid="{5E2762E4-4FF6-4CA5-98B5-0C9730D19F23}">
      <formula1>"Electricity Access, Energy Efficiency, Clean Cooking, Renewable Energy, Overall"</formula1>
    </dataValidation>
    <dataValidation type="list" allowBlank="1" showInputMessage="1" showErrorMessage="1" sqref="L2:L9" xr:uid="{0BA6ABB9-7E9C-4C5C-9551-4DF2E35BB4ED}">
      <formula1>"Non-VF, VF"</formula1>
    </dataValidation>
    <dataValidation type="list" allowBlank="1" showInputMessage="1" showErrorMessage="1" sqref="M2:M9" xr:uid="{16EC14BB-97CF-440A-8C80-939C9C54808D}">
      <formula1>"Finance, Gender, Efficiency, Just, Health"</formula1>
    </dataValidation>
    <dataValidation type="list" allowBlank="1" showInputMessage="1" showErrorMessage="1" sqref="T2:T9" xr:uid="{2F932545-4F6C-4A35-9387-AAC9B0CBB0A9}">
      <formula1>"National, Regional, City, Community"</formula1>
    </dataValidation>
    <dataValidation type="list" allowBlank="1" showInputMessage="1" showErrorMessage="1" sqref="P2:P9" xr:uid="{69E6263A-BF4D-43FA-BF21-1B97A57E6595}">
      <formula1>"AMP, PUDC, Solar4Health, Action Opportunities, Italy UNDP Energy Partnership"</formula1>
    </dataValidation>
    <dataValidation type="list" allowBlank="1" showInputMessage="1" showErrorMessage="1" sqref="S2:S9" xr:uid="{C7BC0223-BC6E-4EE0-A5E3-2FA62674C18F}">
      <formula1>"Solar, Wind, Bioenergy, Hydro, Geothermal, Waste, Other, Unknown"</formula1>
    </dataValidation>
    <dataValidation type="list" allowBlank="1" showInputMessage="1" showErrorMessage="1" sqref="R2:R9" xr:uid="{FC29119A-2590-4AB8-B889-4F4E71239DE6}">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163891F0-F73D-4615-AB50-9BA7C26FFABE}"/>
    <hyperlink ref="C5" r:id="rId2" xr:uid="{87FF4869-174A-4EF5-8C4F-B572780FD89B}"/>
    <hyperlink ref="C6" r:id="rId3" xr:uid="{68BE62BB-3B03-4A91-80C4-FBFC23E3B0F4}"/>
    <hyperlink ref="C8" r:id="rId4" xr:uid="{32E5A0FD-56FC-4806-9960-2785A853EFB4}"/>
    <hyperlink ref="C7" r:id="rId5" xr:uid="{B0C15A0B-EDC9-457D-A93A-3F1568B59FD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CC40CC-38D4-4FBC-88C8-6A323AB6E55A}">
          <x14:formula1>
            <xm:f>'Beneficiary Categories'!$A$2:$A$22</xm:f>
          </x14:formula1>
          <xm:sqref>E2:E9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8FA07-5000-4073-9FB9-FFD62093D88A}">
  <dimension ref="A1:S8"/>
  <sheetViews>
    <sheetView workbookViewId="0">
      <selection activeCell="A2" sqref="A2:A3"/>
    </sheetView>
  </sheetViews>
  <sheetFormatPr defaultRowHeight="15"/>
  <cols>
    <col min="1" max="1" width="11.5703125" customWidth="1"/>
    <col min="2" max="2" width="36.42578125" customWidth="1"/>
    <col min="3" max="3" width="37.140625" customWidth="1"/>
    <col min="4" max="4" width="13.7109375" bestFit="1" customWidth="1"/>
    <col min="5" max="5" width="20.7109375" customWidth="1"/>
    <col min="6" max="6" width="38.85546875" customWidth="1"/>
    <col min="7" max="7" width="18.85546875" customWidth="1"/>
    <col min="8" max="8" width="26.7109375" customWidth="1"/>
    <col min="9" max="9" width="32.7109375" customWidth="1"/>
    <col min="11" max="11" width="14.5703125" customWidth="1"/>
    <col min="12" max="12" width="17.85546875" customWidth="1"/>
  </cols>
  <sheetData>
    <row r="1" spans="1:19">
      <c r="A1" s="42" t="s">
        <v>0</v>
      </c>
      <c r="B1" s="42" t="s">
        <v>1</v>
      </c>
      <c r="C1" s="42" t="s">
        <v>2</v>
      </c>
      <c r="D1" s="42" t="s">
        <v>3</v>
      </c>
      <c r="E1" s="42" t="s">
        <v>4</v>
      </c>
      <c r="F1" s="42" t="s">
        <v>5</v>
      </c>
      <c r="G1" s="42" t="s">
        <v>6</v>
      </c>
      <c r="H1" s="42" t="s">
        <v>7</v>
      </c>
      <c r="I1" s="42" t="s">
        <v>8</v>
      </c>
      <c r="J1" s="43" t="s">
        <v>9</v>
      </c>
      <c r="K1" s="43" t="s">
        <v>10</v>
      </c>
      <c r="L1" s="43" t="s">
        <v>58</v>
      </c>
      <c r="O1" s="53" t="s">
        <v>13</v>
      </c>
      <c r="P1" s="53" t="s">
        <v>14</v>
      </c>
      <c r="Q1" s="53" t="s">
        <v>15</v>
      </c>
      <c r="R1" s="53" t="s">
        <v>16</v>
      </c>
      <c r="S1" s="53" t="s">
        <v>17</v>
      </c>
    </row>
    <row r="2" spans="1:19" ht="262.5" customHeight="1">
      <c r="A2" s="95">
        <v>142609</v>
      </c>
      <c r="B2" s="95" t="s">
        <v>59</v>
      </c>
      <c r="C2" s="97" t="s">
        <v>60</v>
      </c>
      <c r="D2" s="99" t="s">
        <v>61</v>
      </c>
      <c r="E2" s="41" t="s">
        <v>23</v>
      </c>
      <c r="F2" s="44" t="s">
        <v>24</v>
      </c>
      <c r="G2" s="45" t="s">
        <v>25</v>
      </c>
      <c r="H2" s="45" t="s">
        <v>62</v>
      </c>
      <c r="I2" s="101" t="s">
        <v>27</v>
      </c>
      <c r="J2" s="29"/>
      <c r="K2" s="29"/>
      <c r="L2" s="50" t="s">
        <v>29</v>
      </c>
      <c r="O2" t="s">
        <v>30</v>
      </c>
      <c r="P2" t="s">
        <v>63</v>
      </c>
    </row>
    <row r="3" spans="1:19" ht="409.6" customHeight="1">
      <c r="A3" s="96"/>
      <c r="B3" s="96"/>
      <c r="C3" s="98"/>
      <c r="D3" s="100"/>
      <c r="E3" s="41" t="s">
        <v>64</v>
      </c>
      <c r="F3" s="51" t="s">
        <v>38</v>
      </c>
      <c r="G3" s="45">
        <v>0</v>
      </c>
      <c r="H3" s="45">
        <v>250</v>
      </c>
      <c r="I3" s="102"/>
      <c r="J3" s="29"/>
      <c r="K3" s="29"/>
      <c r="L3" s="50"/>
    </row>
    <row r="4" spans="1:19" ht="229.5">
      <c r="A4" s="30">
        <v>125245</v>
      </c>
      <c r="B4" s="31" t="s">
        <v>39</v>
      </c>
      <c r="C4" s="32" t="s">
        <v>40</v>
      </c>
      <c r="D4" s="33" t="s">
        <v>65</v>
      </c>
      <c r="E4" s="46" t="s">
        <v>41</v>
      </c>
      <c r="F4" s="47" t="s">
        <v>66</v>
      </c>
      <c r="G4" s="46">
        <v>0</v>
      </c>
      <c r="H4" s="52">
        <v>170</v>
      </c>
      <c r="I4" s="44" t="s">
        <v>43</v>
      </c>
      <c r="J4" s="29"/>
      <c r="K4" s="29"/>
      <c r="L4" s="50" t="s">
        <v>29</v>
      </c>
      <c r="O4" t="s">
        <v>45</v>
      </c>
      <c r="P4" t="s">
        <v>67</v>
      </c>
    </row>
    <row r="5" spans="1:19" ht="229.5">
      <c r="A5" s="34">
        <v>123351</v>
      </c>
      <c r="B5" s="34" t="s">
        <v>46</v>
      </c>
      <c r="C5" s="35" t="s">
        <v>47</v>
      </c>
      <c r="D5" s="36" t="s">
        <v>68</v>
      </c>
      <c r="E5" s="46" t="s">
        <v>41</v>
      </c>
      <c r="F5" s="47" t="s">
        <v>66</v>
      </c>
      <c r="G5" s="46">
        <v>0</v>
      </c>
      <c r="H5" s="52">
        <v>906</v>
      </c>
      <c r="I5" s="48" t="s">
        <v>69</v>
      </c>
      <c r="J5" s="29"/>
      <c r="K5" s="29"/>
      <c r="L5" s="50" t="s">
        <v>29</v>
      </c>
      <c r="O5" t="s">
        <v>45</v>
      </c>
      <c r="P5" t="s">
        <v>67</v>
      </c>
    </row>
    <row r="6" spans="1:19" s="27" customFormat="1" ht="30.75">
      <c r="A6" s="37">
        <v>120786</v>
      </c>
      <c r="B6" s="37" t="s">
        <v>50</v>
      </c>
      <c r="C6" s="38" t="s">
        <v>51</v>
      </c>
      <c r="D6" s="39" t="s">
        <v>70</v>
      </c>
      <c r="E6" s="49" t="s">
        <v>41</v>
      </c>
      <c r="F6" s="49" t="s">
        <v>71</v>
      </c>
      <c r="G6" s="29">
        <v>0</v>
      </c>
      <c r="H6" s="49">
        <v>1429</v>
      </c>
      <c r="I6" s="29"/>
      <c r="J6" s="40"/>
      <c r="K6" s="40"/>
      <c r="L6" s="50" t="s">
        <v>29</v>
      </c>
      <c r="O6"/>
      <c r="P6"/>
      <c r="Q6"/>
      <c r="R6"/>
      <c r="S6"/>
    </row>
    <row r="7" spans="1:19" s="28" customFormat="1" ht="30.75">
      <c r="A7" s="37">
        <v>123296</v>
      </c>
      <c r="B7" s="37" t="s">
        <v>54</v>
      </c>
      <c r="C7" s="38" t="s">
        <v>55</v>
      </c>
      <c r="D7" s="39" t="s">
        <v>72</v>
      </c>
      <c r="E7" s="49" t="s">
        <v>41</v>
      </c>
      <c r="F7" s="49" t="s">
        <v>71</v>
      </c>
      <c r="G7" s="29">
        <v>177</v>
      </c>
      <c r="H7" s="49">
        <v>4490</v>
      </c>
      <c r="I7" s="29"/>
      <c r="J7" s="41"/>
      <c r="K7" s="41"/>
      <c r="L7" s="50" t="s">
        <v>29</v>
      </c>
      <c r="O7"/>
      <c r="P7"/>
      <c r="Q7"/>
      <c r="R7"/>
      <c r="S7"/>
    </row>
    <row r="8" spans="1:19" s="28" customFormat="1" ht="30.75">
      <c r="A8" s="37">
        <v>125245</v>
      </c>
      <c r="B8" s="37" t="s">
        <v>39</v>
      </c>
      <c r="C8" s="38" t="s">
        <v>40</v>
      </c>
      <c r="D8" s="39" t="s">
        <v>65</v>
      </c>
      <c r="E8" s="49" t="s">
        <v>41</v>
      </c>
      <c r="F8" s="49" t="s">
        <v>71</v>
      </c>
      <c r="G8" s="29">
        <v>0</v>
      </c>
      <c r="H8" s="49">
        <v>170</v>
      </c>
      <c r="I8" s="29"/>
      <c r="J8" s="41"/>
      <c r="K8" s="41"/>
      <c r="L8" s="50" t="s">
        <v>29</v>
      </c>
      <c r="O8"/>
      <c r="P8"/>
      <c r="Q8"/>
      <c r="R8"/>
      <c r="S8"/>
    </row>
  </sheetData>
  <mergeCells count="5">
    <mergeCell ref="A2:A3"/>
    <mergeCell ref="B2:B3"/>
    <mergeCell ref="C2:C3"/>
    <mergeCell ref="D2:D3"/>
    <mergeCell ref="I2:I3"/>
  </mergeCells>
  <dataValidations count="5">
    <dataValidation type="list" allowBlank="1" showInputMessage="1" showErrorMessage="1" sqref="O2:O8" xr:uid="{CB22CDCD-8157-48E3-98EA-6D0986584E92}">
      <formula1>"Accelerating just energy transition, Close the gap on energy access, Scale up energy finance"</formula1>
    </dataValidation>
    <dataValidation type="list" allowBlank="1" showInputMessage="1" showErrorMessage="1" sqref="P2:P8" xr:uid="{A89BC86C-37FB-4DD5-9107-2ACAB1D99C5F}">
      <formula1>"Electricity Access, Energy Efficiency, Clean Cooking, Renewable Energy"</formula1>
    </dataValidation>
    <dataValidation type="list" allowBlank="1" showInputMessage="1" showErrorMessage="1" sqref="Q2:Q8" xr:uid="{ABEED870-F8D2-4A54-A24B-DD179A3AB444}">
      <formula1>"AMP, PUDC, Solar4Health, Action Opportunities, Italy UNDP Energy Partnership"</formula1>
    </dataValidation>
    <dataValidation type="list" allowBlank="1" showInputMessage="1" showErrorMessage="1" sqref="R2:R8" xr:uid="{AF2EC80F-D8A8-4626-AF80-ED6DF2DDCF67}">
      <formula1>"NDC Support, National Strategy, Legal Framework,Incentives and Support, Government Capacity-Building, Carbon Pricing and Monitoring, Financing Model, Business Model"</formula1>
    </dataValidation>
    <dataValidation type="list" allowBlank="1" showInputMessage="1" showErrorMessage="1" sqref="S3:S8 R2" xr:uid="{30B51FA5-5217-4D99-BFC6-778F4900B04E}">
      <formula1>"Electricity Access, Energy Efficiency, Renewable EnergyEnergy Infrastructure,   Transport, Digital &amp; Data, Clean Cooking, Decarbonization, Hydrogen, Off-Grid, On-Grid"</formula1>
    </dataValidation>
  </dataValidations>
  <hyperlinks>
    <hyperlink ref="C2" r:id="rId1" xr:uid="{ADD24559-A36E-4CD2-B4CD-F5E43D75CB5E}"/>
    <hyperlink ref="C4" r:id="rId2" xr:uid="{CBC8AD28-3723-4D63-91D4-B146E937E3EC}"/>
    <hyperlink ref="C5" r:id="rId3" xr:uid="{4A5471B0-5A23-46E0-86EC-AE57FD2CFF11}"/>
    <hyperlink ref="C7" r:id="rId4" xr:uid="{609286AA-8F72-4B11-8D5F-38194FA6CE9A}"/>
    <hyperlink ref="C8" r:id="rId5" xr:uid="{DF0D4617-696E-4ED0-AD24-90C0E3B38A9E}"/>
    <hyperlink ref="C6" r:id="rId6" xr:uid="{6414A2D9-DE45-4296-9DB8-1F9B87402C3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22026C2-0D5D-4F12-8A11-FFCCF5440E47}">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
  <sheetViews>
    <sheetView workbookViewId="0">
      <selection activeCell="E3" sqref="E3"/>
    </sheetView>
  </sheetViews>
  <sheetFormatPr defaultRowHeight="15"/>
  <cols>
    <col min="1" max="1" width="11.5703125" customWidth="1"/>
    <col min="2" max="2" width="36.42578125" customWidth="1"/>
    <col min="3" max="3" width="37.140625" customWidth="1"/>
    <col min="4" max="4" width="13.7109375" bestFit="1" customWidth="1"/>
    <col min="5" max="5" width="20.7109375" customWidth="1"/>
    <col min="6" max="6" width="38.85546875" customWidth="1"/>
    <col min="7" max="7" width="18.85546875" customWidth="1"/>
    <col min="8" max="8" width="26.7109375" customWidth="1"/>
    <col min="9" max="9" width="32.7109375" customWidth="1"/>
  </cols>
  <sheetData>
    <row r="1" spans="1:10">
      <c r="A1" s="1" t="s">
        <v>0</v>
      </c>
      <c r="B1" s="1" t="s">
        <v>1</v>
      </c>
      <c r="C1" s="1" t="s">
        <v>2</v>
      </c>
      <c r="D1" s="1" t="s">
        <v>3</v>
      </c>
      <c r="E1" s="1" t="s">
        <v>4</v>
      </c>
      <c r="F1" s="1" t="s">
        <v>5</v>
      </c>
      <c r="G1" s="1" t="s">
        <v>6</v>
      </c>
      <c r="H1" s="1" t="s">
        <v>7</v>
      </c>
      <c r="I1" s="1" t="s">
        <v>8</v>
      </c>
      <c r="J1" s="21" t="s">
        <v>9</v>
      </c>
    </row>
    <row r="2" spans="1:10" ht="30.75" customHeight="1">
      <c r="A2">
        <v>134985</v>
      </c>
      <c r="B2" t="s">
        <v>73</v>
      </c>
      <c r="C2" s="2" t="s">
        <v>74</v>
      </c>
      <c r="D2" s="9">
        <v>87000</v>
      </c>
      <c r="E2" s="3"/>
      <c r="F2" s="3"/>
      <c r="G2" s="3"/>
      <c r="H2" s="3"/>
      <c r="I2" s="3"/>
    </row>
    <row r="3" spans="1:10" ht="106.5">
      <c r="A3">
        <v>142609</v>
      </c>
      <c r="B3" t="s">
        <v>59</v>
      </c>
      <c r="C3" s="2" t="s">
        <v>60</v>
      </c>
      <c r="D3" s="9">
        <v>127205</v>
      </c>
      <c r="E3" s="3" t="s">
        <v>23</v>
      </c>
      <c r="F3" s="4" t="s">
        <v>75</v>
      </c>
      <c r="G3" s="4" t="s">
        <v>76</v>
      </c>
      <c r="H3" s="5" t="s">
        <v>77</v>
      </c>
      <c r="I3" s="5" t="s">
        <v>78</v>
      </c>
    </row>
    <row r="4" spans="1:10" ht="91.5">
      <c r="D4" s="9"/>
      <c r="E4" s="4"/>
      <c r="F4" s="6" t="s">
        <v>79</v>
      </c>
      <c r="G4" s="4" t="s">
        <v>76</v>
      </c>
      <c r="H4" s="6" t="s">
        <v>80</v>
      </c>
      <c r="I4" s="7" t="s">
        <v>81</v>
      </c>
    </row>
    <row r="5" spans="1:10" ht="76.5">
      <c r="D5" s="9"/>
      <c r="E5" s="4"/>
      <c r="F5" s="6" t="s">
        <v>82</v>
      </c>
      <c r="G5" s="7" t="s">
        <v>83</v>
      </c>
      <c r="H5" s="6" t="s">
        <v>84</v>
      </c>
      <c r="I5" s="6" t="s">
        <v>85</v>
      </c>
    </row>
    <row r="6" spans="1:10" ht="106.5">
      <c r="D6" s="9"/>
      <c r="E6" s="4"/>
      <c r="F6" s="6" t="s">
        <v>86</v>
      </c>
      <c r="G6" s="4" t="s">
        <v>76</v>
      </c>
      <c r="H6" s="6" t="s">
        <v>87</v>
      </c>
      <c r="I6" s="8" t="s">
        <v>88</v>
      </c>
    </row>
    <row r="7" spans="1:10" ht="229.5">
      <c r="A7" s="16">
        <v>125245</v>
      </c>
      <c r="B7" s="15" t="s">
        <v>39</v>
      </c>
      <c r="C7" s="17" t="s">
        <v>40</v>
      </c>
      <c r="D7" s="18">
        <v>1194743.1299999999</v>
      </c>
      <c r="E7" s="19" t="s">
        <v>41</v>
      </c>
      <c r="F7" s="20" t="s">
        <v>66</v>
      </c>
      <c r="G7" s="19">
        <v>0</v>
      </c>
      <c r="H7" s="19">
        <v>1</v>
      </c>
      <c r="I7" s="11" t="s">
        <v>43</v>
      </c>
    </row>
    <row r="8" spans="1:10" ht="229.5">
      <c r="A8" s="12">
        <v>123351</v>
      </c>
      <c r="B8" s="12" t="s">
        <v>46</v>
      </c>
      <c r="C8" s="13" t="s">
        <v>47</v>
      </c>
      <c r="D8" s="14">
        <v>2611239</v>
      </c>
      <c r="E8" s="19" t="s">
        <v>41</v>
      </c>
      <c r="F8" s="20" t="s">
        <v>66</v>
      </c>
      <c r="G8" s="19">
        <v>0</v>
      </c>
      <c r="H8" s="19">
        <v>3</v>
      </c>
      <c r="I8" s="10" t="s">
        <v>69</v>
      </c>
    </row>
    <row r="9" spans="1:10" s="27" customFormat="1" ht="30.75">
      <c r="A9" s="22">
        <v>120786</v>
      </c>
      <c r="B9" s="22" t="s">
        <v>50</v>
      </c>
      <c r="C9" s="23" t="s">
        <v>51</v>
      </c>
      <c r="D9" s="24">
        <v>16955148.23</v>
      </c>
      <c r="E9" s="25" t="s">
        <v>41</v>
      </c>
      <c r="F9" s="25" t="s">
        <v>71</v>
      </c>
      <c r="G9" s="26">
        <v>0</v>
      </c>
      <c r="H9" s="25">
        <v>1429</v>
      </c>
      <c r="I9"/>
    </row>
    <row r="10" spans="1:10" s="27" customFormat="1" ht="45.75">
      <c r="A10" s="22">
        <v>120786</v>
      </c>
      <c r="B10" s="22" t="s">
        <v>50</v>
      </c>
      <c r="C10" s="23" t="s">
        <v>51</v>
      </c>
      <c r="D10" s="24">
        <v>16955148.23</v>
      </c>
      <c r="E10" s="25" t="s">
        <v>41</v>
      </c>
      <c r="F10" s="25" t="s">
        <v>89</v>
      </c>
      <c r="G10" s="26">
        <v>0</v>
      </c>
      <c r="H10" s="25">
        <v>7</v>
      </c>
      <c r="I10"/>
    </row>
    <row r="11" spans="1:10" s="27" customFormat="1" ht="30.75">
      <c r="A11" s="22">
        <v>120786</v>
      </c>
      <c r="B11" s="22" t="s">
        <v>50</v>
      </c>
      <c r="C11" s="23" t="s">
        <v>51</v>
      </c>
      <c r="D11" s="24">
        <v>16955148.23</v>
      </c>
      <c r="E11" s="25" t="s">
        <v>41</v>
      </c>
      <c r="F11" s="25" t="s">
        <v>90</v>
      </c>
      <c r="G11" s="26">
        <v>0</v>
      </c>
      <c r="H11" s="25">
        <v>6800</v>
      </c>
      <c r="I11"/>
    </row>
    <row r="12" spans="1:10" s="28" customFormat="1" ht="30.75">
      <c r="A12" s="22">
        <v>123296</v>
      </c>
      <c r="B12" s="22" t="s">
        <v>54</v>
      </c>
      <c r="C12" s="23" t="s">
        <v>55</v>
      </c>
      <c r="D12" s="24">
        <v>67752565.209999993</v>
      </c>
      <c r="E12" s="25" t="s">
        <v>41</v>
      </c>
      <c r="F12" s="25" t="s">
        <v>71</v>
      </c>
      <c r="G12" s="26">
        <v>177</v>
      </c>
      <c r="H12" s="25">
        <v>4490</v>
      </c>
      <c r="I12"/>
    </row>
    <row r="13" spans="1:10" s="28" customFormat="1" ht="45.75">
      <c r="A13" s="22">
        <v>123296</v>
      </c>
      <c r="B13" s="22" t="s">
        <v>54</v>
      </c>
      <c r="C13" s="23" t="s">
        <v>55</v>
      </c>
      <c r="D13" s="24">
        <v>67752565.209999993</v>
      </c>
      <c r="E13" s="25" t="s">
        <v>41</v>
      </c>
      <c r="F13" s="25" t="s">
        <v>89</v>
      </c>
      <c r="G13" s="26">
        <v>1</v>
      </c>
      <c r="H13" s="25">
        <v>11</v>
      </c>
      <c r="I13"/>
    </row>
    <row r="14" spans="1:10" s="28" customFormat="1" ht="30.75">
      <c r="A14" s="22">
        <v>123296</v>
      </c>
      <c r="B14" s="22" t="s">
        <v>54</v>
      </c>
      <c r="C14" s="23" t="s">
        <v>55</v>
      </c>
      <c r="D14" s="24">
        <v>67752565.209999993</v>
      </c>
      <c r="E14" s="25" t="s">
        <v>41</v>
      </c>
      <c r="F14" s="25" t="s">
        <v>91</v>
      </c>
      <c r="G14" s="26">
        <v>0</v>
      </c>
      <c r="H14" s="25">
        <v>3</v>
      </c>
      <c r="I14"/>
    </row>
    <row r="15" spans="1:10" s="28" customFormat="1" ht="26.25" customHeight="1">
      <c r="A15" s="22">
        <v>123296</v>
      </c>
      <c r="B15" s="22" t="s">
        <v>54</v>
      </c>
      <c r="C15" s="23" t="s">
        <v>55</v>
      </c>
      <c r="D15" s="24">
        <v>67752565.209999993</v>
      </c>
      <c r="E15" s="25" t="s">
        <v>41</v>
      </c>
      <c r="F15" s="25" t="s">
        <v>90</v>
      </c>
      <c r="G15" s="26">
        <v>0</v>
      </c>
      <c r="H15" s="25">
        <v>9200</v>
      </c>
      <c r="I15"/>
    </row>
    <row r="16" spans="1:10" s="28" customFormat="1" ht="30.75">
      <c r="A16" s="22">
        <v>125245</v>
      </c>
      <c r="B16" s="22" t="s">
        <v>39</v>
      </c>
      <c r="C16" s="23" t="s">
        <v>40</v>
      </c>
      <c r="D16" s="24">
        <v>1194743.1299999999</v>
      </c>
      <c r="E16" s="25" t="s">
        <v>41</v>
      </c>
      <c r="F16" s="25" t="s">
        <v>71</v>
      </c>
      <c r="G16" s="26">
        <v>0</v>
      </c>
      <c r="H16" s="25">
        <v>170</v>
      </c>
      <c r="I16"/>
    </row>
    <row r="17" spans="1:9" s="28" customFormat="1" ht="30.75">
      <c r="A17" s="22">
        <v>125245</v>
      </c>
      <c r="B17" s="22" t="s">
        <v>39</v>
      </c>
      <c r="C17" s="23" t="s">
        <v>40</v>
      </c>
      <c r="D17" s="24">
        <v>1194743.1299999999</v>
      </c>
      <c r="E17" s="25" t="s">
        <v>41</v>
      </c>
      <c r="F17" s="25" t="s">
        <v>91</v>
      </c>
      <c r="G17" s="26">
        <v>0</v>
      </c>
      <c r="H17" s="25">
        <v>1</v>
      </c>
      <c r="I17"/>
    </row>
    <row r="18" spans="1:9" s="28" customFormat="1" ht="30.75">
      <c r="A18" s="22">
        <v>125245</v>
      </c>
      <c r="B18" s="22" t="s">
        <v>39</v>
      </c>
      <c r="C18" s="23" t="s">
        <v>40</v>
      </c>
      <c r="D18" s="24">
        <v>1194743.1299999999</v>
      </c>
      <c r="E18" s="25" t="s">
        <v>41</v>
      </c>
      <c r="F18" s="25" t="s">
        <v>90</v>
      </c>
      <c r="G18" s="26">
        <v>0</v>
      </c>
      <c r="H18" s="25">
        <v>83</v>
      </c>
      <c r="I18"/>
    </row>
    <row r="19" spans="1:9" s="28" customFormat="1" ht="30.75">
      <c r="A19" s="22">
        <v>123351</v>
      </c>
      <c r="B19" s="22" t="s">
        <v>46</v>
      </c>
      <c r="C19" s="23" t="s">
        <v>47</v>
      </c>
      <c r="D19" s="24">
        <v>2611239</v>
      </c>
      <c r="E19" s="25" t="s">
        <v>41</v>
      </c>
      <c r="F19" s="25" t="s">
        <v>90</v>
      </c>
      <c r="G19" s="26">
        <v>0</v>
      </c>
      <c r="H19" s="25">
        <v>465</v>
      </c>
      <c r="I19"/>
    </row>
  </sheetData>
  <hyperlinks>
    <hyperlink ref="C2" r:id="rId1" xr:uid="{00000000-0004-0000-0000-000000000000}"/>
    <hyperlink ref="C3" r:id="rId2" xr:uid="{00000000-0004-0000-0000-000001000000}"/>
    <hyperlink ref="C7" r:id="rId3" xr:uid="{42F978C0-E168-4579-BF61-27095208FBCA}"/>
    <hyperlink ref="C8" r:id="rId4" xr:uid="{D0B48DEF-56EB-46FC-9D09-BF070576DBC1}"/>
    <hyperlink ref="C12" r:id="rId5" xr:uid="{B54894C7-12DD-4E75-B5A1-07FD772A1A22}"/>
    <hyperlink ref="C13" r:id="rId6" xr:uid="{5A6E6C04-2241-4B84-A327-00ED7CAEE2C1}"/>
    <hyperlink ref="C14" r:id="rId7" xr:uid="{9788BE01-E827-4FB4-8E1F-1EFBDAEFF35C}"/>
    <hyperlink ref="C15" r:id="rId8" xr:uid="{E04598EC-ACC4-455E-8D62-E3CEAEA77967}"/>
    <hyperlink ref="C16" r:id="rId9" xr:uid="{8A90034E-7AAA-4120-9352-147A6441F785}"/>
    <hyperlink ref="C17" r:id="rId10" xr:uid="{69B317CE-1058-4BCB-A974-E7D822EEF04A}"/>
    <hyperlink ref="C18" r:id="rId11" xr:uid="{2394D92E-FD0B-4267-A4FB-0BA1C7C80E61}"/>
    <hyperlink ref="C19" r:id="rId12" xr:uid="{71745E07-2E4F-418D-9F3B-50217DFC029A}"/>
    <hyperlink ref="C10" r:id="rId13" xr:uid="{25FB7270-4FE3-48C5-8F74-C92B6E162896}"/>
    <hyperlink ref="C9" r:id="rId14" xr:uid="{9D990382-C19B-497C-828D-00BF5B45EC48}"/>
    <hyperlink ref="C11" r:id="rId15" xr:uid="{3474A3DA-E68A-4BB7-9533-F92BAAB6CDF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24" workbookViewId="0"/>
  </sheetViews>
  <sheetFormatPr defaultRowHeight="15"/>
  <cols>
    <col min="1" max="1" width="32.140625" customWidth="1"/>
    <col min="2" max="2" width="52.7109375" customWidth="1"/>
  </cols>
  <sheetData>
    <row r="1" spans="1:2">
      <c r="A1" s="87" t="s">
        <v>4</v>
      </c>
      <c r="B1" s="87" t="s">
        <v>5</v>
      </c>
    </row>
    <row r="2" spans="1:2" ht="45.75">
      <c r="A2" s="103" t="s">
        <v>34</v>
      </c>
      <c r="B2" s="88" t="s">
        <v>92</v>
      </c>
    </row>
    <row r="3" spans="1:2">
      <c r="A3" s="103" t="s">
        <v>23</v>
      </c>
      <c r="B3" s="88" t="s">
        <v>93</v>
      </c>
    </row>
    <row r="4" spans="1:2" ht="30.75">
      <c r="A4" s="103" t="s">
        <v>94</v>
      </c>
      <c r="B4" s="88" t="s">
        <v>95</v>
      </c>
    </row>
    <row r="5" spans="1:2" ht="30.75">
      <c r="A5" s="103" t="s">
        <v>96</v>
      </c>
      <c r="B5" s="88" t="s">
        <v>97</v>
      </c>
    </row>
    <row r="6" spans="1:2" ht="91.5">
      <c r="A6" s="103" t="s">
        <v>98</v>
      </c>
      <c r="B6" s="88" t="s">
        <v>99</v>
      </c>
    </row>
    <row r="7" spans="1:2" ht="45.75">
      <c r="A7" s="103" t="s">
        <v>100</v>
      </c>
      <c r="B7" s="88" t="s">
        <v>101</v>
      </c>
    </row>
    <row r="8" spans="1:2" ht="45.75">
      <c r="A8" s="103" t="s">
        <v>102</v>
      </c>
      <c r="B8" s="88" t="s">
        <v>103</v>
      </c>
    </row>
    <row r="9" spans="1:2" ht="45.75">
      <c r="A9" s="103" t="s">
        <v>41</v>
      </c>
      <c r="B9" s="88" t="s">
        <v>104</v>
      </c>
    </row>
    <row r="10" spans="1:2" ht="30.75">
      <c r="A10" s="103" t="s">
        <v>105</v>
      </c>
      <c r="B10" s="104" t="s">
        <v>106</v>
      </c>
    </row>
    <row r="11" spans="1:2" ht="30.75">
      <c r="A11" s="103" t="s">
        <v>107</v>
      </c>
      <c r="B11" s="104" t="s">
        <v>108</v>
      </c>
    </row>
    <row r="12" spans="1:2" ht="45.75">
      <c r="A12" s="103" t="s">
        <v>109</v>
      </c>
      <c r="B12" s="88" t="s">
        <v>110</v>
      </c>
    </row>
    <row r="13" spans="1:2" ht="30.75">
      <c r="A13" s="103" t="s">
        <v>111</v>
      </c>
      <c r="B13" s="104" t="s">
        <v>112</v>
      </c>
    </row>
    <row r="14" spans="1:2">
      <c r="A14" s="103" t="s">
        <v>113</v>
      </c>
      <c r="B14" s="104" t="s">
        <v>114</v>
      </c>
    </row>
    <row r="15" spans="1:2" ht="30.75">
      <c r="A15" s="103" t="s">
        <v>115</v>
      </c>
      <c r="B15" s="104" t="s">
        <v>116</v>
      </c>
    </row>
    <row r="16" spans="1:2" ht="30.75">
      <c r="A16" s="103" t="s">
        <v>117</v>
      </c>
      <c r="B16" s="104" t="s">
        <v>118</v>
      </c>
    </row>
    <row r="17" spans="1:2" ht="30.75">
      <c r="A17" s="103" t="s">
        <v>37</v>
      </c>
      <c r="B17" s="88" t="s">
        <v>119</v>
      </c>
    </row>
    <row r="18" spans="1:2" ht="30.75">
      <c r="A18" s="103" t="s">
        <v>120</v>
      </c>
      <c r="B18" s="104" t="s">
        <v>121</v>
      </c>
    </row>
    <row r="19" spans="1:2" ht="76.5">
      <c r="A19" s="103" t="s">
        <v>122</v>
      </c>
      <c r="B19" s="104" t="s">
        <v>123</v>
      </c>
    </row>
    <row r="20" spans="1:2" ht="30.75">
      <c r="A20" s="103" t="s">
        <v>124</v>
      </c>
      <c r="B20" s="104" t="s">
        <v>125</v>
      </c>
    </row>
    <row r="21" spans="1:2" ht="45.75">
      <c r="A21" s="103" t="s">
        <v>19</v>
      </c>
      <c r="B21" s="105" t="s">
        <v>126</v>
      </c>
    </row>
    <row r="22" spans="1:2" ht="30.75">
      <c r="A22" s="103" t="s">
        <v>127</v>
      </c>
      <c r="B22" s="104" t="s">
        <v>128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2EDC849E-4E69-4B7C-83CD-C8F07F9CE463}"/>
</file>

<file path=customXml/itemProps2.xml><?xml version="1.0" encoding="utf-8"?>
<ds:datastoreItem xmlns:ds="http://schemas.openxmlformats.org/officeDocument/2006/customXml" ds:itemID="{3D2FBA15-A1CD-4354-9FEA-4227C71DD75F}"/>
</file>

<file path=customXml/itemProps3.xml><?xml version="1.0" encoding="utf-8"?>
<ds:datastoreItem xmlns:ds="http://schemas.openxmlformats.org/officeDocument/2006/customXml" ds:itemID="{8958C777-6F1B-4515-B033-B216AAC600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Entela Lako</cp:lastModifiedBy>
  <cp:revision/>
  <dcterms:created xsi:type="dcterms:W3CDTF">2023-05-05T09:33:41Z</dcterms:created>
  <dcterms:modified xsi:type="dcterms:W3CDTF">2024-11-21T10:13:29Z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