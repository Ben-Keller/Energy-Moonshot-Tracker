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4"/>
  <workbookPr defaultThemeVersion="166925"/>
  <mc:AlternateContent xmlns:mc="http://schemas.openxmlformats.org/markup-compatibility/2006">
    <mc:Choice Requires="x15">
      <x15ac:absPath xmlns:x15ac="http://schemas.microsoft.com/office/spreadsheetml/2010/11/ac" url="https://undp-my.sharepoint.com/personal/mohlapisi_polaki_undp_org/Documents/Moonshot/"/>
    </mc:Choice>
  </mc:AlternateContent>
  <xr:revisionPtr revIDLastSave="158" documentId="8_{95F5B5AF-364D-40D3-BA62-FB9A98B489AE}" xr6:coauthVersionLast="47" xr6:coauthVersionMax="47" xr10:uidLastSave="{625E3EE1-2F29-4835-B172-C67B1DAE131B}"/>
  <bookViews>
    <workbookView xWindow="-120" yWindow="-120" windowWidth="29040" windowHeight="15720" firstSheet="2" xr2:uid="{D3D1BF01-5C69-430E-BF00-A8C729EBC121}"/>
  </bookViews>
  <sheets>
    <sheet name="Projects (3)" sheetId="3" r:id="rId1"/>
    <sheet name="Projects (2)" sheetId="2" state="hidden" r:id="rId2"/>
    <sheet name="Sheet1" sheetId="1" r:id="rId3"/>
    <sheet name="Beneficary Categories"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<sst xmlns="http://schemas.openxmlformats.org/spreadsheetml/2006/main" count="204" uniqueCount="93">
  <si>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</si>
  <si>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</si>
  <si>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</si>
  <si>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</si>
  <si>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</si>
  <si>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</si>
  <si>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</si>
  <si>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</si>
  <si>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</si>
  <si>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</si>
  <si>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</si>
  <si>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</si>
  <si>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</si>
  <si>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</si>
  <si>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</si>
  <si>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</si>
  <si>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</si>
  <si>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</si>
  <si>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</si>
  <si>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</si>
  <si>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</si>
  <si>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Sustainable Energy For ALL</t>
  </si>
  <si>
    <t>5367 Lesotho Sustainable Energy for All (undp.org)</t>
  </si>
  <si>
    <t>Energy (MW added)</t>
  </si>
  <si>
    <t>National generation capacity</t>
  </si>
  <si>
    <t>Generation capacity increased by 0.08MW today</t>
  </si>
  <si>
    <t>Non-VF</t>
  </si>
  <si>
    <t>Close the gap on energy access</t>
  </si>
  <si>
    <t>Some Sources</t>
  </si>
  <si>
    <t>Electricity Access</t>
  </si>
  <si>
    <t>Number of households receiving electricity from the mini grids</t>
  </si>
  <si>
    <t>940 HH</t>
  </si>
  <si>
    <t>100 (25 households x Avg 4people/households) are benefinting from electricity generated from the one of operationalized mini-grids</t>
  </si>
  <si>
    <t>Education Services</t>
  </si>
  <si>
    <t xml:space="preserve">Number of Students </t>
  </si>
  <si>
    <t xml:space="preserve">Two (2) schools connnected to electricity generated from mini-grids hence benefiting approximately </t>
  </si>
  <si>
    <t>Other Energy Services</t>
  </si>
  <si>
    <t>Number of other public buildings (eg Police stations)</t>
  </si>
  <si>
    <t>One police station connected to electricity</t>
  </si>
  <si>
    <t>Health Services</t>
  </si>
  <si>
    <t>Number of health centres connected to electricity from mini-grids</t>
  </si>
  <si>
    <t>Two (2) health centres connected to electricity and one of them now able to offer additional service (X-ray service) to  30 patients per year (i.e 20 patients/wk X 4wks X 12months)</t>
  </si>
  <si>
    <t>Small Enterprises</t>
  </si>
  <si>
    <t>Number of SMEs</t>
  </si>
  <si>
    <t>Number of households acessing renewable energy</t>
  </si>
  <si>
    <t>1500 HH</t>
  </si>
  <si>
    <t>8000 HH</t>
  </si>
  <si>
    <t>Additional 540 people (135 households x 4person/households) supported to access energy through renewable technologies.</t>
  </si>
  <si>
    <t>missing-LSO-1</t>
  </si>
  <si>
    <t>UNDP Moonshot: Greening the UN House</t>
  </si>
  <si>
    <t>MW installed</t>
  </si>
  <si>
    <t>Accelerating just energy transition</t>
  </si>
  <si>
    <t>Category</t>
  </si>
  <si>
    <t>GEF</t>
  </si>
  <si>
    <t>Renewable Energy</t>
  </si>
  <si>
    <t xml:space="preserve">Number of Schools </t>
  </si>
  <si>
    <t>75MW</t>
  </si>
  <si>
    <t>2MW</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</si>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</sst>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2">
    <font>
      <sz val="11"/>
      <color theme="1"/>
      <name val="Calibri"/>
      <family val="2"/>
      <scheme val="minor"/>
    </font>
    <font>
      <sz val="11"/>
      <color theme="1"/>
      <name val="Calibri"/>
      <scheme val="minor"/>
    </font>
    <font>
      <u/>
      <sz val="11"/>
      <color theme="10"/>
      <name val="Calibri"/>
      <family val="2"/>
      <scheme val="minor"/>
    </font>
    <font>
      <b/>
      <sz val="12"/>
      <color theme="1"/>
      <name val="Calibri"/>
      <family val="2"/>
      <scheme val="minor"/>
    </font>
    <font>
      <sz val="12"/>
      <color theme="1"/>
      <name val="Calibri"/>
      <family val="2"/>
      <scheme val="minor"/>
    </font>
    <font>
      <u/>
      <sz val="12"/>
      <color theme="10"/>
      <name val="Calibri"/>
      <family val="2"/>
      <scheme val="minor"/>
    </font>
    <font>
      <sz val="12"/>
      <color rgb="FF000000"/>
      <name val="Calibri"/>
      <family val="2"/>
    </font>
    <font>
      <sz val="12"/>
      <color rgb="FF000000"/>
      <name val="Calibri"/>
      <family val="2"/>
      <scheme val="minor"/>
    </font>
    <font>
      <b/>
      <sz val="11"/>
      <color theme="1"/>
      <name val="Calibri"/>
      <family val="2"/>
      <scheme val="minor"/>
    </font>
    <font>
      <b/>
      <sz val="11"/>
      <color rgb="FF000000"/>
      <name val="Calibri"/>
      <family val="2"/>
      <scheme val="minor"/>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FF00"/>
        <bgColor indexed="64"/>
      </patternFill>
    </fill>
    <fill>
      <patternFill patternType="solid">
        <fgColor rgb="FFF8CBAD"/>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2" fillId="0" borderId="0" applyNumberFormat="0" applyFill="0" applyBorder="0" applyAlignment="0" applyProtection="0"/>
  </cellStyleXfs>
  <cellXfs count="81">
    <xf numFmtId="0" fontId="0" fillId="0" borderId="0" xfId="0"/>
    <xf numFmtId="0" fontId="3" fillId="0" borderId="1" xfId="0" applyFont="1" applyBorder="1" applyAlignment="1">
      <alignment horizontal="center" vertical="top"/>
    </xf>
    <xf numFmtId="43" fontId="3" fillId="0" borderId="1" xfId="0" applyNumberFormat="1" applyFont="1" applyBorder="1" applyAlignment="1">
      <alignment horizontal="center" vertical="top"/>
    </xf>
    <xf numFmtId="0" fontId="3" fillId="0" borderId="1" xfId="0" applyFont="1" applyBorder="1" applyAlignment="1">
      <alignment horizontal="center" vertical="top" wrapText="1"/>
    </xf>
    <xf numFmtId="0" fontId="4" fillId="0" borderId="0" xfId="0" applyFont="1" applyAlignment="1">
      <alignment vertical="top"/>
    </xf>
    <xf numFmtId="43" fontId="4" fillId="0" borderId="0" xfId="0" applyNumberFormat="1" applyFont="1" applyAlignment="1">
      <alignment vertical="top"/>
    </xf>
    <xf numFmtId="0" fontId="4" fillId="0" borderId="0" xfId="0" applyFont="1" applyAlignment="1">
      <alignment vertical="top" wrapText="1"/>
    </xf>
    <xf numFmtId="0" fontId="4" fillId="0" borderId="0" xfId="0" applyFont="1" applyAlignment="1">
      <alignment horizontal="center" vertical="top"/>
    </xf>
    <xf numFmtId="0" fontId="5" fillId="0" borderId="0" xfId="1" applyFont="1"/>
    <xf numFmtId="0" fontId="6" fillId="0" borderId="0" xfId="0" applyFont="1"/>
    <xf numFmtId="0" fontId="7" fillId="0" borderId="0" xfId="0" applyFont="1"/>
    <xf numFmtId="0" fontId="0" fillId="0" borderId="0" xfId="0" applyAlignment="1">
      <alignment vertical="top"/>
    </xf>
    <xf numFmtId="43" fontId="0" fillId="0" borderId="0" xfId="0" applyNumberFormat="1" applyAlignment="1">
      <alignment vertical="top"/>
    </xf>
    <xf numFmtId="0" fontId="0" fillId="0" borderId="0" xfId="0" applyAlignment="1">
      <alignment vertical="top" wrapText="1"/>
    </xf>
    <xf numFmtId="0" fontId="0" fillId="0" borderId="0" xfId="0" applyAlignment="1">
      <alignment horizontal="center" vertical="top"/>
    </xf>
    <xf numFmtId="0" fontId="8" fillId="0" borderId="2" xfId="0" applyFont="1" applyBorder="1"/>
    <xf numFmtId="0" fontId="4" fillId="2" borderId="0" xfId="0" applyFont="1" applyFill="1" applyAlignment="1">
      <alignment vertical="top"/>
    </xf>
    <xf numFmtId="0" fontId="4" fillId="3" borderId="0" xfId="0" applyFont="1" applyFill="1" applyAlignment="1">
      <alignment vertical="top"/>
    </xf>
    <xf numFmtId="0" fontId="9" fillId="0" borderId="1" xfId="0" applyFont="1" applyBorder="1"/>
    <xf numFmtId="0" fontId="8" fillId="0" borderId="1" xfId="0" applyFont="1" applyBorder="1"/>
    <xf numFmtId="43" fontId="4" fillId="0" borderId="1" xfId="0" applyNumberFormat="1" applyFont="1" applyBorder="1" applyAlignment="1">
      <alignment vertical="top"/>
    </xf>
    <xf numFmtId="0" fontId="4" fillId="0" borderId="1" xfId="0" applyFont="1" applyBorder="1" applyAlignment="1">
      <alignment vertical="top"/>
    </xf>
    <xf numFmtId="0" fontId="4" fillId="0" borderId="1" xfId="0" applyFont="1" applyBorder="1" applyAlignment="1">
      <alignment vertical="top" wrapText="1"/>
    </xf>
    <xf numFmtId="0" fontId="4" fillId="0" borderId="1" xfId="0" applyFont="1" applyBorder="1" applyAlignment="1">
      <alignment horizontal="center" vertical="top"/>
    </xf>
    <xf numFmtId="0" fontId="4" fillId="0" borderId="1" xfId="0" applyFont="1" applyBorder="1" applyAlignment="1">
      <alignment horizontal="right" vertical="center" wrapText="1"/>
    </xf>
    <xf numFmtId="0" fontId="4" fillId="3" borderId="1" xfId="0" applyFont="1" applyFill="1" applyBorder="1" applyAlignment="1">
      <alignment vertical="top"/>
    </xf>
    <xf numFmtId="0" fontId="4" fillId="3" borderId="1" xfId="0" applyFont="1" applyFill="1" applyBorder="1" applyAlignment="1">
      <alignment vertical="top" wrapText="1"/>
    </xf>
    <xf numFmtId="0" fontId="4" fillId="3" borderId="1" xfId="0" applyFont="1" applyFill="1" applyBorder="1" applyAlignment="1">
      <alignment horizontal="center" vertical="top"/>
    </xf>
    <xf numFmtId="0" fontId="6" fillId="3" borderId="1" xfId="0" applyFont="1" applyFill="1" applyBorder="1"/>
    <xf numFmtId="0" fontId="7" fillId="0" borderId="1" xfId="0" applyFont="1" applyBorder="1"/>
    <xf numFmtId="43" fontId="4" fillId="0" borderId="3" xfId="0" applyNumberFormat="1" applyFont="1" applyBorder="1" applyAlignment="1">
      <alignment vertical="top"/>
    </xf>
    <xf numFmtId="0" fontId="4" fillId="0" borderId="3" xfId="0" applyFont="1" applyBorder="1" applyAlignment="1">
      <alignment vertical="top"/>
    </xf>
    <xf numFmtId="0" fontId="4" fillId="0" borderId="3" xfId="0" applyFont="1" applyBorder="1" applyAlignment="1">
      <alignment vertical="top" wrapText="1"/>
    </xf>
    <xf numFmtId="0" fontId="4" fillId="0" borderId="3" xfId="0" applyFont="1" applyBorder="1" applyAlignment="1">
      <alignment horizontal="center" vertical="top"/>
    </xf>
    <xf numFmtId="0" fontId="4" fillId="0" borderId="3" xfId="0" applyFont="1" applyBorder="1" applyAlignment="1">
      <alignment horizontal="right" vertical="center" wrapText="1"/>
    </xf>
    <xf numFmtId="0" fontId="8" fillId="0" borderId="0" xfId="0" applyFont="1"/>
    <xf numFmtId="0" fontId="8" fillId="0" borderId="1" xfId="0" applyFont="1" applyBorder="1" applyAlignment="1">
      <alignment vertical="center" wrapText="1"/>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43" fontId="3" fillId="0" borderId="1" xfId="0" applyNumberFormat="1" applyFont="1" applyBorder="1" applyAlignment="1">
      <alignment horizontal="center" vertical="center" wrapText="1"/>
    </xf>
    <xf numFmtId="0" fontId="9" fillId="0" borderId="1" xfId="0" applyFont="1" applyBorder="1" applyAlignment="1">
      <alignment vertical="center" wrapText="1"/>
    </xf>
    <xf numFmtId="0" fontId="4" fillId="0" borderId="1" xfId="0" applyFont="1" applyBorder="1" applyAlignment="1">
      <alignment vertical="center" wrapText="1"/>
    </xf>
    <xf numFmtId="43" fontId="4" fillId="0" borderId="1" xfId="0" applyNumberFormat="1" applyFont="1" applyBorder="1" applyAlignment="1">
      <alignment vertical="center" wrapText="1"/>
    </xf>
    <xf numFmtId="0" fontId="7" fillId="0" borderId="1" xfId="0" applyFont="1" applyBorder="1" applyAlignment="1">
      <alignment vertical="center" wrapText="1"/>
    </xf>
    <xf numFmtId="43" fontId="4" fillId="0" borderId="6" xfId="0" applyNumberFormat="1" applyFont="1" applyBorder="1" applyAlignment="1">
      <alignment horizontal="center" vertical="center" wrapText="1"/>
    </xf>
    <xf numFmtId="43" fontId="4" fillId="0" borderId="6" xfId="0" applyNumberFormat="1" applyFont="1" applyBorder="1" applyAlignment="1">
      <alignment vertical="center" wrapText="1"/>
    </xf>
    <xf numFmtId="0" fontId="3" fillId="0" borderId="3" xfId="0" applyFont="1" applyBorder="1" applyAlignment="1">
      <alignment horizontal="center" vertical="center" wrapText="1"/>
    </xf>
    <xf numFmtId="0" fontId="4" fillId="0" borderId="5" xfId="0" applyFont="1" applyBorder="1" applyAlignment="1">
      <alignment vertical="center" wrapText="1"/>
    </xf>
    <xf numFmtId="0" fontId="7" fillId="0" borderId="5" xfId="0" applyFont="1" applyBorder="1" applyAlignment="1">
      <alignment vertical="center" wrapText="1"/>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0" fontId="4" fillId="0" borderId="9" xfId="0" applyFont="1" applyBorder="1" applyAlignment="1">
      <alignment horizontal="center" vertical="center" wrapText="1"/>
    </xf>
    <xf numFmtId="0" fontId="5" fillId="0" borderId="3" xfId="1" applyFont="1" applyBorder="1" applyAlignment="1">
      <alignment horizontal="center" vertical="center" wrapText="1"/>
    </xf>
    <xf numFmtId="0" fontId="5" fillId="0" borderId="4" xfId="1" applyFont="1" applyBorder="1" applyAlignment="1">
      <alignment horizontal="center" vertical="center" wrapText="1"/>
    </xf>
    <xf numFmtId="0" fontId="5" fillId="0" borderId="5" xfId="1" applyFont="1" applyBorder="1" applyAlignment="1">
      <alignment horizontal="center" vertical="center" wrapText="1"/>
    </xf>
    <xf numFmtId="0" fontId="6" fillId="0" borderId="1" xfId="0" applyFont="1" applyBorder="1" applyAlignment="1">
      <alignment vertical="center" wrapText="1"/>
    </xf>
    <xf numFmtId="0" fontId="4" fillId="2" borderId="1" xfId="0" applyFont="1" applyFill="1" applyBorder="1" applyAlignment="1">
      <alignment vertical="center" wrapText="1"/>
    </xf>
    <xf numFmtId="0" fontId="4" fillId="2" borderId="1" xfId="0" applyFont="1" applyFill="1" applyBorder="1" applyAlignment="1">
      <alignment horizontal="center" vertical="center" wrapText="1"/>
    </xf>
    <xf numFmtId="0" fontId="6" fillId="2" borderId="1" xfId="0" applyFont="1" applyFill="1" applyBorder="1" applyAlignment="1">
      <alignment vertical="center" wrapText="1"/>
    </xf>
    <xf numFmtId="0" fontId="0" fillId="0" borderId="1" xfId="0" applyBorder="1" applyAlignment="1">
      <alignment horizontal="center" vertical="center"/>
    </xf>
    <xf numFmtId="0" fontId="10" fillId="0" borderId="1" xfId="0" applyFont="1" applyBorder="1" applyAlignment="1">
      <alignment horizontal="center" vertical="top" wrapText="1"/>
    </xf>
    <xf numFmtId="0" fontId="11" fillId="0" borderId="1" xfId="0" applyFont="1" applyBorder="1" applyAlignment="1">
      <alignment wrapText="1"/>
    </xf>
    <xf numFmtId="0" fontId="8" fillId="0" borderId="1" xfId="0" applyFont="1" applyBorder="1" applyAlignment="1">
      <alignment horizontal="center"/>
    </xf>
    <xf numFmtId="0" fontId="8" fillId="0" borderId="3" xfId="0" applyFont="1" applyBorder="1" applyAlignment="1">
      <alignment horizontal="center"/>
    </xf>
    <xf numFmtId="0" fontId="8" fillId="0" borderId="7" xfId="0" applyFont="1" applyBorder="1" applyAlignment="1">
      <alignment horizontal="center"/>
    </xf>
    <xf numFmtId="0" fontId="8" fillId="0" borderId="3" xfId="0" applyFont="1" applyBorder="1"/>
    <xf numFmtId="0" fontId="0" fillId="0" borderId="10" xfId="0" applyBorder="1" applyAlignment="1">
      <alignment horizontal="center" vertical="center"/>
    </xf>
    <xf numFmtId="0" fontId="0" fillId="0" borderId="6" xfId="0" applyBorder="1" applyAlignment="1">
      <alignment horizontal="center" vertical="center" wrapText="1"/>
    </xf>
    <xf numFmtId="0" fontId="0" fillId="0" borderId="1" xfId="0" applyBorder="1" applyAlignment="1">
      <alignment vertical="center"/>
    </xf>
    <xf numFmtId="0" fontId="4" fillId="0" borderId="1" xfId="0" applyFont="1" applyBorder="1" applyAlignment="1">
      <alignment horizontal="center" vertical="center"/>
    </xf>
    <xf numFmtId="0" fontId="4" fillId="0" borderId="3" xfId="0" applyFont="1" applyBorder="1" applyAlignment="1">
      <alignment horizontal="center" vertical="center"/>
    </xf>
    <xf numFmtId="0" fontId="5" fillId="0" borderId="1" xfId="1" applyFont="1" applyBorder="1" applyAlignment="1">
      <alignment horizontal="center" vertical="center"/>
    </xf>
    <xf numFmtId="0" fontId="5" fillId="0" borderId="3" xfId="1" applyFont="1" applyBorder="1" applyAlignment="1">
      <alignment horizontal="center" vertical="center"/>
    </xf>
    <xf numFmtId="43" fontId="4" fillId="0" borderId="3" xfId="0" applyNumberFormat="1" applyFont="1" applyBorder="1" applyAlignment="1">
      <alignment horizontal="center" vertical="center"/>
    </xf>
    <xf numFmtId="43" fontId="4" fillId="0" borderId="4" xfId="0" applyNumberFormat="1" applyFont="1" applyBorder="1" applyAlignment="1">
      <alignment horizontal="center" vertical="center"/>
    </xf>
    <xf numFmtId="43" fontId="4" fillId="0" borderId="5" xfId="0" applyNumberFormat="1" applyFont="1" applyBorder="1" applyAlignment="1">
      <alignment horizontal="center" vertical="center"/>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co.pims.undp.org/project/view?id=5367"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o.pims.undp.org/project/view?id=5367"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co.pims.undp.org/project/view?id=53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B2B33-ECCF-43EA-BD42-3DD56F895631}">
  <dimension ref="A1:U10"/>
  <sheetViews>
    <sheetView tabSelected="1" topLeftCell="W1" workbookViewId="0">
      <selection activeCell="W1" sqref="W1"/>
    </sheetView>
  </sheetViews>
  <sheetFormatPr defaultColWidth="8.85546875" defaultRowHeight="15"/>
  <cols>
    <col min="1" max="1" width="15.7109375" style="11" customWidth="1"/>
    <col min="2" max="2" width="41.140625" style="11" customWidth="1"/>
    <col min="3" max="3" width="26.85546875" style="11" customWidth="1"/>
    <col min="4" max="4" width="23.85546875" style="12" customWidth="1"/>
    <col min="5" max="5" width="28.5703125" style="11" customWidth="1"/>
    <col min="6" max="6" width="35" style="13" customWidth="1"/>
    <col min="7" max="7" width="19.85546875" style="14" customWidth="1"/>
    <col min="8" max="8" width="20.140625" style="13" customWidth="1"/>
    <col min="9" max="9" width="101.85546875" style="13" customWidth="1"/>
    <col min="10" max="11" width="8.85546875" style="11"/>
    <col min="12" max="12" width="12.85546875" style="11" bestFit="1" customWidth="1"/>
    <col min="13" max="13" width="8.85546875" style="11"/>
    <col min="14" max="14" width="14.42578125" style="11" bestFit="1" customWidth="1"/>
    <col min="15" max="15" width="14.85546875" style="11" bestFit="1" customWidth="1"/>
    <col min="16" max="16" width="8.85546875" style="11"/>
    <col min="17" max="17" width="16.5703125" style="11" bestFit="1" customWidth="1"/>
    <col min="18" max="18" width="18.140625" style="11" bestFit="1" customWidth="1"/>
    <col min="19" max="19" width="13.42578125" style="11" bestFit="1" customWidth="1"/>
    <col min="20" max="20" width="30.28515625" style="11" bestFit="1" customWidth="1"/>
    <col min="21" max="21" width="16.7109375" style="11" bestFit="1" customWidth="1"/>
    <col min="22" max="16384" width="8.85546875" style="11"/>
  </cols>
  <sheetData>
    <row r="1" spans="1:21" s="4" customFormat="1" ht="45.75">
      <c r="A1" s="46" t="s">
        <v>0</v>
      </c>
      <c r="B1" s="46" t="s">
        <v>1</v>
      </c>
      <c r="C1" s="46" t="s">
        <v>2</v>
      </c>
      <c r="D1" s="39" t="s">
        <v>3</v>
      </c>
      <c r="E1" s="38" t="s">
        <v>4</v>
      </c>
      <c r="F1" s="38" t="s">
        <v>5</v>
      </c>
      <c r="G1" s="38" t="s">
        <v>6</v>
      </c>
      <c r="H1" s="38" t="s">
        <v>7</v>
      </c>
      <c r="I1" s="38" t="s">
        <v>8</v>
      </c>
      <c r="J1" s="36" t="s">
        <v>9</v>
      </c>
      <c r="K1" s="40" t="s">
        <v>10</v>
      </c>
      <c r="L1" s="62" t="s">
        <v>11</v>
      </c>
      <c r="M1" s="63" t="s">
        <v>12</v>
      </c>
      <c r="N1" s="62" t="s">
        <v>13</v>
      </c>
      <c r="O1" s="62" t="s">
        <v>14</v>
      </c>
      <c r="P1" s="63" t="s">
        <v>15</v>
      </c>
      <c r="Q1" s="63" t="s">
        <v>16</v>
      </c>
      <c r="R1" s="64" t="s">
        <v>17</v>
      </c>
      <c r="S1" s="65" t="s">
        <v>18</v>
      </c>
      <c r="T1" s="64" t="s">
        <v>19</v>
      </c>
      <c r="U1" s="65" t="s">
        <v>20</v>
      </c>
    </row>
    <row r="2" spans="1:21" s="4" customFormat="1" ht="44.25" customHeight="1">
      <c r="A2" s="49">
        <v>91460</v>
      </c>
      <c r="B2" s="49" t="s">
        <v>21</v>
      </c>
      <c r="C2" s="52" t="s">
        <v>22</v>
      </c>
      <c r="D2" s="44">
        <v>720000</v>
      </c>
      <c r="E2" s="41" t="s">
        <v>23</v>
      </c>
      <c r="F2" s="41" t="s">
        <v>24</v>
      </c>
      <c r="G2" s="37">
        <v>75</v>
      </c>
      <c r="H2" s="41">
        <v>77</v>
      </c>
      <c r="I2" s="41" t="s">
        <v>25</v>
      </c>
      <c r="J2" s="41"/>
      <c r="K2" s="41"/>
      <c r="L2" s="66" t="s">
        <v>26</v>
      </c>
      <c r="M2" s="59"/>
      <c r="N2" s="67" t="s">
        <v>27</v>
      </c>
      <c r="O2" s="59"/>
      <c r="P2" s="59"/>
      <c r="Q2" s="59"/>
      <c r="R2" s="59"/>
      <c r="S2" s="68" t="s">
        <v>28</v>
      </c>
      <c r="T2" s="59"/>
      <c r="U2" s="68"/>
    </row>
    <row r="3" spans="1:21" s="4" customFormat="1" ht="47.25" customHeight="1">
      <c r="A3" s="50"/>
      <c r="B3" s="50"/>
      <c r="C3" s="53"/>
      <c r="D3" s="44"/>
      <c r="E3" s="41" t="s">
        <v>29</v>
      </c>
      <c r="F3" s="41" t="s">
        <v>30</v>
      </c>
      <c r="G3" s="37">
        <v>0</v>
      </c>
      <c r="H3" s="24" t="s">
        <v>31</v>
      </c>
      <c r="I3" s="41" t="s">
        <v>32</v>
      </c>
      <c r="J3" s="41"/>
      <c r="K3" s="41"/>
      <c r="L3" s="66" t="s">
        <v>26</v>
      </c>
      <c r="M3" s="59"/>
      <c r="N3" s="67" t="s">
        <v>27</v>
      </c>
      <c r="O3" s="59"/>
      <c r="P3" s="59"/>
      <c r="Q3" s="59"/>
      <c r="R3" s="59"/>
      <c r="S3" s="68" t="s">
        <v>28</v>
      </c>
      <c r="T3" s="59"/>
      <c r="U3" s="68"/>
    </row>
    <row r="4" spans="1:21" s="4" customFormat="1" ht="45.75">
      <c r="A4" s="50"/>
      <c r="B4" s="50"/>
      <c r="C4" s="53"/>
      <c r="D4" s="44"/>
      <c r="E4" s="56" t="s">
        <v>33</v>
      </c>
      <c r="F4" s="56" t="s">
        <v>34</v>
      </c>
      <c r="G4" s="57">
        <v>0</v>
      </c>
      <c r="H4" s="56">
        <v>1540</v>
      </c>
      <c r="I4" s="41" t="s">
        <v>35</v>
      </c>
      <c r="J4" s="41"/>
      <c r="K4" s="41"/>
      <c r="L4" s="66" t="s">
        <v>26</v>
      </c>
      <c r="M4" s="59"/>
      <c r="N4" s="67" t="s">
        <v>27</v>
      </c>
      <c r="O4" s="59"/>
      <c r="P4" s="59"/>
      <c r="Q4" s="59"/>
      <c r="R4" s="59"/>
      <c r="S4" s="68"/>
      <c r="T4" s="59"/>
      <c r="U4" s="68"/>
    </row>
    <row r="5" spans="1:21" s="4" customFormat="1" ht="45.75">
      <c r="A5" s="50"/>
      <c r="B5" s="50"/>
      <c r="C5" s="53"/>
      <c r="D5" s="44"/>
      <c r="E5" s="56" t="s">
        <v>36</v>
      </c>
      <c r="F5" s="58" t="s">
        <v>37</v>
      </c>
      <c r="G5" s="57">
        <v>0</v>
      </c>
      <c r="H5" s="56">
        <v>200</v>
      </c>
      <c r="I5" s="55" t="s">
        <v>38</v>
      </c>
      <c r="J5" s="41"/>
      <c r="K5" s="41"/>
      <c r="L5" s="66" t="s">
        <v>26</v>
      </c>
      <c r="M5" s="59"/>
      <c r="N5" s="67" t="s">
        <v>27</v>
      </c>
      <c r="O5" s="59"/>
      <c r="P5" s="59"/>
      <c r="Q5" s="59"/>
      <c r="R5" s="59"/>
      <c r="S5" s="68"/>
      <c r="T5" s="59"/>
      <c r="U5" s="68"/>
    </row>
    <row r="6" spans="1:21" s="4" customFormat="1" ht="47.25" customHeight="1">
      <c r="A6" s="50"/>
      <c r="B6" s="50"/>
      <c r="C6" s="53"/>
      <c r="D6" s="44"/>
      <c r="E6" s="56" t="s">
        <v>39</v>
      </c>
      <c r="F6" s="56" t="s">
        <v>40</v>
      </c>
      <c r="G6" s="57">
        <v>0</v>
      </c>
      <c r="H6" s="56">
        <v>120</v>
      </c>
      <c r="I6" s="41" t="s">
        <v>41</v>
      </c>
      <c r="J6" s="41"/>
      <c r="K6" s="41"/>
      <c r="L6" s="66" t="s">
        <v>26</v>
      </c>
      <c r="M6" s="59"/>
      <c r="N6" s="67" t="s">
        <v>27</v>
      </c>
      <c r="O6" s="59"/>
      <c r="P6" s="59"/>
      <c r="Q6" s="59"/>
      <c r="R6" s="59"/>
      <c r="S6" s="68"/>
      <c r="T6" s="59"/>
      <c r="U6" s="68"/>
    </row>
    <row r="7" spans="1:21" s="4" customFormat="1" ht="45.75">
      <c r="A7" s="50"/>
      <c r="B7" s="50"/>
      <c r="C7" s="53"/>
      <c r="D7" s="44"/>
      <c r="E7" s="41" t="s">
        <v>42</v>
      </c>
      <c r="F7" s="41" t="s">
        <v>43</v>
      </c>
      <c r="G7" s="37">
        <v>0</v>
      </c>
      <c r="H7" s="41">
        <v>18</v>
      </c>
      <c r="I7" s="41"/>
      <c r="J7" s="41"/>
      <c r="K7" s="41"/>
      <c r="L7" s="66" t="s">
        <v>26</v>
      </c>
      <c r="M7" s="59"/>
      <c r="N7" s="67" t="s">
        <v>27</v>
      </c>
      <c r="O7" s="59"/>
      <c r="P7" s="59"/>
      <c r="Q7" s="59"/>
      <c r="R7" s="59"/>
      <c r="S7" s="68"/>
      <c r="T7" s="59"/>
      <c r="U7" s="68"/>
    </row>
    <row r="8" spans="1:21" s="4" customFormat="1" ht="45.75">
      <c r="A8" s="51"/>
      <c r="B8" s="51"/>
      <c r="C8" s="54"/>
      <c r="D8" s="45">
        <v>300000</v>
      </c>
      <c r="E8" s="41" t="s">
        <v>29</v>
      </c>
      <c r="F8" s="41" t="s">
        <v>44</v>
      </c>
      <c r="G8" s="37" t="s">
        <v>45</v>
      </c>
      <c r="H8" s="24" t="s">
        <v>46</v>
      </c>
      <c r="I8" s="41" t="s">
        <v>47</v>
      </c>
      <c r="J8" s="41"/>
      <c r="K8" s="41"/>
      <c r="L8" s="66" t="s">
        <v>26</v>
      </c>
      <c r="M8" s="59"/>
      <c r="N8" s="67" t="s">
        <v>27</v>
      </c>
      <c r="O8" s="59"/>
      <c r="P8" s="59"/>
      <c r="Q8" s="59"/>
      <c r="R8" s="59"/>
      <c r="S8" s="68" t="s">
        <v>28</v>
      </c>
      <c r="T8" s="59"/>
      <c r="U8" s="68"/>
    </row>
    <row r="9" spans="1:21" s="4" customFormat="1" ht="45.75">
      <c r="A9" s="47" t="s">
        <v>48</v>
      </c>
      <c r="B9" s="48" t="s">
        <v>49</v>
      </c>
      <c r="C9" s="47"/>
      <c r="D9" s="42">
        <v>57000</v>
      </c>
      <c r="E9" s="43" t="s">
        <v>23</v>
      </c>
      <c r="F9" s="41" t="s">
        <v>50</v>
      </c>
      <c r="G9" s="37">
        <v>0</v>
      </c>
      <c r="H9" s="41">
        <v>5.8999999999999997E-2</v>
      </c>
      <c r="I9" s="41"/>
      <c r="J9" s="41"/>
      <c r="K9" s="41"/>
      <c r="L9" s="66" t="s">
        <v>26</v>
      </c>
      <c r="M9" s="59"/>
      <c r="N9" s="67" t="s">
        <v>51</v>
      </c>
      <c r="O9" s="59"/>
      <c r="P9" s="59"/>
      <c r="Q9" s="59"/>
      <c r="R9" s="59"/>
      <c r="S9" s="68" t="s">
        <v>28</v>
      </c>
      <c r="T9" s="59"/>
      <c r="U9" s="68"/>
    </row>
    <row r="10" spans="1:21" s="4" customFormat="1" ht="15.75">
      <c r="D10" s="5"/>
      <c r="F10" s="6"/>
      <c r="G10" s="7"/>
      <c r="H10" s="6"/>
      <c r="I10" s="6"/>
    </row>
  </sheetData>
  <dataValidations count="9">
    <dataValidation type="list" allowBlank="1" showInputMessage="1" showErrorMessage="1" sqref="Q2:Q9" xr:uid="{99EBCF1A-3C12-4A8B-BE84-C5F94B494A2E}">
      <formula1>"NDC Support, National Strategy, Legal Framework,Incentives and Support, Government Capacity-Building, Carbon Pricing and Monitoring, Financing Model, Business Model"</formula1>
    </dataValidation>
    <dataValidation type="list" allowBlank="1" showInputMessage="1" showErrorMessage="1" sqref="P2:P9" xr:uid="{F27E3DD4-8A34-4ECF-81A3-221CC8A498B9}">
      <formula1>"AMP, PUDC, Solar4Health, Action Opportunities, Italy UNDP Energy Partnership"</formula1>
    </dataValidation>
    <dataValidation type="list" allowBlank="1" showInputMessage="1" showErrorMessage="1" sqref="N2:N9" xr:uid="{26F108CB-7362-46F1-B7D7-FA259C39FB11}">
      <formula1>"Accelerating just energy transition, Close the gap on energy access, Scale up energy finance"</formula1>
    </dataValidation>
    <dataValidation type="list" allowBlank="1" showInputMessage="1" showErrorMessage="1" sqref="O2:O9" xr:uid="{5645A549-6A51-43B3-A725-C12ED04F3673}">
      <formula1>"Electricity Access, Energy Efficiency, Clean Cooking, Renewable Energy, Overall"</formula1>
    </dataValidation>
    <dataValidation type="list" allowBlank="1" showInputMessage="1" showErrorMessage="1" sqref="L2:L9" xr:uid="{A4892917-B136-4670-A924-F8BE98725EDB}">
      <formula1>"Non-VF, VF"</formula1>
    </dataValidation>
    <dataValidation type="list" allowBlank="1" showInputMessage="1" showErrorMessage="1" sqref="M2:M9" xr:uid="{B71CC3FA-1258-4ECE-9BA5-598841FDD347}">
      <formula1>"Finance, Gender, Efficiency, Just, Health"</formula1>
    </dataValidation>
    <dataValidation type="list" allowBlank="1" showInputMessage="1" showErrorMessage="1" sqref="T2:T9" xr:uid="{5BA59E1C-544F-49F2-AA41-8CBB74D0A68A}">
      <formula1>"National, Regional, City, Community"</formula1>
    </dataValidation>
    <dataValidation type="list" allowBlank="1" showInputMessage="1" showErrorMessage="1" sqref="R2:R9" xr:uid="{86293322-F779-4B90-AC45-0B22CAE88D1A}">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9" xr:uid="{6835F029-9427-4B0D-8026-9C12416B89D0}">
      <formula1>"Solar, Wind, Bioenergy, Hydro, Geothermal, Waste, Some Sources, Other, Unknown"</formula1>
    </dataValidation>
  </dataValidations>
  <hyperlinks>
    <hyperlink ref="C2" r:id="rId1" xr:uid="{1DF1A2E3-3E6A-49EA-AF1E-7BCEB48898B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E94E83D-ABEF-479E-A9E2-E6B79B596DF8}">
          <x14:formula1>
            <xm:f>'Beneficary Categories'!$A$2:$A$22</xm:f>
          </x14:formula1>
          <xm:sqref>E2:E9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754FB-DDC1-4F1B-9A2A-319E81BB5245}">
  <dimension ref="A1:R10"/>
  <sheetViews>
    <sheetView topLeftCell="I1" workbookViewId="0">
      <selection activeCell="O6" sqref="O6"/>
    </sheetView>
  </sheetViews>
  <sheetFormatPr defaultColWidth="8.85546875" defaultRowHeight="15"/>
  <cols>
    <col min="1" max="1" width="15.7109375" style="11" customWidth="1"/>
    <col min="2" max="3" width="41.7109375" style="11" customWidth="1"/>
    <col min="4" max="4" width="23.85546875" style="12" customWidth="1"/>
    <col min="5" max="5" width="28.5703125" style="11" customWidth="1"/>
    <col min="6" max="6" width="35" style="13" customWidth="1"/>
    <col min="7" max="7" width="19.85546875" style="14" customWidth="1"/>
    <col min="8" max="8" width="20.140625" style="13" customWidth="1"/>
    <col min="9" max="9" width="101.85546875" style="13" customWidth="1"/>
    <col min="10" max="16384" width="8.85546875" style="11"/>
  </cols>
  <sheetData>
    <row r="1" spans="1:18" s="4" customFormat="1" ht="16.5">
      <c r="A1" s="1" t="s">
        <v>0</v>
      </c>
      <c r="B1" s="1" t="s">
        <v>1</v>
      </c>
      <c r="C1" s="1" t="s">
        <v>2</v>
      </c>
      <c r="D1" s="2" t="s">
        <v>3</v>
      </c>
      <c r="E1" s="1" t="s">
        <v>4</v>
      </c>
      <c r="F1" s="3" t="s">
        <v>5</v>
      </c>
      <c r="G1" s="1" t="s">
        <v>6</v>
      </c>
      <c r="H1" s="3" t="s">
        <v>7</v>
      </c>
      <c r="I1" s="3" t="s">
        <v>8</v>
      </c>
      <c r="J1" s="19" t="s">
        <v>9</v>
      </c>
      <c r="K1" s="18" t="s">
        <v>10</v>
      </c>
      <c r="L1" s="18" t="s">
        <v>52</v>
      </c>
      <c r="N1" s="35" t="s">
        <v>13</v>
      </c>
      <c r="O1" s="35" t="s">
        <v>14</v>
      </c>
      <c r="P1" s="35" t="s">
        <v>15</v>
      </c>
      <c r="Q1" s="35" t="s">
        <v>16</v>
      </c>
      <c r="R1" s="35" t="s">
        <v>17</v>
      </c>
    </row>
    <row r="2" spans="1:18" s="4" customFormat="1" ht="15.75" customHeight="1">
      <c r="A2" s="69">
        <v>91460</v>
      </c>
      <c r="B2" s="69" t="s">
        <v>21</v>
      </c>
      <c r="C2" s="71" t="s">
        <v>22</v>
      </c>
      <c r="D2" s="73">
        <v>720000</v>
      </c>
      <c r="E2" s="21" t="s">
        <v>23</v>
      </c>
      <c r="F2" s="22" t="s">
        <v>24</v>
      </c>
      <c r="G2" s="23">
        <v>75</v>
      </c>
      <c r="H2" s="22">
        <v>77</v>
      </c>
      <c r="I2" s="22" t="s">
        <v>25</v>
      </c>
      <c r="J2" s="21" t="s">
        <v>53</v>
      </c>
      <c r="K2" s="21"/>
      <c r="L2" s="70" t="s">
        <v>26</v>
      </c>
      <c r="N2" s="4" t="s">
        <v>27</v>
      </c>
      <c r="O2" s="4" t="s">
        <v>54</v>
      </c>
    </row>
    <row r="3" spans="1:18" s="4" customFormat="1" ht="47.25" customHeight="1">
      <c r="A3" s="69"/>
      <c r="B3" s="69"/>
      <c r="C3" s="71"/>
      <c r="D3" s="74"/>
      <c r="E3" s="21" t="s">
        <v>29</v>
      </c>
      <c r="F3" s="22" t="s">
        <v>30</v>
      </c>
      <c r="G3" s="23">
        <v>0</v>
      </c>
      <c r="H3" s="24" t="s">
        <v>31</v>
      </c>
      <c r="I3" s="22" t="s">
        <v>32</v>
      </c>
      <c r="J3" s="21"/>
      <c r="K3" s="21"/>
      <c r="L3" s="76"/>
      <c r="N3" s="4" t="s">
        <v>51</v>
      </c>
      <c r="O3" s="4" t="s">
        <v>29</v>
      </c>
    </row>
    <row r="4" spans="1:18" s="17" customFormat="1" ht="15.75" customHeight="1">
      <c r="A4" s="69"/>
      <c r="B4" s="69"/>
      <c r="C4" s="71"/>
      <c r="D4" s="74"/>
      <c r="E4" s="25" t="s">
        <v>33</v>
      </c>
      <c r="F4" s="26" t="s">
        <v>55</v>
      </c>
      <c r="G4" s="27">
        <v>0</v>
      </c>
      <c r="H4" s="26">
        <v>11</v>
      </c>
      <c r="I4" s="25" t="s">
        <v>35</v>
      </c>
      <c r="J4" s="25"/>
      <c r="K4" s="25"/>
      <c r="L4" s="76"/>
      <c r="N4" s="4"/>
      <c r="O4" s="4"/>
      <c r="P4" s="4"/>
      <c r="Q4" s="4"/>
      <c r="R4" s="4"/>
    </row>
    <row r="5" spans="1:18" s="17" customFormat="1" ht="15.75">
      <c r="A5" s="69"/>
      <c r="B5" s="69"/>
      <c r="C5" s="71"/>
      <c r="D5" s="74"/>
      <c r="E5" s="25" t="s">
        <v>36</v>
      </c>
      <c r="F5" s="28" t="s">
        <v>37</v>
      </c>
      <c r="G5" s="27">
        <v>0</v>
      </c>
      <c r="H5" s="26">
        <v>3</v>
      </c>
      <c r="I5" s="28" t="s">
        <v>38</v>
      </c>
      <c r="J5" s="25"/>
      <c r="K5" s="25"/>
      <c r="L5" s="76"/>
      <c r="N5" s="4"/>
      <c r="O5" s="4"/>
      <c r="P5" s="4"/>
      <c r="Q5" s="4"/>
      <c r="R5" s="4"/>
    </row>
    <row r="6" spans="1:18" s="17" customFormat="1" ht="47.25" customHeight="1">
      <c r="A6" s="69"/>
      <c r="B6" s="69"/>
      <c r="C6" s="71"/>
      <c r="D6" s="74"/>
      <c r="E6" s="25" t="s">
        <v>39</v>
      </c>
      <c r="F6" s="26" t="s">
        <v>40</v>
      </c>
      <c r="G6" s="27">
        <v>0</v>
      </c>
      <c r="H6" s="26">
        <v>4</v>
      </c>
      <c r="I6" s="26" t="s">
        <v>41</v>
      </c>
      <c r="J6" s="25"/>
      <c r="K6" s="25"/>
      <c r="L6" s="76"/>
      <c r="N6" s="4"/>
      <c r="O6" s="4"/>
      <c r="P6" s="4"/>
      <c r="Q6" s="4"/>
      <c r="R6" s="4"/>
    </row>
    <row r="7" spans="1:18" s="17" customFormat="1" ht="15.75" customHeight="1">
      <c r="A7" s="69"/>
      <c r="B7" s="69"/>
      <c r="C7" s="71"/>
      <c r="D7" s="75"/>
      <c r="E7" s="21" t="s">
        <v>42</v>
      </c>
      <c r="F7" s="22" t="s">
        <v>43</v>
      </c>
      <c r="G7" s="23">
        <v>0</v>
      </c>
      <c r="H7" s="22">
        <v>18</v>
      </c>
      <c r="I7" s="22"/>
      <c r="J7" s="21"/>
      <c r="K7" s="21"/>
      <c r="L7" s="76"/>
      <c r="N7" s="4"/>
      <c r="O7" s="4"/>
      <c r="P7" s="4"/>
      <c r="Q7" s="4"/>
      <c r="R7" s="4"/>
    </row>
    <row r="8" spans="1:18" s="4" customFormat="1" ht="31.5" customHeight="1">
      <c r="A8" s="70"/>
      <c r="B8" s="70"/>
      <c r="C8" s="72"/>
      <c r="D8" s="30">
        <v>300000</v>
      </c>
      <c r="E8" s="31" t="s">
        <v>36</v>
      </c>
      <c r="F8" s="32" t="s">
        <v>44</v>
      </c>
      <c r="G8" s="33">
        <v>1500</v>
      </c>
      <c r="H8" s="34" t="s">
        <v>46</v>
      </c>
      <c r="I8" s="32" t="s">
        <v>47</v>
      </c>
      <c r="J8" s="31"/>
      <c r="K8" s="31"/>
      <c r="L8" s="77"/>
    </row>
    <row r="9" spans="1:18" s="4" customFormat="1" ht="16.5">
      <c r="A9" s="21"/>
      <c r="B9" s="29" t="s">
        <v>49</v>
      </c>
      <c r="C9" s="21"/>
      <c r="D9" s="20">
        <v>57000</v>
      </c>
      <c r="E9" s="29" t="s">
        <v>23</v>
      </c>
      <c r="F9" s="22" t="s">
        <v>50</v>
      </c>
      <c r="G9" s="23"/>
      <c r="H9" s="22">
        <v>5.8999999999999997E-2</v>
      </c>
      <c r="I9" s="22"/>
      <c r="J9" s="21"/>
      <c r="K9" s="21"/>
      <c r="L9" s="21" t="s">
        <v>26</v>
      </c>
    </row>
    <row r="10" spans="1:18" s="4" customFormat="1" ht="15.75">
      <c r="D10" s="5"/>
      <c r="F10" s="6"/>
      <c r="G10" s="7"/>
      <c r="H10" s="6"/>
      <c r="I10" s="6"/>
    </row>
  </sheetData>
  <mergeCells count="5">
    <mergeCell ref="A2:A8"/>
    <mergeCell ref="B2:B8"/>
    <mergeCell ref="C2:C8"/>
    <mergeCell ref="D2:D7"/>
    <mergeCell ref="L2:L8"/>
  </mergeCells>
  <dataValidations count="5">
    <dataValidation type="list" allowBlank="1" showInputMessage="1" showErrorMessage="1" sqref="N2:N9" xr:uid="{9FE09BEE-AE69-4945-8EAD-4B335742F245}">
      <formula1>"Accelerating just energy transition, Close the gap on energy access, Scale up energy finance"</formula1>
    </dataValidation>
    <dataValidation type="list" allowBlank="1" showInputMessage="1" showErrorMessage="1" sqref="O2:O9" xr:uid="{D1F99554-B515-4220-A2AF-32E2B6C80107}">
      <formula1>"Electricity Access, Energy Efficiency, Clean Cooking, Renewable Energy"</formula1>
    </dataValidation>
    <dataValidation type="list" allowBlank="1" showInputMessage="1" showErrorMessage="1" sqref="P2:P9" xr:uid="{8472BA32-7172-4713-8F96-8C090D8F4158}">
      <formula1>"AMP, PUDC, Solar4Health, Action Opportunities, Italy UNDP Energy Partnership"</formula1>
    </dataValidation>
    <dataValidation type="list" allowBlank="1" showInputMessage="1" showErrorMessage="1" sqref="Q2:Q9" xr:uid="{71594C97-56DE-45A5-B45F-FCD85DA5D7BA}">
      <formula1>"NDC Support, National Strategy, Legal Framework,Incentives and Support, Government Capacity-Building, Carbon Pricing and Monitoring, Financing Model, Business Model"</formula1>
    </dataValidation>
    <dataValidation type="list" allowBlank="1" showInputMessage="1" showErrorMessage="1" sqref="R2:R9" xr:uid="{C7F42C63-7A26-4FF2-9BBE-BBC10A13FAC8}">
      <formula1>"Electricity Access, Energy Efficiency, Renewable EnergyEnergy Infrastructure,   Transport, Digital &amp; Data, Clean Cooking, Decarbonization, Hydrogen, Off-Grid, On-Grid"</formula1>
    </dataValidation>
  </dataValidations>
  <hyperlinks>
    <hyperlink ref="C2" r:id="rId1" xr:uid="{8C8AC34B-8632-48A3-8A1C-E3A8B952D33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C96D9-516D-4D3C-B820-51B87FB32FE1}">
  <dimension ref="A1:J10"/>
  <sheetViews>
    <sheetView topLeftCell="F1" workbookViewId="0">
      <selection activeCell="I6" sqref="I6"/>
    </sheetView>
  </sheetViews>
  <sheetFormatPr defaultColWidth="8.85546875" defaultRowHeight="15"/>
  <cols>
    <col min="1" max="1" width="15.7109375" style="11" customWidth="1"/>
    <col min="2" max="3" width="41.7109375" style="11" customWidth="1"/>
    <col min="4" max="4" width="23.85546875" style="12" customWidth="1"/>
    <col min="5" max="5" width="28.5703125" style="11" customWidth="1"/>
    <col min="6" max="6" width="35" style="13" customWidth="1"/>
    <col min="7" max="7" width="19.85546875" style="14" customWidth="1"/>
    <col min="8" max="8" width="20.140625" style="13" customWidth="1"/>
    <col min="9" max="9" width="65.140625" style="13" customWidth="1"/>
    <col min="10" max="16384" width="8.85546875" style="11"/>
  </cols>
  <sheetData>
    <row r="1" spans="1:10" s="4" customFormat="1" ht="16.5">
      <c r="A1" s="1" t="s">
        <v>0</v>
      </c>
      <c r="B1" s="1" t="s">
        <v>1</v>
      </c>
      <c r="C1" s="1" t="s">
        <v>2</v>
      </c>
      <c r="D1" s="2" t="s">
        <v>3</v>
      </c>
      <c r="E1" s="1" t="s">
        <v>4</v>
      </c>
      <c r="F1" s="3" t="s">
        <v>5</v>
      </c>
      <c r="G1" s="1" t="s">
        <v>6</v>
      </c>
      <c r="H1" s="3" t="s">
        <v>7</v>
      </c>
      <c r="I1" s="3" t="s">
        <v>8</v>
      </c>
      <c r="J1" s="15" t="s">
        <v>9</v>
      </c>
    </row>
    <row r="2" spans="1:10" s="4" customFormat="1" ht="15.75">
      <c r="A2" s="4">
        <v>91460</v>
      </c>
      <c r="B2" s="4" t="s">
        <v>21</v>
      </c>
      <c r="D2" s="5">
        <v>720000</v>
      </c>
      <c r="E2" s="4" t="s">
        <v>23</v>
      </c>
      <c r="F2" s="6" t="s">
        <v>24</v>
      </c>
      <c r="G2" s="7" t="s">
        <v>56</v>
      </c>
      <c r="H2" s="6" t="s">
        <v>57</v>
      </c>
      <c r="I2" s="6" t="s">
        <v>25</v>
      </c>
    </row>
    <row r="3" spans="1:10" s="4" customFormat="1" ht="47.25">
      <c r="A3" s="4">
        <v>91460</v>
      </c>
      <c r="B3" s="4" t="s">
        <v>21</v>
      </c>
      <c r="C3" s="8" t="s">
        <v>22</v>
      </c>
      <c r="D3" s="5"/>
      <c r="E3" s="4" t="s">
        <v>29</v>
      </c>
      <c r="F3" s="6" t="s">
        <v>30</v>
      </c>
      <c r="G3" s="7">
        <v>0</v>
      </c>
      <c r="H3" s="6">
        <v>940</v>
      </c>
      <c r="I3" s="6" t="s">
        <v>32</v>
      </c>
    </row>
    <row r="4" spans="1:10" s="4" customFormat="1" ht="15.75">
      <c r="A4" s="4">
        <v>91460</v>
      </c>
      <c r="B4" s="4" t="s">
        <v>21</v>
      </c>
      <c r="C4" s="8"/>
      <c r="D4" s="5"/>
      <c r="F4" s="6" t="s">
        <v>55</v>
      </c>
      <c r="G4" s="7">
        <v>0</v>
      </c>
      <c r="H4" s="6">
        <v>11</v>
      </c>
      <c r="I4" s="4" t="s">
        <v>35</v>
      </c>
    </row>
    <row r="5" spans="1:10" s="4" customFormat="1" ht="15.75">
      <c r="A5" s="4">
        <v>91460</v>
      </c>
      <c r="B5" s="4" t="s">
        <v>21</v>
      </c>
      <c r="C5" s="8"/>
      <c r="D5" s="5"/>
      <c r="F5" s="9" t="s">
        <v>37</v>
      </c>
      <c r="G5" s="7">
        <v>0</v>
      </c>
      <c r="H5" s="6">
        <v>3</v>
      </c>
      <c r="I5" s="9" t="s">
        <v>38</v>
      </c>
    </row>
    <row r="6" spans="1:10" s="4" customFormat="1" ht="47.25">
      <c r="A6" s="4">
        <v>91460</v>
      </c>
      <c r="B6" s="4" t="s">
        <v>21</v>
      </c>
      <c r="C6" s="8"/>
      <c r="D6" s="5"/>
      <c r="F6" s="6" t="s">
        <v>40</v>
      </c>
      <c r="G6" s="7">
        <v>0</v>
      </c>
      <c r="H6" s="6">
        <v>4</v>
      </c>
      <c r="I6" s="6" t="s">
        <v>41</v>
      </c>
    </row>
    <row r="7" spans="1:10" s="4" customFormat="1" ht="15.75">
      <c r="A7" s="4">
        <v>91460</v>
      </c>
      <c r="B7" s="4" t="s">
        <v>21</v>
      </c>
      <c r="D7" s="5"/>
      <c r="F7" s="6" t="s">
        <v>43</v>
      </c>
      <c r="G7" s="7">
        <v>0</v>
      </c>
      <c r="H7" s="6">
        <v>18</v>
      </c>
      <c r="I7" s="6"/>
    </row>
    <row r="8" spans="1:10" s="4" customFormat="1" ht="31.5">
      <c r="A8" s="4">
        <v>91460</v>
      </c>
      <c r="B8" s="4" t="s">
        <v>21</v>
      </c>
      <c r="D8" s="5">
        <v>300000</v>
      </c>
      <c r="E8" s="4" t="s">
        <v>36</v>
      </c>
      <c r="F8" s="6" t="s">
        <v>44</v>
      </c>
      <c r="G8" s="7">
        <v>1500</v>
      </c>
      <c r="H8" s="6">
        <v>8000</v>
      </c>
      <c r="I8" s="6" t="s">
        <v>47</v>
      </c>
    </row>
    <row r="9" spans="1:10" s="4" customFormat="1" ht="15.75">
      <c r="B9" s="10" t="s">
        <v>49</v>
      </c>
      <c r="D9" s="5">
        <v>57000</v>
      </c>
      <c r="E9" s="10" t="s">
        <v>23</v>
      </c>
      <c r="F9" s="6" t="s">
        <v>50</v>
      </c>
      <c r="G9" s="7"/>
      <c r="H9" s="6">
        <v>59</v>
      </c>
      <c r="I9" s="6"/>
      <c r="J9" s="16"/>
    </row>
    <row r="10" spans="1:10" s="4" customFormat="1" ht="15.75">
      <c r="D10" s="5"/>
      <c r="F10" s="6"/>
      <c r="G10" s="7"/>
      <c r="H10" s="6"/>
      <c r="I10" s="6"/>
    </row>
  </sheetData>
  <hyperlinks>
    <hyperlink ref="C3" r:id="rId1" xr:uid="{E6E5430D-CAB3-462D-9AA7-490C3ECBE7D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C513D-F21E-4691-B314-0C295512429F}">
  <dimension ref="A1:B22"/>
  <sheetViews>
    <sheetView topLeftCell="A12" workbookViewId="0">
      <selection activeCell="F7" sqref="F7"/>
    </sheetView>
  </sheetViews>
  <sheetFormatPr defaultRowHeight="15"/>
  <cols>
    <col min="1" max="1" width="21.42578125" customWidth="1"/>
    <col min="2" max="2" width="44.7109375" customWidth="1"/>
  </cols>
  <sheetData>
    <row r="1" spans="1:2">
      <c r="A1" s="60" t="s">
        <v>4</v>
      </c>
      <c r="B1" s="60" t="s">
        <v>5</v>
      </c>
    </row>
    <row r="2" spans="1:2" ht="45.75">
      <c r="A2" s="78" t="s">
        <v>29</v>
      </c>
      <c r="B2" s="61" t="s">
        <v>58</v>
      </c>
    </row>
    <row r="3" spans="1:2">
      <c r="A3" s="78" t="s">
        <v>23</v>
      </c>
      <c r="B3" s="61" t="s">
        <v>59</v>
      </c>
    </row>
    <row r="4" spans="1:2" ht="45.75">
      <c r="A4" s="78" t="s">
        <v>60</v>
      </c>
      <c r="B4" s="61" t="s">
        <v>61</v>
      </c>
    </row>
    <row r="5" spans="1:2" ht="45.75">
      <c r="A5" s="78" t="s">
        <v>62</v>
      </c>
      <c r="B5" s="61" t="s">
        <v>63</v>
      </c>
    </row>
    <row r="6" spans="1:2" ht="106.5">
      <c r="A6" s="78" t="s">
        <v>64</v>
      </c>
      <c r="B6" s="61" t="s">
        <v>65</v>
      </c>
    </row>
    <row r="7" spans="1:2" ht="45.75">
      <c r="A7" s="78" t="s">
        <v>39</v>
      </c>
      <c r="B7" s="61" t="s">
        <v>66</v>
      </c>
    </row>
    <row r="8" spans="1:2" ht="45.75">
      <c r="A8" s="78" t="s">
        <v>67</v>
      </c>
      <c r="B8" s="61" t="s">
        <v>68</v>
      </c>
    </row>
    <row r="9" spans="1:2" ht="45.75">
      <c r="A9" s="78" t="s">
        <v>33</v>
      </c>
      <c r="B9" s="61" t="s">
        <v>69</v>
      </c>
    </row>
    <row r="10" spans="1:2" ht="45.75">
      <c r="A10" s="78" t="s">
        <v>70</v>
      </c>
      <c r="B10" s="79" t="s">
        <v>71</v>
      </c>
    </row>
    <row r="11" spans="1:2" ht="45.75">
      <c r="A11" s="78" t="s">
        <v>72</v>
      </c>
      <c r="B11" s="79" t="s">
        <v>73</v>
      </c>
    </row>
    <row r="12" spans="1:2" ht="45.75">
      <c r="A12" s="78" t="s">
        <v>74</v>
      </c>
      <c r="B12" s="61" t="s">
        <v>75</v>
      </c>
    </row>
    <row r="13" spans="1:2" ht="30.75">
      <c r="A13" s="78" t="s">
        <v>36</v>
      </c>
      <c r="B13" s="79" t="s">
        <v>76</v>
      </c>
    </row>
    <row r="14" spans="1:2">
      <c r="A14" s="78" t="s">
        <v>77</v>
      </c>
      <c r="B14" s="79" t="s">
        <v>78</v>
      </c>
    </row>
    <row r="15" spans="1:2" ht="30.75">
      <c r="A15" s="78" t="s">
        <v>79</v>
      </c>
      <c r="B15" s="79" t="s">
        <v>80</v>
      </c>
    </row>
    <row r="16" spans="1:2" ht="30.75">
      <c r="A16" s="78" t="s">
        <v>42</v>
      </c>
      <c r="B16" s="79" t="s">
        <v>81</v>
      </c>
    </row>
    <row r="17" spans="1:2" ht="45.75">
      <c r="A17" s="78" t="s">
        <v>82</v>
      </c>
      <c r="B17" s="61" t="s">
        <v>83</v>
      </c>
    </row>
    <row r="18" spans="1:2" ht="45.75">
      <c r="A18" s="78" t="s">
        <v>84</v>
      </c>
      <c r="B18" s="79" t="s">
        <v>85</v>
      </c>
    </row>
    <row r="19" spans="1:2" ht="91.5">
      <c r="A19" s="78" t="s">
        <v>86</v>
      </c>
      <c r="B19" s="79" t="s">
        <v>87</v>
      </c>
    </row>
    <row r="20" spans="1:2" ht="30.75">
      <c r="A20" s="78" t="s">
        <v>88</v>
      </c>
      <c r="B20" s="79" t="s">
        <v>89</v>
      </c>
    </row>
    <row r="21" spans="1:2" ht="45.75">
      <c r="A21" s="78" t="s">
        <v>19</v>
      </c>
      <c r="B21" s="80" t="s">
        <v>90</v>
      </c>
    </row>
    <row r="22" spans="1:2" ht="30.75">
      <c r="A22" s="78" t="s">
        <v>91</v>
      </c>
      <c r="B22" s="79" t="s">
        <v>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8D1AE5E-1BED-4AB0-85A9-DFDAE1B3D4EF}"/>
</file>

<file path=customXml/itemProps2.xml><?xml version="1.0" encoding="utf-8"?>
<ds:datastoreItem xmlns:ds="http://schemas.openxmlformats.org/officeDocument/2006/customXml" ds:itemID="{9258AD77-6E20-4054-972D-37F620DD8338}"/>
</file>

<file path=customXml/itemProps3.xml><?xml version="1.0" encoding="utf-8"?>
<ds:datastoreItem xmlns:ds="http://schemas.openxmlformats.org/officeDocument/2006/customXml" ds:itemID="{883D2FCF-34B1-456C-AC19-7D4CC78DEC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Mohlapisi Polaki</dc:creator>
  <cp:keywords/>
  <dc:description/>
  <cp:lastModifiedBy>Vaidehi Kad</cp:lastModifiedBy>
  <cp:revision/>
  <dcterms:created xsi:type="dcterms:W3CDTF">2023-05-17T12:07:31Z</dcterms:created>
  <dcterms:modified xsi:type="dcterms:W3CDTF">2024-10-29T16:32:11Z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0x01010081A889D055969F449BCDADF9B8A9C0F0</vt:lpwstr>
  </property>
</Properties>
</file>