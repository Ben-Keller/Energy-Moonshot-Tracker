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color theme="1"/>
      <sz val="11"/>
      <scheme val="minor"/>
    </font>
    <font>
      <name val="Calibri"/>
      <family val="2"/>
      <b val="1"/>
      <color theme="1"/>
      <sz val="11"/>
      <scheme val="minor"/>
    </font>
    <font>
      <name val="Calibri"/>
      <charset val="1"/>
      <family val="2"/>
      <color theme="1"/>
      <sz val="11"/>
    </font>
    <font>
      <name val="Calibri"/>
      <b val="1"/>
      <color theme="1"/>
      <sz val="11"/>
      <scheme val="minor"/>
    </font>
    <font>
      <name val="Calibri"/>
      <color rgb="FF000000"/>
      <sz val="11"/>
      <scheme val="minor"/>
    </font>
    <font>
      <name val="Calibri"/>
      <family val="2"/>
      <color theme="10"/>
      <sz val="11"/>
      <u val="single"/>
      <scheme val="minor"/>
    </font>
    <font>
      <name val="Calibri"/>
      <color rgb="FFFF0000"/>
      <sz val="11"/>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s>
  <cellStyleXfs count="2">
    <xf numFmtId="0" fontId="0" fillId="0" borderId="0"/>
    <xf numFmtId="0" fontId="6" fillId="0" borderId="0"/>
  </cellStyleXfs>
  <cellXfs count="93">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0" fillId="2" borderId="0" applyAlignment="1" pivotButton="0" quotePrefix="0" xfId="0">
      <alignment wrapText="1"/>
    </xf>
    <xf numFmtId="0" fontId="3" fillId="3" borderId="0" applyAlignment="1" pivotButton="0" quotePrefix="0" xfId="0">
      <alignment vertical="top" wrapText="1"/>
    </xf>
    <xf numFmtId="0" fontId="3" fillId="3" borderId="0" applyAlignment="1" pivotButton="0" quotePrefix="0" xfId="0">
      <alignment wrapText="1"/>
    </xf>
    <xf numFmtId="0" fontId="0" fillId="2" borderId="0" applyAlignment="1" pivotButton="0" quotePrefix="0" xfId="0">
      <alignment vertical="top"/>
    </xf>
    <xf numFmtId="0" fontId="0"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2" fillId="0" borderId="2" pivotButton="0" quotePrefix="0" xfId="0"/>
    <xf numFmtId="0" fontId="2" fillId="0" borderId="3" applyAlignment="1" pivotButton="0" quotePrefix="0" xfId="0">
      <alignment horizontal="center" vertical="top"/>
    </xf>
    <xf numFmtId="0" fontId="0" fillId="0" borderId="3" pivotButton="0" quotePrefix="0" xfId="0"/>
    <xf numFmtId="0" fontId="0" fillId="2" borderId="3" applyAlignment="1" pivotButton="0" quotePrefix="0" xfId="0">
      <alignment vertical="top"/>
    </xf>
    <xf numFmtId="0" fontId="3" fillId="3" borderId="3" applyAlignment="1" pivotButton="0" quotePrefix="0" xfId="0">
      <alignment wrapText="1"/>
    </xf>
    <xf numFmtId="0" fontId="0" fillId="0" borderId="3" applyAlignment="1" pivotButton="0" quotePrefix="0" xfId="0">
      <alignment horizontal="center" vertical="center"/>
    </xf>
    <xf numFmtId="0" fontId="3" fillId="3" borderId="3" applyAlignment="1" pivotButton="0" quotePrefix="0" xfId="0">
      <alignment vertical="top" wrapText="1"/>
    </xf>
    <xf numFmtId="0" fontId="0" fillId="2" borderId="3" applyAlignment="1" pivotButton="0" quotePrefix="0" xfId="0">
      <alignment wrapText="1"/>
    </xf>
    <xf numFmtId="0" fontId="0" fillId="2" borderId="3" applyAlignment="1" pivotButton="0" quotePrefix="0" xfId="0">
      <alignment vertical="top" wrapText="1"/>
    </xf>
    <xf numFmtId="0" fontId="0" fillId="0" borderId="3" applyAlignment="1" pivotButton="0" quotePrefix="0" xfId="0">
      <alignment vertical="top"/>
    </xf>
    <xf numFmtId="0" fontId="0" fillId="3" borderId="3" applyAlignment="1" pivotButton="0" quotePrefix="0" xfId="0">
      <alignment vertical="top"/>
    </xf>
    <xf numFmtId="0" fontId="0" fillId="3" borderId="3" applyAlignment="1" pivotButton="0" quotePrefix="0" xfId="0">
      <alignment vertical="top" wrapText="1"/>
    </xf>
    <xf numFmtId="0" fontId="2" fillId="0" borderId="3" pivotButton="0" quotePrefix="0" xfId="0"/>
    <xf numFmtId="0" fontId="2" fillId="0" borderId="4" pivotButton="0" quotePrefix="0" xfId="0"/>
    <xf numFmtId="0" fontId="0" fillId="0" borderId="3" applyAlignment="1" pivotButton="0" quotePrefix="0" xfId="0">
      <alignment vertical="center"/>
    </xf>
    <xf numFmtId="0" fontId="0" fillId="0" borderId="7" applyAlignment="1" pivotButton="0" quotePrefix="0" xfId="0">
      <alignment vertical="center"/>
    </xf>
    <xf numFmtId="0" fontId="0" fillId="0" borderId="5" applyAlignment="1" pivotButton="0" quotePrefix="0" xfId="0">
      <alignment vertical="center"/>
    </xf>
    <xf numFmtId="0" fontId="0" fillId="2" borderId="6" applyAlignment="1" pivotButton="0" quotePrefix="0" xfId="0">
      <alignment horizontal="center" vertical="top"/>
    </xf>
    <xf numFmtId="0" fontId="0" fillId="2" borderId="6" applyAlignment="1" pivotButton="0" quotePrefix="0" xfId="0">
      <alignment horizontal="center" vertical="top" wrapText="1"/>
    </xf>
    <xf numFmtId="0" fontId="0" fillId="2" borderId="6" applyAlignment="1" pivotButton="0" quotePrefix="0" xfId="0">
      <alignment horizontal="center" wrapText="1"/>
    </xf>
    <xf numFmtId="0" fontId="0" fillId="0" borderId="8" pivotButton="0" quotePrefix="0" xfId="0"/>
    <xf numFmtId="0" fontId="0" fillId="0" borderId="4" applyAlignment="1" pivotButton="0" quotePrefix="0" xfId="0">
      <alignment vertical="center"/>
    </xf>
    <xf numFmtId="0" fontId="0" fillId="0" borderId="9" applyAlignment="1" pivotButton="0" quotePrefix="0" xfId="0">
      <alignment horizontal="left" vertical="top" wrapText="1"/>
    </xf>
    <xf numFmtId="9" fontId="0" fillId="0" borderId="5" pivotButton="0" quotePrefix="0" xfId="0"/>
    <xf numFmtId="9" fontId="0" fillId="0" borderId="3" pivotButton="0" quotePrefix="0" xfId="0"/>
    <xf numFmtId="0" fontId="0" fillId="0" borderId="6" applyAlignment="1" pivotButton="0" quotePrefix="0" xfId="0">
      <alignment vertical="center"/>
    </xf>
    <xf numFmtId="0" fontId="0" fillId="0" borderId="0" applyAlignment="1" pivotButton="0" quotePrefix="0" xfId="0">
      <alignment vertical="center"/>
    </xf>
    <xf numFmtId="0" fontId="0" fillId="2" borderId="9" applyAlignment="1" pivotButton="0" quotePrefix="0" xfId="0">
      <alignment vertical="top"/>
    </xf>
    <xf numFmtId="0" fontId="0" fillId="2" borderId="10" applyAlignment="1" pivotButton="0" quotePrefix="0" xfId="0">
      <alignment horizontal="center" vertical="top"/>
    </xf>
    <xf numFmtId="0" fontId="0" fillId="0" borderId="8" applyAlignment="1" pivotButton="0" quotePrefix="0" xfId="0">
      <alignment vertical="center"/>
    </xf>
    <xf numFmtId="0" fontId="0" fillId="0" borderId="5" applyAlignment="1" pivotButton="0" quotePrefix="0" xfId="0">
      <alignment vertical="top"/>
    </xf>
    <xf numFmtId="0" fontId="0" fillId="0" borderId="12" applyAlignment="1" pivotButton="0" quotePrefix="0" xfId="0">
      <alignment vertical="center"/>
    </xf>
    <xf numFmtId="0" fontId="0" fillId="0" borderId="13" applyAlignment="1" pivotButton="0" quotePrefix="0" xfId="0">
      <alignment vertical="center"/>
    </xf>
    <xf numFmtId="0" fontId="0" fillId="0" borderId="10" applyAlignment="1" pivotButton="0" quotePrefix="0" xfId="0">
      <alignment vertical="center"/>
    </xf>
    <xf numFmtId="0" fontId="0" fillId="0" borderId="14" applyAlignment="1" pivotButton="0" quotePrefix="0" xfId="0">
      <alignment vertical="center"/>
    </xf>
    <xf numFmtId="0" fontId="0" fillId="0" borderId="15" applyAlignment="1" pivotButton="0" quotePrefix="0" xfId="0">
      <alignment vertical="center"/>
    </xf>
    <xf numFmtId="0" fontId="0" fillId="0" borderId="2" applyAlignment="1" pivotButton="0" quotePrefix="0" xfId="0">
      <alignment vertical="center"/>
    </xf>
    <xf numFmtId="0" fontId="0" fillId="0" borderId="11" applyAlignment="1" pivotButton="0" quotePrefix="0" xfId="0">
      <alignment vertical="center"/>
    </xf>
    <xf numFmtId="0" fontId="0" fillId="0" borderId="6" applyAlignment="1" pivotButton="0" quotePrefix="0" xfId="0">
      <alignment vertical="center" wrapText="1"/>
    </xf>
    <xf numFmtId="0" fontId="0" fillId="0" borderId="13" applyAlignment="1" pivotButton="0" quotePrefix="0" xfId="0">
      <alignment vertical="center" wrapText="1"/>
    </xf>
    <xf numFmtId="0" fontId="0" fillId="0" borderId="2" applyAlignment="1" pivotButton="0" quotePrefix="0" xfId="0">
      <alignment vertical="center" wrapText="1"/>
    </xf>
    <xf numFmtId="0" fontId="2" fillId="0" borderId="3" applyAlignment="1" pivotButton="0" quotePrefix="0" xfId="0">
      <alignment horizontal="center"/>
    </xf>
    <xf numFmtId="0" fontId="0" fillId="0" borderId="3" applyAlignment="1" pivotButton="0" quotePrefix="0" xfId="0">
      <alignment horizontal="center" vertical="center" wrapText="1"/>
    </xf>
    <xf numFmtId="0" fontId="4" fillId="0" borderId="3" applyAlignment="1" pivotButton="0" quotePrefix="0" xfId="0">
      <alignment horizontal="center" vertical="top" wrapText="1"/>
    </xf>
    <xf numFmtId="0" fontId="5" fillId="0" borderId="3" applyAlignment="1" pivotButton="0" quotePrefix="0" xfId="0">
      <alignment wrapText="1"/>
    </xf>
    <xf numFmtId="0" fontId="2" fillId="0" borderId="6" applyAlignment="1" pivotButton="0" quotePrefix="0" xfId="0">
      <alignment horizontal="center"/>
    </xf>
    <xf numFmtId="0" fontId="2" fillId="0" borderId="12" applyAlignment="1" pivotButton="0" quotePrefix="0" xfId="0">
      <alignment horizontal="center"/>
    </xf>
    <xf numFmtId="0" fontId="2" fillId="0" borderId="6" pivotButton="0" quotePrefix="0" xfId="0"/>
    <xf numFmtId="0" fontId="0" fillId="0" borderId="4" applyAlignment="1" pivotButton="0" quotePrefix="0" xfId="0">
      <alignment horizontal="center" vertical="center"/>
    </xf>
    <xf numFmtId="0" fontId="0" fillId="0" borderId="9" applyAlignment="1" pivotButton="0" quotePrefix="0" xfId="0">
      <alignment horizontal="center" vertical="center" wrapText="1"/>
    </xf>
    <xf numFmtId="0" fontId="0" fillId="2" borderId="6" applyAlignment="1" pivotButton="0" quotePrefix="0" xfId="0">
      <alignment horizontal="left" vertical="top"/>
    </xf>
    <xf numFmtId="0" fontId="0" fillId="2" borderId="6" applyAlignment="1" pivotButton="0" quotePrefix="0" xfId="0">
      <alignment horizontal="left" vertical="top" wrapText="1"/>
    </xf>
    <xf numFmtId="0" fontId="0" fillId="2" borderId="6" applyAlignment="1" pivotButton="0" quotePrefix="0" xfId="0">
      <alignment horizontal="right" vertical="top"/>
    </xf>
    <xf numFmtId="0" fontId="6" fillId="0" borderId="7" applyAlignment="1" pivotButton="0" quotePrefix="0" xfId="1">
      <alignment vertical="center"/>
    </xf>
    <xf numFmtId="0"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6" fillId="0" borderId="6" applyAlignment="1" pivotButton="0" quotePrefix="0" xfId="1">
      <alignment vertical="center"/>
    </xf>
    <xf numFmtId="0" fontId="6" fillId="0" borderId="0" pivotButton="0" quotePrefix="0" xfId="1"/>
    <xf numFmtId="0" fontId="1" fillId="3" borderId="3" applyAlignment="1" pivotButton="0" quotePrefix="0" xfId="0">
      <alignment vertical="top" wrapText="1"/>
    </xf>
    <xf numFmtId="0" fontId="6" fillId="0" borderId="0" applyAlignment="1" pivotButton="0" quotePrefix="0" xfId="1">
      <alignment horizontal="left" vertical="center"/>
    </xf>
    <xf numFmtId="0" fontId="6" fillId="0" borderId="3" applyAlignment="1" pivotButton="0" quotePrefix="0" xfId="1">
      <alignment horizontal="center" vertical="center"/>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0" fillId="4" borderId="3" applyAlignment="1" pivotButton="0" quotePrefix="0" xfId="0">
      <alignment horizontal="center" vertical="center"/>
    </xf>
    <xf numFmtId="0" fontId="0" fillId="4" borderId="3" applyAlignment="1" pivotButton="0" quotePrefix="0" xfId="0">
      <alignment vertical="top"/>
    </xf>
    <xf numFmtId="0" fontId="3" fillId="4" borderId="3" applyAlignment="1" pivotButton="0" quotePrefix="0" xfId="0">
      <alignment wrapText="1"/>
    </xf>
    <xf numFmtId="0" fontId="0" fillId="4" borderId="6" applyAlignment="1" pivotButton="0" quotePrefix="0" xfId="0">
      <alignment vertical="center"/>
    </xf>
    <xf numFmtId="0" fontId="0" fillId="4" borderId="7" applyAlignment="1" pivotButton="0" quotePrefix="0" xfId="0">
      <alignment vertical="center"/>
    </xf>
    <xf numFmtId="0" fontId="0" fillId="4" borderId="6" applyAlignment="1" pivotButton="0" quotePrefix="0" xfId="0">
      <alignment horizontal="center" vertical="top"/>
    </xf>
    <xf numFmtId="0" fontId="0" fillId="4" borderId="6" applyAlignment="1" pivotButton="0" quotePrefix="0" xfId="0">
      <alignment horizontal="center" wrapText="1"/>
    </xf>
    <xf numFmtId="0" fontId="0" fillId="4" borderId="5" applyAlignment="1" pivotButton="0" quotePrefix="0" xfId="0">
      <alignment vertical="top"/>
    </xf>
    <xf numFmtId="0" fontId="1" fillId="4" borderId="3" applyAlignment="1" pivotButton="0" quotePrefix="0" xfId="0">
      <alignment vertical="top" wrapText="1"/>
    </xf>
    <xf numFmtId="0" fontId="0" fillId="0" borderId="7" pivotButton="0" quotePrefix="0" xfId="0"/>
    <xf numFmtId="0" fontId="0" fillId="0" borderId="5" pivotButton="0" quotePrefix="0" xfId="0"/>
    <xf numFmtId="0" fontId="8"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658" TargetMode="External" Id="rId1"/></Relationships>
</file>

<file path=xl/worksheets/sheet1.xml><?xml version="1.0" encoding="utf-8"?>
<worksheet xmlns="http://schemas.openxmlformats.org/spreadsheetml/2006/main">
  <sheetPr>
    <outlinePr summaryBelow="1" summaryRight="1"/>
    <pageSetUpPr/>
  </sheetPr>
  <dimension ref="A1:X15"/>
  <sheetViews>
    <sheetView tabSelected="1" workbookViewId="0">
      <pane xSplit="1" ySplit="1" topLeftCell="F2" activePane="bottomRight" state="frozen"/>
      <selection pane="bottomRight" activeCell="J3" sqref="J3"/>
      <selection pane="bottomLeft" activeCell="A1" sqref="A1"/>
      <selection pane="topRight" activeCell="A1" sqref="A1"/>
    </sheetView>
  </sheetViews>
  <sheetFormatPr baseColWidth="8" defaultRowHeight="15"/>
  <cols>
    <col width="46" customWidth="1" min="2" max="2"/>
    <col width="20.7109375" customWidth="1" min="3" max="3"/>
    <col width="13" customWidth="1" min="4" max="4"/>
    <col width="13" customWidth="1" min="5" max="5"/>
    <col width="13" customWidth="1" min="6" max="6"/>
    <col width="13" customWidth="1" min="7" max="8"/>
    <col width="13" customWidth="1" min="8" max="8"/>
    <col width="32.7109375" customWidth="1" min="9" max="9"/>
    <col width="18" bestFit="1" customWidth="1" min="11" max="11"/>
    <col width="12.85546875" bestFit="1" customWidth="1" min="12" max="12"/>
    <col width="18.42578125" customWidth="1" min="14" max="14"/>
    <col width="20.28515625" customWidth="1" min="15" max="16"/>
    <col width="16.5703125" bestFit="1" customWidth="1" min="17" max="17"/>
    <col width="17.85546875" customWidth="1" min="18" max="18"/>
    <col width="11.28515625" bestFit="1" customWidth="1" min="19" max="19"/>
    <col width="30.28515625" bestFit="1" customWidth="1" min="20" max="20"/>
    <col width="16.7109375" bestFit="1" customWidth="1" min="21" max="21"/>
  </cols>
  <sheetData>
    <row r="1">
      <c r="A1" s="13" t="inlineStr">
        <is>
          <t>Project ID</t>
        </is>
      </c>
      <c r="B1" s="13" t="inlineStr">
        <is>
          <t>Title</t>
        </is>
      </c>
      <c r="C1" s="13" t="inlineStr">
        <is>
          <t>Link</t>
        </is>
      </c>
      <c r="D1" s="13" t="inlineStr">
        <is>
          <t>Budget</t>
        </is>
      </c>
      <c r="E1" s="13" t="inlineStr">
        <is>
          <t>Start Year</t>
        </is>
      </c>
      <c r="F1" s="13" t="inlineStr">
        <is>
          <t>End Year</t>
        </is>
      </c>
      <c r="G1" s="13" t="inlineStr">
        <is>
          <t>Status</t>
        </is>
      </c>
      <c r="H1" s="13" t="inlineStr">
        <is>
          <t>VF or Non-VF</t>
        </is>
      </c>
      <c r="I1" s="13" t="inlineStr">
        <is>
          <t>Beneficiary Category</t>
        </is>
      </c>
      <c r="J1" s="13" t="inlineStr">
        <is>
          <t>Indicator</t>
        </is>
      </c>
      <c r="K1" s="13" t="inlineStr">
        <is>
          <t>Baseline</t>
        </is>
      </c>
      <c r="L1" s="13" t="inlineStr">
        <is>
          <t>Target</t>
        </is>
      </c>
      <c r="M1" s="13" t="inlineStr">
        <is>
          <t>Notes</t>
        </is>
      </c>
      <c r="N1" s="25" t="inlineStr">
        <is>
          <t>Donors</t>
        </is>
      </c>
      <c r="O1" s="24" t="inlineStr">
        <is>
          <t>Gender (% female)</t>
        </is>
      </c>
      <c r="P1" s="57" t="inlineStr">
        <is>
          <t>Tag</t>
        </is>
      </c>
      <c r="Q1" s="53" t="inlineStr">
        <is>
          <t>SEH Taxonomy</t>
        </is>
      </c>
      <c r="R1" s="53" t="inlineStr">
        <is>
          <t>RISE Taxonomy</t>
        </is>
      </c>
      <c r="S1" s="57" t="inlineStr">
        <is>
          <t>Flagship</t>
        </is>
      </c>
      <c r="T1" s="57" t="inlineStr">
        <is>
          <t>Indirect Category</t>
        </is>
      </c>
      <c r="U1" s="58" t="inlineStr">
        <is>
          <t>Indirect Taxonomy</t>
        </is>
      </c>
      <c r="V1" s="59" t="inlineStr">
        <is>
          <t>Technology</t>
        </is>
      </c>
      <c r="W1" s="58" t="inlineStr">
        <is>
          <t>Policy or Regulatory Framework</t>
        </is>
      </c>
      <c r="X1" s="59" t="inlineStr">
        <is>
          <t>Policy Population</t>
        </is>
      </c>
    </row>
    <row r="2" ht="198" customHeight="1">
      <c r="A2" s="66" t="n">
        <v>6658</v>
      </c>
      <c r="B2" s="67" t="inlineStr">
        <is>
          <t>National child project under the GEF Africa Minigrids Program</t>
        </is>
      </c>
      <c r="C2" s="76" t="inlineStr">
        <is>
          <t>https://co.pims.undp.org/project/view?id=6658</t>
        </is>
      </c>
      <c r="D2" s="66" t="n">
        <v>1326147</v>
      </c>
      <c r="E2" s="80" t="n"/>
      <c r="F2" s="80" t="n"/>
      <c r="G2" s="80" t="n"/>
      <c r="H2" s="66" t="inlineStr">
        <is>
          <t>VF</t>
        </is>
      </c>
      <c r="I2" s="15" t="inlineStr">
        <is>
          <t>Electricity Access</t>
        </is>
      </c>
      <c r="J2" s="16" t="inlineStr">
        <is>
          <t>Number of direct beneficiaries benefitting from energy access via minigrids, disaggregated by gender and by customer segment (residential, social, commercial/productive use) as co-benefit of GEF investment</t>
        </is>
      </c>
      <c r="K2" s="15" t="n">
        <v>0</v>
      </c>
      <c r="L2" s="15" t="n">
        <v>12152</v>
      </c>
      <c r="M2" s="16" t="inlineStr">
        <is>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is>
      </c>
      <c r="N2" s="14" t="inlineStr">
        <is>
          <t>GEF</t>
        </is>
      </c>
      <c r="O2" s="35" t="n">
        <v>0.5</v>
      </c>
      <c r="P2" s="66" t="n"/>
      <c r="Q2" s="61" t="inlineStr">
        <is>
          <t>Close the gap on energy access</t>
        </is>
      </c>
      <c r="R2" s="66" t="n"/>
      <c r="S2" s="66" t="n"/>
      <c r="T2" s="66" t="n"/>
      <c r="U2" s="66" t="n"/>
      <c r="V2" s="26" t="inlineStr">
        <is>
          <t>Solar</t>
        </is>
      </c>
      <c r="W2" s="66" t="n"/>
      <c r="X2" s="26" t="n"/>
    </row>
    <row r="3" ht="144" customHeight="1">
      <c r="A3" s="66" t="n"/>
      <c r="B3" s="67" t="n"/>
      <c r="C3" s="76" t="n"/>
      <c r="D3" s="66" t="n"/>
      <c r="E3" s="66" t="n"/>
      <c r="F3" s="66" t="n"/>
      <c r="G3" s="66" t="n"/>
      <c r="H3" s="66" t="n"/>
      <c r="I3" s="15" t="inlineStr">
        <is>
          <t>Energy (MW added)</t>
        </is>
      </c>
      <c r="J3" s="16" t="inlineStr">
        <is>
          <t>Installed capacity in MW for access/productive-use outputs</t>
        </is>
      </c>
      <c r="K3" s="15" t="n">
        <v>0</v>
      </c>
      <c r="L3" s="81" t="n"/>
      <c r="M3" s="82" t="inlineStr">
        <is>
          <t>[AUTO-ADDED] Project reports access/productive-use beneficiary numbers but no MW value. Please add installed capacity (MW) or confirm not applicable.</t>
        </is>
      </c>
      <c r="N3" s="14" t="n"/>
      <c r="O3" s="35" t="n"/>
      <c r="P3" s="66" t="n"/>
      <c r="Q3" s="61" t="n"/>
      <c r="R3" s="66" t="n"/>
      <c r="S3" s="66" t="n"/>
      <c r="T3" s="66" t="n"/>
      <c r="U3" s="66" t="n"/>
      <c r="V3" s="26" t="n"/>
      <c r="W3" s="66" t="n"/>
      <c r="X3" s="26" t="n"/>
    </row>
    <row r="4" ht="96.75" customHeight="1">
      <c r="A4" s="37" t="n">
        <v>5115</v>
      </c>
      <c r="B4" s="50" t="inlineStr">
        <is>
          <t>Benin Biomass Electricity Generation</t>
        </is>
      </c>
      <c r="C4" s="72" t="inlineStr">
        <is>
          <t>https://co.pims.undp.org/project/view?id=5115</t>
        </is>
      </c>
      <c r="D4" s="37" t="n">
        <v>3872602</v>
      </c>
      <c r="E4" s="83" t="n"/>
      <c r="F4" s="83" t="n"/>
      <c r="G4" s="83" t="n"/>
      <c r="H4" s="37" t="inlineStr">
        <is>
          <t>VF</t>
        </is>
      </c>
      <c r="I4" s="15" t="inlineStr">
        <is>
          <t>Energy (MW added)</t>
        </is>
      </c>
      <c r="J4" s="18" t="inlineStr">
        <is>
          <t>Number of MW of 
biomass power plants 
 built by the end of the 
project</t>
        </is>
      </c>
      <c r="K4" s="15" t="n">
        <v>0</v>
      </c>
      <c r="L4" s="15" t="n">
        <v>4</v>
      </c>
      <c r="M4" s="18" t="inlineStr">
        <is>
          <t>At least 4 MW of 
biomass power plants built by the end of the 
project. 24,498 MWh 
of electricity produced 
annually by the end of the 
of the project benefitting to 500 perons in terms of jobs creation (see below)</t>
        </is>
      </c>
      <c r="N4" s="26" t="inlineStr">
        <is>
          <t>GEF</t>
        </is>
      </c>
      <c r="O4" s="14" t="n"/>
      <c r="P4" s="66" t="n"/>
      <c r="Q4" s="61" t="inlineStr">
        <is>
          <t>Accelerating just energy transition</t>
        </is>
      </c>
      <c r="R4" s="66" t="n"/>
      <c r="S4" s="66" t="n"/>
      <c r="T4" s="66" t="n"/>
      <c r="U4" s="66" t="n"/>
      <c r="V4" s="26" t="inlineStr">
        <is>
          <t>Bioenergy</t>
        </is>
      </c>
      <c r="W4" s="66" t="n"/>
      <c r="X4" s="26" t="n"/>
    </row>
    <row r="5" ht="72" customHeight="1">
      <c r="A5" s="43" t="n"/>
      <c r="B5" s="51" t="n"/>
      <c r="C5" s="44" t="n"/>
      <c r="D5" s="45" t="n"/>
      <c r="E5" s="45" t="n"/>
      <c r="F5" s="45" t="n"/>
      <c r="G5" s="45" t="n"/>
      <c r="H5" s="45" t="n"/>
      <c r="I5" s="39" t="inlineStr">
        <is>
          <t>Capacity Building Training</t>
        </is>
      </c>
      <c r="J5" s="18" t="inlineStr">
        <is>
          <t>Number of members of the government staff trained 
at the end of the project.</t>
        </is>
      </c>
      <c r="K5" s="15" t="n">
        <v>0</v>
      </c>
      <c r="L5" s="15" t="n">
        <v>30</v>
      </c>
      <c r="M5" s="18" t="inlineStr">
        <is>
          <t>30 members of the 
government staff trained with respect to the production of electricity through biomass gaseificating
at the end of the project.</t>
        </is>
      </c>
      <c r="N5" s="26" t="inlineStr">
        <is>
          <t>GEF</t>
        </is>
      </c>
      <c r="O5" s="14" t="n"/>
      <c r="P5" s="66" t="n"/>
      <c r="Q5" s="61" t="inlineStr">
        <is>
          <t>Accelerating just energy transition</t>
        </is>
      </c>
      <c r="R5" s="66" t="n"/>
      <c r="S5" s="66" t="n"/>
      <c r="T5" s="66" t="n"/>
      <c r="U5" s="66" t="n"/>
      <c r="V5" s="26" t="n"/>
      <c r="W5" s="66" t="n"/>
      <c r="X5" s="26" t="n"/>
    </row>
    <row r="6" ht="57.75" customHeight="1">
      <c r="A6" s="41" t="n"/>
      <c r="B6" s="52" t="n"/>
      <c r="C6" s="48" t="n"/>
      <c r="D6" s="49" t="n"/>
      <c r="E6" s="49" t="n"/>
      <c r="F6" s="49" t="n"/>
      <c r="G6" s="49" t="n"/>
      <c r="H6" s="49" t="n"/>
      <c r="I6" s="39" t="inlineStr">
        <is>
          <t>Other</t>
        </is>
      </c>
      <c r="J6" s="19" t="inlineStr">
        <is>
          <t xml:space="preserve">Number of jobs created 
in the gasifier/refrigerator sub-sector </t>
        </is>
      </c>
      <c r="K6" s="15" t="n">
        <v>0</v>
      </c>
      <c r="L6" s="15" t="n">
        <v>500</v>
      </c>
      <c r="M6" s="19" t="inlineStr">
        <is>
          <t xml:space="preserve">500 jobs are created 
in the gasifiers/refrigerator sub-sector (for minimum 500 persons) 
</t>
        </is>
      </c>
      <c r="N6" s="26" t="inlineStr">
        <is>
          <t>GEF</t>
        </is>
      </c>
      <c r="O6" s="14" t="n"/>
      <c r="P6" s="66" t="n"/>
      <c r="Q6" s="61" t="inlineStr">
        <is>
          <t>Accelerating just energy transition</t>
        </is>
      </c>
      <c r="R6" s="66" t="n"/>
      <c r="S6" s="66" t="n"/>
      <c r="T6" s="66" t="n"/>
      <c r="U6" s="66" t="n"/>
      <c r="V6" s="26" t="n"/>
      <c r="W6" s="66" t="n"/>
      <c r="X6" s="26" t="n"/>
    </row>
    <row r="7" ht="48.75" customHeight="1">
      <c r="A7" s="27" t="n">
        <v>4979</v>
      </c>
      <c r="B7" s="27" t="inlineStr">
        <is>
          <t>Benin NAPA LDCF 2</t>
        </is>
      </c>
      <c r="C7" s="65" t="inlineStr">
        <is>
          <t>https://co.pims.undp.org/project/view?id=4979</t>
        </is>
      </c>
      <c r="D7" s="27" t="n">
        <v>8000000</v>
      </c>
      <c r="E7" s="84" t="n"/>
      <c r="F7" s="84" t="n"/>
      <c r="G7" s="84" t="n"/>
      <c r="H7" s="27" t="inlineStr">
        <is>
          <t>VF</t>
        </is>
      </c>
      <c r="I7" s="39" t="inlineStr">
        <is>
          <t>Capacity Building Training</t>
        </is>
      </c>
      <c r="J7" s="20" t="inlineStr">
        <is>
          <t>Number of senior energy managers trained</t>
        </is>
      </c>
      <c r="K7" s="15" t="n">
        <v>0</v>
      </c>
      <c r="L7" s="15" t="n">
        <v>500</v>
      </c>
      <c r="M7" s="20" t="inlineStr">
        <is>
          <t>500 senior energy managers trained</t>
        </is>
      </c>
      <c r="N7" s="14" t="inlineStr">
        <is>
          <t>LDCF/GEF</t>
        </is>
      </c>
      <c r="O7" s="14" t="n"/>
      <c r="P7" s="66" t="n"/>
      <c r="Q7" s="61" t="inlineStr">
        <is>
          <t>Accelerating just energy transition</t>
        </is>
      </c>
      <c r="R7" s="66" t="n"/>
      <c r="S7" s="66" t="n"/>
      <c r="T7" s="66" t="n"/>
      <c r="U7" s="66" t="n"/>
      <c r="V7" s="26" t="n"/>
      <c r="W7" s="66" t="n"/>
      <c r="X7" s="26" t="n"/>
    </row>
    <row r="8" ht="51" customHeight="1">
      <c r="A8" s="43" t="n"/>
      <c r="B8" s="44" t="n"/>
      <c r="C8" s="44" t="n"/>
      <c r="D8" s="45" t="n"/>
      <c r="E8" s="45" t="n"/>
      <c r="F8" s="45" t="n"/>
      <c r="G8" s="45" t="n"/>
      <c r="H8" s="45" t="n"/>
      <c r="I8" s="39" t="inlineStr">
        <is>
          <t>Capacity Building Training</t>
        </is>
      </c>
      <c r="J8" s="19" t="inlineStr">
        <is>
          <t>Number of operators trained on improved stoves</t>
        </is>
      </c>
      <c r="K8" s="15" t="n">
        <v>0</v>
      </c>
      <c r="L8" s="15" t="n">
        <v>500</v>
      </c>
      <c r="M8" s="20" t="inlineStr">
        <is>
          <t>500 operators (with 50% women) trained on improved stoves</t>
        </is>
      </c>
      <c r="N8" s="14" t="inlineStr">
        <is>
          <t>LDCF/GEF</t>
        </is>
      </c>
      <c r="O8" s="36" t="n">
        <v>0.5</v>
      </c>
      <c r="P8" s="66" t="n"/>
      <c r="Q8" s="61" t="inlineStr">
        <is>
          <t>Accelerating just energy transition</t>
        </is>
      </c>
      <c r="R8" s="66" t="n"/>
      <c r="S8" s="66" t="n"/>
      <c r="T8" s="66" t="n"/>
      <c r="U8" s="66" t="n"/>
      <c r="V8" s="26" t="n"/>
      <c r="W8" s="66" t="n"/>
      <c r="X8" s="26" t="n"/>
    </row>
    <row r="9" ht="50.25" customHeight="1">
      <c r="A9" s="46" t="n"/>
      <c r="B9" s="38" t="n"/>
      <c r="C9" s="38" t="n"/>
      <c r="D9" s="47" t="n"/>
      <c r="E9" s="47" t="n"/>
      <c r="F9" s="47" t="n"/>
      <c r="G9" s="47" t="n"/>
      <c r="H9" s="47" t="n"/>
      <c r="I9" s="39" t="inlineStr">
        <is>
          <t>Clean Cooking</t>
        </is>
      </c>
      <c r="J9" s="20" t="inlineStr">
        <is>
          <t>Number of improved ovens built</t>
        </is>
      </c>
      <c r="K9" s="15" t="n">
        <v>0</v>
      </c>
      <c r="L9" s="15" t="n">
        <v>100</v>
      </c>
      <c r="M9" s="20" t="inlineStr">
        <is>
          <t>At least 100 improved ovens built benefiting to at least 100 persons (with 50% of women)</t>
        </is>
      </c>
      <c r="N9" s="14" t="inlineStr">
        <is>
          <t>LDCF/GEF</t>
        </is>
      </c>
      <c r="O9" s="36" t="n">
        <v>0.5</v>
      </c>
      <c r="P9" s="66" t="n"/>
      <c r="Q9" s="61" t="inlineStr">
        <is>
          <t>Accelerating just energy transition</t>
        </is>
      </c>
      <c r="R9" s="66" t="n"/>
      <c r="S9" s="66" t="n"/>
      <c r="T9" s="66" t="n"/>
      <c r="U9" s="66" t="n"/>
      <c r="V9" s="26" t="n"/>
      <c r="W9" s="66" t="n"/>
      <c r="X9" s="26" t="n"/>
    </row>
    <row r="10" ht="80.25" customHeight="1">
      <c r="A10" s="46" t="n"/>
      <c r="B10" s="38" t="n"/>
      <c r="C10" s="38" t="n"/>
      <c r="D10" s="47" t="n"/>
      <c r="E10" s="47" t="n"/>
      <c r="F10" s="47" t="n"/>
      <c r="G10" s="47" t="n"/>
      <c r="H10" s="47" t="n"/>
      <c r="I10" s="39" t="inlineStr">
        <is>
          <t>Clean Cooking</t>
        </is>
      </c>
      <c r="J10" s="20" t="inlineStr">
        <is>
          <t>Number of pressure cookers distributed</t>
        </is>
      </c>
      <c r="K10" s="15" t="n">
        <v>0</v>
      </c>
      <c r="L10" s="15" t="n">
        <v>1000</v>
      </c>
      <c r="M10" s="19" t="inlineStr">
        <is>
          <t>1 000 pressure cookers distributed and benefiting to a least 1 000 persons (with 50% of women)</t>
        </is>
      </c>
      <c r="N10" s="14" t="inlineStr">
        <is>
          <t>LDCF/GEF</t>
        </is>
      </c>
      <c r="O10" s="36" t="n">
        <v>0.5</v>
      </c>
      <c r="P10" s="66" t="n"/>
      <c r="Q10" s="61" t="inlineStr">
        <is>
          <t>Accelerating just energy transition</t>
        </is>
      </c>
      <c r="R10" s="66" t="n"/>
      <c r="S10" s="66" t="n"/>
      <c r="T10" s="66" t="n"/>
      <c r="U10" s="66" t="n"/>
      <c r="V10" s="26" t="n"/>
      <c r="W10" s="66" t="n"/>
      <c r="X10" s="26" t="n"/>
    </row>
    <row r="11" ht="125.25" customHeight="1">
      <c r="A11" s="41" t="n"/>
      <c r="B11" s="48" t="n"/>
      <c r="C11" s="48" t="n"/>
      <c r="D11" s="49" t="n"/>
      <c r="E11" s="49" t="n"/>
      <c r="F11" s="49" t="n"/>
      <c r="G11" s="49" t="n"/>
      <c r="H11" s="49" t="n"/>
      <c r="I11" s="40" t="inlineStr">
        <is>
          <t>Clean Cooking</t>
        </is>
      </c>
      <c r="J11" s="30" t="inlineStr">
        <is>
          <t>Number of improved stoves distributed</t>
        </is>
      </c>
      <c r="K11" s="29" t="n">
        <v>0</v>
      </c>
      <c r="L11" s="29" t="n">
        <v>10000</v>
      </c>
      <c r="M11" s="31" t="inlineStr">
        <is>
          <t xml:space="preserve">With 10 000 improved stoves distributed, it is at least 10 000 persons benefiting (with 50% women) of the clean cooking technology </t>
        </is>
      </c>
      <c r="N11" s="14" t="inlineStr">
        <is>
          <t>LDCF/GEF</t>
        </is>
      </c>
      <c r="O11" s="36" t="n">
        <v>0.5</v>
      </c>
      <c r="P11" s="66" t="n"/>
      <c r="Q11" s="61" t="inlineStr">
        <is>
          <t>Accelerating just energy transition</t>
        </is>
      </c>
      <c r="R11" s="66" t="n"/>
      <c r="S11" s="66" t="n"/>
      <c r="T11" s="66" t="n"/>
      <c r="U11" s="66" t="n"/>
      <c r="V11" s="26" t="n"/>
      <c r="W11" s="66" t="n"/>
      <c r="X11" s="26" t="n"/>
    </row>
    <row r="12">
      <c r="A12" s="41" t="n"/>
      <c r="B12" s="48" t="n"/>
      <c r="C12" s="48" t="n"/>
      <c r="D12" s="49" t="n"/>
      <c r="E12" s="49" t="n"/>
      <c r="F12" s="49" t="n"/>
      <c r="G12" s="49" t="n"/>
      <c r="H12" s="49" t="n"/>
      <c r="I12" s="40" t="inlineStr">
        <is>
          <t>Energy (MW added)</t>
        </is>
      </c>
      <c r="J12" s="30" t="inlineStr">
        <is>
          <t>Installed capacity in MW for access/productive-use outputs</t>
        </is>
      </c>
      <c r="K12" s="29" t="n">
        <v>0</v>
      </c>
      <c r="L12" s="85" t="n"/>
      <c r="M12" s="86" t="inlineStr">
        <is>
          <t>[AUTO-ADDED] Project reports access/productive-use beneficiary numbers but no MW value. Please add installed capacity (MW) or confirm not applicable.</t>
        </is>
      </c>
      <c r="N12" s="14" t="n"/>
      <c r="O12" s="36" t="n"/>
      <c r="P12" s="66" t="n"/>
      <c r="Q12" s="61" t="n"/>
      <c r="R12" s="66" t="n"/>
      <c r="S12" s="66" t="n"/>
      <c r="T12" s="66" t="n"/>
      <c r="U12" s="66" t="n"/>
      <c r="V12" s="26" t="n"/>
      <c r="W12" s="66" t="n"/>
      <c r="X12" s="26" t="n"/>
    </row>
    <row r="13">
      <c r="A13" s="41" t="inlineStr">
        <is>
          <t>4979-2</t>
        </is>
      </c>
      <c r="B13" s="28" t="inlineStr">
        <is>
          <t>Benin NAPA LDCF 2 TRAC 2</t>
        </is>
      </c>
      <c r="C13" s="75" t="inlineStr">
        <is>
          <t>https://co.pims.undp.org/project/view?id=4979-2</t>
        </is>
      </c>
      <c r="D13" s="42" t="n">
        <v>1400000</v>
      </c>
      <c r="E13" s="87" t="n"/>
      <c r="F13" s="87" t="n"/>
      <c r="G13" s="87" t="n"/>
      <c r="H13" s="42" t="inlineStr">
        <is>
          <t>VF</t>
        </is>
      </c>
      <c r="I13" s="22" t="inlineStr">
        <is>
          <t>Electricity Access</t>
        </is>
      </c>
      <c r="J13" s="23" t="inlineStr">
        <is>
          <t>Number of people with direct access to cean, reliable and affordable energy and its co-benefits</t>
        </is>
      </c>
      <c r="K13" s="22" t="n">
        <v>0</v>
      </c>
      <c r="L13" s="22" t="n">
        <v>50000</v>
      </c>
      <c r="M13" s="74" t="inlineStr">
        <is>
          <t>Direct access of 50,000 people (including 26,000 women) to clean, reliable and affordable energy and its co-benefits.
TRAC 2: Access of vulnerable and neglected communities to sustainable and affordable energy through the promotion of Smart sustainable Energy Hubs</t>
        </is>
      </c>
      <c r="N13" s="14" t="inlineStr">
        <is>
          <t>LDCF/GEF</t>
        </is>
      </c>
      <c r="O13" s="14">
        <f>26000/50000</f>
        <v/>
      </c>
      <c r="P13" s="66" t="n"/>
      <c r="Q13" s="61" t="inlineStr">
        <is>
          <t>Close the gap on energy access</t>
        </is>
      </c>
      <c r="R13" s="66" t="n"/>
      <c r="S13" s="66" t="n"/>
      <c r="T13" s="66" t="n"/>
      <c r="U13" s="66" t="n"/>
      <c r="V13" s="26" t="inlineStr">
        <is>
          <t>Other</t>
        </is>
      </c>
      <c r="W13" s="66" t="n"/>
      <c r="X13" s="26" t="n"/>
    </row>
    <row r="14">
      <c r="A14" s="41" t="n"/>
      <c r="B14" s="28" t="n"/>
      <c r="C14" s="75" t="n"/>
      <c r="D14" s="42" t="n"/>
      <c r="E14" s="42" t="n"/>
      <c r="F14" s="42" t="n"/>
      <c r="G14" s="42" t="n"/>
      <c r="H14" s="42" t="n"/>
      <c r="I14" s="22" t="inlineStr">
        <is>
          <t>Energy (MW added)</t>
        </is>
      </c>
      <c r="J14" s="23" t="inlineStr">
        <is>
          <t>Installed capacity in MW for access/productive-use outputs</t>
        </is>
      </c>
      <c r="K14" s="22" t="n">
        <v>0</v>
      </c>
      <c r="L14" s="81" t="n"/>
      <c r="M14" s="88" t="inlineStr">
        <is>
          <t>[AUTO-ADDED] Project reports access/productive-use beneficiary numbers but no MW value. Please add installed capacity (MW) or confirm not applicable.</t>
        </is>
      </c>
      <c r="N14" s="14" t="n"/>
      <c r="O14" s="14" t="n"/>
      <c r="P14" s="66" t="n"/>
      <c r="Q14" s="61" t="n"/>
      <c r="R14" s="66" t="n"/>
      <c r="S14" s="66" t="n"/>
      <c r="T14" s="66" t="n"/>
      <c r="U14" s="66" t="n"/>
      <c r="V14" s="26" t="n"/>
      <c r="W14" s="66" t="n"/>
      <c r="X14" s="26" t="n"/>
    </row>
    <row r="15">
      <c r="C15" s="73" t="n"/>
    </row>
  </sheetData>
  <dataValidations count="12">
    <dataValidation sqref="Q2:Q11"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11" showDropDown="0" showInputMessage="1" showErrorMessage="1" allowBlank="1" type="list">
      <formula1>"Electricity Access, Energy Efficiency, Clean Cooking, Renewable Energy, Overall"</formula1>
    </dataValidation>
    <dataValidation sqref="P2:P11" showDropDown="0" showInputMessage="1" showErrorMessage="1" allowBlank="1" type="list">
      <formula1>"AMP, PUDC, Solar4Health, Action Opportunities, Italy UNDP Energy Partnership"</formula1>
    </dataValidation>
    <dataValidation sqref="L2:L11" showDropDown="0" showInputMessage="1" showErrorMessage="1" allowBlank="1" type="list">
      <formula1>"Non-VF, VF"</formula1>
    </dataValidation>
    <dataValidation sqref="M2:M11" showDropDown="0" showInputMessage="1" showErrorMessage="1" allowBlank="1" type="list">
      <formula1>"Finance, Gender, Efficiency, Just, Health"</formula1>
    </dataValidation>
    <dataValidation sqref="T2:T11" showDropDown="0" showInputMessage="1" showErrorMessage="1" allowBlank="1" type="list">
      <formula1>"National, Regional, City, Community"</formula1>
    </dataValidation>
    <dataValidation sqref="S2:S11" showDropDown="0" showInputMessage="1" showErrorMessage="1" allowBlank="1" type="list">
      <formula1>"Solar, Wind, Bioenergy, Hydro, Geothermal, Waste, Other, Unknown"</formula1>
    </dataValidation>
    <dataValidation sqref="N2:N12" showDropDown="0" showInputMessage="1" showErrorMessage="1" allowBlank="1" type="list">
      <formula1>"Accelerating just energy transition, Close the gap on energy access, Scale up energy finance"</formula1>
    </dataValidation>
    <dataValidation sqref="R2:R11"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19"/>
  <sheetViews>
    <sheetView topLeftCell="F13" workbookViewId="0">
      <selection activeCell="B1" sqref="B1"/>
    </sheetView>
  </sheetViews>
  <sheetFormatPr baseColWidth="8" defaultRowHeight="15"/>
  <cols>
    <col width="46" customWidth="1" min="2" max="2"/>
    <col width="20.7109375" customWidth="1" min="3" max="3"/>
    <col width="27" customWidth="1" min="5" max="5"/>
    <col width="23.7109375" customWidth="1" min="6" max="6"/>
    <col width="12.7109375" customWidth="1" min="7" max="8"/>
    <col width="40.5703125" customWidth="1" min="9" max="9"/>
    <col width="18.42578125" customWidth="1" min="14" max="14"/>
    <col width="20.28515625" customWidth="1" min="15" max="15"/>
    <col width="17.85546875" customWidth="1" min="17" max="17"/>
    <col width="24.7109375" customWidth="1" min="18" max="18"/>
  </cols>
  <sheetData>
    <row r="1">
      <c r="A1" s="13" t="inlineStr">
        <is>
          <t>Project ID</t>
        </is>
      </c>
      <c r="B1" s="13" t="inlineStr">
        <is>
          <t>Title</t>
        </is>
      </c>
      <c r="C1" s="13" t="inlineStr">
        <is>
          <t>Link</t>
        </is>
      </c>
      <c r="D1" s="13" t="inlineStr">
        <is>
          <t>Budget</t>
        </is>
      </c>
      <c r="E1" s="13" t="inlineStr">
        <is>
          <t>Beneficiary Category</t>
        </is>
      </c>
      <c r="F1" s="13" t="inlineStr">
        <is>
          <t>Indicator</t>
        </is>
      </c>
      <c r="G1" s="13" t="inlineStr">
        <is>
          <t>Baseline</t>
        </is>
      </c>
      <c r="H1" s="13" t="inlineStr">
        <is>
          <t>Target</t>
        </is>
      </c>
      <c r="I1" s="13" t="inlineStr">
        <is>
          <t>Notes</t>
        </is>
      </c>
      <c r="J1" s="25" t="inlineStr">
        <is>
          <t>Donors</t>
        </is>
      </c>
      <c r="K1" s="24" t="inlineStr">
        <is>
          <t>Gender (% female)</t>
        </is>
      </c>
      <c r="L1" s="25" t="inlineStr">
        <is>
          <t>Category</t>
        </is>
      </c>
      <c r="M1" s="24" t="inlineStr">
        <is>
          <t>Tag</t>
        </is>
      </c>
      <c r="N1" s="24" t="inlineStr">
        <is>
          <t>SEH Taxonomy</t>
        </is>
      </c>
      <c r="O1" s="24" t="inlineStr">
        <is>
          <t>RISE Taxonomy</t>
        </is>
      </c>
      <c r="P1" s="24" t="inlineStr">
        <is>
          <t>Flagship</t>
        </is>
      </c>
      <c r="Q1" s="24" t="inlineStr">
        <is>
          <t>Indirect Category</t>
        </is>
      </c>
      <c r="R1" s="24" t="inlineStr">
        <is>
          <t>Indirect Taxonomy</t>
        </is>
      </c>
    </row>
    <row r="2" ht="198" customHeight="1">
      <c r="A2" s="66" t="n">
        <v>6658</v>
      </c>
      <c r="B2" s="66" t="inlineStr">
        <is>
          <t>National child project under the GEF Africa Minigrids Program</t>
        </is>
      </c>
      <c r="C2" s="66" t="inlineStr">
        <is>
          <t>PIMS+</t>
        </is>
      </c>
      <c r="D2" s="66" t="n">
        <v>1326147</v>
      </c>
      <c r="E2" s="15" t="inlineStr">
        <is>
          <t>Electricity Access</t>
        </is>
      </c>
      <c r="F2" s="16" t="inlineStr">
        <is>
          <t>Number of direct beneficiaries benefitting from energy access via minigrids, disaggregated by gender and by customer segment (residential, social, commercial/productive use) as co-benefit of GEF investment</t>
        </is>
      </c>
      <c r="G2" s="15" t="n">
        <v>0</v>
      </c>
      <c r="H2" s="15" t="n">
        <v>12152</v>
      </c>
      <c r="I2" s="16" t="inlineStr">
        <is>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is>
      </c>
      <c r="J2" s="14" t="n"/>
      <c r="K2" s="35" t="n"/>
      <c r="L2" s="32" t="inlineStr">
        <is>
          <t>VF</t>
        </is>
      </c>
      <c r="M2" s="14" t="n"/>
      <c r="N2" s="14" t="inlineStr">
        <is>
          <t>Accelerating just energy transition</t>
        </is>
      </c>
      <c r="O2" s="14" t="inlineStr">
        <is>
          <t>Electricity Access</t>
        </is>
      </c>
      <c r="P2" s="14" t="inlineStr">
        <is>
          <t>AMP</t>
        </is>
      </c>
      <c r="Q2" s="14" t="n"/>
      <c r="R2" s="14" t="n"/>
    </row>
    <row r="3" ht="127.5" customHeight="1">
      <c r="A3" s="66" t="n">
        <v>5115</v>
      </c>
      <c r="B3" s="67" t="inlineStr">
        <is>
          <t>Benin Biomass Electricity Generation</t>
        </is>
      </c>
      <c r="C3" s="66" t="inlineStr">
        <is>
          <t>PIMS+</t>
        </is>
      </c>
      <c r="D3" s="66" t="n">
        <v>3872602</v>
      </c>
      <c r="E3" s="15" t="inlineStr">
        <is>
          <t>Energy (MW added)</t>
        </is>
      </c>
      <c r="F3" s="18" t="inlineStr">
        <is>
          <t>Number of MW of 
biomass power plants 
 built by the end of the 
project</t>
        </is>
      </c>
      <c r="G3" s="15" t="n">
        <v>0</v>
      </c>
      <c r="H3" s="15" t="n">
        <v>4</v>
      </c>
      <c r="I3" s="18" t="inlineStr">
        <is>
          <t>At least 4 MW of 
biomass power plants built by the end of the 
project. 24,498 MWh 
of electricity produced 
annually by the end of the 
of the project benefitting to 500 perons in terms of jobs creation (see below)</t>
        </is>
      </c>
      <c r="J3" s="14" t="n"/>
      <c r="K3" s="14" t="n"/>
      <c r="L3" s="32" t="inlineStr">
        <is>
          <t>VF</t>
        </is>
      </c>
      <c r="M3" s="14" t="n"/>
      <c r="N3" s="14" t="inlineStr">
        <is>
          <t>Close the gap on energy access</t>
        </is>
      </c>
      <c r="O3" s="14" t="inlineStr">
        <is>
          <t>Renewable Energy</t>
        </is>
      </c>
      <c r="P3" s="14" t="n"/>
      <c r="Q3" s="14" t="n"/>
      <c r="R3" s="14" t="n"/>
    </row>
    <row r="4" ht="96.75" customHeight="1">
      <c r="A4" s="89" t="n"/>
      <c r="B4" s="89" t="n"/>
      <c r="C4" s="89" t="n"/>
      <c r="D4" s="89" t="n"/>
      <c r="E4" s="15" t="inlineStr">
        <is>
          <t>Capacity Training</t>
        </is>
      </c>
      <c r="F4" s="18" t="inlineStr">
        <is>
          <t>Number of members of the government staff trained 
at the end of the project.</t>
        </is>
      </c>
      <c r="G4" s="15" t="n">
        <v>0</v>
      </c>
      <c r="H4" s="15" t="n">
        <v>30</v>
      </c>
      <c r="I4" s="18" t="inlineStr">
        <is>
          <t>30 members of the 
government staff trained with respect to the production of electricity through biomass gaseificating
at the end of the project.</t>
        </is>
      </c>
      <c r="J4" s="14" t="n"/>
      <c r="K4" s="14" t="n"/>
      <c r="L4" s="32" t="inlineStr">
        <is>
          <t>VF</t>
        </is>
      </c>
      <c r="M4" s="14" t="n"/>
      <c r="N4" s="14" t="n"/>
      <c r="O4" s="14" t="n"/>
      <c r="P4" s="14" t="n"/>
      <c r="Q4" s="14" t="n"/>
      <c r="R4" s="14" t="n"/>
    </row>
    <row r="5" ht="72" customHeight="1">
      <c r="A5" s="90" t="n"/>
      <c r="B5" s="90" t="n"/>
      <c r="C5" s="90" t="n"/>
      <c r="D5" s="90" t="n"/>
      <c r="E5" s="15" t="inlineStr">
        <is>
          <t>Other</t>
        </is>
      </c>
      <c r="F5" s="19" t="inlineStr">
        <is>
          <t xml:space="preserve">Number of jobs created 
in the gasifier/refrigerator sub-sector </t>
        </is>
      </c>
      <c r="G5" s="15" t="n">
        <v>0</v>
      </c>
      <c r="H5" s="15" t="n">
        <v>500</v>
      </c>
      <c r="I5" s="19" t="inlineStr">
        <is>
          <t xml:space="preserve">500 jobs are created 
in the gasifiers/refrigerator sub-sector (for minimum 500 persons) 
</t>
        </is>
      </c>
      <c r="J5" s="14" t="n"/>
      <c r="K5" s="14" t="n"/>
      <c r="L5" s="32" t="inlineStr">
        <is>
          <t>VF</t>
        </is>
      </c>
      <c r="M5" s="14" t="n"/>
      <c r="N5" s="14" t="n"/>
      <c r="O5" s="14" t="n"/>
      <c r="P5" s="14" t="n"/>
      <c r="Q5" s="14" t="n"/>
      <c r="R5" s="14" t="n"/>
    </row>
    <row r="6" ht="57.75" customHeight="1">
      <c r="A6" s="68" t="n">
        <v>4979</v>
      </c>
      <c r="B6" s="68" t="inlineStr">
        <is>
          <t>Benin NAPA LDCF 2</t>
        </is>
      </c>
      <c r="C6" s="66" t="inlineStr">
        <is>
          <t>PIMS+</t>
        </is>
      </c>
      <c r="D6" s="66" t="n">
        <v>8000000</v>
      </c>
      <c r="E6" s="15" t="inlineStr">
        <is>
          <t>Capacity Training</t>
        </is>
      </c>
      <c r="F6" s="20" t="inlineStr">
        <is>
          <t>Number of senior energy managers trained</t>
        </is>
      </c>
      <c r="G6" s="15" t="n">
        <v>0</v>
      </c>
      <c r="H6" s="15" t="n">
        <v>500</v>
      </c>
      <c r="I6" s="20" t="inlineStr">
        <is>
          <t>500 senior energy managers trained</t>
        </is>
      </c>
      <c r="J6" s="14" t="n"/>
      <c r="K6" s="14" t="n"/>
      <c r="L6" s="32" t="inlineStr">
        <is>
          <t>VF</t>
        </is>
      </c>
      <c r="M6" s="14" t="n"/>
      <c r="N6" s="14" t="inlineStr">
        <is>
          <t>Accelerating just energy transition</t>
        </is>
      </c>
      <c r="O6" s="14" t="inlineStr">
        <is>
          <t>Clean Cooking</t>
        </is>
      </c>
      <c r="P6" s="14" t="n"/>
      <c r="Q6" s="14" t="n"/>
      <c r="R6" s="14" t="n"/>
    </row>
    <row r="7" ht="48.75" customHeight="1">
      <c r="A7" s="89" t="n"/>
      <c r="B7" s="89" t="n"/>
      <c r="C7" s="89" t="n"/>
      <c r="D7" s="89" t="n"/>
      <c r="E7" s="15" t="inlineStr">
        <is>
          <t>Capacity Training</t>
        </is>
      </c>
      <c r="F7" s="19" t="inlineStr">
        <is>
          <t>Number of operators trained on improved stoves</t>
        </is>
      </c>
      <c r="G7" s="15" t="n">
        <v>0</v>
      </c>
      <c r="H7" s="15" t="n">
        <v>500</v>
      </c>
      <c r="I7" s="20" t="inlineStr">
        <is>
          <t>500 operators (with 50% women) trained on improved stoves</t>
        </is>
      </c>
      <c r="J7" s="14" t="n"/>
      <c r="K7" s="36" t="n"/>
      <c r="L7" s="32" t="inlineStr">
        <is>
          <t>VF</t>
        </is>
      </c>
      <c r="M7" s="14" t="n"/>
      <c r="N7" s="14" t="n"/>
      <c r="O7" s="14" t="n"/>
      <c r="P7" s="14" t="n"/>
      <c r="Q7" s="14" t="n"/>
      <c r="R7" s="14" t="n"/>
    </row>
    <row r="8" ht="48.75" customHeight="1">
      <c r="A8" s="89" t="n"/>
      <c r="B8" s="89" t="n"/>
      <c r="C8" s="89" t="n"/>
      <c r="D8" s="89" t="n"/>
      <c r="E8" s="15" t="inlineStr">
        <is>
          <t>Energy Infrastructure Services</t>
        </is>
      </c>
      <c r="F8" s="19" t="inlineStr">
        <is>
          <t xml:space="preserve">Number of hectares of riverbanks for hydropower reforested
</t>
        </is>
      </c>
      <c r="G8" s="15" t="n">
        <v>0</v>
      </c>
      <c r="H8" s="15" t="n">
        <v>20</v>
      </c>
      <c r="I8" s="20" t="inlineStr">
        <is>
          <t xml:space="preserve">Riverbanks likely to harbor selected hydroelectric facilities are effectively protected against erosion through reforestation (involving men, women and youth) </t>
        </is>
      </c>
      <c r="J8" s="14" t="n"/>
      <c r="K8" s="36" t="n"/>
      <c r="L8" s="32" t="n"/>
      <c r="M8" s="14" t="n"/>
      <c r="N8" s="14" t="n"/>
      <c r="O8" s="14" t="n"/>
      <c r="P8" s="14" t="n"/>
      <c r="Q8" s="14" t="n"/>
      <c r="R8" s="14" t="n"/>
    </row>
    <row r="9" ht="48.75" customHeight="1">
      <c r="A9" s="89" t="n"/>
      <c r="B9" s="89" t="n"/>
      <c r="C9" s="89" t="n"/>
      <c r="D9" s="89" t="n"/>
      <c r="E9" s="15" t="inlineStr">
        <is>
          <t>Energy Infrastructure Services</t>
        </is>
      </c>
      <c r="F9" s="19" t="inlineStr">
        <is>
          <t xml:space="preserve">Number of existing community parks of firewood resilient to climate change in areas identified as the most vulnerable </t>
        </is>
      </c>
      <c r="G9" s="15" t="n">
        <v>0</v>
      </c>
      <c r="H9" s="15" t="n">
        <v>750</v>
      </c>
      <c r="I9" s="20" t="inlineStr">
        <is>
          <t>10 parcs communautaires (en ajoutant à 600.000 ha) dans les forêts communales concernées, impliquant les hommes, les femmes et les jeunes, sont mis en place</t>
        </is>
      </c>
      <c r="J9" s="14" t="n"/>
      <c r="K9" s="36" t="n"/>
      <c r="L9" s="32" t="n"/>
      <c r="M9" s="14" t="n"/>
      <c r="N9" s="14" t="n"/>
      <c r="O9" s="14" t="n"/>
      <c r="P9" s="14" t="n"/>
      <c r="Q9" s="14" t="n"/>
      <c r="R9" s="14" t="n"/>
    </row>
    <row r="10" ht="69" customHeight="1">
      <c r="A10" s="89" t="n"/>
      <c r="B10" s="89" t="n"/>
      <c r="C10" s="89" t="n"/>
      <c r="D10" s="89" t="n"/>
      <c r="E10" s="15" t="inlineStr">
        <is>
          <t>Energy Infrastructure Services</t>
        </is>
      </c>
      <c r="F10" s="15" t="inlineStr">
        <is>
          <t>Electricity Access</t>
        </is>
      </c>
      <c r="G10" s="15" t="n">
        <v>0</v>
      </c>
      <c r="H10" s="15" t="n">
        <v>200</v>
      </c>
      <c r="I10" s="20" t="inlineStr">
        <is>
          <t>At least 200 activities generating income, involving each year at least 50% women and girls and 50% men and boys achieving activities alternative to forest resources exploitation</t>
        </is>
      </c>
      <c r="J10" s="14" t="n"/>
      <c r="K10" s="36" t="n"/>
      <c r="L10" s="32" t="n"/>
      <c r="M10" s="14" t="n"/>
      <c r="N10" s="14" t="n"/>
      <c r="O10" s="14" t="n"/>
      <c r="P10" s="14" t="n"/>
      <c r="Q10" s="14" t="n"/>
      <c r="R10" s="14" t="n"/>
    </row>
    <row r="11" ht="40.5" customHeight="1">
      <c r="A11" s="89" t="n"/>
      <c r="B11" s="89" t="n"/>
      <c r="C11" s="89" t="n"/>
      <c r="D11" s="89" t="n"/>
      <c r="E11" s="15" t="inlineStr">
        <is>
          <t>Clean Cooking</t>
        </is>
      </c>
      <c r="F11" s="20" t="inlineStr">
        <is>
          <t>Number of improved ovens built</t>
        </is>
      </c>
      <c r="G11" s="15" t="n">
        <v>0</v>
      </c>
      <c r="H11" s="15" t="n">
        <v>100</v>
      </c>
      <c r="I11" s="20" t="inlineStr">
        <is>
          <t>At least 100 improved ovens built benefiting to at least 100 persons (with 50% of women)</t>
        </is>
      </c>
      <c r="J11" s="14" t="n"/>
      <c r="K11" s="36" t="n"/>
      <c r="L11" s="32" t="inlineStr">
        <is>
          <t>VF</t>
        </is>
      </c>
      <c r="M11" s="14" t="n"/>
      <c r="N11" s="14" t="n"/>
      <c r="O11" s="14" t="n"/>
      <c r="P11" s="14" t="n"/>
      <c r="Q11" s="14" t="n"/>
      <c r="R11" s="14" t="n"/>
    </row>
    <row r="12" ht="50.25" customHeight="1">
      <c r="A12" s="89" t="n"/>
      <c r="B12" s="89" t="n"/>
      <c r="C12" s="89" t="n"/>
      <c r="D12" s="89" t="n"/>
      <c r="E12" s="15" t="inlineStr">
        <is>
          <t>Clean Cooking</t>
        </is>
      </c>
      <c r="F12" s="20" t="inlineStr">
        <is>
          <t>Number of pressure cookers distributed</t>
        </is>
      </c>
      <c r="G12" s="15" t="n">
        <v>0</v>
      </c>
      <c r="H12" s="15" t="n">
        <v>1000</v>
      </c>
      <c r="I12" s="19" t="inlineStr">
        <is>
          <t>1 000 pressure cookers distributed and benefiting to a least 1 000 persons (with 50% of women)</t>
        </is>
      </c>
      <c r="J12" s="14" t="n"/>
      <c r="K12" s="36" t="n"/>
      <c r="L12" s="32" t="inlineStr">
        <is>
          <t>VF</t>
        </is>
      </c>
      <c r="M12" s="14" t="n"/>
      <c r="N12" s="14" t="n"/>
      <c r="O12" s="14" t="n"/>
      <c r="P12" s="14" t="n"/>
      <c r="Q12" s="14" t="n"/>
      <c r="R12" s="14" t="n"/>
    </row>
    <row r="13" ht="63.75" customHeight="1">
      <c r="A13" s="89" t="n"/>
      <c r="B13" s="89" t="n"/>
      <c r="C13" s="90" t="n"/>
      <c r="D13" s="90" t="n"/>
      <c r="E13" s="62" t="inlineStr">
        <is>
          <t>Clean Cooking</t>
        </is>
      </c>
      <c r="F13" s="30" t="inlineStr">
        <is>
          <t>Number of improved stoves distributed</t>
        </is>
      </c>
      <c r="G13" s="29" t="n">
        <v>0</v>
      </c>
      <c r="H13" s="64" t="n">
        <v>10000</v>
      </c>
      <c r="I13" s="63" t="inlineStr">
        <is>
          <t xml:space="preserve">With 10 000 improved stoves distributed, it is at least 10 000 persons benefiting (with 50% women) of the clean cooking technology </t>
        </is>
      </c>
      <c r="J13" s="14" t="n"/>
      <c r="K13" s="36" t="n"/>
      <c r="L13" s="32" t="inlineStr">
        <is>
          <t>VF</t>
        </is>
      </c>
      <c r="M13" s="14" t="n"/>
      <c r="N13" s="14" t="n"/>
      <c r="O13" s="14" t="n"/>
      <c r="P13" s="14" t="n"/>
      <c r="Q13" s="14" t="n"/>
      <c r="R13" s="14" t="n"/>
    </row>
    <row r="14" ht="125.25" customHeight="1">
      <c r="A14" s="33" t="inlineStr">
        <is>
          <t>4979-2</t>
        </is>
      </c>
      <c r="B14" s="26" t="inlineStr">
        <is>
          <t>Benin NAPA LDCF 2 TRAC 2</t>
        </is>
      </c>
      <c r="C14" s="34" t="inlineStr">
        <is>
          <t>TRAC 2: Access of vulnerable and neglected communities to sustainable and affordable energy through the promotion of Smart sustainable Energy Hubs</t>
        </is>
      </c>
      <c r="D14" s="21" t="n">
        <v>1400000</v>
      </c>
      <c r="E14" s="22" t="inlineStr">
        <is>
          <t>Electricity Access</t>
        </is>
      </c>
      <c r="F14" s="23" t="inlineStr">
        <is>
          <t>Number of people with direct access to cean, reliable and affordable energy and its co-benefits</t>
        </is>
      </c>
      <c r="G14" s="22" t="n">
        <v>0</v>
      </c>
      <c r="H14" s="22" t="n">
        <v>50000</v>
      </c>
      <c r="I14" s="23" t="inlineStr">
        <is>
          <t>Direct access of 50,000 people (including 26,000 women) to clean, reliable and affordable energy and its co-benefits.</t>
        </is>
      </c>
      <c r="J14" s="14" t="n"/>
      <c r="K14" s="14">
        <f>26000/50000</f>
        <v/>
      </c>
      <c r="L14" s="32" t="inlineStr">
        <is>
          <t>VF</t>
        </is>
      </c>
      <c r="M14" s="14" t="n"/>
      <c r="N14" s="14" t="inlineStr">
        <is>
          <t>Close the gap on energy access</t>
        </is>
      </c>
      <c r="O14" s="14" t="inlineStr">
        <is>
          <t>Electricity Access</t>
        </is>
      </c>
      <c r="P14" s="14" t="n"/>
      <c r="Q14" s="14" t="n"/>
      <c r="R14" s="14" t="n"/>
    </row>
    <row r="15">
      <c r="B15" s="27" t="n"/>
    </row>
    <row r="16">
      <c r="B16" s="27" t="n"/>
    </row>
    <row r="17">
      <c r="B17" s="27" t="n"/>
    </row>
    <row r="18">
      <c r="B18" s="27" t="n"/>
    </row>
    <row r="19">
      <c r="B19" s="28" t="n"/>
    </row>
  </sheetData>
  <mergeCells count="8">
    <mergeCell ref="D6:D13"/>
    <mergeCell ref="C3:C5"/>
    <mergeCell ref="A3:A5"/>
    <mergeCell ref="D3:D5"/>
    <mergeCell ref="B3:B5"/>
    <mergeCell ref="C6:C13"/>
    <mergeCell ref="A6:A13"/>
    <mergeCell ref="B6:B13"/>
  </mergeCells>
  <dataValidations count="5">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 showDropDown="0" showInputMessage="1" showErrorMessage="1" allowBlank="1" type="list">
      <formula1>"Electricity Access, Energy Efficiency, Renewable EnergyEnergy Infrastructure,   Transport, Digital &amp; Data, Clean Cooking, Decarbonization, Hydrogen, Off-Grid, On-Grid"</formula1>
    </dataValidation>
    <dataValidation sqref="N2:N20" showDropDown="0" showInputMessage="1" showErrorMessage="1" allowBlank="1" type="list">
      <formula1>"Accelerating just energy transition, Close the gap on energy access, Scale up energy finance"</formula1>
    </dataValidation>
    <dataValidation sqref="O2:O17" showDropDown="0" showInputMessage="1" showErrorMessage="1" allowBlank="1" type="list">
      <formula1>"Electricity Access, Energy Efficiency, Clean Cooking, Renewable Energy"</formula1>
    </dataValidation>
    <dataValidation sqref="P2:P18" showDropDown="0" showInputMessage="1" showErrorMessage="1" allowBlank="1" type="list">
      <formula1>"AMP, PUDC, Solar4Health, Action Opportunities, Italy UNDP Energy Partnership"</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2"/>
  <sheetViews>
    <sheetView topLeftCell="K1" workbookViewId="0">
      <selection activeCell="K1" sqref="K1:M1"/>
    </sheetView>
  </sheetViews>
  <sheetFormatPr baseColWidth="8" defaultRowHeight="15"/>
  <cols>
    <col width="20.7109375" customWidth="1" min="2"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2" t="inlineStr">
        <is>
          <t>Donors</t>
        </is>
      </c>
      <c r="K1" s="12" t="n"/>
      <c r="L1" s="12" t="n"/>
    </row>
    <row r="2" ht="198" customHeight="1">
      <c r="A2" t="n">
        <v>6658</v>
      </c>
      <c r="B2" t="inlineStr">
        <is>
          <t>National child project under the GEF Africa Minigrids Program</t>
        </is>
      </c>
      <c r="C2" t="inlineStr">
        <is>
          <t>PIMS+</t>
        </is>
      </c>
      <c r="D2" t="n">
        <v>1326147</v>
      </c>
      <c r="E2" s="6" t="inlineStr">
        <is>
          <t>Electricity Access</t>
        </is>
      </c>
      <c r="F2" s="5" t="inlineStr">
        <is>
          <t>Number of direct beneficiaries benefitting from energy access via minigrids, disaggregated by gender and by customer segment (residential, social, commercial/productive use) as co-benefit of GEF investment</t>
        </is>
      </c>
      <c r="G2" s="6" t="n">
        <v>0</v>
      </c>
      <c r="H2" s="6" t="n">
        <v>12152</v>
      </c>
      <c r="I2" s="5" t="inlineStr">
        <is>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is>
      </c>
    </row>
    <row r="3" ht="144" customHeight="1">
      <c r="A3" s="71" t="n">
        <v>5115</v>
      </c>
      <c r="B3" s="70" t="inlineStr">
        <is>
          <t>Benin Biomass Electricity Generation</t>
        </is>
      </c>
      <c r="C3" s="71" t="inlineStr">
        <is>
          <t>PIMS+</t>
        </is>
      </c>
      <c r="D3" s="71" t="n">
        <v>3872602</v>
      </c>
      <c r="E3" s="6" t="inlineStr">
        <is>
          <t>Energy (MW added)</t>
        </is>
      </c>
      <c r="F3" s="4" t="inlineStr">
        <is>
          <t>Number of MW of 
biomass power plants 
 built by the end of the 
project</t>
        </is>
      </c>
      <c r="G3" s="6" t="n">
        <v>0</v>
      </c>
      <c r="H3" s="6" t="n">
        <v>4</v>
      </c>
      <c r="I3" s="4" t="inlineStr">
        <is>
          <t>At least 4 MW of 
biomass power plants built by the end of the 
project. 24,498 MWh 
of electricity produced 
annually by the end of the 
of the project benefitting to 500 perons in terms of jobs creation (see below)</t>
        </is>
      </c>
    </row>
    <row r="4" ht="96.75" customHeight="1">
      <c r="E4" s="6" t="inlineStr">
        <is>
          <t>Capacity Training</t>
        </is>
      </c>
      <c r="F4" s="4" t="inlineStr">
        <is>
          <t>Number of members of the government staff trained 
at the end of the project.</t>
        </is>
      </c>
      <c r="G4" s="6" t="n">
        <v>0</v>
      </c>
      <c r="H4" s="6" t="n">
        <v>30</v>
      </c>
      <c r="I4" s="4" t="inlineStr">
        <is>
          <t>30 members of the 
government staff trained with respect to the production of electricity through biomass gaseificating
at the end of the project.</t>
        </is>
      </c>
    </row>
    <row r="5" ht="72" customHeight="1">
      <c r="E5" s="6" t="inlineStr">
        <is>
          <t>Other</t>
        </is>
      </c>
      <c r="F5" s="3" t="inlineStr">
        <is>
          <t xml:space="preserve">Number of jobs created 
in the gasifier/refrigerator sub-sector </t>
        </is>
      </c>
      <c r="G5" s="6" t="n">
        <v>0</v>
      </c>
      <c r="H5" s="6" t="n">
        <v>500</v>
      </c>
      <c r="I5" s="3" t="inlineStr">
        <is>
          <t xml:space="preserve">500 jobs are created 
in the gasifiers/refrigerator sub-sector (for minimum 500 persons) 
</t>
        </is>
      </c>
    </row>
    <row r="6" ht="57.75" customHeight="1">
      <c r="A6" s="71" t="n">
        <v>4979</v>
      </c>
      <c r="B6" s="71" t="inlineStr">
        <is>
          <t>Benin NAPA LDCF 2</t>
        </is>
      </c>
      <c r="C6" s="71" t="inlineStr">
        <is>
          <t>PIMS+</t>
        </is>
      </c>
      <c r="D6" s="71" t="n">
        <v>8000000</v>
      </c>
      <c r="E6" s="6" t="inlineStr">
        <is>
          <t>Capacity Training</t>
        </is>
      </c>
      <c r="F6" s="7" t="inlineStr">
        <is>
          <t>Number of senior energy managers trained</t>
        </is>
      </c>
      <c r="G6" s="6" t="n">
        <v>0</v>
      </c>
      <c r="H6" s="6" t="n">
        <v>500</v>
      </c>
      <c r="I6" s="7" t="inlineStr">
        <is>
          <t>500 senior energy managers trained</t>
        </is>
      </c>
    </row>
    <row r="7" ht="48.75" customHeight="1">
      <c r="E7" s="6" t="inlineStr">
        <is>
          <t>Capacity Training</t>
        </is>
      </c>
      <c r="F7" s="3" t="inlineStr">
        <is>
          <t>Number of operators trained on improved stoves</t>
        </is>
      </c>
      <c r="G7" s="6" t="n">
        <v>0</v>
      </c>
      <c r="H7" s="6" t="n">
        <v>500</v>
      </c>
      <c r="I7" s="7" t="inlineStr">
        <is>
          <t>500 operators (with 50% women) trained on improved stoves</t>
        </is>
      </c>
    </row>
    <row r="8" ht="51" customHeight="1">
      <c r="E8" s="6" t="inlineStr">
        <is>
          <t>Clean Cooking</t>
        </is>
      </c>
      <c r="F8" s="7" t="inlineStr">
        <is>
          <t>Number of improved ovens built</t>
        </is>
      </c>
      <c r="G8" s="6" t="n">
        <v>0</v>
      </c>
      <c r="H8" s="6" t="n">
        <v>100</v>
      </c>
      <c r="I8" s="7" t="inlineStr">
        <is>
          <t>At least 100 improved ovens built benefiting to at least 100 persons (with 50% of women)</t>
        </is>
      </c>
    </row>
    <row r="9" ht="50.25" customHeight="1">
      <c r="E9" s="6" t="inlineStr">
        <is>
          <t>Clean Cooking</t>
        </is>
      </c>
      <c r="F9" s="7" t="inlineStr">
        <is>
          <t>Number of pressure cookers distributed</t>
        </is>
      </c>
      <c r="G9" s="6" t="n">
        <v>0</v>
      </c>
      <c r="H9" s="6" t="n">
        <v>1000</v>
      </c>
      <c r="I9" s="3" t="inlineStr">
        <is>
          <t>1 000 pressure cookers distributed and benefiting to a least 1 000 persons (with 50% of women)</t>
        </is>
      </c>
    </row>
    <row r="10" ht="80.25" customHeight="1">
      <c r="E10" s="6" t="inlineStr">
        <is>
          <t>Clean Cooking</t>
        </is>
      </c>
      <c r="F10" s="7" t="inlineStr">
        <is>
          <t>Number of improved stoves distributed</t>
        </is>
      </c>
      <c r="G10" s="6" t="n">
        <v>0</v>
      </c>
      <c r="H10" s="6" t="n">
        <v>10000</v>
      </c>
      <c r="I10" s="3" t="inlineStr">
        <is>
          <t xml:space="preserve">With 10 000 improved stoves distributed, it is at least 10 000 persons benefiting (with 50% women) of the clean cooking technology </t>
        </is>
      </c>
    </row>
    <row r="11">
      <c r="E11" s="6" t="n"/>
      <c r="F11" s="2" t="n"/>
      <c r="G11" s="2" t="n"/>
      <c r="H11" s="2" t="n"/>
      <c r="I11" s="2" t="n"/>
    </row>
    <row r="12" ht="125.25" customHeight="1">
      <c r="C12" s="9" t="inlineStr">
        <is>
          <t>TRAC 2: Access of vulnerable and neglected communities to sustainable and affordable energy through the promotion of Smart sustainable Energy Hubs</t>
        </is>
      </c>
      <c r="D12" s="8" t="n">
        <v>1400000</v>
      </c>
      <c r="E12" s="10" t="inlineStr">
        <is>
          <t>Electricity Access</t>
        </is>
      </c>
      <c r="F12" s="11" t="inlineStr">
        <is>
          <t>Number of people with direct access to cean, reliable and affordable energy and its co-benefits</t>
        </is>
      </c>
      <c r="G12" s="10" t="n">
        <v>0</v>
      </c>
      <c r="H12" s="10" t="n">
        <v>50000</v>
      </c>
      <c r="I12" s="11" t="inlineStr">
        <is>
          <t>Direct access of 50,000 people (including 26,000 women) to clean, reliable and affordable energy and its co-benefits.</t>
        </is>
      </c>
    </row>
  </sheetData>
  <mergeCells count="8">
    <mergeCell ref="C3:C5"/>
    <mergeCell ref="A3:A5"/>
    <mergeCell ref="C6:C11"/>
    <mergeCell ref="D3:D5"/>
    <mergeCell ref="B3:B5"/>
    <mergeCell ref="D6:D11"/>
    <mergeCell ref="A6:A12"/>
    <mergeCell ref="B6:B1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B8" workbookViewId="0">
      <pane ySplit="1" topLeftCell="A2" activePane="bottomLeft" state="frozen"/>
      <selection pane="bottomLeft" activeCell="B8" sqref="B8"/>
    </sheetView>
  </sheetViews>
  <sheetFormatPr baseColWidth="8" defaultRowHeight="15"/>
  <cols>
    <col width="36" customWidth="1" min="1" max="2"/>
    <col width="110" customWidth="1" min="2" max="2"/>
  </cols>
  <sheetData>
    <row r="1">
      <c r="A1" s="91" t="inlineStr">
        <is>
          <t>Beneficiary Category</t>
        </is>
      </c>
      <c r="B1" s="91" t="inlineStr">
        <is>
          <t>Indicator</t>
        </is>
      </c>
    </row>
    <row r="2" ht="45.75" customHeight="1">
      <c r="A2" s="92" t="inlineStr">
        <is>
          <t>Electricity Access</t>
        </is>
      </c>
      <c r="B2" s="92" t="inlineStr">
        <is>
          <t>Number of people, disaggregated by sex, who gain access to clean electricity (direct access to electricity, lighting, cooling, etc.).</t>
        </is>
      </c>
    </row>
    <row r="3">
      <c r="A3" s="92" t="inlineStr">
        <is>
          <t>Energy (MW added)</t>
        </is>
      </c>
      <c r="B3" s="92" t="inlineStr">
        <is>
          <t>Installed renewable or clean-energy power capacity added, in MW.</t>
        </is>
      </c>
    </row>
    <row r="4" ht="30.75" customHeight="1">
      <c r="A4" s="92" t="inlineStr">
        <is>
          <t>Energy Storage (MW)</t>
        </is>
      </c>
      <c r="B4" s="92" t="inlineStr">
        <is>
          <t>Installed energy storage power capacity added, in MW.</t>
        </is>
      </c>
    </row>
    <row r="5" ht="30.75" customHeight="1">
      <c r="A5" s="92" t="inlineStr">
        <is>
          <t>Clean Cooking</t>
        </is>
      </c>
      <c r="B5" s="92" t="inlineStr">
        <is>
          <t>Number of people who gain access to clean cooking (direct access to clean cook stoves, clean fuels, biomass, etc.).</t>
        </is>
      </c>
    </row>
    <row r="6" ht="91.5" customHeight="1">
      <c r="A6" s="92" t="inlineStr">
        <is>
          <t>Clean Heating</t>
        </is>
      </c>
      <c r="B6" s="92" t="inlineStr">
        <is>
          <t>Number of people who gain access to clean heating (direct access to clean electric heaters, clean fuels, etc.).</t>
        </is>
      </c>
    </row>
    <row r="7" ht="45.75" customHeight="1">
      <c r="A7" s="92" t="inlineStr">
        <is>
          <t>Agriculture and Food System</t>
        </is>
      </c>
      <c r="B7" s="92" t="inlineStr">
        <is>
          <t>Number of people who gain access to clean, affordable, and sustainable energy for agricultural and food-system activities.</t>
        </is>
      </c>
    </row>
    <row r="8" ht="45.75" customHeight="1">
      <c r="A8" s="92" t="inlineStr">
        <is>
          <t>Health Services</t>
        </is>
      </c>
      <c r="B8" s="92" t="inlineStr">
        <is>
          <t>Number of people who gain access to health care facilities through clean energy systems.</t>
        </is>
      </c>
    </row>
    <row r="9" ht="45.75" customHeight="1">
      <c r="A9" s="92" t="inlineStr">
        <is>
          <t>Water Services</t>
        </is>
      </c>
      <c r="B9" s="92" t="inlineStr">
        <is>
          <t>Number of people who gain access to water services through clean energy systems.</t>
        </is>
      </c>
    </row>
    <row r="10" ht="30.75" customHeight="1">
      <c r="A10" s="92" t="inlineStr">
        <is>
          <t>Education Services</t>
        </is>
      </c>
      <c r="B10" s="92" t="inlineStr">
        <is>
          <t>Number of people who gain access to education services through clean energy systems, including students and teachers.</t>
        </is>
      </c>
    </row>
    <row r="11" ht="30.75" customHeight="1">
      <c r="A11" s="92" t="inlineStr">
        <is>
          <t>Transportation and E-mobility Services</t>
        </is>
      </c>
      <c r="B11" s="92" t="inlineStr">
        <is>
          <t>Number of people served or energy saved from transport and e-mobility interventions, such as electric vehicles or charging stations.</t>
        </is>
      </c>
    </row>
    <row r="12" ht="45.75" customHeight="1">
      <c r="A12" s="92" t="inlineStr">
        <is>
          <t>Energy Efficiency Services</t>
        </is>
      </c>
      <c r="B12" s="92" t="inlineStr">
        <is>
          <t>Energy saved from energy-efficiency interventions, such as building or industrial efficiency.</t>
        </is>
      </c>
    </row>
    <row r="13" ht="30.75" customHeight="1">
      <c r="A13" s="92" t="inlineStr">
        <is>
          <t>Energy Infrastructure Services</t>
        </is>
      </c>
      <c r="B13" s="92" t="inlineStr">
        <is>
          <t>Number of people benefiting from energy infrastructure interventions, such as streetlights, transmission, and distribution lines.</t>
        </is>
      </c>
    </row>
    <row r="14">
      <c r="A14" s="92" t="inlineStr">
        <is>
          <t>Other Energy Services</t>
        </is>
      </c>
      <c r="B14" s="92" t="inlineStr">
        <is>
          <t>Access to other energy services not captured by the categories above.</t>
        </is>
      </c>
    </row>
    <row r="15" ht="30.75" customHeight="1">
      <c r="A15" s="92" t="inlineStr">
        <is>
          <t>Financing support</t>
        </is>
      </c>
      <c r="B15" s="92" t="inlineStr">
        <is>
          <t>Support for the development of the energy market ecosystem.</t>
        </is>
      </c>
    </row>
    <row r="16" ht="30.75" customHeight="1">
      <c r="A16" s="92" t="inlineStr">
        <is>
          <t>Medium Enterprises</t>
        </is>
      </c>
      <c r="B16" s="92" t="inlineStr">
        <is>
          <t>Support for the development of medium enterprises in the energy transition market.</t>
        </is>
      </c>
    </row>
    <row r="17" ht="30.75" customHeight="1">
      <c r="A17" s="92" t="inlineStr">
        <is>
          <t>Small Enterprises</t>
        </is>
      </c>
      <c r="B17" s="92" t="inlineStr">
        <is>
          <t>Support for the development of small enterprises in the energy transition market.</t>
        </is>
      </c>
    </row>
    <row r="18" ht="30.75" customHeight="1">
      <c r="A18" s="92" t="inlineStr">
        <is>
          <t>Capacity Building Training</t>
        </is>
      </c>
      <c r="B18" s="92" t="inlineStr">
        <is>
          <t>Number of people benefiting from training on energy business, energy finance, or related implementation capacity.</t>
        </is>
      </c>
    </row>
    <row r="19" ht="76.5" customHeight="1">
      <c r="A19" s="92" t="inlineStr">
        <is>
          <t>Entrepreneurship Training</t>
        </is>
      </c>
      <c r="B19" s="92" t="inlineStr">
        <is>
          <t>Training for enterprises on the energy business, assumed to result in direct beneficiaries.</t>
        </is>
      </c>
    </row>
    <row r="20" ht="30.75" customHeight="1">
      <c r="A20" s="92" t="inlineStr">
        <is>
          <t>Market Intervention</t>
        </is>
      </c>
      <c r="B20" s="92" t="inlineStr">
        <is>
          <t>Volume of investment leveraged or barriers removed for clean, reliable, affordable, and sustainable energy solutions.</t>
        </is>
      </c>
    </row>
    <row r="21" ht="45.75" customHeight="1">
      <c r="A21" s="92" t="inlineStr">
        <is>
          <t>Campaign Participant</t>
        </is>
      </c>
      <c r="B21" s="92" t="inlineStr">
        <is>
          <t>Individuals who participate in advocacy or awareness campaigns on energy.</t>
        </is>
      </c>
    </row>
    <row r="22" ht="30.75" customHeight="1">
      <c r="A22" s="92" t="inlineStr">
        <is>
          <t>Policy or Regulatory Framework</t>
        </is>
      </c>
      <c r="B22" s="92" t="inlineStr">
        <is>
          <t>Policies, regulations, strategies, plans, or frameworks developed, approved, implemented, or strengthened.</t>
        </is>
      </c>
    </row>
    <row r="23">
      <c r="A23" s="92" t="inlineStr">
        <is>
          <t>GHG Emissions Reduction</t>
        </is>
      </c>
      <c r="B23" s="92" t="inlineStr">
        <is>
          <t>Greenhouse gas emissions reduced or mitigated, in tCO2e.</t>
        </is>
      </c>
    </row>
    <row r="24">
      <c r="A24" s="92" t="inlineStr">
        <is>
          <t>Other</t>
        </is>
      </c>
      <c r="B24" s="9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