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visible"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theme="10"/>
      <sz val="11"/>
      <u val="single"/>
      <scheme val="minor"/>
    </font>
    <font>
      <name val="Calibri"/>
      <color rgb="FF000000"/>
      <sz val="11"/>
    </font>
    <font>
      <name val="Calibri"/>
      <i val="1"/>
      <color rgb="FF000000"/>
      <sz val="11"/>
    </font>
    <font>
      <name val="Calibri"/>
      <charset val="1"/>
      <family val="2"/>
      <color theme="1"/>
      <sz val="11"/>
    </font>
    <font>
      <name val="Calibri"/>
      <charset val="1"/>
      <family val="2"/>
      <b val="1"/>
      <color rgb="FFFF0000"/>
      <sz val="11"/>
    </font>
    <font>
      <name val="Calibri"/>
      <family val="2"/>
      <b val="1"/>
      <color rgb="FFFF0000"/>
      <sz val="11"/>
      <scheme val="minor"/>
    </font>
    <font>
      <name val="Calibri"/>
      <family val="2"/>
      <color rgb="FF000000"/>
      <sz val="11"/>
      <scheme val="minor"/>
    </font>
    <font>
      <name val="Calibri"/>
      <b val="1"/>
      <color theme="1"/>
      <sz val="11"/>
      <scheme val="minor"/>
    </font>
    <font>
      <name val="Calibri"/>
      <color rgb="FF000000"/>
      <sz val="11"/>
      <scheme val="minor"/>
    </font>
    <font>
      <name val="Calibri"/>
      <color rgb="FFFF0000"/>
      <sz val="11"/>
      <scheme val="minor"/>
    </font>
    <font>
      <b val="1"/>
    </font>
  </fonts>
  <fills count="6">
    <fill>
      <patternFill/>
    </fill>
    <fill>
      <patternFill patternType="gray125"/>
    </fill>
    <fill>
      <patternFill patternType="solid">
        <fgColor rgb="FFFFFFFF"/>
        <bgColor indexed="64"/>
      </patternFill>
    </fill>
    <fill>
      <patternFill patternType="solid">
        <fgColor rgb="FFFFF2CC"/>
        <bgColor indexed="64"/>
      </patternFill>
    </fill>
    <fill>
      <patternFill patternType="solid">
        <fgColor rgb="FFFFFF00"/>
        <bgColor indexed="64"/>
      </patternFill>
    </fill>
    <fill>
      <patternFill patternType="solid">
        <fgColor rgb="00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s>
  <cellStyleXfs count="3">
    <xf numFmtId="0" fontId="0" fillId="0" borderId="0"/>
    <xf numFmtId="0" fontId="4" fillId="0" borderId="0"/>
    <xf numFmtId="0" fontId="4" fillId="0" borderId="0"/>
  </cellStyleXfs>
  <cellXfs count="52">
    <xf numFmtId="0" fontId="0" fillId="0" borderId="0" pivotButton="0" quotePrefix="0" xfId="0"/>
    <xf numFmtId="0" fontId="2" fillId="0" borderId="2" applyAlignment="1" pivotButton="0" quotePrefix="0" xfId="0">
      <alignment horizontal="center" vertical="top"/>
    </xf>
    <xf numFmtId="0" fontId="2" fillId="0" borderId="1" pivotButton="0" quotePrefix="0" xfId="0"/>
    <xf numFmtId="0" fontId="2" fillId="0" borderId="5" applyAlignment="1" pivotButton="0" quotePrefix="0" xfId="0">
      <alignment horizontal="center" vertical="top"/>
    </xf>
    <xf numFmtId="0" fontId="0" fillId="0" borderId="1" applyAlignment="1" pivotButton="0" quotePrefix="0" xfId="0">
      <alignment wrapText="1"/>
    </xf>
    <xf numFmtId="0" fontId="3" fillId="0" borderId="1" applyAlignment="1" pivotButton="0" quotePrefix="0" xfId="1">
      <alignment wrapText="1"/>
    </xf>
    <xf numFmtId="0" fontId="0" fillId="2" borderId="1" applyAlignment="1" pivotButton="0" quotePrefix="0" xfId="0">
      <alignment wrapText="1"/>
    </xf>
    <xf numFmtId="0" fontId="7" fillId="2" borderId="1" applyAlignment="1" pivotButton="0" quotePrefix="0" xfId="0">
      <alignment wrapText="1"/>
    </xf>
    <xf numFmtId="0" fontId="0" fillId="0" borderId="0" applyAlignment="1" pivotButton="0" quotePrefix="0" xfId="0">
      <alignment wrapText="1"/>
    </xf>
    <xf numFmtId="0" fontId="5" fillId="2" borderId="1" applyAlignment="1" pivotButton="0" quotePrefix="0" xfId="0">
      <alignment wrapText="1"/>
    </xf>
    <xf numFmtId="0" fontId="4" fillId="0" borderId="1" applyAlignment="1" pivotButton="0" quotePrefix="0" xfId="1">
      <alignment wrapText="1"/>
    </xf>
    <xf numFmtId="0" fontId="0" fillId="0" borderId="1" applyAlignment="1" pivotButton="0" quotePrefix="0" xfId="0">
      <alignment horizontal="center" vertical="center" wrapText="1"/>
    </xf>
    <xf numFmtId="0" fontId="0" fillId="3" borderId="1" applyAlignment="1" pivotButton="0" quotePrefix="0" xfId="0">
      <alignment wrapText="1"/>
    </xf>
    <xf numFmtId="0" fontId="8" fillId="0" borderId="0" pivotButton="0" quotePrefix="0" xfId="0"/>
    <xf numFmtId="0" fontId="9" fillId="0" borderId="0" applyAlignment="1" pivotButton="0" quotePrefix="0" xfId="0">
      <alignment wrapText="1"/>
    </xf>
    <xf numFmtId="0" fontId="2" fillId="0" borderId="0" pivotButton="0" quotePrefix="0" xfId="0"/>
    <xf numFmtId="0" fontId="8" fillId="4" borderId="0" applyAlignment="1" pivotButton="0" quotePrefix="0" xfId="0">
      <alignment vertical="center"/>
    </xf>
    <xf numFmtId="0" fontId="2" fillId="0" borderId="1" applyAlignment="1" pivotButton="0" quotePrefix="0" xfId="0">
      <alignment horizontal="center" vertical="top"/>
    </xf>
    <xf numFmtId="0" fontId="0" fillId="0" borderId="1" pivotButton="0" quotePrefix="0" xfId="0"/>
    <xf numFmtId="0" fontId="10" fillId="0" borderId="1" applyAlignment="1" pivotButton="0" quotePrefix="0" xfId="0">
      <alignment wrapText="1"/>
    </xf>
    <xf numFmtId="0" fontId="0" fillId="0" borderId="6" applyAlignment="1" pivotButton="0" quotePrefix="0" xfId="0">
      <alignment vertical="center"/>
    </xf>
    <xf numFmtId="0" fontId="2" fillId="0" borderId="1" applyAlignment="1" pivotButton="0" quotePrefix="0" xfId="0">
      <alignment horizontal="center"/>
    </xf>
    <xf numFmtId="0" fontId="0" fillId="0" borderId="1" applyAlignment="1" pivotButton="0" quotePrefix="0" xfId="0">
      <alignment horizontal="center" vertical="center"/>
    </xf>
    <xf numFmtId="0" fontId="11" fillId="0" borderId="1" applyAlignment="1" pivotButton="0" quotePrefix="0" xfId="0">
      <alignment horizontal="center" vertical="top" wrapText="1"/>
    </xf>
    <xf numFmtId="0" fontId="12" fillId="0" borderId="1" applyAlignment="1" pivotButton="0" quotePrefix="0" xfId="0">
      <alignment wrapText="1"/>
    </xf>
    <xf numFmtId="0" fontId="2" fillId="0" borderId="3" applyAlignment="1" pivotButton="0" quotePrefix="0" xfId="0">
      <alignment horizontal="center"/>
    </xf>
    <xf numFmtId="0" fontId="2" fillId="0" borderId="7" applyAlignment="1" pivotButton="0" quotePrefix="0" xfId="0">
      <alignment horizontal="center"/>
    </xf>
    <xf numFmtId="0" fontId="2" fillId="0" borderId="3" pivotButton="0" quotePrefix="0" xfId="0"/>
    <xf numFmtId="0" fontId="0" fillId="0" borderId="6" applyAlignment="1" pivotButton="0" quotePrefix="0" xfId="0">
      <alignment horizontal="center" vertical="center"/>
    </xf>
    <xf numFmtId="0" fontId="0" fillId="0" borderId="8" applyAlignment="1" pivotButton="0" quotePrefix="0" xfId="0">
      <alignment horizontal="center" vertical="center" wrapText="1"/>
    </xf>
    <xf numFmtId="0" fontId="0" fillId="0" borderId="1" applyAlignment="1" pivotButton="0" quotePrefix="0" xfId="0">
      <alignment vertical="center"/>
    </xf>
    <xf numFmtId="0" fontId="4" fillId="0" borderId="1" applyAlignment="1" pivotButton="0" quotePrefix="0" xfId="2">
      <alignment wrapText="1"/>
    </xf>
    <xf numFmtId="0" fontId="13" fillId="0" borderId="1" applyAlignment="1" pivotButton="0" quotePrefix="0" xfId="0">
      <alignment wrapText="1"/>
    </xf>
    <xf numFmtId="0" fontId="13" fillId="4" borderId="1" applyAlignment="1" pivotButton="0" quotePrefix="0" xfId="0">
      <alignment wrapText="1"/>
    </xf>
    <xf numFmtId="0" fontId="0" fillId="4" borderId="1" applyAlignment="1" pivotButton="0" quotePrefix="0" xfId="0">
      <alignment wrapText="1"/>
    </xf>
    <xf numFmtId="0" fontId="2" fillId="0" borderId="0" applyAlignment="1" pivotButton="0" quotePrefix="0" xfId="0">
      <alignment horizont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wrapText="1"/>
    </xf>
    <xf numFmtId="0" fontId="0" fillId="0" borderId="0" applyAlignment="1" pivotButton="0" quotePrefix="0" xfId="0">
      <alignment horizontal="center" wrapText="1"/>
    </xf>
    <xf numFmtId="0" fontId="4" fillId="0" borderId="3" applyAlignment="1" pivotButton="0" quotePrefix="0" xfId="1">
      <alignment horizontal="center" vertical="center" wrapText="1"/>
    </xf>
    <xf numFmtId="0" fontId="4" fillId="0" borderId="4" applyAlignment="1" pivotButton="0" quotePrefix="0" xfId="1">
      <alignment horizontal="center" vertical="center" wrapText="1"/>
    </xf>
    <xf numFmtId="0" fontId="0" fillId="0" borderId="3" applyAlignment="1" pivotButton="0" quotePrefix="0" xfId="0">
      <alignment horizontal="center" wrapText="1"/>
    </xf>
    <xf numFmtId="0" fontId="0" fillId="0" borderId="4" applyAlignment="1" pivotButton="0" quotePrefix="0" xfId="0">
      <alignment horizontal="center"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0" fontId="0" fillId="5" borderId="1" applyAlignment="1" pivotButton="0" quotePrefix="0" xfId="0">
      <alignment wrapText="1"/>
    </xf>
    <xf numFmtId="0" fontId="4" fillId="0" borderId="1" applyAlignment="1" pivotButton="0" quotePrefix="0" xfId="1">
      <alignment horizontal="center" vertical="center" wrapText="1"/>
    </xf>
    <xf numFmtId="0" fontId="0" fillId="0" borderId="4" pivotButton="0" quotePrefix="0" xfId="0"/>
    <xf numFmtId="0" fontId="14" fillId="0" borderId="0" applyAlignment="1" pivotButton="0" quotePrefix="0" xfId="0">
      <alignment vertical="top" wrapText="1"/>
    </xf>
    <xf numFmtId="0" fontId="0" fillId="0" borderId="0" applyAlignment="1" pivotButton="0" quotePrefix="0" xfId="0">
      <alignment vertical="top" wrapText="1"/>
    </xf>
  </cellXfs>
  <cellStyles count="3">
    <cellStyle name="Normal" xfId="0" builtinId="0"/>
    <cellStyle name="Hipervínculo" xfId="1" builtinId="8"/>
    <cellStyle name="Hyperlink" xfId="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00551" TargetMode="External" Id="rId1"/><Relationship Type="http://schemas.openxmlformats.org/officeDocument/2006/relationships/hyperlink" Target="http://open.undp.org/projects/00129530" TargetMode="External" Id="rId2"/><Relationship Type="http://schemas.openxmlformats.org/officeDocument/2006/relationships/hyperlink" Target="https://open.undp.org/projects/00096640" TargetMode="External" Id="rId3"/></Relationships>
</file>

<file path=xl/worksheets/_rels/sheet2.xml.rels><Relationships xmlns="http://schemas.openxmlformats.org/package/2006/relationships"><Relationship Type="http://schemas.openxmlformats.org/officeDocument/2006/relationships/hyperlink" Target="http://open.undp.org/projects/00100551" TargetMode="External" Id="rId1"/><Relationship Type="http://schemas.openxmlformats.org/officeDocument/2006/relationships/hyperlink" Target="http://open.undp.org/projects/00129530" TargetMode="External" Id="rId2"/><Relationship Type="http://schemas.openxmlformats.org/officeDocument/2006/relationships/hyperlink" Target="https://open.undp.org/projects/00096640" TargetMode="External" Id="rId3"/><Relationship Type="http://schemas.openxmlformats.org/officeDocument/2006/relationships/hyperlink" Target="https://www.argentina.gob.ar/normativa/nacional/316407/texto" TargetMode="External" Id="rId4"/><Relationship Type="http://schemas.openxmlformats.org/officeDocument/2006/relationships/hyperlink" Target="https://www.argentina.gob.ar/economia/energia/eficiencia-energetica/eficiencia-energetica-en-sector-publico/prouree-en-edificios-publicos" TargetMode="External" Id="rId5"/></Relationships>
</file>

<file path=xl/worksheets/_rels/sheet3.xml.rels><Relationships xmlns="http://schemas.openxmlformats.org/package/2006/relationships"><Relationship Type="http://schemas.openxmlformats.org/officeDocument/2006/relationships/hyperlink" Target="http://open.undp.org/projects/00100551" TargetMode="External" Id="rId1"/><Relationship Type="http://schemas.openxmlformats.org/officeDocument/2006/relationships/hyperlink" Target="http://open.undp.org/projects/00129530" TargetMode="External" Id="rId2"/><Relationship Type="http://schemas.openxmlformats.org/officeDocument/2006/relationships/hyperlink" Target="https://open.undp.org/projects/00096640" TargetMode="External" Id="rId3"/><Relationship Type="http://schemas.openxmlformats.org/officeDocument/2006/relationships/hyperlink" Target="https://public.tableau.com/app/profile/datosenergia/viz/AdjudicacionesRenovARMINEMArgentina/AdjudicacionesRenovArArgentina" TargetMode="External" Id="rId4"/><Relationship Type="http://schemas.openxmlformats.org/officeDocument/2006/relationships/hyperlink" Target="https://www.argentina.gob.ar/normativa/nacional/316407/texto" TargetMode="External" Id="rId5"/><Relationship Type="http://schemas.openxmlformats.org/officeDocument/2006/relationships/hyperlink" Target="https://www.argentina.gob.ar/economia/energia/eficiencia-energetica/eficiencia-energetica-en-sector-publico/prouree-en-edificios-publicos" TargetMode="External" Id="rId6"/></Relationships>
</file>

<file path=xl/worksheets/sheet1.xml><?xml version="1.0" encoding="utf-8"?>
<worksheet xmlns="http://schemas.openxmlformats.org/spreadsheetml/2006/main">
  <sheetPr>
    <outlinePr summaryBelow="1" summaryRight="1"/>
    <pageSetUpPr/>
  </sheetPr>
  <dimension ref="A1:X10"/>
  <sheetViews>
    <sheetView tabSelected="1" workbookViewId="0">
      <pane xSplit="1" ySplit="1" topLeftCell="B5" activePane="bottomRight" state="frozen"/>
      <selection pane="bottomRight" activeCell="D3" sqref="D3"/>
      <selection pane="bottomLeft" activeCell="A1" sqref="A1"/>
      <selection pane="topRight" activeCell="A1" sqref="A1"/>
    </sheetView>
  </sheetViews>
  <sheetFormatPr baseColWidth="8" defaultRowHeight="15"/>
  <cols>
    <col width="24.85546875" customWidth="1" min="2" max="2"/>
    <col width="20.7109375" customWidth="1" min="3" max="3"/>
    <col width="17.140625" customWidth="1" min="4" max="4"/>
    <col width="17.140625" customWidth="1" min="5" max="5"/>
    <col width="17.140625" customWidth="1" min="6" max="7"/>
    <col width="17.140625" customWidth="1" min="7" max="7"/>
    <col width="17.140625" customWidth="1" min="8" max="8"/>
    <col width="61.28515625" customWidth="1" min="9" max="9"/>
    <col width="18.42578125" customWidth="1" min="10" max="10"/>
    <col width="18" bestFit="1" customWidth="1" min="11" max="11"/>
    <col width="12.85546875" bestFit="1" customWidth="1" min="12" max="12"/>
    <col width="14.42578125" bestFit="1"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17" t="inlineStr">
        <is>
          <t>Project ID</t>
        </is>
      </c>
      <c r="B1" s="17" t="inlineStr">
        <is>
          <t>Title</t>
        </is>
      </c>
      <c r="C1" s="17" t="inlineStr">
        <is>
          <t>Link</t>
        </is>
      </c>
      <c r="D1" s="17" t="inlineStr">
        <is>
          <t>Budget</t>
        </is>
      </c>
      <c r="E1" s="17" t="inlineStr">
        <is>
          <t>Start Year</t>
        </is>
      </c>
      <c r="F1" s="17" t="inlineStr">
        <is>
          <t>End Year</t>
        </is>
      </c>
      <c r="G1" s="17" t="inlineStr">
        <is>
          <t>Status</t>
        </is>
      </c>
      <c r="H1" s="17" t="inlineStr">
        <is>
          <t>VF or Non-VF</t>
        </is>
      </c>
      <c r="I1" s="17" t="inlineStr">
        <is>
          <t>Beneficiary Category</t>
        </is>
      </c>
      <c r="J1" s="17" t="inlineStr">
        <is>
          <t>Indicator</t>
        </is>
      </c>
      <c r="K1" s="17" t="inlineStr">
        <is>
          <t>Baseline</t>
        </is>
      </c>
      <c r="L1" s="17" t="inlineStr">
        <is>
          <t>Target</t>
        </is>
      </c>
      <c r="M1" s="17" t="inlineStr">
        <is>
          <t>Notes</t>
        </is>
      </c>
      <c r="N1" s="2" t="inlineStr">
        <is>
          <t>Donors</t>
        </is>
      </c>
      <c r="O1" s="2" t="inlineStr">
        <is>
          <t>Gender (% female)</t>
        </is>
      </c>
      <c r="P1" s="25" t="inlineStr">
        <is>
          <t>Tag</t>
        </is>
      </c>
      <c r="Q1" s="21" t="inlineStr">
        <is>
          <t>SEH Taxonomy</t>
        </is>
      </c>
      <c r="R1" s="21" t="inlineStr">
        <is>
          <t>RISE Taxonomy</t>
        </is>
      </c>
      <c r="S1" s="25" t="inlineStr">
        <is>
          <t>Flagship</t>
        </is>
      </c>
      <c r="T1" s="25" t="inlineStr">
        <is>
          <t>Indirect Category</t>
        </is>
      </c>
      <c r="U1" s="26" t="inlineStr">
        <is>
          <t>Indirect Taxonomy</t>
        </is>
      </c>
      <c r="V1" s="27" t="inlineStr">
        <is>
          <t>Technology</t>
        </is>
      </c>
      <c r="W1" s="26" t="inlineStr">
        <is>
          <t>Policy or Regulatory Framework</t>
        </is>
      </c>
      <c r="X1" s="27" t="inlineStr">
        <is>
          <t>Policy Population</t>
        </is>
      </c>
    </row>
    <row r="2" ht="95.25" customHeight="1">
      <c r="A2" s="4" t="n">
        <v>100551</v>
      </c>
      <c r="B2" s="4" t="inlineStr">
        <is>
          <t>Apoyo a las políticas de ciencia, tecnología e innovación de la Provincia de Buenos Aires</t>
        </is>
      </c>
      <c r="C2" s="5" t="inlineStr">
        <is>
          <t>http://open.undp.org/projects/00100551</t>
        </is>
      </c>
      <c r="D2" s="4" t="n">
        <v>2317196</v>
      </c>
      <c r="E2" s="47" t="n"/>
      <c r="F2" s="47" t="n"/>
      <c r="G2" s="47" t="n"/>
      <c r="H2" s="4" t="inlineStr">
        <is>
          <t>Non-VF</t>
        </is>
      </c>
      <c r="I2" s="6" t="inlineStr">
        <is>
          <t>Other Energy Services</t>
        </is>
      </c>
      <c r="J2" s="6" t="inlineStr">
        <is>
          <t>Solutions scaled up for sustainable management of natural resources, including sustainable commodities and green and inclusive value chains</t>
        </is>
      </c>
      <c r="K2" s="6" t="n"/>
      <c r="L2" s="6" t="n"/>
      <c r="M2" s="7" t="inlineStr">
        <is>
          <t>It will have implemented strategies to increase productivity and diversify the economy, though the promotion of the use of sustainable resources and the incorporation of science and technology;  Achieve higher levels of economic productivity through diversification, technological upgrading and innovation, including through a focus on high-value added and labour-intensive sectors</t>
        </is>
      </c>
      <c r="N2" s="19" t="inlineStr">
        <is>
          <t>GOB</t>
        </is>
      </c>
      <c r="O2" s="18" t="n"/>
      <c r="P2" s="22" t="n"/>
      <c r="Q2" s="29" t="n"/>
      <c r="R2" s="22" t="n"/>
      <c r="S2" s="22" t="n"/>
      <c r="T2" s="22" t="n"/>
      <c r="U2" s="22" t="n"/>
      <c r="V2" s="30" t="n"/>
      <c r="W2" s="22" t="n"/>
      <c r="X2" s="30" t="n"/>
    </row>
    <row r="3" ht="70.5" customHeight="1">
      <c r="A3" s="4" t="n">
        <v>129530</v>
      </c>
      <c r="B3" s="4" t="inlineStr">
        <is>
          <t>Modernización del Banco de la Nación Argentina</t>
        </is>
      </c>
      <c r="C3" s="5" t="inlineStr">
        <is>
          <t>http://open.undp.org/projects/00129530</t>
        </is>
      </c>
      <c r="D3" s="4" t="n">
        <v>4235601</v>
      </c>
      <c r="E3" s="47" t="n"/>
      <c r="F3" s="47" t="n"/>
      <c r="G3" s="47" t="n"/>
      <c r="H3" s="4" t="inlineStr">
        <is>
          <t>Non-VF</t>
        </is>
      </c>
      <c r="I3" s="6" t="inlineStr">
        <is>
          <t>Other Energy Services</t>
        </is>
      </c>
      <c r="J3" s="6" t="inlineStr">
        <is>
          <t>The Institutions level to have of the capacities to provide services with greater effectiveness, efficiency and transparency.</t>
        </is>
      </c>
      <c r="K3" s="6" t="n"/>
      <c r="L3" s="6" t="n"/>
      <c r="M3" s="9" t="inlineStr">
        <is>
          <t>Improved management capacity through institutional reinforcement ( digitization of several systems - "Solución de Banca Digital Integral"- ) to provide services with greater effectiveness, efficiency and transparency.</t>
        </is>
      </c>
      <c r="N3" s="19" t="inlineStr">
        <is>
          <t>GOB</t>
        </is>
      </c>
      <c r="O3" s="18" t="n"/>
      <c r="P3" s="22" t="n"/>
      <c r="Q3" s="29" t="n"/>
      <c r="R3" s="22" t="n"/>
      <c r="S3" s="22" t="n"/>
      <c r="T3" s="22" t="n"/>
      <c r="U3" s="22" t="n"/>
      <c r="V3" s="30" t="n"/>
      <c r="W3" s="22" t="n"/>
      <c r="X3" s="30" t="n"/>
    </row>
    <row r="4" ht="70.5" customHeight="1">
      <c r="A4" s="4" t="n">
        <v>96640</v>
      </c>
      <c r="B4" s="4" t="inlineStr">
        <is>
          <t>Modelos de negocios para la producción de biogas</t>
        </is>
      </c>
      <c r="C4" s="31" t="inlineStr">
        <is>
          <t>https://open.undp.org/projects/00096640
https://erc.undp.org/evaluation/documents/detail/21605</t>
        </is>
      </c>
      <c r="D4" s="6" t="n">
        <v>2779849</v>
      </c>
      <c r="E4" s="47" t="n"/>
      <c r="F4" s="47" t="n"/>
      <c r="G4" s="47" t="n"/>
      <c r="H4" s="6" t="inlineStr">
        <is>
          <t>Non-VF</t>
        </is>
      </c>
      <c r="I4" s="4" t="inlineStr">
        <is>
          <t>Energy (MW added)</t>
        </is>
      </c>
      <c r="J4" s="32" t="inlineStr">
        <is>
          <t>Installed electricity generating capacity of MSW-based biogas pilot projects</t>
        </is>
      </c>
      <c r="K4" s="4" t="n"/>
      <c r="L4" s="4" t="n">
        <v>0.23</v>
      </c>
      <c r="M4" s="4" t="inlineStr">
        <is>
          <t>The Project has contributed to market development for distributed, renewable energy technologies in Argentina, by addressing present barriers in the field of grid access and sales contracts for heat and electricity.</t>
        </is>
      </c>
      <c r="N4" s="19" t="inlineStr">
        <is>
          <t>GEF</t>
        </is>
      </c>
      <c r="O4" s="18" t="n"/>
      <c r="P4" s="22" t="n"/>
      <c r="Q4" s="29" t="inlineStr">
        <is>
          <t>Close the gap on energy access</t>
        </is>
      </c>
      <c r="R4" s="22" t="n"/>
      <c r="S4" s="22" t="n"/>
      <c r="T4" s="22" t="n"/>
      <c r="U4" s="22" t="n"/>
      <c r="V4" s="30" t="inlineStr">
        <is>
          <t>Bioenergy</t>
        </is>
      </c>
      <c r="W4" s="22" t="n"/>
      <c r="X4" s="30" t="n"/>
    </row>
    <row r="5" ht="70.5" customHeight="1">
      <c r="A5" s="4" t="n"/>
      <c r="B5" s="4" t="n"/>
      <c r="C5" s="31" t="n"/>
      <c r="D5" s="6" t="n"/>
      <c r="E5" s="6" t="n"/>
      <c r="F5" s="6" t="n"/>
      <c r="G5" s="6" t="n"/>
      <c r="H5" s="6" t="n"/>
      <c r="I5" s="4" t="inlineStr">
        <is>
          <t>Policy or Regulatory Framework</t>
        </is>
      </c>
      <c r="J5" s="33" t="inlineStr">
        <is>
          <t>Policy and regulatory framework
for MSW-based biogas energy
supported</t>
        </is>
      </c>
      <c r="K5" s="34" t="n"/>
      <c r="L5" s="4" t="n"/>
      <c r="M5" s="4" t="n"/>
      <c r="N5" s="19" t="n"/>
      <c r="O5" s="18" t="n"/>
      <c r="P5" s="22" t="n"/>
      <c r="Q5" s="29" t="n"/>
      <c r="R5" s="22" t="n"/>
      <c r="S5" s="22" t="n"/>
      <c r="T5" s="22" t="n"/>
      <c r="U5" s="22" t="n"/>
      <c r="V5" s="30" t="n"/>
      <c r="W5" s="22" t="n"/>
      <c r="X5" s="30" t="n"/>
    </row>
    <row r="6" ht="70.5" customHeight="1">
      <c r="A6" s="4" t="n"/>
      <c r="B6" s="4" t="n"/>
      <c r="C6" s="31" t="n"/>
      <c r="D6" s="6" t="n"/>
      <c r="E6" s="6" t="n"/>
      <c r="F6" s="6" t="n"/>
      <c r="G6" s="6" t="n"/>
      <c r="H6" s="6" t="n"/>
      <c r="I6" s="4" t="inlineStr">
        <is>
          <t>Capacity Building Training</t>
        </is>
      </c>
      <c r="J6" s="32" t="inlineStr">
        <is>
          <t>Number of people trained and
employed for MSW-based biogas energy
generation</t>
        </is>
      </c>
      <c r="K6" s="4" t="n"/>
      <c r="L6" s="4" t="n">
        <v>113</v>
      </c>
      <c r="M6" s="4" t="n"/>
      <c r="N6" s="19" t="n"/>
      <c r="O6" s="18" t="n">
        <v>0.5</v>
      </c>
      <c r="P6" s="22" t="n"/>
      <c r="Q6" s="29" t="n"/>
      <c r="R6" s="22" t="n"/>
      <c r="S6" s="22" t="n"/>
      <c r="T6" s="22" t="n"/>
      <c r="U6" s="22" t="n"/>
      <c r="V6" s="30" t="n"/>
      <c r="W6" s="22" t="n"/>
      <c r="X6" s="30" t="n"/>
    </row>
    <row r="7" ht="80.25" customHeight="1">
      <c r="A7" s="4" t="n"/>
      <c r="B7" s="4" t="n"/>
      <c r="C7" s="10" t="n"/>
      <c r="D7" s="4" t="n"/>
      <c r="E7" s="4" t="n"/>
      <c r="F7" s="4" t="n"/>
      <c r="G7" s="4" t="n"/>
      <c r="H7" s="4" t="n"/>
      <c r="I7" s="37" t="inlineStr">
        <is>
          <t>Energy (MW added)</t>
        </is>
      </c>
      <c r="J7" s="4" t="n"/>
      <c r="K7" s="4" t="n"/>
      <c r="L7" s="4" t="n"/>
      <c r="M7" s="4" t="inlineStr">
        <is>
          <t>Call for offers in the National and International open call Process in the MERCADO ELÉCTRICO MAYORISTA (MEM) of electric energy from renewable sources in order to celebrate a contract with COMPAÑÍA ADMINISTRADORA DEL MERCADO MAYORISTA ELÉCTRICO SOCIEDAD ANÓNIMA (CAMMESA).</t>
        </is>
      </c>
      <c r="N7" s="18" t="n"/>
      <c r="O7" s="18" t="n"/>
      <c r="P7" s="22" t="n"/>
      <c r="Q7" s="29" t="inlineStr">
        <is>
          <t>Accelerating just energy transition</t>
        </is>
      </c>
      <c r="R7" s="22" t="n"/>
      <c r="S7" s="22" t="n"/>
      <c r="T7" s="22" t="n"/>
      <c r="U7" s="22" t="n"/>
      <c r="V7" s="30" t="inlineStr">
        <is>
          <t>Other</t>
        </is>
      </c>
      <c r="W7" s="22" t="n"/>
      <c r="X7" s="30" t="n"/>
    </row>
    <row r="8" ht="62.25" customHeight="1">
      <c r="A8" s="4" t="n"/>
      <c r="B8" s="4" t="n"/>
      <c r="C8" s="10" t="n"/>
      <c r="D8" s="4" t="n"/>
      <c r="E8" s="4" t="n"/>
      <c r="F8" s="4" t="n"/>
      <c r="G8" s="4" t="n"/>
      <c r="H8" s="4" t="n"/>
      <c r="I8" s="37" t="inlineStr">
        <is>
          <t>Other Energy Services</t>
        </is>
      </c>
      <c r="J8" s="4" t="n"/>
      <c r="K8" s="4" t="n"/>
      <c r="L8" s="4" t="n"/>
      <c r="M8" s="4" t="inlineStr">
        <is>
          <t>Reduce consumption levels in National Public Administration buildings by: implementing energy efficiency improvement measures; introducing energy management criteria; promoting staff awareness of the rational use of resources.</t>
        </is>
      </c>
      <c r="N8" s="18" t="n"/>
      <c r="O8" s="18" t="n"/>
      <c r="P8" s="22" t="n"/>
      <c r="Q8" s="29" t="n"/>
      <c r="R8" s="22" t="n"/>
      <c r="S8" s="22" t="n"/>
      <c r="T8" s="22" t="n"/>
      <c r="U8" s="22" t="n"/>
      <c r="V8" s="30" t="n"/>
      <c r="W8" s="22" t="n"/>
      <c r="X8" s="30" t="n"/>
    </row>
    <row r="9"/>
    <row r="10">
      <c r="B10" s="13" t="n"/>
    </row>
  </sheetData>
  <dataValidations count="13">
    <dataValidation sqref="R2:R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8" showDropDown="0" showInputMessage="1" showErrorMessage="1" allowBlank="1" type="list">
      <formula1>"Non-VF, VF"</formula1>
    </dataValidation>
    <dataValidation sqref="S2:S8" showDropDown="0" showInputMessage="1" showErrorMessage="1" allowBlank="1" type="list">
      <formula1>"Solar, Wind, Bioenergy, Hydro, Geothermal, Waste, Other, Unknown"</formula1>
    </dataValidation>
    <dataValidation sqref="T2:T8" showDropDown="0" showInputMessage="1" showErrorMessage="1" allowBlank="1" type="list">
      <formula1>"National, Regional, City, Community"</formula1>
    </dataValidation>
    <dataValidation sqref="M2:M8" showDropDown="0" showInputMessage="1" showErrorMessage="1" allowBlank="1" type="list">
      <formula1>"Finance, Gender, Efficiency, Just, Health"</formula1>
    </dataValidation>
    <dataValidation sqref="O2:O8" showDropDown="0" showInputMessage="1" showErrorMessage="1" allowBlank="1" type="list">
      <formula1>"Electricity Access, Energy Efficiency, Clean Cooking, Renewable Energy, Overall"</formula1>
    </dataValidation>
    <dataValidation sqref="Q2:Q8 R9:R21"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8 Q9:Q21" showDropDown="0" showInputMessage="1" showErrorMessage="1" allowBlank="1" type="list">
      <formula1>"AMP, PUDC, Solar4Health, Action Opportunities, Italy UNDP Energy Partnership"</formula1>
    </dataValidation>
    <dataValidation sqref="O9:P21" showDropDown="0" showInputMessage="1" showErrorMessage="1" allowBlank="1" type="list">
      <formula1>"Electricity Access, Energy Efficiency, Clean Cooking, Renewable Energy"</formula1>
    </dataValidation>
    <dataValidation sqref="N2:N21" showDropDown="0" showInputMessage="1" showErrorMessage="1" allowBlank="1" type="list">
      <formula1>"Accelerating just energy transition, Close the gap on energy access, Scale up energy finance"</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display="https://open.undp.org/projects/00096640"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8"/>
  <sheetViews>
    <sheetView workbookViewId="0">
      <selection activeCell="F4" sqref="F4"/>
    </sheetView>
  </sheetViews>
  <sheetFormatPr baseColWidth="8" defaultRowHeight="15"/>
  <cols>
    <col width="24.85546875" customWidth="1" min="2" max="2"/>
    <col width="20.7109375" customWidth="1" min="3" max="3"/>
    <col width="17.140625" customWidth="1" min="4" max="4"/>
    <col width="20.7109375" customWidth="1" min="5" max="5"/>
    <col width="35.28515625" customWidth="1" min="6" max="7"/>
    <col width="12.7109375" customWidth="1" min="8" max="8"/>
    <col width="61.28515625" customWidth="1" min="9" max="9"/>
    <col width="18.42578125" customWidth="1" min="10" max="10"/>
    <col width="18" bestFit="1" customWidth="1" min="11" max="11"/>
    <col width="12.85546875" bestFit="1" customWidth="1" min="12" max="12"/>
    <col width="14.42578125" bestFit="1"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17" t="inlineStr">
        <is>
          <t>Project ID</t>
        </is>
      </c>
      <c r="B1" s="17" t="inlineStr">
        <is>
          <t>Title</t>
        </is>
      </c>
      <c r="C1" s="17" t="inlineStr">
        <is>
          <t>Link</t>
        </is>
      </c>
      <c r="D1" s="17" t="inlineStr">
        <is>
          <t>Budget</t>
        </is>
      </c>
      <c r="E1" s="17" t="inlineStr">
        <is>
          <t>Beneficiary Category</t>
        </is>
      </c>
      <c r="F1" s="17" t="inlineStr">
        <is>
          <t>Indicator</t>
        </is>
      </c>
      <c r="G1" s="17" t="inlineStr">
        <is>
          <t>Baseline</t>
        </is>
      </c>
      <c r="H1" s="17" t="inlineStr">
        <is>
          <t>Target</t>
        </is>
      </c>
      <c r="I1" s="17" t="inlineStr">
        <is>
          <t>Notes</t>
        </is>
      </c>
      <c r="J1" s="2" t="inlineStr">
        <is>
          <t>Donors</t>
        </is>
      </c>
      <c r="K1" s="2" t="inlineStr">
        <is>
          <t>Gender (% female)</t>
        </is>
      </c>
      <c r="L1" s="21" t="inlineStr">
        <is>
          <t>VF or Non-VF</t>
        </is>
      </c>
      <c r="M1" s="25" t="inlineStr">
        <is>
          <t>Tag</t>
        </is>
      </c>
      <c r="N1" s="21" t="inlineStr">
        <is>
          <t>SEH Taxonomy</t>
        </is>
      </c>
      <c r="O1" s="21" t="inlineStr">
        <is>
          <t>RISE Taxonomy</t>
        </is>
      </c>
      <c r="P1" s="25" t="inlineStr">
        <is>
          <t>Flagship</t>
        </is>
      </c>
      <c r="Q1" s="25" t="inlineStr">
        <is>
          <t>Indirect Category</t>
        </is>
      </c>
      <c r="R1" s="26" t="inlineStr">
        <is>
          <t>Indirect Taxonomy</t>
        </is>
      </c>
      <c r="S1" s="27" t="inlineStr">
        <is>
          <t>Technology</t>
        </is>
      </c>
      <c r="T1" s="26" t="inlineStr">
        <is>
          <t>Policy or Regulatory Framework</t>
        </is>
      </c>
      <c r="U1" s="27" t="inlineStr">
        <is>
          <t>Policy Population</t>
        </is>
      </c>
    </row>
    <row r="2" ht="95.25" customHeight="1">
      <c r="A2" s="4" t="n">
        <v>100551</v>
      </c>
      <c r="B2" s="4" t="inlineStr">
        <is>
          <t>Apoyo a las políticas de ciencia, tecnología e innovación de la Provincia de Buenos Aires</t>
        </is>
      </c>
      <c r="C2" s="5" t="inlineStr">
        <is>
          <t>http://open.undp.org/projects/00100551</t>
        </is>
      </c>
      <c r="D2" s="4" t="n">
        <v>2317196</v>
      </c>
      <c r="E2" s="6" t="inlineStr">
        <is>
          <t>Other Energy Services</t>
        </is>
      </c>
      <c r="F2" s="6" t="inlineStr">
        <is>
          <t>Solutions scaled up for sustainable management of natural resources, including sustainable commodities and green and inclusive value chains</t>
        </is>
      </c>
      <c r="G2" s="6" t="n"/>
      <c r="H2" s="6" t="n"/>
      <c r="I2" s="7" t="inlineStr">
        <is>
          <t>It will have implemented strategies to increase productivity and diversify the economy, though the promotion of the use of sustainable resources and the incorporation of science and technology;  Achieve higher levels of economic productivity through diversification, technological upgrading and innovation, including through a focus on high-value added and labour-intensive sectors</t>
        </is>
      </c>
      <c r="J2" s="19" t="inlineStr">
        <is>
          <t>GOB</t>
        </is>
      </c>
      <c r="K2" s="18" t="n"/>
      <c r="L2" s="28" t="inlineStr">
        <is>
          <t>Non-VF</t>
        </is>
      </c>
      <c r="M2" s="22" t="n"/>
      <c r="N2" s="29" t="n"/>
      <c r="O2" s="22" t="n"/>
      <c r="P2" s="22" t="n"/>
      <c r="Q2" s="22" t="n"/>
      <c r="R2" s="22" t="n"/>
      <c r="S2" s="30" t="n"/>
      <c r="T2" s="22" t="n"/>
      <c r="U2" s="30" t="n"/>
    </row>
    <row r="3" ht="70.5" customHeight="1">
      <c r="A3" s="4" t="n">
        <v>129530</v>
      </c>
      <c r="B3" s="4" t="inlineStr">
        <is>
          <t>Modernización del Banco de la Nación Argentina</t>
        </is>
      </c>
      <c r="C3" s="5" t="inlineStr">
        <is>
          <t>http://open.undp.org/projects/00129530</t>
        </is>
      </c>
      <c r="D3" s="4" t="n">
        <v>4235601</v>
      </c>
      <c r="E3" s="6" t="inlineStr">
        <is>
          <t>Other Energy Services</t>
        </is>
      </c>
      <c r="F3" s="6" t="inlineStr">
        <is>
          <t>The Institutions level to have of the capacities to provide services with greater effectiveness, efficiency and transparency.</t>
        </is>
      </c>
      <c r="G3" s="6" t="n"/>
      <c r="H3" s="6" t="n"/>
      <c r="I3" s="9" t="inlineStr">
        <is>
          <t>Improved management capacity through institutional reinforcement ( digitization of several systems - "Solución de Banca Digital Integral"- ) to provide services with greater effectiveness, efficiency and transparency.</t>
        </is>
      </c>
      <c r="J3" s="19" t="inlineStr">
        <is>
          <t>GOB</t>
        </is>
      </c>
      <c r="K3" s="18" t="n"/>
      <c r="L3" s="20" t="inlineStr">
        <is>
          <t>Non-VF</t>
        </is>
      </c>
      <c r="M3" s="22" t="n"/>
      <c r="N3" s="29" t="n"/>
      <c r="O3" s="22" t="n"/>
      <c r="P3" s="22" t="n"/>
      <c r="Q3" s="22" t="n"/>
      <c r="R3" s="22" t="n"/>
      <c r="S3" s="30" t="n"/>
      <c r="T3" s="22" t="n"/>
      <c r="U3" s="30" t="n"/>
    </row>
    <row r="4" ht="70.5" customHeight="1">
      <c r="A4" s="4" t="n">
        <v>96640</v>
      </c>
      <c r="B4" s="4" t="inlineStr">
        <is>
          <t>Modelos de negocios para la producción de biogas</t>
        </is>
      </c>
      <c r="C4" s="10" t="inlineStr">
        <is>
          <t>https://open.undp.org/projects/00096640</t>
        </is>
      </c>
      <c r="D4" s="6" t="n">
        <v>2779849</v>
      </c>
      <c r="E4" s="4" t="inlineStr">
        <is>
          <t>Energy (MW added)</t>
        </is>
      </c>
      <c r="F4" s="4" t="inlineStr">
        <is>
          <t>Annual greenhouse gas emissions (tons of CO2 equivalent)</t>
        </is>
      </c>
      <c r="G4" s="4" t="n"/>
      <c r="H4" s="4" t="n"/>
      <c r="I4" s="4" t="inlineStr">
        <is>
          <t>The Project has contributed to market development for distributed, renewable energy technologies in Argentina, by addressing present barriers in the field of grid access and sales contracts for heat and electricity.</t>
        </is>
      </c>
      <c r="J4" s="19" t="inlineStr">
        <is>
          <t>GEF</t>
        </is>
      </c>
      <c r="K4" s="18" t="n"/>
      <c r="L4" s="20" t="inlineStr">
        <is>
          <t>Non-VF</t>
        </is>
      </c>
      <c r="M4" s="22" t="n"/>
      <c r="N4" s="29" t="inlineStr">
        <is>
          <t>Close the gap on energy access</t>
        </is>
      </c>
      <c r="O4" s="22" t="n"/>
      <c r="P4" s="22" t="n"/>
      <c r="Q4" s="22" t="n"/>
      <c r="R4" s="22" t="n"/>
      <c r="S4" s="30" t="inlineStr">
        <is>
          <t>Bioenergy</t>
        </is>
      </c>
      <c r="T4" s="22" t="n"/>
      <c r="U4" s="30" t="n"/>
    </row>
    <row r="5" ht="80.25" customHeight="1">
      <c r="A5" s="4" t="n"/>
      <c r="B5" s="4" t="inlineStr">
        <is>
          <t>Programa de abastecimiento de energía eléctrica a partir de fuentes renovables. Round 3</t>
        </is>
      </c>
      <c r="C5" s="10" t="inlineStr">
        <is>
          <t>https://www.argentina.gob.ar/normativa/nacional/316407/texto</t>
        </is>
      </c>
      <c r="D5" s="4" t="n"/>
      <c r="E5" s="37" t="inlineStr">
        <is>
          <t>Energy (MW added)</t>
        </is>
      </c>
      <c r="F5" s="4" t="n"/>
      <c r="G5" s="4" t="n"/>
      <c r="H5" s="4" t="n"/>
      <c r="I5" s="4" t="inlineStr">
        <is>
          <t>Call for offers in the National and International open call Process in the MERCADO ELÉCTRICO MAYORISTA (MEM) of electric energy from renewable sources in order to celebrate a contract with COMPAÑÍA ADMINISTRADORA DEL MERCADO MAYORISTA ELÉCTRICO SOCIEDAD ANÓNIMA (CAMMESA).</t>
        </is>
      </c>
      <c r="J5" s="18" t="n"/>
      <c r="K5" s="18" t="n"/>
      <c r="L5" s="20" t="n"/>
      <c r="M5" s="22" t="n"/>
      <c r="N5" s="29" t="inlineStr">
        <is>
          <t>Accelerating just energy transition</t>
        </is>
      </c>
      <c r="O5" s="22" t="n"/>
      <c r="P5" s="22" t="n"/>
      <c r="Q5" s="22" t="n"/>
      <c r="R5" s="22" t="n"/>
      <c r="S5" s="30" t="inlineStr">
        <is>
          <t>Other</t>
        </is>
      </c>
      <c r="T5" s="22" t="n"/>
      <c r="U5" s="30" t="n"/>
    </row>
    <row r="6" ht="62.25" customHeight="1">
      <c r="A6" s="4" t="n"/>
      <c r="B6" s="4" t="inlineStr">
        <is>
          <t xml:space="preserve">Programa de Uso Racional y Eficiente de la Energía (PROUREE) in Public buildings. </t>
        </is>
      </c>
      <c r="C6" s="10" t="inlineStr">
        <is>
          <t>https://www.argentina.gob.ar/economia/energia/eficiencia-energetica/eficiencia-energetica-en-sector-publico/prouree-en-edificios-publicos</t>
        </is>
      </c>
      <c r="D6" s="4" t="n"/>
      <c r="E6" s="37" t="inlineStr">
        <is>
          <t>Other Energy Services</t>
        </is>
      </c>
      <c r="F6" s="4" t="n"/>
      <c r="G6" s="4" t="n"/>
      <c r="H6" s="4" t="n"/>
      <c r="I6" s="4" t="inlineStr">
        <is>
          <t>Reduce consumption levels in National Public Administration buildings by: implementing energy efficiency improvement measures; introducing energy management criteria; promoting staff awareness of the rational use of resources.</t>
        </is>
      </c>
      <c r="J6" s="18" t="n"/>
      <c r="K6" s="18" t="n"/>
      <c r="L6" s="20" t="n"/>
      <c r="M6" s="22" t="n"/>
      <c r="N6" s="29" t="n"/>
      <c r="O6" s="22" t="n"/>
      <c r="P6" s="22" t="n"/>
      <c r="Q6" s="22" t="n"/>
      <c r="R6" s="22" t="n"/>
      <c r="S6" s="30" t="n"/>
      <c r="T6" s="22" t="n"/>
      <c r="U6" s="30" t="n"/>
    </row>
    <row r="8">
      <c r="B8" s="13" t="n"/>
    </row>
  </sheetData>
  <dataValidations count="10">
    <dataValidation sqref="N2:N19" showDropDown="0" showInputMessage="1" showErrorMessage="1" allowBlank="1" type="list">
      <formula1>"Accelerating just energy transition, Close the gap on energy access, Scale up energy finance"</formula1>
    </dataValidation>
    <dataValidation sqref="O7:P19" showDropDown="0" showInputMessage="1" showErrorMessage="1" allowBlank="1" type="list">
      <formula1>"Electricity Access, Energy Efficiency, Clean Cooking, Renewable Energy"</formula1>
    </dataValidation>
    <dataValidation sqref="P2:P6 Q7:Q19" showDropDown="0" showInputMessage="1" showErrorMessage="1" allowBlank="1" type="list">
      <formula1>"AMP, PUDC, Solar4Health, Action Opportunities, Italy UNDP Energy Partnership"</formula1>
    </dataValidation>
    <dataValidation sqref="Q2:Q6 R7:R1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O6" showDropDown="0" showInputMessage="1" showErrorMessage="1" allowBlank="1" type="list">
      <formula1>"Electricity Access, Energy Efficiency, Clean Cooking, Renewable Energy, Overall"</formula1>
    </dataValidation>
    <dataValidation sqref="M2:M6" showDropDown="0" showInputMessage="1" showErrorMessage="1" allowBlank="1" type="list">
      <formula1>"Finance, Gender, Efficiency, Just, Health"</formula1>
    </dataValidation>
    <dataValidation sqref="T2:T6" showDropDown="0" showInputMessage="1" showErrorMessage="1" allowBlank="1" type="list">
      <formula1>"National, Regional, City, Community"</formula1>
    </dataValidation>
    <dataValidation sqref="S2:S6" showDropDown="0" showInputMessage="1" showErrorMessage="1" allowBlank="1" type="list">
      <formula1>"Solar, Wind, Bioenergy, Hydro, Geothermal, Waste, Other, Unknown"</formula1>
    </dataValidation>
    <dataValidation sqref="L2:L6" showDropDown="0" showInputMessage="1" showErrorMessage="1" allowBlank="1" type="list">
      <formula1>"Non-VF, VF"</formula1>
    </dataValidation>
    <dataValidation sqref="R2:R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C7" sqref="C7:C8"/>
    </sheetView>
  </sheetViews>
  <sheetFormatPr baseColWidth="8" defaultRowHeight="15"/>
  <cols>
    <col width="24.85546875" customWidth="1" min="2" max="2"/>
    <col width="20.7109375" customWidth="1" min="3" max="3"/>
    <col width="20.7109375" customWidth="1" min="5" max="5"/>
    <col width="35.28515625" customWidth="1" min="6" max="6"/>
    <col width="12.7109375" customWidth="1" min="7" max="7"/>
    <col width="61.28515625" customWidth="1" min="8" max="8"/>
    <col width="32.7109375" customWidth="1" min="9" max="9"/>
    <col width="18.42578125" customWidth="1" min="10" max="10"/>
    <col width="17.28515625" customWidth="1" min="11" max="11"/>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3" t="inlineStr">
        <is>
          <t>Notes</t>
        </is>
      </c>
      <c r="J1" s="2" t="inlineStr">
        <is>
          <t>Donors</t>
        </is>
      </c>
      <c r="K1" s="15" t="inlineStr">
        <is>
          <t xml:space="preserve">Comments </t>
        </is>
      </c>
    </row>
    <row r="2" ht="95.25" customHeight="1">
      <c r="A2" s="4" t="n">
        <v>100551</v>
      </c>
      <c r="B2" s="4" t="inlineStr">
        <is>
          <t>Apoyo a las políticas de ciencia, tecnología e innovación de la Provincia de Buenos Aires</t>
        </is>
      </c>
      <c r="C2" s="5" t="inlineStr">
        <is>
          <t>http://open.undp.org/projects/00100551</t>
        </is>
      </c>
      <c r="D2" s="4" t="n">
        <v>2317196</v>
      </c>
      <c r="E2" s="6" t="inlineStr">
        <is>
          <t>Other Energy Services</t>
        </is>
      </c>
      <c r="F2" s="6" t="inlineStr">
        <is>
          <t>Solutions scaled up for sustainable management of natural resources, including sustainable commodities and green and inclusive value chains</t>
        </is>
      </c>
      <c r="G2" s="6" t="n"/>
      <c r="H2" s="7" t="inlineStr">
        <is>
          <t>It will have implemented strategies to increase productivity and diversify the economy, though the promotion of the use of sustainable resources and the incorporation of science and technology;  Achieve higher levels of economic productivity through diversification, technological upgrading and innovation, including through a focus on high-value added and labour-intensive sectors</t>
        </is>
      </c>
      <c r="I2" s="12" t="inlineStr">
        <is>
          <t>GOB</t>
        </is>
      </c>
      <c r="J2" s="14" t="n"/>
      <c r="K2" s="16" t="inlineStr">
        <is>
          <t>393.000 students from schools in Buenos Aires Province</t>
        </is>
      </c>
    </row>
    <row r="3" ht="70.5" customHeight="1">
      <c r="A3" s="4" t="n">
        <v>129530</v>
      </c>
      <c r="B3" s="4" t="inlineStr">
        <is>
          <t>Modernización del Banco de la Nación Argentina</t>
        </is>
      </c>
      <c r="C3" s="5" t="inlineStr">
        <is>
          <t>http://open.undp.org/projects/00129530</t>
        </is>
      </c>
      <c r="D3" s="4" t="n">
        <v>4235601</v>
      </c>
      <c r="E3" s="6" t="inlineStr">
        <is>
          <t>Other Energy Services</t>
        </is>
      </c>
      <c r="F3" s="6" t="inlineStr">
        <is>
          <t>The Institutions level to have of the capacities to provide services with greater effectiveness, efficiency and transparency.</t>
        </is>
      </c>
      <c r="G3" s="6" t="n"/>
      <c r="H3" s="9" t="inlineStr">
        <is>
          <t>Improved management capacity through institutional reinforcement ( digitization of several systems - "Solución de Banca Digital Integral"- ) to provide services with greater effectiveness, efficiency and transparency.</t>
        </is>
      </c>
      <c r="I3" s="12" t="inlineStr">
        <is>
          <t>GOB</t>
        </is>
      </c>
      <c r="J3" s="8" t="n"/>
    </row>
    <row r="4" ht="70.5" customHeight="1">
      <c r="A4" s="4" t="n">
        <v>96640</v>
      </c>
      <c r="B4" s="4" t="inlineStr">
        <is>
          <t>Modelos de negocios para la producción de biogas</t>
        </is>
      </c>
      <c r="C4" s="10" t="inlineStr">
        <is>
          <t>https://open.undp.org/projects/00096640</t>
        </is>
      </c>
      <c r="D4" s="6" t="n">
        <v>2779849</v>
      </c>
      <c r="E4" s="4" t="inlineStr">
        <is>
          <t>Energy (MW added)</t>
        </is>
      </c>
      <c r="F4" s="4" t="inlineStr">
        <is>
          <t>Annual greenhouse gas emissions (tons of CO2 equivalent)</t>
        </is>
      </c>
      <c r="G4" s="4" t="n"/>
      <c r="H4" s="4" t="inlineStr">
        <is>
          <t>The Project has contributed to market development for distributed, renewable energy technologies in Argentina, by addressing present barriers in the field of grid access and sales contracts for heat and electricity.</t>
        </is>
      </c>
      <c r="I4" s="12" t="inlineStr">
        <is>
          <t>GEF</t>
        </is>
      </c>
      <c r="J4" s="8" t="n"/>
    </row>
    <row r="5" ht="14.25" customHeight="1">
      <c r="A5" s="8" t="n"/>
      <c r="B5" s="8" t="n"/>
      <c r="C5" s="8" t="n"/>
      <c r="D5" s="8" t="n"/>
      <c r="E5" s="8" t="n"/>
      <c r="F5" s="8" t="n"/>
      <c r="G5" s="8" t="n"/>
      <c r="H5" s="8" t="n"/>
      <c r="I5" s="8" t="n"/>
      <c r="J5" s="8" t="n"/>
    </row>
    <row r="6" ht="14.25" customHeight="1">
      <c r="A6" s="35" t="inlineStr">
        <is>
          <t>Country portfolio related to energy that are not funded by vertical funds</t>
        </is>
      </c>
      <c r="J6" s="8" t="n"/>
    </row>
    <row r="7" ht="70.5" customHeight="1">
      <c r="A7" s="4" t="n"/>
      <c r="B7" s="36" t="inlineStr">
        <is>
          <t>Programa de abastecimiento de energía eléctrica a partir de fuentes renovables. Round 1&amp;2</t>
        </is>
      </c>
      <c r="C7" s="48" t="inlineStr">
        <is>
          <t>https://public.tableau.com/app/profile/datosenergia/viz/AdjudicacionesRenovARMINEMArgentina/AdjudicacionesRenovArArgentina</t>
        </is>
      </c>
      <c r="D7" s="38" t="n"/>
      <c r="E7" s="37" t="inlineStr">
        <is>
          <t>Energy (MW added)</t>
        </is>
      </c>
      <c r="F7" s="38" t="n"/>
      <c r="G7" s="38" t="n"/>
      <c r="H7" s="36" t="inlineStr">
        <is>
          <t>Pursuant to the provisions set forth in Resolutions ME&amp;M No. 71 passed on May 17th 2016 and No. 136 passed on July 25th 2016, CAMMESA calls for the presentation of  bids (the ‘Open Call for Tenders’) for the qualification of and possible award to national or foreign legal entities, for the purpose of executing renewable power purchase agreements to be signed with CAMMESA, acting in representation of Distribution Companies and Large Users of the MEM, with the aim of increasing the share of renewable sources of energy in the country energy mix, pursuant to Acts No. 26190 and No. 27191 and Decree No. 531/2016. The result was the assignment of 147 projects.</t>
        </is>
      </c>
      <c r="I7" s="39" t="n"/>
    </row>
    <row r="8" ht="50.25" customHeight="1">
      <c r="A8" s="4" t="n"/>
      <c r="B8" s="49" t="n"/>
      <c r="C8" s="49" t="n"/>
      <c r="D8" s="49" t="n"/>
      <c r="E8" s="49" t="n"/>
      <c r="F8" s="49" t="n"/>
      <c r="G8" s="49" t="n"/>
      <c r="H8" s="49" t="n"/>
    </row>
    <row r="9" ht="70.5" customHeight="1">
      <c r="A9" s="4" t="n"/>
      <c r="B9" s="4" t="inlineStr">
        <is>
          <t>Programa de abastecimiento de energía eléctrica a partir de fuentes renovables. Round 3</t>
        </is>
      </c>
      <c r="C9" s="10" t="inlineStr">
        <is>
          <t>https://www.argentina.gob.ar/normativa/nacional/316407/texto</t>
        </is>
      </c>
      <c r="D9" s="4" t="n"/>
      <c r="E9" s="37" t="inlineStr">
        <is>
          <t>Energy (MW added)</t>
        </is>
      </c>
      <c r="F9" s="4" t="n"/>
      <c r="G9" s="4" t="n"/>
      <c r="H9" s="4" t="inlineStr">
        <is>
          <t>Call for offers in the National and International open call Process in the MERCADO ELÉCTRICO MAYORISTA (MEM) of electric energy from renewable sources in order to celebrate a contract with COMPAÑÍA ADMINISTRADORA DEL MERCADO MAYORISTA ELÉCTRICO SOCIEDAD ANÓNIMA (CAMMESA).</t>
        </is>
      </c>
      <c r="I9" s="8" t="n"/>
    </row>
    <row r="10" ht="70.5" customHeight="1">
      <c r="A10" s="4" t="n"/>
      <c r="B10" s="4" t="inlineStr">
        <is>
          <t xml:space="preserve">Programa de Uso Racional y Eficiente de la Energía (PROUREE) in Public buildings. </t>
        </is>
      </c>
      <c r="C10" s="10" t="inlineStr">
        <is>
          <t>https://www.argentina.gob.ar/economia/energia/eficiencia-energetica/eficiencia-energetica-en-sector-publico/prouree-en-edificios-publicos</t>
        </is>
      </c>
      <c r="D10" s="4" t="n"/>
      <c r="E10" s="37" t="inlineStr">
        <is>
          <t>Other Energy Services</t>
        </is>
      </c>
      <c r="F10" s="4" t="n"/>
      <c r="G10" s="4" t="n"/>
      <c r="H10" s="4" t="inlineStr">
        <is>
          <t>Reduce consumption levels in National Public Administration buildings by: implementing energy efficiency improvement measures; introducing energy management criteria; promoting staff awareness of the rational use of resources.</t>
        </is>
      </c>
      <c r="I10" s="8" t="n"/>
    </row>
    <row r="12">
      <c r="B12" s="13" t="n"/>
    </row>
  </sheetData>
  <mergeCells count="9">
    <mergeCell ref="C7:C8"/>
    <mergeCell ref="B7:B8"/>
    <mergeCell ref="G7:G8"/>
    <mergeCell ref="E7:E8"/>
    <mergeCell ref="D7:D8"/>
    <mergeCell ref="H7:H8"/>
    <mergeCell ref="F7:F8"/>
    <mergeCell ref="A6:I6"/>
    <mergeCell ref="I7:I8"/>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7" r:id="rId4"/>
    <hyperlink xmlns:r="http://schemas.openxmlformats.org/officeDocument/2006/relationships" ref="C9" r:id="rId5"/>
    <hyperlink xmlns:r="http://schemas.openxmlformats.org/officeDocument/2006/relationships" ref="C10" r:id="rId6"/>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17" workbookViewId="0">
      <pane ySplit="1" topLeftCell="A2" activePane="bottomLeft" state="frozen"/>
      <selection pane="bottomLeft" activeCell="A14" sqref="A14"/>
    </sheetView>
  </sheetViews>
  <sheetFormatPr baseColWidth="8" defaultRowHeight="15"/>
  <cols>
    <col width="36" customWidth="1" min="1" max="2"/>
    <col width="110" customWidth="1" min="2" max="2"/>
  </cols>
  <sheetData>
    <row r="1">
      <c r="A1" s="50" t="inlineStr">
        <is>
          <t>Beneficiary Category</t>
        </is>
      </c>
      <c r="B1" s="50" t="inlineStr">
        <is>
          <t>Indicator</t>
        </is>
      </c>
    </row>
    <row r="2" ht="45.75" customHeight="1">
      <c r="A2" s="51" t="inlineStr">
        <is>
          <t>Electricity Access</t>
        </is>
      </c>
      <c r="B2" s="51" t="inlineStr">
        <is>
          <t>Number of people, disaggregated by sex, who gain access to clean electricity (direct access to electricity, lighting, cooling, etc.).</t>
        </is>
      </c>
    </row>
    <row r="3">
      <c r="A3" s="51" t="inlineStr">
        <is>
          <t>Energy (MW added)</t>
        </is>
      </c>
      <c r="B3" s="51" t="inlineStr">
        <is>
          <t>Installed renewable or clean-energy power capacity added, in MW.</t>
        </is>
      </c>
    </row>
    <row r="4" ht="30.75" customHeight="1">
      <c r="A4" s="51" t="inlineStr">
        <is>
          <t>Energy Storage (MW)</t>
        </is>
      </c>
      <c r="B4" s="51" t="inlineStr">
        <is>
          <t>Installed energy storage power capacity added, in MW.</t>
        </is>
      </c>
    </row>
    <row r="5" ht="30.75" customHeight="1">
      <c r="A5" s="51" t="inlineStr">
        <is>
          <t>Clean Cooking</t>
        </is>
      </c>
      <c r="B5" s="51" t="inlineStr">
        <is>
          <t>Number of people who gain access to clean cooking (direct access to clean cook stoves, clean fuels, biomass, etc.).</t>
        </is>
      </c>
    </row>
    <row r="6" ht="91.5" customHeight="1">
      <c r="A6" s="51" t="inlineStr">
        <is>
          <t>Clean Heating</t>
        </is>
      </c>
      <c r="B6" s="51" t="inlineStr">
        <is>
          <t>Number of people who gain access to clean heating (direct access to clean electric heaters, clean fuels, etc.).</t>
        </is>
      </c>
    </row>
    <row r="7" ht="45.75" customHeight="1">
      <c r="A7" s="51" t="inlineStr">
        <is>
          <t>Agriculture and Food System</t>
        </is>
      </c>
      <c r="B7" s="51" t="inlineStr">
        <is>
          <t>Number of people who gain access to clean, affordable, and sustainable energy for agricultural and food-system activities.</t>
        </is>
      </c>
    </row>
    <row r="8" ht="45.75" customHeight="1">
      <c r="A8" s="51" t="inlineStr">
        <is>
          <t>Health Services</t>
        </is>
      </c>
      <c r="B8" s="51" t="inlineStr">
        <is>
          <t>Number of people who gain access to health care facilities through clean energy systems.</t>
        </is>
      </c>
    </row>
    <row r="9" ht="45.75" customHeight="1">
      <c r="A9" s="51" t="inlineStr">
        <is>
          <t>Water Services</t>
        </is>
      </c>
      <c r="B9" s="51" t="inlineStr">
        <is>
          <t>Number of people who gain access to water services through clean energy systems.</t>
        </is>
      </c>
    </row>
    <row r="10" ht="30.75" customHeight="1">
      <c r="A10" s="51" t="inlineStr">
        <is>
          <t>Education Services</t>
        </is>
      </c>
      <c r="B10" s="51" t="inlineStr">
        <is>
          <t>Number of people who gain access to education services through clean energy systems, including students and teachers.</t>
        </is>
      </c>
    </row>
    <row r="11" ht="30.75" customHeight="1">
      <c r="A11" s="51" t="inlineStr">
        <is>
          <t>Transportation and E-mobility Services</t>
        </is>
      </c>
      <c r="B11" s="51" t="inlineStr">
        <is>
          <t>Number of people served or energy saved from transport and e-mobility interventions, such as electric vehicles or charging stations.</t>
        </is>
      </c>
    </row>
    <row r="12" ht="45.75" customHeight="1">
      <c r="A12" s="51" t="inlineStr">
        <is>
          <t>Energy Efficiency Services</t>
        </is>
      </c>
      <c r="B12" s="51" t="inlineStr">
        <is>
          <t>Energy saved from energy-efficiency interventions, such as building or industrial efficiency.</t>
        </is>
      </c>
    </row>
    <row r="13" ht="30.75" customHeight="1">
      <c r="A13" s="51" t="inlineStr">
        <is>
          <t>Energy Infrastructure Services</t>
        </is>
      </c>
      <c r="B13" s="51" t="inlineStr">
        <is>
          <t>Number of people benefiting from energy infrastructure interventions, such as streetlights, transmission, and distribution lines.</t>
        </is>
      </c>
    </row>
    <row r="14">
      <c r="A14" s="51" t="inlineStr">
        <is>
          <t>Other Energy Services</t>
        </is>
      </c>
      <c r="B14" s="51" t="inlineStr">
        <is>
          <t>Access to other energy services not captured by the categories above.</t>
        </is>
      </c>
    </row>
    <row r="15" ht="30.75" customHeight="1">
      <c r="A15" s="51" t="inlineStr">
        <is>
          <t>Financing support</t>
        </is>
      </c>
      <c r="B15" s="51" t="inlineStr">
        <is>
          <t>Support for the development of the energy market ecosystem.</t>
        </is>
      </c>
    </row>
    <row r="16" ht="30.75" customHeight="1">
      <c r="A16" s="51" t="inlineStr">
        <is>
          <t>Medium Enterprises</t>
        </is>
      </c>
      <c r="B16" s="51" t="inlineStr">
        <is>
          <t>Support for the development of medium enterprises in the energy transition market.</t>
        </is>
      </c>
    </row>
    <row r="17" ht="30.75" customHeight="1">
      <c r="A17" s="51" t="inlineStr">
        <is>
          <t>Small Enterprises</t>
        </is>
      </c>
      <c r="B17" s="51" t="inlineStr">
        <is>
          <t>Support for the development of small enterprises in the energy transition market.</t>
        </is>
      </c>
    </row>
    <row r="18" ht="30.75" customHeight="1">
      <c r="A18" s="51" t="inlineStr">
        <is>
          <t>Capacity Building Training</t>
        </is>
      </c>
      <c r="B18" s="51" t="inlineStr">
        <is>
          <t>Number of people benefiting from training on energy business, energy finance, or related implementation capacity.</t>
        </is>
      </c>
    </row>
    <row r="19" ht="76.5" customHeight="1">
      <c r="A19" s="51" t="inlineStr">
        <is>
          <t>Entrepreneurship Training</t>
        </is>
      </c>
      <c r="B19" s="51" t="inlineStr">
        <is>
          <t>Training for enterprises on the energy business, assumed to result in direct beneficiaries.</t>
        </is>
      </c>
    </row>
    <row r="20" ht="30.75" customHeight="1">
      <c r="A20" s="51" t="inlineStr">
        <is>
          <t>Market Intervention</t>
        </is>
      </c>
      <c r="B20" s="51" t="inlineStr">
        <is>
          <t>Volume of investment leveraged or barriers removed for clean, reliable, affordable, and sustainable energy solutions.</t>
        </is>
      </c>
    </row>
    <row r="21" ht="45.75" customHeight="1">
      <c r="A21" s="51" t="inlineStr">
        <is>
          <t>Campaign Participant</t>
        </is>
      </c>
      <c r="B21" s="51" t="inlineStr">
        <is>
          <t>Individuals who participate in advocacy or awareness campaigns on energy.</t>
        </is>
      </c>
    </row>
    <row r="22" ht="30.75" customHeight="1">
      <c r="A22" s="51" t="inlineStr">
        <is>
          <t>Policy or Regulatory Framework</t>
        </is>
      </c>
      <c r="B22" s="51" t="inlineStr">
        <is>
          <t>Policies, regulations, strategies, plans, or frameworks developed, approved, implemented, or strengthened.</t>
        </is>
      </c>
    </row>
    <row r="23">
      <c r="A23" s="51" t="inlineStr">
        <is>
          <t>GHG Emissions Reduction</t>
        </is>
      </c>
      <c r="B23" s="51" t="inlineStr">
        <is>
          <t>Greenhouse gas emissions reduced or mitigated, in tCO2e.</t>
        </is>
      </c>
    </row>
    <row r="24">
      <c r="A24" s="51" t="inlineStr">
        <is>
          <t>Other</t>
        </is>
      </c>
      <c r="B24" s="5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2023-05-05T09:33:40Z</dcterms:created>
  <dcterms:modified xmlns:dcterms="http://purl.org/dc/terms/" xmlns:xsi="http://www.w3.org/2001/XMLSchema-instance" xsi:type="dcterms:W3CDTF">2026-06-08T15:49:44Z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