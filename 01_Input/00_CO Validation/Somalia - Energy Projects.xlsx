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color rgb="FF000000"/>
      <sz val="11"/>
    </font>
    <font>
      <name val="Calibri"/>
      <b val="1"/>
      <color rgb="FF00B050"/>
      <sz val="11"/>
    </font>
    <font>
      <name val="Calibri"/>
      <color theme="1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4" fillId="0" borderId="0"/>
    <xf numFmtId="0" fontId="3" fillId="0" borderId="0" applyAlignment="1" applyProtection="1">
      <alignment vertical="top"/>
      <protection locked="0" hidden="0"/>
    </xf>
    <xf numFmtId="43" fontId="4" fillId="0" borderId="0"/>
  </cellStyleXfs>
  <cellXfs count="59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43" fontId="0" fillId="0" borderId="1" applyAlignment="1" pivotButton="0" quotePrefix="0" xfId="2">
      <alignment vertical="top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164" fontId="0" fillId="2" borderId="1" applyAlignment="1" pivotButton="0" quotePrefix="0" xfId="2">
      <alignment horizontal="left" vertical="top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1" applyAlignment="1" pivotButton="0" quotePrefix="0" xfId="1">
      <alignment vertical="top"/>
    </xf>
    <xf numFmtId="3" fontId="0" fillId="0" borderId="0" pivotButton="0" quotePrefix="0" xfId="0"/>
    <xf numFmtId="3" fontId="5" fillId="0" borderId="0" pivotButton="0" quotePrefix="0" xfId="0"/>
    <xf numFmtId="0" fontId="8" fillId="2" borderId="1" applyAlignment="1" pivotButton="0" quotePrefix="0" xfId="0">
      <alignment vertical="top" wrapText="1"/>
    </xf>
    <xf numFmtId="0" fontId="9" fillId="0" borderId="3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3" fillId="0" borderId="7" applyAlignment="1" pivotButton="0" quotePrefix="0" xfId="1">
      <alignment vertical="center" wrapText="1"/>
    </xf>
    <xf numFmtId="43" fontId="0" fillId="0" borderId="5" applyAlignment="1" pivotButton="0" quotePrefix="0" xfId="2">
      <alignment vertical="center" wrapText="1"/>
    </xf>
    <xf numFmtId="0" fontId="0" fillId="2" borderId="4" applyAlignment="1" pivotButton="0" quotePrefix="0" xfId="0">
      <alignment vertical="center" wrapText="1"/>
    </xf>
    <xf numFmtId="0" fontId="0" fillId="2" borderId="3" applyAlignment="1" pivotButton="0" quotePrefix="0" xfId="0">
      <alignment vertical="center" wrapText="1"/>
    </xf>
    <xf numFmtId="0" fontId="8" fillId="2" borderId="3" applyAlignment="1" pivotButton="0" quotePrefix="0" xfId="0">
      <alignment vertical="center" wrapText="1"/>
    </xf>
    <xf numFmtId="9" fontId="0" fillId="0" borderId="3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3" fillId="0" borderId="8" applyAlignment="1" pivotButton="0" quotePrefix="0" xfId="1">
      <alignment vertical="center" wrapText="1"/>
    </xf>
    <xf numFmtId="43" fontId="0" fillId="0" borderId="6" applyAlignment="1" pivotButton="0" quotePrefix="0" xfId="2">
      <alignment vertical="center" wrapText="1"/>
    </xf>
    <xf numFmtId="0" fontId="0" fillId="0" borderId="6" applyAlignment="1" pivotButton="0" quotePrefix="0" xfId="0">
      <alignment vertical="center" wrapText="1"/>
    </xf>
    <xf numFmtId="164" fontId="0" fillId="2" borderId="3" applyAlignment="1" pivotButton="0" quotePrefix="0" xfId="2">
      <alignment horizontal="left" vertical="center" wrapText="1"/>
    </xf>
    <xf numFmtId="0" fontId="10" fillId="0" borderId="3" applyAlignment="1" pivotButton="0" quotePrefix="0" xfId="0">
      <alignment horizontal="center" vertical="top" wrapText="1"/>
    </xf>
    <xf numFmtId="0" fontId="11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3" pivotButton="0" quotePrefix="0" xfId="0"/>
    <xf numFmtId="0" fontId="0" fillId="0" borderId="3" applyAlignment="1" pivotButton="0" quotePrefix="0" xfId="0">
      <alignment vertical="top" wrapText="1"/>
    </xf>
    <xf numFmtId="43" fontId="0" fillId="0" borderId="3" applyAlignment="1" pivotButton="0" quotePrefix="0" xfId="2">
      <alignment vertical="top" wrapText="1"/>
    </xf>
    <xf numFmtId="0" fontId="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vertical="top"/>
    </xf>
    <xf numFmtId="164" fontId="0" fillId="3" borderId="3" applyAlignment="1" pivotButton="0" quotePrefix="0" xfId="2">
      <alignment horizontal="left" vertical="top" wrapText="1"/>
    </xf>
    <xf numFmtId="0" fontId="0" fillId="3" borderId="3" applyAlignment="1" pivotButton="0" quotePrefix="0" xfId="0">
      <alignment vertical="top" wrapText="1"/>
    </xf>
    <xf numFmtId="9" fontId="0" fillId="3" borderId="3" applyAlignment="1" pivotButton="0" quotePrefix="0" xfId="0">
      <alignment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43" fontId="0" fillId="4" borderId="3" applyAlignment="1" pivotButton="0" quotePrefix="0" xfId="2">
      <alignment vertical="top" wrapText="1"/>
    </xf>
    <xf numFmtId="0" fontId="4" fillId="0" borderId="3" applyAlignment="1" pivotButton="0" quotePrefix="0" xfId="0">
      <alignment vertical="top" wrapText="1"/>
    </xf>
    <xf numFmtId="43" fontId="4" fillId="0" borderId="3" applyAlignment="1" pivotButton="0" quotePrefix="0" xfId="2">
      <alignment vertical="top" wrapText="1"/>
    </xf>
    <xf numFmtId="0" fontId="4" fillId="3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164" fontId="4" fillId="4" borderId="3" applyAlignment="1" pivotButton="0" quotePrefix="0" xfId="2">
      <alignment horizontal="left" vertical="top" wrapText="1"/>
    </xf>
    <xf numFmtId="9" fontId="4" fillId="3" borderId="3" applyAlignment="1" pivotButton="0" quotePrefix="0" xfId="0">
      <alignment vertical="top" wrapText="1"/>
    </xf>
    <xf numFmtId="0" fontId="4" fillId="0" borderId="3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 wrapText="1"/>
    </xf>
    <xf numFmtId="0" fontId="4" fillId="0" borderId="3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Hyperlink" xfId="1" builtinId="8"/>
    <cellStyle name="Comm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3" authorId="0" shapeId="0">
      <text>
        <t>[AUTO-ADDED] Project reports access/productive-use beneficiary numbers but no MW value. Please add installed capacity (MW) or confirm not applicable.</t>
      </text>
    </comment>
    <comment ref="L3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853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085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B10" sqref="B10"/>
    </sheetView>
  </sheetViews>
  <sheetFormatPr baseColWidth="8" defaultRowHeight="15"/>
  <cols>
    <col width="38.42578125" customWidth="1" min="2" max="2"/>
    <col width="20.7109375" customWidth="1" min="3" max="3"/>
    <col width="13.28515625" bestFit="1" customWidth="1" min="4" max="4"/>
    <col width="13.28515625" customWidth="1" min="5" max="5"/>
    <col width="13.28515625" customWidth="1" min="6" max="6"/>
    <col width="13.28515625" bestFit="1" customWidth="1" min="7" max="7"/>
    <col width="13.28515625" customWidth="1" min="8" max="8"/>
    <col width="32.7109375" customWidth="1" min="9" max="9"/>
    <col width="30.42578125" customWidth="1" min="10" max="10"/>
    <col width="12.42578125" customWidth="1" min="11" max="11"/>
    <col width="12.85546875" bestFit="1" customWidth="1" min="12" max="12"/>
    <col width="10" customWidth="1" min="13" max="13"/>
    <col width="14.42578125" bestFit="1" customWidth="1" min="14" max="14"/>
    <col width="14.85546875" bestFit="1" customWidth="1" min="15" max="15"/>
    <col width="12.5703125" customWidth="1" min="16" max="16"/>
    <col width="16.5703125" bestFit="1" customWidth="1" min="17" max="17"/>
    <col width="18.140625" bestFit="1" customWidth="1" min="18" max="18"/>
    <col width="12.5703125" customWidth="1" min="19" max="19"/>
    <col width="30.28515625" bestFit="1" customWidth="1" min="20" max="20"/>
    <col width="16.7109375" bestFit="1" customWidth="1" min="21" max="21"/>
  </cols>
  <sheetData>
    <row r="1" ht="30.75" customHeight="1">
      <c r="A1" s="17" t="inlineStr">
        <is>
          <t>Project ID</t>
        </is>
      </c>
      <c r="B1" s="17" t="inlineStr">
        <is>
          <t>Title</t>
        </is>
      </c>
      <c r="C1" s="17" t="inlineStr">
        <is>
          <t>Link</t>
        </is>
      </c>
      <c r="D1" s="17" t="inlineStr">
        <is>
          <t>Budget</t>
        </is>
      </c>
      <c r="E1" s="17" t="inlineStr">
        <is>
          <t>Start Year</t>
        </is>
      </c>
      <c r="F1" s="17" t="inlineStr">
        <is>
          <t>End Year</t>
        </is>
      </c>
      <c r="G1" s="17" t="inlineStr">
        <is>
          <t>Status</t>
        </is>
      </c>
      <c r="H1" s="17" t="inlineStr">
        <is>
          <t>VF or Non-VF</t>
        </is>
      </c>
      <c r="I1" s="17" t="inlineStr">
        <is>
          <t>Beneficiary Category</t>
        </is>
      </c>
      <c r="J1" s="17" t="inlineStr">
        <is>
          <t>Indicator</t>
        </is>
      </c>
      <c r="K1" s="17" t="inlineStr">
        <is>
          <t>Baseline</t>
        </is>
      </c>
      <c r="L1" s="17" t="inlineStr">
        <is>
          <t>Target</t>
        </is>
      </c>
      <c r="M1" s="17" t="inlineStr">
        <is>
          <t>Notes</t>
        </is>
      </c>
      <c r="N1" s="18" t="inlineStr">
        <is>
          <t>Donors</t>
        </is>
      </c>
      <c r="O1" s="18" t="inlineStr">
        <is>
          <t>Gender (% female)</t>
        </is>
      </c>
      <c r="P1" s="34" t="inlineStr">
        <is>
          <t>Tag</t>
        </is>
      </c>
      <c r="Q1" s="34" t="inlineStr">
        <is>
          <t>SEH Taxonomy</t>
        </is>
      </c>
      <c r="R1" s="34" t="inlineStr">
        <is>
          <t>RISE Taxonomy</t>
        </is>
      </c>
      <c r="S1" s="34" t="inlineStr">
        <is>
          <t>Flagship</t>
        </is>
      </c>
      <c r="T1" s="34" t="inlineStr">
        <is>
          <t>Indirect Category</t>
        </is>
      </c>
      <c r="U1" s="34" t="inlineStr">
        <is>
          <t>Indirect Taxonomy</t>
        </is>
      </c>
      <c r="V1" s="35" t="inlineStr">
        <is>
          <t>Technology</t>
        </is>
      </c>
      <c r="W1" s="34" t="inlineStr">
        <is>
          <t>Policy or Regulatory Framework</t>
        </is>
      </c>
      <c r="X1" s="35" t="inlineStr">
        <is>
          <t>Policy Population</t>
        </is>
      </c>
    </row>
    <row r="2" ht="105" customFormat="1" customHeight="1" s="10">
      <c r="A2" s="36" t="n">
        <v>6328</v>
      </c>
      <c r="B2" s="36" t="inlineStr">
        <is>
          <t>Somalia national child project - Africa Minigrids Program (AMP)</t>
        </is>
      </c>
      <c r="C2" s="36" t="inlineStr">
        <is>
          <t>PIMS+</t>
        </is>
      </c>
      <c r="D2" s="37" t="n">
        <v>3276147</v>
      </c>
      <c r="E2" s="47" t="n"/>
      <c r="F2" s="47" t="n"/>
      <c r="G2" s="47" t="n"/>
      <c r="H2" s="37" t="inlineStr">
        <is>
          <t>VF</t>
        </is>
      </c>
      <c r="I2" s="36" t="inlineStr">
        <is>
          <t>Electricity Access</t>
        </is>
      </c>
      <c r="J2" s="42" t="inlineStr">
        <is>
          <t>Number of direct beneficiaries benefitting from clean, affordable and sustainable energy access via mini-grids, disaggregated by gender and by customer segment (residential, social, commercial/productive use) (number of people) Indicator 2+4</t>
        </is>
      </c>
      <c r="K2" s="36" t="n">
        <v>0</v>
      </c>
      <c r="L2" s="41" t="n">
        <v>66970</v>
      </c>
      <c r="M2" s="36" t="inlineStr">
        <is>
          <t xml:space="preserve">Somalia's national child project under the GEF Africa Mini-grid program was launched in February 2023 and currently under implementation. </t>
        </is>
      </c>
      <c r="N2" s="36" t="inlineStr">
        <is>
          <t>GEF</t>
        </is>
      </c>
      <c r="O2" s="43" t="n">
        <v>0.5</v>
      </c>
      <c r="P2" s="38" t="n"/>
      <c r="Q2" s="39" t="inlineStr">
        <is>
          <t>Close the gap on energy access</t>
        </is>
      </c>
      <c r="R2" s="38" t="n"/>
      <c r="S2" s="38" t="n"/>
      <c r="T2" s="38" t="n"/>
      <c r="U2" s="38" t="n"/>
      <c r="V2" s="40" t="n"/>
      <c r="W2" s="38" t="n"/>
      <c r="X2" s="40" t="n"/>
    </row>
    <row r="3">
      <c r="A3" s="48" t="n"/>
      <c r="B3" s="48" t="n"/>
      <c r="C3" s="48" t="n"/>
      <c r="D3" s="49" t="n"/>
      <c r="E3" s="49" t="n"/>
      <c r="F3" s="49" t="n"/>
      <c r="G3" s="49" t="n"/>
      <c r="H3" s="49" t="n"/>
      <c r="I3" s="48" t="inlineStr">
        <is>
          <t>Energy (MW added)</t>
        </is>
      </c>
      <c r="J3" s="50" t="inlineStr">
        <is>
          <t>Installed capacity in MW for access/productive-use outputs</t>
        </is>
      </c>
      <c r="K3" s="51" t="n">
        <v>0</v>
      </c>
      <c r="L3" s="52" t="n"/>
      <c r="M3" s="48" t="n"/>
      <c r="N3" s="48" t="n"/>
      <c r="O3" s="53" t="n"/>
      <c r="P3" s="54" t="n"/>
      <c r="Q3" s="55" t="n"/>
      <c r="R3" s="54" t="n"/>
      <c r="S3" s="54" t="n"/>
      <c r="T3" s="54" t="n"/>
      <c r="U3" s="54" t="n"/>
      <c r="V3" s="56" t="n"/>
      <c r="W3" s="54" t="n"/>
      <c r="X3" s="56" t="n"/>
    </row>
    <row r="4"/>
    <row r="5"/>
    <row r="6"/>
    <row r="7"/>
    <row r="8"/>
    <row r="9">
      <c r="K9" s="13" t="n"/>
    </row>
    <row r="10">
      <c r="K10" s="13" t="n"/>
    </row>
    <row r="11">
      <c r="K11" s="12" t="n"/>
    </row>
  </sheetData>
  <dataValidations count="10"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N2" showDropDown="0" showInputMessage="1" showErrorMessage="1" allowBlank="1" type="list">
      <formula1>"Accelerating just energy transition, Close the gap on energy access, Scale up energy finance"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M2" showDropDown="0" showInputMessage="1" showErrorMessage="1" allowBlank="1" type="list">
      <formula1>"Finance, Gender, Efficiency, Just, Health"</formula1>
    </dataValidation>
    <dataValidation sqref="T2" showDropDown="0" showInputMessage="1" showErrorMessage="1" allowBlank="1" type="list">
      <formula1>"National, Regional, City, Community"</formula1>
    </dataValidation>
    <dataValidation sqref="L2" showDropDown="0" showInputMessage="1" showErrorMessage="1" allowBlank="1" type="list">
      <formula1>"Non-VF, VF"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G3" sqref="G3"/>
    </sheetView>
  </sheetViews>
  <sheetFormatPr baseColWidth="8" defaultRowHeight="15"/>
  <cols>
    <col width="38.42578125" customWidth="1" min="2" max="2"/>
    <col width="20.7109375" customWidth="1" min="3" max="3"/>
    <col width="13.28515625" bestFit="1" customWidth="1" min="4" max="4"/>
    <col width="20.7109375" customWidth="1" min="5" max="5"/>
    <col width="36.140625" customWidth="1" min="6" max="6"/>
    <col width="42.28515625" customWidth="1" min="7" max="7"/>
    <col width="12.7109375" customWidth="1" min="8" max="8"/>
    <col width="32.7109375" customWidth="1" min="9" max="9"/>
    <col width="30.42578125" customWidth="1" min="10" max="10"/>
    <col width="12.42578125" customWidth="1" min="11" max="11"/>
    <col width="46" customWidth="1" min="13" max="13"/>
    <col width="12.5703125" customWidth="1" min="15" max="19"/>
  </cols>
  <sheetData>
    <row r="1" ht="30.75" customHeight="1">
      <c r="A1" s="16" t="inlineStr">
        <is>
          <t>Project ID</t>
        </is>
      </c>
      <c r="B1" s="16" t="inlineStr">
        <is>
          <t>Title</t>
        </is>
      </c>
      <c r="C1" s="16" t="inlineStr">
        <is>
          <t>Link</t>
        </is>
      </c>
      <c r="D1" s="16" t="inlineStr">
        <is>
          <t>Budget</t>
        </is>
      </c>
      <c r="E1" s="17" t="inlineStr">
        <is>
          <t>Beneficiary Category</t>
        </is>
      </c>
      <c r="F1" s="17" t="inlineStr">
        <is>
          <t>Indicator</t>
        </is>
      </c>
      <c r="G1" s="17" t="inlineStr">
        <is>
          <t>Baseline</t>
        </is>
      </c>
      <c r="H1" s="17" t="inlineStr">
        <is>
          <t>Target</t>
        </is>
      </c>
      <c r="I1" s="17" t="inlineStr">
        <is>
          <t>Notes</t>
        </is>
      </c>
      <c r="J1" s="18" t="inlineStr">
        <is>
          <t>Donors</t>
        </is>
      </c>
      <c r="K1" s="18" t="inlineStr">
        <is>
          <t>Gender (% female)</t>
        </is>
      </c>
      <c r="L1" s="18" t="inlineStr">
        <is>
          <t>Category</t>
        </is>
      </c>
      <c r="M1" s="18" t="inlineStr">
        <is>
          <t>Comments</t>
        </is>
      </c>
      <c r="N1" s="18" t="inlineStr">
        <is>
          <t>Tag</t>
        </is>
      </c>
      <c r="O1" s="18" t="inlineStr">
        <is>
          <t>SEH Taxonomy</t>
        </is>
      </c>
      <c r="P1" s="18" t="inlineStr">
        <is>
          <t>RISE Taxonomy</t>
        </is>
      </c>
      <c r="Q1" s="18" t="inlineStr">
        <is>
          <t>Flagship</t>
        </is>
      </c>
      <c r="R1" s="18" t="inlineStr">
        <is>
          <t>Indirect Category</t>
        </is>
      </c>
      <c r="S1" s="18" t="inlineStr">
        <is>
          <t>Indirect Taxonomy</t>
        </is>
      </c>
    </row>
    <row r="2" ht="180" customHeight="1">
      <c r="A2" s="20" t="n">
        <v>85377</v>
      </c>
      <c r="B2" s="20" t="inlineStr">
        <is>
          <t>Joint Programme on Charcoal</t>
        </is>
      </c>
      <c r="C2" s="21" t="inlineStr">
        <is>
          <t>http://open.undp.org/projects/00085377</t>
        </is>
      </c>
      <c r="D2" s="22" t="n">
        <v>8652596</v>
      </c>
      <c r="E2" s="23" t="inlineStr">
        <is>
          <t>Electricity Access</t>
        </is>
      </c>
      <c r="F2" s="24" t="inlineStr">
        <is>
          <t>Number of households benefitting from clean, affordable and sustainable energy access, by category (women, pastoralists, IDPs)</t>
        </is>
      </c>
      <c r="G2" s="24" t="n">
        <v>0</v>
      </c>
      <c r="H2" s="24" t="inlineStr">
        <is>
          <t>49074 HH</t>
        </is>
      </c>
      <c r="I2" s="25" t="inlineStr">
        <is>
          <t xml:space="preserve">the Joint progrgam on charcoal reduction (PROSCAL) has three major components; 1- capacity building and regional cooperation, 2- alternative Energy and 3- alternative livelihoods to characoal value chain beneficiaries. The project was initiated 2016 and end March 2023, benefiting more than 49,074 households (95% women headed) with an access to clean energy. 
</t>
        </is>
      </c>
      <c r="J2" s="19" t="inlineStr">
        <is>
          <t>MPTF (EU, Italy, Sweden, Norway)</t>
        </is>
      </c>
      <c r="K2" s="26" t="n">
        <v>0.95</v>
      </c>
      <c r="L2" s="19" t="inlineStr">
        <is>
          <t>Non-VF</t>
        </is>
      </c>
      <c r="M2" s="19" t="n"/>
      <c r="N2" s="19" t="n"/>
      <c r="O2" s="19" t="inlineStr">
        <is>
          <t>Accelerating just energy transition</t>
        </is>
      </c>
      <c r="P2" s="19" t="inlineStr">
        <is>
          <t>Electricity Access</t>
        </is>
      </c>
      <c r="Q2" s="19" t="n"/>
      <c r="R2" s="19" t="n"/>
      <c r="S2" s="19" t="n"/>
    </row>
    <row r="3" ht="180" customHeight="1">
      <c r="A3" s="27" t="n"/>
      <c r="B3" s="27" t="n"/>
      <c r="C3" s="28" t="n"/>
      <c r="D3" s="29" t="n"/>
      <c r="E3" s="23" t="inlineStr">
        <is>
          <t>Clean Cooking</t>
        </is>
      </c>
      <c r="F3" s="24" t="inlineStr">
        <is>
          <t>Cook stoves</t>
        </is>
      </c>
      <c r="G3" s="24" t="inlineStr">
        <is>
          <t>Low adoption of efficient cook-stoves; no businesses producing and retailing cook-stoves; high levels of charcoal use; and women and youth heavily engaged in charcoal production and trade.</t>
        </is>
      </c>
      <c r="H3" s="24" t="n">
        <v>15000</v>
      </c>
      <c r="I3" s="24" t="n"/>
      <c r="J3" s="19" t="n"/>
      <c r="K3" s="19" t="n"/>
      <c r="L3" s="19" t="n"/>
      <c r="M3" s="15" t="n"/>
      <c r="N3" s="19" t="n"/>
      <c r="O3" s="19" t="inlineStr">
        <is>
          <t>Accelerating just energy transition</t>
        </is>
      </c>
      <c r="P3" s="19" t="inlineStr">
        <is>
          <t>Clean Cooking</t>
        </is>
      </c>
      <c r="Q3" s="19" t="n"/>
      <c r="R3" s="19" t="n"/>
      <c r="S3" s="19" t="n"/>
    </row>
    <row r="4" ht="105" customHeight="1">
      <c r="A4" s="30" t="n">
        <v>6328</v>
      </c>
      <c r="B4" s="30" t="inlineStr">
        <is>
          <t>Somalia national child project - Africa Minigrids Program (AMP)</t>
        </is>
      </c>
      <c r="C4" s="30" t="inlineStr">
        <is>
          <t>PIMS+</t>
        </is>
      </c>
      <c r="D4" s="29" t="n">
        <v>3276147</v>
      </c>
      <c r="E4" s="24" t="inlineStr">
        <is>
          <t>Electricity Access</t>
        </is>
      </c>
      <c r="F4" s="24" t="inlineStr">
        <is>
          <t>Number of direct beneficiaries benefitting from clean, affordable and sustainable energy access via mini-grids, disaggregated by gender and by customer segment (residential, social, commercial/productive use) (number of people)</t>
        </is>
      </c>
      <c r="G4" s="24" t="inlineStr">
        <is>
          <t>0 (projected launched, under implementation)</t>
        </is>
      </c>
      <c r="H4" s="31" t="n">
        <v>66670</v>
      </c>
      <c r="I4" s="24" t="inlineStr">
        <is>
          <t xml:space="preserve">Somalia's national child project under the GEF Africa Mini-grid program was launched in February 2023 and currently under implementation. </t>
        </is>
      </c>
      <c r="J4" s="19" t="inlineStr">
        <is>
          <t>GEF</t>
        </is>
      </c>
      <c r="K4" s="19" t="n"/>
      <c r="L4" s="19" t="inlineStr">
        <is>
          <t>VF</t>
        </is>
      </c>
      <c r="M4" s="19" t="n"/>
      <c r="N4" s="19" t="n"/>
      <c r="O4" s="19" t="inlineStr">
        <is>
          <t>Accelerating just energy transition</t>
        </is>
      </c>
      <c r="P4" s="19" t="inlineStr">
        <is>
          <t>Electricity Access</t>
        </is>
      </c>
      <c r="Q4" s="19" t="inlineStr">
        <is>
          <t>AMP</t>
        </is>
      </c>
      <c r="R4" s="19" t="n"/>
      <c r="S4" s="19" t="n"/>
    </row>
    <row r="10">
      <c r="G10" s="13" t="n"/>
    </row>
    <row r="11">
      <c r="G11" s="13" t="n"/>
    </row>
    <row r="12">
      <c r="G12" s="12" t="n"/>
    </row>
  </sheetData>
  <dataValidations count="5">
    <dataValidation sqref="O2:O4" showDropDown="0" showInputMessage="1" showErrorMessage="1" allowBlank="1" type="list">
      <formula1>"Accelerating just energy transition, Close the gap on energy access, Scale up energy finance"</formula1>
    </dataValidation>
    <dataValidation sqref="P2:P4" showDropDown="0" showInputMessage="1" showErrorMessage="1" allowBlank="1" type="list">
      <formula1>"Electricity Access, Energy Efficiency, Clean Cooking, Renewable Energy"</formula1>
    </dataValidation>
    <dataValidation sqref="Q2:Q4" showDropDown="0" showInputMessage="1" showErrorMessage="1" allowBlank="1" type="list">
      <formula1>"AMP, PUDC, Solar4Health, Action Opportunities, Italy UNDP Energy Partnership"</formula1>
    </dataValidation>
    <dataValidation sqref="R2:R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F1" workbookViewId="0">
      <selection activeCell="G2" sqref="G2"/>
    </sheetView>
  </sheetViews>
  <sheetFormatPr baseColWidth="8" defaultRowHeight="15"/>
  <cols>
    <col width="38.42578125" customWidth="1" min="2" max="2"/>
    <col width="20.7109375" customWidth="1" min="3" max="3"/>
    <col width="13.28515625" bestFit="1" customWidth="1" min="4" max="4"/>
    <col width="20.7109375" customWidth="1" min="5" max="5"/>
    <col width="36.140625" customWidth="1" min="6" max="6"/>
    <col width="42.28515625" customWidth="1" min="7" max="7"/>
    <col width="12.7109375" customWidth="1" min="8" max="8"/>
    <col width="32.7109375" customWidth="1" min="9" max="9"/>
    <col width="30.42578125" customWidth="1" min="10" max="10"/>
  </cols>
  <sheetData>
    <row r="1">
      <c r="A1" s="1" t="inlineStr">
        <is>
          <t>Project ID</t>
        </is>
      </c>
      <c r="B1" s="3" t="inlineStr">
        <is>
          <t>Title</t>
        </is>
      </c>
      <c r="C1" s="3" t="inlineStr">
        <is>
          <t>Link</t>
        </is>
      </c>
      <c r="D1" s="3" t="inlineStr">
        <is>
          <t>Budget</t>
        </is>
      </c>
      <c r="E1" s="3" t="inlineStr">
        <is>
          <t>Beneficiary Category</t>
        </is>
      </c>
      <c r="F1" s="3" t="inlineStr">
        <is>
          <t>Indicator</t>
        </is>
      </c>
      <c r="G1" s="3" t="inlineStr">
        <is>
          <t>Baseline</t>
        </is>
      </c>
      <c r="H1" s="3" t="inlineStr">
        <is>
          <t>Target</t>
        </is>
      </c>
      <c r="I1" s="3" t="inlineStr">
        <is>
          <t>Notes</t>
        </is>
      </c>
      <c r="J1" s="2" t="inlineStr">
        <is>
          <t>Donors</t>
        </is>
      </c>
    </row>
    <row r="2" ht="180" customHeight="1">
      <c r="A2" s="10" t="n">
        <v>85377</v>
      </c>
      <c r="B2" s="9" t="inlineStr">
        <is>
          <t>Joint Programme on Charcoal</t>
        </is>
      </c>
      <c r="C2" s="11" t="inlineStr">
        <is>
          <t>http://open.undp.org/projects/00085377</t>
        </is>
      </c>
      <c r="D2" s="5" t="n">
        <v>8652596</v>
      </c>
      <c r="E2" s="6" t="inlineStr">
        <is>
          <t>Electricity Access</t>
        </is>
      </c>
      <c r="F2" s="7" t="inlineStr">
        <is>
          <t>Number of households benefitting from clean, affordable and sustainable energy access, by category (women, pastoralists, IDPs)</t>
        </is>
      </c>
      <c r="G2" s="7" t="n">
        <v>0</v>
      </c>
      <c r="H2" s="7" t="inlineStr">
        <is>
          <t>49074 households</t>
        </is>
      </c>
      <c r="I2" s="14" t="inlineStr">
        <is>
          <t xml:space="preserve">the Joint progrgam on charcoal reduction (PROSCAL) has three major components; 1- capacity building and regional cooperation, 2- alternative Energy and 3- alternative livelihoods to characoal value chain beneficiaries. The project was initiated 2016 and end March 2023, benefiting more than 49,074 households (95% women headed) with an access to clean energy. 
</t>
        </is>
      </c>
      <c r="J2" s="9" t="inlineStr">
        <is>
          <t>MPTF (EU, Italy, Sweden, Norway)</t>
        </is>
      </c>
    </row>
    <row r="3" ht="180" customHeight="1">
      <c r="A3" s="10" t="n"/>
      <c r="B3" s="9" t="n"/>
      <c r="C3" s="11" t="n"/>
      <c r="D3" s="5" t="n"/>
      <c r="E3" s="6" t="inlineStr">
        <is>
          <t>Clean Cooking</t>
        </is>
      </c>
      <c r="F3" s="7" t="inlineStr">
        <is>
          <t>Cook stoves</t>
        </is>
      </c>
      <c r="G3" s="7" t="inlineStr">
        <is>
          <t>Low adoption of efficient cook-stoves; no businesses producing and retailing cook-stoves; high levels of charcoal use; and women and youth heavily engaged in charcoal production and trade.</t>
        </is>
      </c>
      <c r="H3" s="7" t="n">
        <v>15000</v>
      </c>
      <c r="I3" s="7" t="n"/>
      <c r="J3" s="9" t="n"/>
    </row>
    <row r="4" ht="105" customHeight="1">
      <c r="A4" s="10" t="n">
        <v>6328</v>
      </c>
      <c r="B4" s="4" t="inlineStr">
        <is>
          <t>Somalia national child project - Africa Minigrids Program (AMP)</t>
        </is>
      </c>
      <c r="C4" s="4" t="inlineStr">
        <is>
          <t>PIMS+</t>
        </is>
      </c>
      <c r="D4" s="5" t="n">
        <v>3276147</v>
      </c>
      <c r="E4" s="6" t="inlineStr">
        <is>
          <t>Electricity Access</t>
        </is>
      </c>
      <c r="F4" s="7" t="inlineStr">
        <is>
          <t>Number of direct beneficiaries benefitting from clean, affordable and sustainable energy access via mini-grids, disaggregated by gender and by customer segment (residential, social, commercial/productive use) (number of people)</t>
        </is>
      </c>
      <c r="G4" s="6" t="inlineStr">
        <is>
          <t>0 (projected launched, under implementation)</t>
        </is>
      </c>
      <c r="H4" s="8" t="n">
        <v>66670</v>
      </c>
      <c r="I4" s="7" t="inlineStr">
        <is>
          <t xml:space="preserve">Somalia's national child project under the GEF Africa Mini-grid program was launched in February 2023 and currently under implementation. </t>
        </is>
      </c>
      <c r="J4" s="9" t="inlineStr">
        <is>
          <t>GEF</t>
        </is>
      </c>
    </row>
    <row r="10">
      <c r="G10" s="13" t="n"/>
    </row>
    <row r="11">
      <c r="G11" s="13" t="n"/>
    </row>
    <row r="12">
      <c r="G12" s="12" t="n"/>
    </row>
  </sheetData>
  <hyperlinks>
    <hyperlink xmlns:r="http://schemas.openxmlformats.org/officeDocument/2006/relationships" ref="C2" r:id="rId1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57" t="inlineStr">
        <is>
          <t>Beneficiary Category</t>
        </is>
      </c>
      <c r="B1" s="57" t="inlineStr">
        <is>
          <t>Indicator</t>
        </is>
      </c>
    </row>
    <row r="2" ht="45.75" customHeight="1">
      <c r="A2" s="58" t="inlineStr">
        <is>
          <t>Electricity Access</t>
        </is>
      </c>
      <c r="B2" s="58" t="inlineStr">
        <is>
          <t>Number of people, disaggregated by sex, who gain access to clean electricity (direct access to electricity, lighting, cooling, etc.).</t>
        </is>
      </c>
    </row>
    <row r="3">
      <c r="A3" s="58" t="inlineStr">
        <is>
          <t>Energy (MW added)</t>
        </is>
      </c>
      <c r="B3" s="58" t="inlineStr">
        <is>
          <t>Installed renewable or clean-energy power capacity added, in MW.</t>
        </is>
      </c>
    </row>
    <row r="4" ht="30.75" customHeight="1">
      <c r="A4" s="58" t="inlineStr">
        <is>
          <t>Energy Storage (MW)</t>
        </is>
      </c>
      <c r="B4" s="58" t="inlineStr">
        <is>
          <t>Installed energy storage power capacity added, in MW.</t>
        </is>
      </c>
    </row>
    <row r="5" ht="30.75" customHeight="1">
      <c r="A5" s="58" t="inlineStr">
        <is>
          <t>Clean Cooking</t>
        </is>
      </c>
      <c r="B5" s="58" t="inlineStr">
        <is>
          <t>Number of people who gain access to clean cooking (direct access to clean cook stoves, clean fuels, biomass, etc.).</t>
        </is>
      </c>
    </row>
    <row r="6" ht="91.5" customHeight="1">
      <c r="A6" s="58" t="inlineStr">
        <is>
          <t>Clean Heating</t>
        </is>
      </c>
      <c r="B6" s="58" t="inlineStr">
        <is>
          <t>Number of people who gain access to clean heating (direct access to clean electric heaters, clean fuels, etc.).</t>
        </is>
      </c>
    </row>
    <row r="7" ht="45.75" customHeight="1">
      <c r="A7" s="58" t="inlineStr">
        <is>
          <t>Agriculture and Food System</t>
        </is>
      </c>
      <c r="B7" s="58" t="inlineStr">
        <is>
          <t>Number of people who gain access to clean, affordable, and sustainable energy for agricultural and food-system activities.</t>
        </is>
      </c>
    </row>
    <row r="8" ht="45.75" customHeight="1">
      <c r="A8" s="58" t="inlineStr">
        <is>
          <t>Health Services</t>
        </is>
      </c>
      <c r="B8" s="58" t="inlineStr">
        <is>
          <t>Number of people who gain access to health care facilities through clean energy systems.</t>
        </is>
      </c>
    </row>
    <row r="9" ht="45.75" customHeight="1">
      <c r="A9" s="58" t="inlineStr">
        <is>
          <t>Water Services</t>
        </is>
      </c>
      <c r="B9" s="58" t="inlineStr">
        <is>
          <t>Number of people who gain access to water services through clean energy systems.</t>
        </is>
      </c>
    </row>
    <row r="10" ht="30.75" customHeight="1">
      <c r="A10" s="58" t="inlineStr">
        <is>
          <t>Education Services</t>
        </is>
      </c>
      <c r="B10" s="58" t="inlineStr">
        <is>
          <t>Number of people who gain access to education services through clean energy systems, including students and teachers.</t>
        </is>
      </c>
    </row>
    <row r="11" ht="30.75" customHeight="1">
      <c r="A11" s="58" t="inlineStr">
        <is>
          <t>Transportation and E-mobility Services</t>
        </is>
      </c>
      <c r="B11" s="58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8" t="inlineStr">
        <is>
          <t>Energy Efficiency Services</t>
        </is>
      </c>
      <c r="B12" s="58" t="inlineStr">
        <is>
          <t>Energy saved from energy-efficiency interventions, such as building or industrial efficiency.</t>
        </is>
      </c>
    </row>
    <row r="13" ht="30.75" customHeight="1">
      <c r="A13" s="58" t="inlineStr">
        <is>
          <t>Energy Infrastructure Services</t>
        </is>
      </c>
      <c r="B13" s="58" t="inlineStr">
        <is>
          <t>Number of people benefiting from energy infrastructure interventions, such as streetlights, transmission, and distribution lines.</t>
        </is>
      </c>
    </row>
    <row r="14">
      <c r="A14" s="58" t="inlineStr">
        <is>
          <t>Other Energy Services</t>
        </is>
      </c>
      <c r="B14" s="58" t="inlineStr">
        <is>
          <t>Access to other energy services not captured by the categories above.</t>
        </is>
      </c>
    </row>
    <row r="15" ht="30.75" customHeight="1">
      <c r="A15" s="58" t="inlineStr">
        <is>
          <t>Financing support</t>
        </is>
      </c>
      <c r="B15" s="58" t="inlineStr">
        <is>
          <t>Support for the development of the energy market ecosystem.</t>
        </is>
      </c>
    </row>
    <row r="16" ht="30.75" customHeight="1">
      <c r="A16" s="58" t="inlineStr">
        <is>
          <t>Medium Enterprises</t>
        </is>
      </c>
      <c r="B16" s="58" t="inlineStr">
        <is>
          <t>Support for the development of medium enterprises in the energy transition market.</t>
        </is>
      </c>
    </row>
    <row r="17" ht="30.75" customHeight="1">
      <c r="A17" s="58" t="inlineStr">
        <is>
          <t>Small Enterprises</t>
        </is>
      </c>
      <c r="B17" s="58" t="inlineStr">
        <is>
          <t>Support for the development of small enterprises in the energy transition market.</t>
        </is>
      </c>
    </row>
    <row r="18" ht="30.75" customHeight="1">
      <c r="A18" s="58" t="inlineStr">
        <is>
          <t>Capacity Building Training</t>
        </is>
      </c>
      <c r="B18" s="58" t="inlineStr">
        <is>
          <t>Number of people benefiting from training on energy business, energy finance, or related implementation capacity.</t>
        </is>
      </c>
    </row>
    <row r="19" ht="76.5" customHeight="1">
      <c r="A19" s="58" t="inlineStr">
        <is>
          <t>Entrepreneurship Training</t>
        </is>
      </c>
      <c r="B19" s="58" t="inlineStr">
        <is>
          <t>Training for enterprises on the energy business, assumed to result in direct beneficiaries.</t>
        </is>
      </c>
    </row>
    <row r="20" ht="30.75" customHeight="1">
      <c r="A20" s="58" t="inlineStr">
        <is>
          <t>Market Intervention</t>
        </is>
      </c>
      <c r="B20" s="58" t="inlineStr">
        <is>
          <t>Volume of investment leveraged or barriers removed for clean, reliable, affordable, and sustainable energy solutions.</t>
        </is>
      </c>
    </row>
    <row r="21" ht="45.75" customHeight="1">
      <c r="A21" s="58" t="inlineStr">
        <is>
          <t>Campaign Participant</t>
        </is>
      </c>
      <c r="B21" s="58" t="inlineStr">
        <is>
          <t>Individuals who participate in advocacy or awareness campaigns on energy.</t>
        </is>
      </c>
    </row>
    <row r="22" ht="30.75" customHeight="1">
      <c r="A22" s="58" t="inlineStr">
        <is>
          <t>Policy or Regulatory Framework</t>
        </is>
      </c>
      <c r="B22" s="58" t="inlineStr">
        <is>
          <t>Policies, regulations, strategies, plans, or frameworks developed, approved, implemented, or strengthened.</t>
        </is>
      </c>
    </row>
    <row r="23">
      <c r="A23" s="58" t="inlineStr">
        <is>
          <t>GHG Emissions Reduction</t>
        </is>
      </c>
      <c r="B23" s="58" t="inlineStr">
        <is>
          <t>Greenhouse gas emissions reduced or mitigated, in tCO2e.</t>
        </is>
      </c>
    </row>
    <row r="24">
      <c r="A24" s="58" t="inlineStr">
        <is>
          <t>Other</t>
        </is>
      </c>
      <c r="B24" s="58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2026-06-10T12:20:18Z</dcterms:modified>
  <cp:lastModifiedBy>Manar Shehadeh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