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rgb="FF000000"/>
      <sz val="11"/>
    </font>
    <font>
      <name val="Calibri"/>
      <family val="2"/>
      <color rgb="FF000000"/>
      <sz val="10"/>
    </font>
    <font>
      <name val="Calibri"/>
      <family val="2"/>
      <color theme="10"/>
      <sz val="11"/>
      <u val="single"/>
      <scheme val="minor"/>
    </font>
    <font>
      <name val="Helvetica Neue"/>
      <charset val="1"/>
      <b val="1"/>
      <color rgb="FFFF0000"/>
      <sz val="10"/>
    </font>
    <font>
      <name val="Helvetica Neue"/>
      <b val="1"/>
      <color rgb="FFFF0000"/>
      <sz val="10"/>
    </font>
    <font>
      <name val="Helvetica Neue"/>
      <b val="1"/>
      <color rgb="FF4F81BD"/>
      <sz val="10"/>
    </font>
    <font>
      <name val="Calibri"/>
      <b val="1"/>
      <color rgb="FFFF0000"/>
      <sz val="11"/>
    </font>
    <font>
      <name val="Calibri"/>
      <b val="1"/>
      <color rgb="FF4F81BD"/>
      <sz val="11"/>
    </font>
    <font>
      <name val="Calibri"/>
      <family val="2"/>
      <b val="1"/>
      <i val="1"/>
      <color theme="1"/>
      <sz val="11"/>
      <scheme val="minor"/>
    </font>
    <font>
      <name val="Calibri"/>
      <b val="1"/>
      <color theme="1"/>
      <sz val="11"/>
      <scheme val="minor"/>
    </font>
    <font>
      <name val="Calibri"/>
      <color rgb="FF000000"/>
      <sz val="11"/>
      <scheme val="minor"/>
    </font>
    <font>
      <b val="1"/>
    </font>
  </fonts>
  <fills count="9">
    <fill>
      <patternFill/>
    </fill>
    <fill>
      <patternFill patternType="gray125"/>
    </fill>
    <fill>
      <patternFill patternType="solid">
        <fgColor rgb="FFDDEBF7"/>
        <bgColor indexed="64"/>
      </patternFill>
    </fill>
    <fill>
      <patternFill patternType="solid">
        <fgColor rgb="FFA9D08E"/>
        <bgColor indexed="64"/>
      </patternFill>
    </fill>
    <fill>
      <patternFill patternType="solid">
        <fgColor rgb="FFFDE9D9"/>
        <bgColor rgb="FF000000"/>
      </patternFill>
    </fill>
    <fill>
      <patternFill patternType="solid">
        <fgColor theme="9" tint="0.5999938962981048"/>
        <bgColor indexed="64"/>
      </patternFill>
    </fill>
    <fill>
      <patternFill patternType="solid">
        <fgColor rgb="FFFF0000"/>
        <bgColor indexed="64"/>
      </patternFill>
    </fill>
    <fill>
      <patternFill patternType="solid">
        <fgColor rgb="FFFFFF00"/>
        <bgColor indexed="64"/>
      </patternFill>
    </fill>
    <fill>
      <patternFill patternType="solid">
        <fgColor rgb="00FFFF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s>
  <cellStyleXfs count="3">
    <xf numFmtId="0" fontId="0" fillId="0" borderId="0"/>
    <xf numFmtId="0" fontId="5" fillId="0" borderId="0"/>
    <xf numFmtId="0" fontId="5" fillId="0" borderId="0"/>
  </cellStyleXfs>
  <cellXfs count="107">
    <xf numFmtId="0" fontId="0" fillId="0" borderId="0" pivotButton="0" quotePrefix="0" xfId="0"/>
    <xf numFmtId="0" fontId="0" fillId="0" borderId="0" applyAlignment="1" pivotButton="0" quotePrefix="0" xfId="0">
      <alignment wrapText="1"/>
    </xf>
    <xf numFmtId="0" fontId="0" fillId="2" borderId="1" applyAlignment="1" pivotButton="0" quotePrefix="0" xfId="0">
      <alignment horizontal="center" vertical="center" wrapText="1"/>
    </xf>
    <xf numFmtId="3" fontId="0" fillId="2" borderId="1" applyAlignment="1" pivotButton="0" quotePrefix="0" xfId="0">
      <alignment horizontal="center" vertical="center" wrapText="1"/>
    </xf>
    <xf numFmtId="0" fontId="0" fillId="2" borderId="1" applyAlignment="1" pivotButton="0" quotePrefix="0" xfId="0">
      <alignment horizontal="left" vertical="center" wrapText="1"/>
    </xf>
    <xf numFmtId="3" fontId="0" fillId="3" borderId="1" applyAlignment="1" pivotButton="0" quotePrefix="0" xfId="0">
      <alignment horizontal="center" vertical="center" wrapText="1"/>
    </xf>
    <xf numFmtId="0" fontId="0" fillId="3" borderId="1" applyAlignment="1" pivotButton="0" quotePrefix="0" xfId="0">
      <alignment vertical="center" wrapText="1"/>
    </xf>
    <xf numFmtId="3" fontId="0" fillId="3" borderId="1" applyAlignment="1" pivotButton="0" quotePrefix="0" xfId="0">
      <alignment horizontal="left" vertical="center" wrapText="1"/>
    </xf>
    <xf numFmtId="0" fontId="3" fillId="4" borderId="1" applyAlignment="1" pivotButton="0" quotePrefix="0" xfId="0">
      <alignment wrapText="1"/>
    </xf>
    <xf numFmtId="0" fontId="2" fillId="0" borderId="1" pivotButton="0" quotePrefix="0" xfId="0"/>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0" fontId="3" fillId="3" borderId="1" applyAlignment="1" pivotButton="0" quotePrefix="0" xfId="0">
      <alignment wrapText="1"/>
    </xf>
    <xf numFmtId="0" fontId="3" fillId="3" borderId="1" applyAlignment="1" pivotButton="0" quotePrefix="0" xfId="0">
      <alignment horizontal="left" vertical="center" wrapText="1"/>
    </xf>
    <xf numFmtId="0" fontId="0" fillId="0" borderId="1" pivotButton="0" quotePrefix="0" xfId="0"/>
    <xf numFmtId="0" fontId="3" fillId="4" borderId="1" applyAlignment="1" pivotButton="0" quotePrefix="0" xfId="0">
      <alignmen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wrapText="1"/>
    </xf>
    <xf numFmtId="0" fontId="0" fillId="5" borderId="1" applyAlignment="1" pivotButton="0" quotePrefix="0" xfId="0">
      <alignment vertical="center" wrapText="1"/>
    </xf>
    <xf numFmtId="0" fontId="3" fillId="5" borderId="1" applyAlignment="1" pivotButton="0" quotePrefix="0" xfId="0">
      <alignment horizontal="left" vertical="center" wrapText="1"/>
    </xf>
    <xf numFmtId="3" fontId="0" fillId="5" borderId="1" applyAlignment="1" pivotButton="0" quotePrefix="0" xfId="0">
      <alignment horizontal="center" vertical="center" wrapText="1"/>
    </xf>
    <xf numFmtId="0" fontId="0" fillId="0" borderId="1" applyAlignment="1" pivotButton="0" quotePrefix="0" xfId="0">
      <alignment vertical="center"/>
    </xf>
    <xf numFmtId="0" fontId="5" fillId="0" borderId="1" applyAlignment="1" pivotButton="0" quotePrefix="0" xfId="1">
      <alignment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0" fillId="0" borderId="4" applyAlignment="1" pivotButton="0" quotePrefix="0" xfId="0">
      <alignment vertical="center" wrapText="1"/>
    </xf>
    <xf numFmtId="0" fontId="5" fillId="0" borderId="2" applyAlignment="1" pivotButton="0" quotePrefix="0" xfId="1">
      <alignment vertical="center" wrapText="1"/>
    </xf>
    <xf numFmtId="0" fontId="5" fillId="0" borderId="3" applyAlignment="1" pivotButton="0" quotePrefix="0" xfId="1">
      <alignment vertical="center" wrapText="1"/>
    </xf>
    <xf numFmtId="0" fontId="5" fillId="0" borderId="4" applyAlignment="1" pivotButton="0" quotePrefix="0" xfId="1">
      <alignment vertical="center" wrapText="1"/>
    </xf>
    <xf numFmtId="9" fontId="0" fillId="0" borderId="1" pivotButton="0" quotePrefix="0" xfId="0"/>
    <xf numFmtId="0" fontId="3" fillId="6" borderId="1" applyAlignment="1" pivotButton="0" quotePrefix="0" xfId="0">
      <alignment horizontal="center" vertical="center" wrapText="1"/>
    </xf>
    <xf numFmtId="0" fontId="0" fillId="0" borderId="5" pivotButton="0" quotePrefix="0" xfId="0"/>
    <xf numFmtId="0" fontId="7" fillId="0" borderId="5" applyAlignment="1" pivotButton="0" quotePrefix="0" xfId="0">
      <alignment wrapText="1"/>
    </xf>
    <xf numFmtId="0" fontId="2" fillId="0" borderId="5" pivotButton="0" quotePrefix="0" xfId="0"/>
    <xf numFmtId="0" fontId="6" fillId="0" borderId="5" applyAlignment="1" pivotButton="0" quotePrefix="0" xfId="0">
      <alignment vertical="center"/>
    </xf>
    <xf numFmtId="0" fontId="6" fillId="0" borderId="5" applyAlignment="1" pivotButton="0" quotePrefix="0" xfId="0">
      <alignment vertical="center" wrapText="1"/>
    </xf>
    <xf numFmtId="0" fontId="9" fillId="0" borderId="5" applyAlignment="1" pivotButton="0" quotePrefix="0" xfId="0">
      <alignment wrapText="1"/>
    </xf>
    <xf numFmtId="0" fontId="11" fillId="0" borderId="5" applyAlignment="1" pivotButton="0" quotePrefix="0" xfId="0">
      <alignment wrapText="1"/>
    </xf>
    <xf numFmtId="0" fontId="2" fillId="0" borderId="2" pivotButton="0" quotePrefix="0" xfId="0"/>
    <xf numFmtId="0" fontId="0" fillId="0" borderId="1" applyAlignment="1" pivotButton="0" quotePrefix="0" xfId="0">
      <alignment horizontal="center" vertical="center"/>
    </xf>
    <xf numFmtId="0" fontId="2" fillId="0" borderId="2" applyAlignment="1" pivotButton="0" quotePrefix="0" xfId="0">
      <alignment horizontal="center" vertical="top"/>
    </xf>
    <xf numFmtId="0" fontId="2" fillId="0" borderId="1" applyAlignment="1" pivotButton="0" quotePrefix="0" xfId="0">
      <alignment horizontal="center"/>
    </xf>
    <xf numFmtId="0" fontId="0" fillId="0" borderId="7" applyAlignment="1" pivotButton="0" quotePrefix="0" xfId="0">
      <alignment vertical="center"/>
    </xf>
    <xf numFmtId="0" fontId="0" fillId="0" borderId="2" applyAlignment="1" pivotButton="0" quotePrefix="0" xfId="0">
      <alignment vertical="center"/>
    </xf>
    <xf numFmtId="0" fontId="0" fillId="0" borderId="6" applyAlignment="1" pivotButton="0" quotePrefix="0" xfId="0">
      <alignment vertical="center" wrapText="1"/>
    </xf>
    <xf numFmtId="0" fontId="3" fillId="0" borderId="1" applyAlignment="1" pivotButton="0" quotePrefix="0" xfId="0">
      <alignment wrapText="1"/>
    </xf>
    <xf numFmtId="3" fontId="0" fillId="0" borderId="1" applyAlignment="1" pivotButton="0" quotePrefix="0" xfId="0">
      <alignment horizontal="center" vertical="center" wrapText="1"/>
    </xf>
    <xf numFmtId="0" fontId="3" fillId="0" borderId="5" applyAlignment="1" pivotButton="0" quotePrefix="0" xfId="0">
      <alignment horizontal="left" vertical="center" wrapText="1"/>
    </xf>
    <xf numFmtId="0" fontId="0" fillId="0" borderId="2" applyAlignment="1" pivotButton="0" quotePrefix="0" xfId="0">
      <alignment vertical="top"/>
    </xf>
    <xf numFmtId="0" fontId="0" fillId="0" borderId="12" pivotButton="0" quotePrefix="0" xfId="0"/>
    <xf numFmtId="0" fontId="0" fillId="0" borderId="4" applyAlignment="1" pivotButton="0" quotePrefix="0" xfId="0">
      <alignment vertical="center"/>
    </xf>
    <xf numFmtId="0" fontId="0" fillId="0" borderId="8" applyAlignment="1" pivotButton="0" quotePrefix="0" xfId="0">
      <alignment vertical="center"/>
    </xf>
    <xf numFmtId="0" fontId="0" fillId="0" borderId="3" applyAlignment="1" pivotButton="0" quotePrefix="0" xfId="0">
      <alignment vertical="center"/>
    </xf>
    <xf numFmtId="0" fontId="3" fillId="0" borderId="1" applyAlignment="1" pivotButton="0" quotePrefix="0" xfId="0">
      <alignment horizontal="left" vertical="center" wrapText="1"/>
    </xf>
    <xf numFmtId="0" fontId="7" fillId="0" borderId="12" applyAlignment="1" pivotButton="0" quotePrefix="0" xfId="0">
      <alignment wrapText="1"/>
    </xf>
    <xf numFmtId="0" fontId="0" fillId="0" borderId="1" applyAlignment="1" pivotButton="0" quotePrefix="0" xfId="0">
      <alignment vertical="center" wrapText="1"/>
    </xf>
    <xf numFmtId="0" fontId="2" fillId="0" borderId="12" pivotButton="0" quotePrefix="0" xfId="0"/>
    <xf numFmtId="3" fontId="0" fillId="0" borderId="1" applyAlignment="1" pivotButton="0" quotePrefix="0" xfId="0">
      <alignment horizontal="left" vertical="center" wrapText="1"/>
    </xf>
    <xf numFmtId="0" fontId="0" fillId="0" borderId="1" applyAlignment="1" pivotButton="0" quotePrefix="0" xfId="0">
      <alignment vertical="top"/>
    </xf>
    <xf numFmtId="0" fontId="0" fillId="0" borderId="6"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3" applyAlignment="1" pivotButton="0" quotePrefix="0" xfId="0">
      <alignment vertical="top"/>
    </xf>
    <xf numFmtId="0" fontId="0" fillId="0" borderId="9" applyAlignment="1" pivotButton="0" quotePrefix="0" xfId="0">
      <alignment vertical="center"/>
    </xf>
    <xf numFmtId="0" fontId="0" fillId="0" borderId="10" applyAlignment="1" pivotButton="0" quotePrefix="0" xfId="0">
      <alignment vertical="center" wrapText="1"/>
    </xf>
    <xf numFmtId="0" fontId="5" fillId="0" borderId="8" applyAlignment="1" pivotButton="0" quotePrefix="0" xfId="1">
      <alignment vertical="center" wrapText="1"/>
    </xf>
    <xf numFmtId="0" fontId="3" fillId="0" borderId="6" applyAlignment="1" pivotButton="0" quotePrefix="0" xfId="0">
      <alignment vertical="center" wrapTex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0" fillId="0" borderId="11" applyAlignment="1" pivotButton="0" quotePrefix="0" xfId="0">
      <alignment vertical="center" wrapText="1"/>
    </xf>
    <xf numFmtId="0" fontId="5" fillId="0" borderId="9" applyAlignment="1" pivotButton="0" quotePrefix="0" xfId="1">
      <alignment vertical="center" wrapText="1"/>
    </xf>
    <xf numFmtId="0" fontId="3" fillId="0" borderId="5" applyAlignment="1" pivotButton="0" quotePrefix="0" xfId="0">
      <alignment vertical="center" wrapText="1"/>
    </xf>
    <xf numFmtId="0" fontId="0" fillId="0" borderId="6" pivotButton="0" quotePrefix="0" xfId="0"/>
    <xf numFmtId="0" fontId="3" fillId="7" borderId="6" applyAlignment="1" pivotButton="0" quotePrefix="0" xfId="0">
      <alignment vertical="center" wrapText="1"/>
    </xf>
    <xf numFmtId="0" fontId="4" fillId="7" borderId="1" applyAlignment="1" pivotButton="0" quotePrefix="0" xfId="0">
      <alignment wrapText="1"/>
    </xf>
    <xf numFmtId="0" fontId="3" fillId="7" borderId="1" applyAlignment="1" pivotButton="0" quotePrefix="0" xfId="0">
      <alignment horizontal="center" vertical="center" wrapText="1"/>
    </xf>
    <xf numFmtId="0" fontId="3" fillId="7" borderId="1" applyAlignment="1" pivotButton="0" quotePrefix="0" xfId="0">
      <alignment vertical="center" wrapText="1"/>
    </xf>
    <xf numFmtId="0" fontId="3" fillId="0" borderId="0" pivotButton="0" quotePrefix="0" xfId="0"/>
    <xf numFmtId="0" fontId="0" fillId="0" borderId="12" applyAlignment="1" pivotButton="0" quotePrefix="0" xfId="0">
      <alignment horizontal="center" vertical="center"/>
    </xf>
    <xf numFmtId="0" fontId="12" fillId="0" borderId="1" applyAlignment="1" pivotButton="0" quotePrefix="0" xfId="0">
      <alignment horizontal="center" vertical="top" wrapText="1"/>
    </xf>
    <xf numFmtId="0" fontId="13" fillId="0" borderId="1" applyAlignment="1" pivotButton="0" quotePrefix="0" xfId="0">
      <alignment wrapText="1"/>
    </xf>
    <xf numFmtId="0" fontId="2" fillId="0" borderId="2" applyAlignment="1" pivotButton="0" quotePrefix="0" xfId="0">
      <alignment horizontal="center"/>
    </xf>
    <xf numFmtId="0" fontId="2" fillId="0" borderId="7" applyAlignment="1" pivotButton="0" quotePrefix="0" xfId="0">
      <alignment horizontal="center"/>
    </xf>
    <xf numFmtId="0" fontId="0" fillId="0" borderId="13" applyAlignment="1" pivotButton="0" quotePrefix="0" xfId="0">
      <alignment vertical="center"/>
    </xf>
    <xf numFmtId="0" fontId="0" fillId="0" borderId="10" applyAlignment="1" pivotButton="0" quotePrefix="0" xfId="0">
      <alignment vertical="center"/>
    </xf>
    <xf numFmtId="0" fontId="0" fillId="0" borderId="0" applyAlignment="1" pivotButton="0" quotePrefix="0" xfId="0">
      <alignment vertical="center"/>
    </xf>
    <xf numFmtId="0" fontId="0" fillId="0" borderId="11" applyAlignment="1" pivotButton="0" quotePrefix="0" xfId="0">
      <alignment vertical="center"/>
    </xf>
    <xf numFmtId="0" fontId="5" fillId="0" borderId="7" applyAlignment="1" pivotButton="0" quotePrefix="0" xfId="2">
      <alignment vertical="center" wrapText="1"/>
    </xf>
    <xf numFmtId="0" fontId="5" fillId="0" borderId="8" applyAlignment="1" pivotButton="0" quotePrefix="0" xfId="2">
      <alignmen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4" applyAlignment="1" pivotButton="0" quotePrefix="0" xfId="0">
      <alignment horizontal="center" vertical="top"/>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8" borderId="2" applyAlignment="1" pivotButton="0" quotePrefix="0" xfId="0">
      <alignment vertical="center"/>
    </xf>
    <xf numFmtId="0" fontId="0" fillId="8" borderId="3" applyAlignment="1" pivotButton="0" quotePrefix="0" xfId="0">
      <alignment vertical="center"/>
    </xf>
    <xf numFmtId="0" fontId="3" fillId="8" borderId="1" applyAlignment="1" pivotButton="0" quotePrefix="0" xfId="0">
      <alignment horizontal="center" vertical="center" wrapText="1"/>
    </xf>
    <xf numFmtId="0" fontId="3" fillId="8" borderId="5" applyAlignment="1" pivotButton="0" quotePrefix="0" xfId="0">
      <alignment vertical="center" wrapText="1"/>
    </xf>
    <xf numFmtId="0" fontId="0" fillId="0" borderId="3" pivotButton="0" quotePrefix="0" xfId="0"/>
    <xf numFmtId="0" fontId="0" fillId="0" borderId="4" pivotButton="0" quotePrefix="0" xfId="0"/>
    <xf numFmtId="0" fontId="14"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Hipervínculo" xfId="1" builtinId="8"/>
    <cellStyle name="Hyperlink"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486" TargetMode="External" Id="rId1"/><Relationship Type="http://schemas.openxmlformats.org/officeDocument/2006/relationships/hyperlink" Target="https://co.pims.undp.org/project/view?id=5681" TargetMode="External" Id="rId2"/><Relationship Type="http://schemas.openxmlformats.org/officeDocument/2006/relationships/hyperlink" Target="https://co.pims.undp.org/project/view?id=5509" TargetMode="External" Id="rId3"/></Relationships>
</file>

<file path=xl/worksheets/_rels/sheet2.xml.rels><Relationships xmlns="http://schemas.openxmlformats.org/package/2006/relationships"><Relationship Type="http://schemas.openxmlformats.org/officeDocument/2006/relationships/hyperlink" Target="https://co.pims.undp.org/project/view?id=6486" TargetMode="External" Id="rId1"/><Relationship Type="http://schemas.openxmlformats.org/officeDocument/2006/relationships/hyperlink" Target="https://co.pims.undp.org/project/view?id=5681" TargetMode="External" Id="rId2"/><Relationship Type="http://schemas.openxmlformats.org/officeDocument/2006/relationships/hyperlink" Target="https://co.pims.undp.org/project/view?id=5509" TargetMode="External" Id="rId3"/><Relationship Type="http://schemas.openxmlformats.org/officeDocument/2006/relationships/hyperlink" Target="https://co.pims.undp.org/project/view?id=5509" TargetMode="External" Id="rId4"/><Relationship Type="http://schemas.openxmlformats.org/officeDocument/2006/relationships/hyperlink" Target="https://co.pims.undp.org/project/view?id=5509" TargetMode="External" Id="rId5"/><Relationship Type="http://schemas.openxmlformats.org/officeDocument/2006/relationships/hyperlink" Target="https://co.pims.undp.org/project/view?id=5509" TargetMode="External" Id="rId6"/><Relationship Type="http://schemas.openxmlformats.org/officeDocument/2006/relationships/hyperlink" Target="https://co.pims.undp.org/project/view?id=5509" TargetMode="External" Id="rId7"/><Relationship Type="http://schemas.openxmlformats.org/officeDocument/2006/relationships/hyperlink" Target="https://co.pims.undp.org/project/view?id=5509" TargetMode="External" Id="rId8"/><Relationship Type="http://schemas.openxmlformats.org/officeDocument/2006/relationships/hyperlink" Target="https://co.pims.undp.org/project/view?id=5509" TargetMode="External" Id="rId9"/></Relationships>
</file>

<file path=xl/worksheets/_rels/sheet3.xml.rels><Relationships xmlns="http://schemas.openxmlformats.org/package/2006/relationships"><Relationship Type="http://schemas.openxmlformats.org/officeDocument/2006/relationships/hyperlink" Target="https://co.pims.undp.org/project/view?id=6486" TargetMode="External" Id="rId1"/><Relationship Type="http://schemas.openxmlformats.org/officeDocument/2006/relationships/hyperlink" Target="https://co.pims.undp.org/project/view?id=5681" TargetMode="External" Id="rId2"/><Relationship Type="http://schemas.openxmlformats.org/officeDocument/2006/relationships/hyperlink" Target="https://co.pims.undp.org/project/view?id=5509" TargetMode="External" Id="rId3"/><Relationship Type="http://schemas.openxmlformats.org/officeDocument/2006/relationships/hyperlink" Target="https://co.pims.undp.org/project/view?id=5509" TargetMode="External" Id="rId4"/><Relationship Type="http://schemas.openxmlformats.org/officeDocument/2006/relationships/hyperlink" Target="https://co.pims.undp.org/project/view?id=5509" TargetMode="External" Id="rId5"/><Relationship Type="http://schemas.openxmlformats.org/officeDocument/2006/relationships/hyperlink" Target="https://co.pims.undp.org/project/view?id=5509" TargetMode="External" Id="rId6"/><Relationship Type="http://schemas.openxmlformats.org/officeDocument/2006/relationships/hyperlink" Target="https://co.pims.undp.org/project/view?id=5509" TargetMode="External" Id="rId7"/><Relationship Type="http://schemas.openxmlformats.org/officeDocument/2006/relationships/hyperlink" Target="https://co.pims.undp.org/project/view?id=5509" TargetMode="External" Id="rId8"/><Relationship Type="http://schemas.openxmlformats.org/officeDocument/2006/relationships/hyperlink" Target="https://co.pims.undp.org/project/view?id=5509" TargetMode="External" Id="rId9"/></Relationships>
</file>

<file path=xl/worksheets/sheet1.xml><?xml version="1.0" encoding="utf-8"?>
<worksheet xmlns="http://schemas.openxmlformats.org/spreadsheetml/2006/main">
  <sheetPr>
    <outlinePr summaryBelow="1" summaryRight="1"/>
    <pageSetUpPr/>
  </sheetPr>
  <dimension ref="A1:AB19"/>
  <sheetViews>
    <sheetView tabSelected="1" workbookViewId="0">
      <pane xSplit="1" ySplit="1" topLeftCell="B8" activePane="bottomRight" state="frozen"/>
      <selection pane="bottomRight" activeCell="C11" sqref="C11"/>
      <selection pane="bottomLeft" activeCell="A1" sqref="A1"/>
      <selection pane="topRight" activeCell="A1" sqref="A1"/>
    </sheetView>
  </sheetViews>
  <sheetFormatPr baseColWidth="8" defaultRowHeight="15"/>
  <cols>
    <col width="66.28515625" bestFit="1" customWidth="1" min="2" max="2"/>
    <col width="20.7109375" customWidth="1" min="3" max="3"/>
    <col width="13" customWidth="1" min="4" max="4"/>
    <col width="13" customWidth="1" min="5" max="5"/>
    <col width="13" bestFit="1" customWidth="1" style="1" min="6" max="6"/>
    <col width="13" customWidth="1" style="1" min="7" max="7"/>
    <col width="13" customWidth="1" style="1" min="8" max="8"/>
    <col width="19.5703125" customWidth="1" style="1" min="9" max="9"/>
    <col width="50.85546875" customWidth="1" min="10" max="10"/>
    <col width="56.5703125" customWidth="1" min="14" max="14"/>
    <col width="14.42578125" bestFit="1" customWidth="1" min="16" max="16"/>
    <col width="18.42578125" customWidth="1" min="17" max="17"/>
    <col width="16.5703125" bestFit="1" customWidth="1" min="19" max="19"/>
    <col width="18.140625" bestFit="1" customWidth="1" min="20" max="20"/>
    <col width="13.42578125" bestFit="1" customWidth="1" min="21" max="21"/>
    <col width="19.5703125" bestFit="1" customWidth="1" min="22" max="22"/>
    <col width="30.28515625" bestFit="1" customWidth="1" min="23" max="23"/>
    <col width="16.7109375" bestFit="1" customWidth="1" min="24" max="24"/>
  </cols>
  <sheetData>
    <row r="1">
      <c r="A1" s="41" t="inlineStr">
        <is>
          <t>Project ID</t>
        </is>
      </c>
      <c r="B1" s="41" t="inlineStr">
        <is>
          <t>Title</t>
        </is>
      </c>
      <c r="C1" s="41" t="inlineStr">
        <is>
          <t>Link</t>
        </is>
      </c>
      <c r="D1" s="41" t="inlineStr">
        <is>
          <t>Budget</t>
        </is>
      </c>
      <c r="E1" s="41" t="inlineStr">
        <is>
          <t>Start Year</t>
        </is>
      </c>
      <c r="F1" s="41" t="inlineStr">
        <is>
          <t>End Year</t>
        </is>
      </c>
      <c r="G1" s="41" t="inlineStr">
        <is>
          <t>Status</t>
        </is>
      </c>
      <c r="H1" s="41" t="inlineStr">
        <is>
          <t>VF or Non-VF</t>
        </is>
      </c>
      <c r="I1" s="41" t="inlineStr">
        <is>
          <t>Country</t>
        </is>
      </c>
      <c r="J1" s="11" t="inlineStr">
        <is>
          <t>Beneficiary Category</t>
        </is>
      </c>
      <c r="K1" s="11" t="inlineStr">
        <is>
          <t>Indicator</t>
        </is>
      </c>
      <c r="L1" s="11" t="inlineStr">
        <is>
          <t>Baseline</t>
        </is>
      </c>
      <c r="M1" s="11" t="inlineStr">
        <is>
          <t>Target</t>
        </is>
      </c>
      <c r="N1" s="10" t="inlineStr">
        <is>
          <t>Notes</t>
        </is>
      </c>
      <c r="O1" s="39" t="inlineStr">
        <is>
          <t>Donors</t>
        </is>
      </c>
      <c r="P1" s="9" t="inlineStr">
        <is>
          <t>Gender (% female)</t>
        </is>
      </c>
      <c r="Q1" s="39" t="inlineStr">
        <is>
          <t>Category</t>
        </is>
      </c>
      <c r="R1" s="9" t="inlineStr">
        <is>
          <t>Comments</t>
        </is>
      </c>
      <c r="S1" s="39" t="inlineStr">
        <is>
          <t>Tag</t>
        </is>
      </c>
      <c r="T1" s="42" t="inlineStr">
        <is>
          <t>SEH Taxonomy</t>
        </is>
      </c>
      <c r="U1" s="42" t="inlineStr">
        <is>
          <t>RISE Taxonomy</t>
        </is>
      </c>
      <c r="V1" s="82" t="inlineStr">
        <is>
          <t>Flagship</t>
        </is>
      </c>
      <c r="W1" s="82" t="inlineStr">
        <is>
          <t>Indirect Category</t>
        </is>
      </c>
      <c r="X1" s="83" t="inlineStr">
        <is>
          <t>Indirect Taxonomy</t>
        </is>
      </c>
      <c r="Y1" s="39" t="inlineStr">
        <is>
          <t>Technology</t>
        </is>
      </c>
      <c r="Z1" s="83" t="inlineStr">
        <is>
          <t>Market Intervention</t>
        </is>
      </c>
      <c r="AA1" s="83" t="inlineStr">
        <is>
          <t>Policy or Regulatory Framework</t>
        </is>
      </c>
      <c r="AB1" s="39" t="inlineStr">
        <is>
          <t>Policy Population</t>
        </is>
      </c>
    </row>
    <row r="2" ht="60.75" customHeight="1">
      <c r="A2" s="43" t="n">
        <v>6486</v>
      </c>
      <c r="B2" s="43" t="inlineStr">
        <is>
          <t>Promoting Low-carbon Electric Public Bus Transport in Mauritius</t>
        </is>
      </c>
      <c r="C2" s="88" t="inlineStr">
        <is>
          <t>https://co.pims.undp.org/project/view?id=6486</t>
        </is>
      </c>
      <c r="D2" s="44" t="n">
        <v>5600607</v>
      </c>
      <c r="E2" s="99" t="n"/>
      <c r="F2" s="99" t="n"/>
      <c r="G2" s="99" t="n"/>
      <c r="H2" s="44" t="n"/>
      <c r="I2" s="84" t="inlineStr">
        <is>
          <t>Mauritius</t>
        </is>
      </c>
      <c r="J2" s="45" t="inlineStr">
        <is>
          <t>Energy (MW added)</t>
        </is>
      </c>
      <c r="K2" s="46" t="inlineStr">
        <is>
          <t>Increase in installed renewable energy capacity per technology  MW</t>
        </is>
      </c>
      <c r="L2" s="47" t="n">
        <v>0</v>
      </c>
      <c r="M2" s="47" t="n">
        <v>0.75</v>
      </c>
      <c r="N2" s="48" t="inlineStr">
        <is>
          <t>Increase in total installed Solar PV capacity in Mauritius for bus charging</t>
        </is>
      </c>
      <c r="O2" s="49" t="inlineStr">
        <is>
          <t>GEF</t>
        </is>
      </c>
      <c r="P2" s="50" t="n"/>
      <c r="Q2" s="51" t="inlineStr">
        <is>
          <t>VF</t>
        </is>
      </c>
      <c r="R2" s="50" t="n"/>
      <c r="S2" s="14" t="n"/>
      <c r="T2" s="60" t="inlineStr">
        <is>
          <t>Accelerating just energy transition</t>
        </is>
      </c>
      <c r="U2" s="90" t="n"/>
      <c r="V2" s="90" t="n"/>
      <c r="W2" s="90" t="n"/>
      <c r="X2" s="90" t="n"/>
      <c r="Y2" s="92" t="inlineStr">
        <is>
          <t>Solar</t>
        </is>
      </c>
      <c r="Z2" s="90" t="n"/>
      <c r="AA2" s="90" t="n"/>
      <c r="AB2" s="92" t="n"/>
    </row>
    <row r="3" ht="152.25" customHeight="1">
      <c r="A3" s="52" t="n"/>
      <c r="B3" s="52" t="n"/>
      <c r="C3" s="52" t="n"/>
      <c r="D3" s="53" t="n"/>
      <c r="E3" s="53" t="n"/>
      <c r="F3" s="53" t="n"/>
      <c r="G3" s="53" t="n"/>
      <c r="H3" s="53" t="n"/>
      <c r="I3" s="85" t="n"/>
      <c r="J3" s="45" t="inlineStr">
        <is>
          <t>Campaign Participant</t>
        </is>
      </c>
      <c r="K3" s="54" t="inlineStr">
        <is>
          <t>Number of beneficiaries</t>
        </is>
      </c>
      <c r="L3" s="47" t="n">
        <v>0</v>
      </c>
      <c r="M3" s="47" t="n">
        <v>700000</v>
      </c>
      <c r="N3" s="48" t="inlineStr">
        <is>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is>
      </c>
      <c r="O3" s="49" t="inlineStr">
        <is>
          <t>GEF</t>
        </is>
      </c>
      <c r="P3" s="50" t="n"/>
      <c r="Q3" s="51" t="inlineStr">
        <is>
          <t>VF</t>
        </is>
      </c>
      <c r="R3" s="55" t="inlineStr">
        <is>
          <t>to the CO: Please estimate number of beneficiaries.
From CO: The estimated number of beneficiaries from the 35 promotional campaigns is expected to be around 700,000.</t>
        </is>
      </c>
      <c r="S3" s="14" t="n"/>
      <c r="T3" s="60" t="inlineStr">
        <is>
          <t>Accelerating just energy transition</t>
        </is>
      </c>
      <c r="U3" s="90" t="n"/>
      <c r="V3" s="90" t="n"/>
      <c r="W3" s="90" t="n"/>
      <c r="X3" s="90" t="n"/>
      <c r="Y3" s="92" t="n"/>
      <c r="Z3" s="90" t="n"/>
      <c r="AA3" s="90" t="n"/>
      <c r="AB3" s="92" t="n"/>
    </row>
    <row r="4" ht="106.5" customHeight="1">
      <c r="A4" s="52" t="n"/>
      <c r="B4" s="52" t="n"/>
      <c r="C4" s="52" t="n"/>
      <c r="D4" s="53" t="n"/>
      <c r="E4" s="53" t="n"/>
      <c r="F4" s="53" t="n"/>
      <c r="G4" s="53" t="n"/>
      <c r="H4" s="53" t="n"/>
      <c r="I4" s="85" t="n"/>
      <c r="J4" s="45" t="inlineStr">
        <is>
          <t>Policy or Regulatory Framework</t>
        </is>
      </c>
      <c r="K4" s="56" t="inlineStr">
        <is>
          <t>Progress in developing policies and regulations to create an enabling environment for electric bus mobility in Mauritius.</t>
        </is>
      </c>
      <c r="L4" s="47" t="n">
        <v>0</v>
      </c>
      <c r="M4" s="47" t="n">
        <v>1</v>
      </c>
      <c r="N4" s="48" t="inlineStr">
        <is>
          <t>Approved Gender-responsive Policy and Regulatory Framework documents endorsed and approved by the Cabinet/Parliament</t>
        </is>
      </c>
      <c r="O4" s="49" t="inlineStr">
        <is>
          <t>GEF</t>
        </is>
      </c>
      <c r="P4" s="50" t="n"/>
      <c r="Q4" s="51" t="inlineStr">
        <is>
          <t>VF</t>
        </is>
      </c>
      <c r="R4" s="57" t="n"/>
      <c r="S4" s="14" t="n"/>
      <c r="T4" s="60" t="inlineStr">
        <is>
          <t>Accelerating just energy transition</t>
        </is>
      </c>
      <c r="U4" s="90" t="inlineStr">
        <is>
          <t>Renewable Energy</t>
        </is>
      </c>
      <c r="V4" s="90" t="n"/>
      <c r="W4" s="90" t="inlineStr">
        <is>
          <t>Legal Framework</t>
        </is>
      </c>
      <c r="X4" s="90" t="inlineStr">
        <is>
          <t>Transport</t>
        </is>
      </c>
      <c r="Y4" s="92" t="n"/>
      <c r="Z4" s="90" t="n"/>
      <c r="AA4" s="90" t="inlineStr">
        <is>
          <t>National</t>
        </is>
      </c>
      <c r="AB4" s="92" t="n"/>
    </row>
    <row r="5" ht="60.75" customHeight="1">
      <c r="A5" s="52" t="n"/>
      <c r="B5" s="52" t="n"/>
      <c r="C5" s="52" t="n"/>
      <c r="D5" s="53" t="n"/>
      <c r="E5" s="53" t="n"/>
      <c r="F5" s="53" t="n"/>
      <c r="G5" s="53" t="n"/>
      <c r="H5" s="53" t="n"/>
      <c r="I5" s="86" t="n"/>
      <c r="J5" s="78" t="inlineStr">
        <is>
          <t>Transportation and E-mobility Services</t>
        </is>
      </c>
      <c r="K5" s="58" t="inlineStr">
        <is>
          <t>Direct Project Beneficiaries per day- public transport passengers</t>
        </is>
      </c>
      <c r="L5" s="47" t="inlineStr">
        <is>
          <t>Negligible</t>
        </is>
      </c>
      <c r="M5" s="47" t="n">
        <v>21000</v>
      </c>
      <c r="N5" s="48" t="inlineStr">
        <is>
          <t>Number of public transport passengers impacted in terms of number of public transport passengers that are able to travel on electric public transport buses on a regular basis</t>
        </is>
      </c>
      <c r="O5" s="59" t="inlineStr">
        <is>
          <t>GEF</t>
        </is>
      </c>
      <c r="P5" s="50" t="n"/>
      <c r="Q5" s="51" t="inlineStr">
        <is>
          <t>VF</t>
        </is>
      </c>
      <c r="R5" s="57" t="n"/>
      <c r="S5" s="14" t="n"/>
      <c r="T5" s="60" t="inlineStr">
        <is>
          <t>Accelerating just energy transition</t>
        </is>
      </c>
      <c r="U5" s="90" t="n"/>
      <c r="V5" s="90" t="n"/>
      <c r="W5" s="90" t="n"/>
      <c r="X5" s="90" t="n"/>
      <c r="Y5" s="92" t="n"/>
      <c r="Z5" s="90" t="n"/>
      <c r="AA5" s="90" t="n"/>
      <c r="AB5" s="92" t="n"/>
    </row>
    <row r="6" ht="148.5" customHeight="1">
      <c r="A6" s="43" t="n">
        <v>5681</v>
      </c>
      <c r="B6" s="43" t="inlineStr">
        <is>
          <t>Transformational shift to a low-carbon economy</t>
        </is>
      </c>
      <c r="C6" s="88" t="inlineStr">
        <is>
          <t>https://co.pims.undp.org/project/view?id=5681</t>
        </is>
      </c>
      <c r="D6" s="44" t="n">
        <v>28210000</v>
      </c>
      <c r="E6" s="99" t="n"/>
      <c r="F6" s="99" t="n"/>
      <c r="G6" s="99" t="n"/>
      <c r="H6" s="44" t="n"/>
      <c r="I6" s="84" t="inlineStr">
        <is>
          <t>Mauritius</t>
        </is>
      </c>
      <c r="J6" s="60" t="inlineStr">
        <is>
          <t>Electricity Access</t>
        </is>
      </c>
      <c r="K6" s="61" t="inlineStr">
        <is>
          <t>Direct Project Beneficiaries</t>
        </is>
      </c>
      <c r="L6" s="47" t="n">
        <v>252178</v>
      </c>
      <c r="M6" s="47" t="n">
        <v>441315</v>
      </c>
      <c r="N6" s="62" t="inlineStr">
        <is>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is>
      </c>
      <c r="O6" s="63" t="inlineStr">
        <is>
          <t>GCF</t>
        </is>
      </c>
      <c r="P6" s="14" t="n"/>
      <c r="Q6" s="51" t="inlineStr">
        <is>
          <t>VF</t>
        </is>
      </c>
      <c r="R6" s="34" t="n"/>
      <c r="S6" s="14" t="n"/>
      <c r="T6" s="60" t="inlineStr">
        <is>
          <t>Accelerating just energy transition</t>
        </is>
      </c>
      <c r="U6" s="90" t="n"/>
      <c r="V6" s="90" t="n"/>
      <c r="W6" s="90" t="n"/>
      <c r="X6" s="90" t="n"/>
      <c r="Y6" s="92" t="inlineStr">
        <is>
          <t>Solar</t>
        </is>
      </c>
      <c r="Z6" s="90" t="n"/>
      <c r="AA6" s="90" t="n"/>
      <c r="AB6" s="92" t="n"/>
    </row>
    <row r="7" ht="151.5" customHeight="1">
      <c r="A7" s="52" t="n"/>
      <c r="B7" s="52" t="n"/>
      <c r="C7" s="52" t="n"/>
      <c r="D7" s="53" t="n"/>
      <c r="E7" s="53" t="n"/>
      <c r="F7" s="53" t="n"/>
      <c r="G7" s="53" t="n"/>
      <c r="H7" s="53" t="n"/>
      <c r="I7" s="85" t="n"/>
      <c r="J7" s="60" t="inlineStr">
        <is>
          <t>GHG Emissions Reduction</t>
        </is>
      </c>
      <c r="K7" s="61" t="inlineStr">
        <is>
          <t>Tonnes of Carbon Dioxide equivalent reduced or avoided</t>
        </is>
      </c>
      <c r="L7" s="61" t="n">
        <v>0</v>
      </c>
      <c r="M7" s="47" t="n">
        <v>196000</v>
      </c>
      <c r="N7" s="62" t="inlineStr">
        <is>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is>
      </c>
      <c r="O7" s="63" t="inlineStr">
        <is>
          <t>GCF</t>
        </is>
      </c>
      <c r="P7" s="14" t="n"/>
      <c r="Q7" s="51" t="inlineStr">
        <is>
          <t>VF</t>
        </is>
      </c>
      <c r="R7" s="34" t="n"/>
      <c r="S7" s="14" t="n"/>
      <c r="T7" s="60" t="inlineStr">
        <is>
          <t>Accelerating just energy transition</t>
        </is>
      </c>
      <c r="U7" s="90" t="n"/>
      <c r="V7" s="90" t="n"/>
      <c r="W7" s="90" t="n"/>
      <c r="X7" s="90" t="n"/>
      <c r="Y7" s="92" t="n"/>
      <c r="Z7" s="90" t="n"/>
      <c r="AA7" s="90" t="n"/>
      <c r="AB7" s="92" t="n"/>
    </row>
    <row r="8" ht="105" customHeight="1">
      <c r="A8" s="52" t="n"/>
      <c r="B8" s="52" t="n"/>
      <c r="C8" s="52" t="n"/>
      <c r="D8" s="53" t="n"/>
      <c r="E8" s="53" t="n"/>
      <c r="F8" s="53" t="n"/>
      <c r="G8" s="53" t="n"/>
      <c r="H8" s="53" t="n"/>
      <c r="I8" s="85" t="n"/>
      <c r="J8" s="60" t="inlineStr">
        <is>
          <t>Electricity Access</t>
        </is>
      </c>
      <c r="K8" s="61" t="inlineStr">
        <is>
          <t>Number of households and individuals (males and females) with improved access to low-emission energy sources</t>
        </is>
      </c>
      <c r="L8" s="61" t="inlineStr">
        <is>
          <t>83000 HH</t>
        </is>
      </c>
      <c r="M8" s="61" t="inlineStr">
        <is>
          <t>129500 HH</t>
        </is>
      </c>
      <c r="N8" s="62" t="inlineStr">
        <is>
          <t xml:space="preserve">Based on estimate of low-emission MW divided by effective capacity of the power system, multiplied by total number of households/household composition in Mauritius and Rodrigues.
Installation of rooftopps solar PV panels in households is ongoing. </t>
        </is>
      </c>
      <c r="O8" s="63" t="inlineStr">
        <is>
          <t>GCF</t>
        </is>
      </c>
      <c r="P8" s="14" t="n"/>
      <c r="Q8" s="51" t="inlineStr">
        <is>
          <t>VF</t>
        </is>
      </c>
      <c r="R8" s="34" t="n"/>
      <c r="S8" s="14" t="n"/>
      <c r="T8" s="60" t="inlineStr">
        <is>
          <t>Accelerating just energy transition</t>
        </is>
      </c>
      <c r="U8" s="90" t="n"/>
      <c r="V8" s="90" t="n"/>
      <c r="W8" s="90" t="n"/>
      <c r="X8" s="90" t="n"/>
      <c r="Y8" s="92" t="inlineStr">
        <is>
          <t>Solar</t>
        </is>
      </c>
      <c r="Z8" s="90" t="n"/>
      <c r="AA8" s="90" t="n"/>
      <c r="AB8" s="92" t="n"/>
    </row>
    <row r="9" ht="147.75" customHeight="1">
      <c r="A9" s="52" t="n"/>
      <c r="B9" s="52" t="n"/>
      <c r="C9" s="52" t="n"/>
      <c r="J9" s="53" t="inlineStr">
        <is>
          <t>Energy Storage (MW)</t>
        </is>
      </c>
      <c r="K9" s="61" t="inlineStr">
        <is>
          <t>Battery energy storage system procured MW</t>
        </is>
      </c>
      <c r="L9" s="61" t="inlineStr">
        <is>
          <t>No AGC software installed 
No batteries 
Grid able to accept 60 MW</t>
        </is>
      </c>
      <c r="M9" s="61" t="n">
        <v>18</v>
      </c>
      <c r="N9" s="62" t="inlineStr">
        <is>
          <t>As at date, 18 MW total capacity of battery energy storage system has already been installed and the grid absorption capacity has been increased from 60MW to 185 MW.</t>
        </is>
      </c>
      <c r="O9" s="63" t="inlineStr">
        <is>
          <t>GCF</t>
        </is>
      </c>
      <c r="P9" s="14" t="n"/>
      <c r="Q9" s="51" t="inlineStr">
        <is>
          <t>VF</t>
        </is>
      </c>
      <c r="R9" s="34" t="n"/>
      <c r="S9" s="14" t="n"/>
      <c r="T9" s="60" t="inlineStr">
        <is>
          <t>Accelerating just energy transition</t>
        </is>
      </c>
      <c r="U9" s="90" t="n"/>
      <c r="V9" s="90" t="n"/>
      <c r="W9" s="90" t="n"/>
      <c r="X9" s="90" t="n"/>
      <c r="Y9" s="92" t="n"/>
      <c r="Z9" s="90" t="n"/>
      <c r="AA9" s="90" t="n"/>
      <c r="AB9" s="92" t="n"/>
    </row>
    <row r="10" ht="86.25" customHeight="1">
      <c r="A10" s="52" t="n"/>
      <c r="B10" s="52" t="n"/>
      <c r="C10" s="52" t="n"/>
      <c r="D10" s="53" t="n"/>
      <c r="E10" s="53" t="n"/>
      <c r="F10" s="53" t="n"/>
      <c r="G10" s="53" t="n"/>
      <c r="H10" s="53" t="n"/>
      <c r="I10" s="85" t="n"/>
      <c r="J10" s="60" t="inlineStr">
        <is>
          <t>Policy or Regulatory Framework</t>
        </is>
      </c>
      <c r="K10" s="61" t="inlineStr">
        <is>
          <t>Renewable Energy Agency Act in place</t>
        </is>
      </c>
      <c r="L10" s="61" t="inlineStr">
        <is>
          <t>Legislation voted</t>
        </is>
      </c>
      <c r="M10" s="61" t="n"/>
      <c r="N10" s="62" t="inlineStr">
        <is>
          <t>Government is fully supporting the project and is maintaining policy of promoting renewable energy. As a result, the Mauritius Renewable Energy Agency (MARENA) is in place and is functioning under the aegis of the Ministry of Energy and Public Utilities.</t>
        </is>
      </c>
      <c r="O10" s="63" t="inlineStr">
        <is>
          <t>GCF</t>
        </is>
      </c>
      <c r="P10" s="14" t="n"/>
      <c r="Q10" s="51" t="inlineStr">
        <is>
          <t>VF</t>
        </is>
      </c>
      <c r="R10" s="35" t="n"/>
      <c r="S10" s="14" t="n"/>
      <c r="T10" s="60" t="inlineStr">
        <is>
          <t>Accelerating just energy transition</t>
        </is>
      </c>
      <c r="U10" s="90" t="n"/>
      <c r="V10" s="90" t="n"/>
      <c r="W10" s="90" t="n"/>
      <c r="X10" s="90" t="n"/>
      <c r="Y10" s="92" t="n"/>
      <c r="Z10" s="90" t="n"/>
      <c r="AA10" s="90" t="n"/>
      <c r="AB10" s="92" t="n"/>
    </row>
    <row r="11" ht="262.5" customHeight="1">
      <c r="A11" s="64" t="n"/>
      <c r="B11" s="64" t="n"/>
      <c r="C11" s="64" t="n"/>
      <c r="D11" s="51" t="n"/>
      <c r="E11" s="51" t="n"/>
      <c r="F11" s="51" t="n"/>
      <c r="G11" s="51" t="n"/>
      <c r="H11" s="51" t="n"/>
      <c r="I11" s="87" t="n"/>
      <c r="J11" s="60" t="inlineStr">
        <is>
          <t>Energy (MW added)</t>
        </is>
      </c>
      <c r="K11" s="61" t="inlineStr">
        <is>
          <t>Actual MW installed by category</t>
        </is>
      </c>
      <c r="L11" s="61" t="n">
        <v>5</v>
      </c>
      <c r="M11" s="61" t="n">
        <v>11</v>
      </c>
      <c r="N11" s="62" t="inlineStr">
        <is>
          <t>Installation of solar PV panels on rooftops of households and NGOs has already started.
4MW capacity on grid from NGOs and 10MW from households.
11 MW capacity installed on public buildings.
5MW PV under phases 1,2 and 3</t>
        </is>
      </c>
      <c r="O11" s="63" t="inlineStr">
        <is>
          <t>GCF</t>
        </is>
      </c>
      <c r="P11" s="14" t="n"/>
      <c r="Q11" s="51" t="inlineStr">
        <is>
          <t>VF</t>
        </is>
      </c>
      <c r="R11" s="36" t="inlineStr">
        <is>
          <t>to the CO: Are the 25MW discussed in this output overlapping with the # of beneficiaries listed above?
From CO: The estimated number of beneficiaries does include the 25 MW that will be deployed under this project. It is expected that Mauritians will stand to benefit from the project since the facilitation of renewable energy uptake and the installation of solar PV facilities is being supported under the project. Those who do not benefit directly from the project (that is, those who do not have rooftop PV) will nonetheless benefit from increased grid stability, lower grid losses and more stable electricity prices over time. With a higher renewable energy content distributed throughout the grid, all Mauritians will benefit from more rapid re-establishment of supply after climate-forced interruptions.</t>
        </is>
      </c>
      <c r="S11" s="14" t="n"/>
      <c r="T11" s="60" t="inlineStr">
        <is>
          <t>Accelerating just energy transition</t>
        </is>
      </c>
      <c r="U11" s="90" t="n"/>
      <c r="V11" s="90" t="n"/>
      <c r="W11" s="90" t="n"/>
      <c r="X11" s="90" t="n"/>
      <c r="Y11" s="92" t="inlineStr">
        <is>
          <t>Solar</t>
        </is>
      </c>
      <c r="Z11" s="90" t="n"/>
      <c r="AA11" s="90" t="n"/>
      <c r="AB11" s="92" t="n"/>
    </row>
    <row r="12" ht="106.5" customHeight="1">
      <c r="A12" s="53" t="n">
        <v>5509</v>
      </c>
      <c r="B12" s="65" t="inlineStr">
        <is>
          <t xml:space="preserve">Realising Energy Savings and Climate Benefits of Implementing Mandatory Energy Auditing in the Republic of Mauritius </t>
        </is>
      </c>
      <c r="C12" s="89" t="inlineStr">
        <is>
          <t>https://co.pims.undp.org/project/view?id=5509</t>
        </is>
      </c>
      <c r="D12" s="53" t="n">
        <v>4532164</v>
      </c>
      <c r="E12" s="100" t="n"/>
      <c r="F12" s="100" t="n"/>
      <c r="G12" s="100" t="n"/>
      <c r="H12" s="53" t="n"/>
      <c r="I12" s="84" t="inlineStr">
        <is>
          <t>Mauritius</t>
        </is>
      </c>
      <c r="J12" s="67" t="inlineStr">
        <is>
          <t>Medium Enterprises</t>
        </is>
      </c>
      <c r="K12" s="46" t="inlineStr">
        <is>
          <t xml:space="preserve"> % of the 650 largest energy consumers  that have ISO 50001 based energy management systems in place </t>
        </is>
      </c>
      <c r="L12" s="68" t="n">
        <v>4</v>
      </c>
      <c r="M12" s="68" t="n">
        <v>40</v>
      </c>
      <c r="N12" s="54" t="inlineStr">
        <is>
          <t xml:space="preserve">Includes firms that are fully ISO-50001 compliant, but also firms that have energy management systems that are partially compliant or otherwise based on ISO 50001 principles and training. </t>
        </is>
      </c>
      <c r="O12" s="49" t="inlineStr">
        <is>
          <t>GEF</t>
        </is>
      </c>
      <c r="P12" s="14" t="n"/>
      <c r="Q12" s="92" t="inlineStr">
        <is>
          <t>VF</t>
        </is>
      </c>
      <c r="R12" s="37" t="inlineStr">
        <is>
          <t>to the CO: What is the project ID / title here?
Project ID: 5509
Project Title:Realising  Energy Savings and Climate Benefits of implementing Mandatory EEnergy Auditing in the Republic of Mauritius</t>
        </is>
      </c>
      <c r="S12" s="14" t="n"/>
      <c r="T12" s="60" t="inlineStr">
        <is>
          <t>Accelerating just energy transition</t>
        </is>
      </c>
      <c r="U12" s="90" t="n"/>
      <c r="V12" s="90" t="n"/>
      <c r="W12" s="90" t="n"/>
      <c r="X12" s="90" t="n"/>
      <c r="Y12" s="92" t="n"/>
      <c r="Z12" s="90" t="n"/>
      <c r="AA12" s="90" t="n"/>
      <c r="AB12" s="92" t="n"/>
    </row>
    <row r="13" ht="45.75" customHeight="1">
      <c r="A13" s="53" t="n"/>
      <c r="B13" s="65" t="n"/>
      <c r="C13" s="66" t="n"/>
      <c r="D13" s="53" t="n"/>
      <c r="E13" s="53" t="n"/>
      <c r="F13" s="53" t="n"/>
      <c r="G13" s="53" t="n"/>
      <c r="H13" s="53" t="n"/>
      <c r="I13" s="85" t="n"/>
      <c r="J13" s="67" t="inlineStr">
        <is>
          <t>Small Enterprises</t>
        </is>
      </c>
      <c r="K13" s="46" t="inlineStr">
        <is>
          <t xml:space="preserve">No. of direct project beneficiaries </t>
        </is>
      </c>
      <c r="L13" s="68" t="n">
        <v>0</v>
      </c>
      <c r="M13" s="68" t="n">
        <v>435</v>
      </c>
      <c r="N13" s="46" t="inlineStr">
        <is>
          <t xml:space="preserve">Firms receiving energy-efficiency training and other support.  </t>
        </is>
      </c>
      <c r="O13" s="49" t="inlineStr">
        <is>
          <t>GEF</t>
        </is>
      </c>
      <c r="P13" s="14" t="n"/>
      <c r="Q13" s="92" t="inlineStr">
        <is>
          <t>VF</t>
        </is>
      </c>
      <c r="R13" s="38" t="inlineStr">
        <is>
          <t>Project Title and ID inserted. Note that the Prodoc is undergoing amendments prior to re-submission to GEF</t>
        </is>
      </c>
      <c r="S13" s="14" t="n"/>
      <c r="T13" s="60" t="inlineStr">
        <is>
          <t>Accelerating just energy transition</t>
        </is>
      </c>
      <c r="U13" s="90" t="n"/>
      <c r="V13" s="90" t="n"/>
      <c r="W13" s="90" t="n"/>
      <c r="X13" s="90" t="n"/>
      <c r="Y13" s="92" t="n"/>
      <c r="Z13" s="90" t="n"/>
      <c r="AA13" s="90" t="n"/>
      <c r="AB13" s="92" t="n"/>
    </row>
    <row r="14" ht="45.75" customHeight="1">
      <c r="A14" s="53" t="n"/>
      <c r="B14" s="65" t="n"/>
      <c r="C14" s="66" t="n"/>
      <c r="D14" s="53" t="n"/>
      <c r="E14" s="53" t="n"/>
      <c r="F14" s="53" t="n"/>
      <c r="G14" s="53" t="n"/>
      <c r="H14" s="53" t="n"/>
      <c r="I14" s="85" t="n"/>
      <c r="J14" s="67" t="inlineStr">
        <is>
          <t>Small Enterprises</t>
        </is>
      </c>
      <c r="K14" s="46" t="inlineStr">
        <is>
          <t xml:space="preserve">No. of direct project beneficiaries </t>
        </is>
      </c>
      <c r="L14" s="68" t="n">
        <v>0</v>
      </c>
      <c r="M14" s="68" t="n">
        <v>170</v>
      </c>
      <c r="N14" s="46" t="inlineStr">
        <is>
          <t xml:space="preserve">“Individuals” here refers to practicing and aspiring energy-efficiency professionals receiving training and other support.  </t>
        </is>
      </c>
      <c r="O14" s="49" t="inlineStr">
        <is>
          <t>GEF</t>
        </is>
      </c>
      <c r="P14" s="14" t="n"/>
      <c r="Q14" s="92" t="inlineStr">
        <is>
          <t>VF</t>
        </is>
      </c>
      <c r="R14" s="32" t="n"/>
      <c r="S14" s="14" t="n"/>
      <c r="T14" s="60" t="inlineStr">
        <is>
          <t>Close the gap on energy access</t>
        </is>
      </c>
      <c r="U14" s="90" t="n"/>
      <c r="V14" s="90" t="n"/>
      <c r="W14" s="90" t="n"/>
      <c r="X14" s="90" t="n"/>
      <c r="Y14" s="92" t="n"/>
      <c r="Z14" s="90" t="n"/>
      <c r="AA14" s="90" t="n"/>
      <c r="AB14" s="92" t="n"/>
    </row>
    <row r="15" ht="76.5" customHeight="1">
      <c r="A15" s="53" t="n"/>
      <c r="B15" s="65" t="n"/>
      <c r="C15" s="66" t="n"/>
      <c r="D15" s="53" t="n"/>
      <c r="E15" s="53" t="n"/>
      <c r="F15" s="53" t="n"/>
      <c r="G15" s="53" t="n"/>
      <c r="H15" s="53" t="n"/>
      <c r="I15" s="86" t="n"/>
      <c r="J15" s="79" t="inlineStr">
        <is>
          <t>Capacity Building Training</t>
        </is>
      </c>
      <c r="K15" s="46" t="inlineStr">
        <is>
          <t xml:space="preserve">Number of people trained and certified in energy audit and energy management based in Mauritius </t>
        </is>
      </c>
      <c r="L15" s="68" t="n"/>
      <c r="M15" s="68" t="n">
        <v>31</v>
      </c>
      <c r="N15" s="69" t="inlineStr">
        <is>
          <t>Includes Energy auditors, Energy Managers, Energy Mangement Auditors, MRV specialists (33 % women)</t>
        </is>
      </c>
      <c r="O15" s="49" t="inlineStr">
        <is>
          <t>GEF</t>
        </is>
      </c>
      <c r="P15" s="30" t="n">
        <v>0.33</v>
      </c>
      <c r="Q15" s="92" t="inlineStr">
        <is>
          <t>VF</t>
        </is>
      </c>
      <c r="R15" s="32" t="n"/>
      <c r="S15" s="14" t="n"/>
      <c r="T15" s="60" t="inlineStr">
        <is>
          <t>Close the gap on energy access</t>
        </is>
      </c>
      <c r="U15" s="90" t="n"/>
      <c r="V15" s="90" t="n"/>
      <c r="W15" s="90" t="n"/>
      <c r="X15" s="90" t="n"/>
      <c r="Y15" s="92" t="n"/>
      <c r="Z15" s="90" t="n"/>
      <c r="AA15" s="90" t="n"/>
      <c r="AB15" s="92" t="n"/>
    </row>
    <row r="16" ht="81" customHeight="1">
      <c r="A16" s="53" t="n"/>
      <c r="B16" s="65" t="n"/>
      <c r="C16" s="66" t="n"/>
      <c r="D16" s="53" t="n"/>
      <c r="E16" s="53" t="n"/>
      <c r="F16" s="53" t="n"/>
      <c r="G16" s="53" t="n"/>
      <c r="H16" s="53" t="n"/>
      <c r="I16" s="85" t="n"/>
      <c r="J16" s="74" t="inlineStr">
        <is>
          <t>Campaign Participant</t>
        </is>
      </c>
      <c r="K16" s="75" t="inlineStr">
        <is>
          <t xml:space="preserve">Number of articles/communication items per year that specifically refer to energy efficiency measures for small-medium </t>
        </is>
      </c>
      <c r="L16" s="76" t="n">
        <v>0</v>
      </c>
      <c r="M16" s="76" t="n">
        <v>50</v>
      </c>
      <c r="N16" s="77" t="inlineStr">
        <is>
          <t>Communication may include not only mass media coverage, but also e-bulletins, mailings, and other direct outreach to recipients.</t>
        </is>
      </c>
      <c r="O16" s="49" t="inlineStr">
        <is>
          <t>GEF</t>
        </is>
      </c>
      <c r="P16" s="14" t="n"/>
      <c r="Q16" s="92" t="inlineStr">
        <is>
          <t>VF</t>
        </is>
      </c>
      <c r="R16" s="32" t="n"/>
      <c r="S16" s="14" t="n"/>
      <c r="T16" s="60" t="inlineStr">
        <is>
          <t>Close the gap on energy access</t>
        </is>
      </c>
      <c r="U16" s="90" t="n"/>
      <c r="V16" s="90" t="n"/>
      <c r="W16" s="90" t="n"/>
      <c r="X16" s="90" t="n"/>
      <c r="Y16" s="92" t="n"/>
      <c r="Z16" s="90" t="n"/>
      <c r="AA16" s="90" t="n"/>
      <c r="AB16" s="92" t="n"/>
    </row>
    <row r="17" ht="76.5" customHeight="1">
      <c r="A17" s="53" t="n"/>
      <c r="B17" s="65" t="n"/>
      <c r="C17" s="66" t="n"/>
      <c r="D17" s="53" t="n"/>
      <c r="E17" s="53" t="n"/>
      <c r="F17" s="53" t="n"/>
      <c r="G17" s="53" t="n"/>
      <c r="H17" s="53" t="n"/>
      <c r="I17" s="85" t="n"/>
      <c r="J17" s="67" t="inlineStr">
        <is>
          <t>Policy or Regulatory Framework</t>
        </is>
      </c>
      <c r="K17" s="46" t="inlineStr">
        <is>
          <t xml:space="preserve">Progress towards plans and policies for the implementation of the Energy Efficiency Regulations </t>
        </is>
      </c>
      <c r="L17" s="68" t="n">
        <v>0</v>
      </c>
      <c r="M17" s="68" t="n">
        <v>14</v>
      </c>
      <c r="N17" s="69" t="inlineStr">
        <is>
          <t xml:space="preserve">Includes agreement on Roadmap, achieving energy savings and GHG reductions targets, restructuring of EEMO, enery audit mandatory for private sector, new MEPS adopted, Mauritas accredited, etc. </t>
        </is>
      </c>
      <c r="O17" s="49" t="inlineStr">
        <is>
          <t>GEF</t>
        </is>
      </c>
      <c r="P17" s="14" t="n"/>
      <c r="Q17" s="92" t="inlineStr">
        <is>
          <t>VF</t>
        </is>
      </c>
      <c r="R17" s="32" t="n"/>
      <c r="S17" s="14" t="n"/>
      <c r="T17" s="60" t="inlineStr">
        <is>
          <t>Close the gap on energy access</t>
        </is>
      </c>
      <c r="U17" s="90" t="inlineStr">
        <is>
          <t>Energy Efficiency</t>
        </is>
      </c>
      <c r="V17" s="90" t="n"/>
      <c r="W17" s="90" t="inlineStr">
        <is>
          <t>National Strategy</t>
        </is>
      </c>
      <c r="X17" s="90" t="inlineStr">
        <is>
          <t>Energy Efficiency</t>
        </is>
      </c>
      <c r="Y17" s="92" t="n"/>
      <c r="Z17" s="90" t="n"/>
      <c r="AA17" s="90" t="inlineStr">
        <is>
          <t>National</t>
        </is>
      </c>
      <c r="AB17" s="92" t="n"/>
    </row>
    <row r="18" ht="106.5" customHeight="1">
      <c r="A18" s="51" t="n"/>
      <c r="B18" s="70" t="n"/>
      <c r="C18" s="71" t="n"/>
      <c r="D18" s="51" t="n"/>
      <c r="E18" s="51" t="n"/>
      <c r="F18" s="51" t="n"/>
      <c r="G18" s="51" t="n"/>
      <c r="H18" s="51" t="n"/>
      <c r="I18" s="87" t="n"/>
      <c r="J18" s="67" t="inlineStr">
        <is>
          <t>Medium Enterprises</t>
        </is>
      </c>
      <c r="K18" s="46" t="inlineStr">
        <is>
          <t xml:space="preserve">No of firms, including both large energy consumers and SMEs, that have invested in energy efficiency upgrades as a result of project activities </t>
        </is>
      </c>
      <c r="L18" s="68" t="n">
        <v>108</v>
      </c>
      <c r="M18" s="68" t="n">
        <v>348</v>
      </c>
      <c r="N18" s="72" t="inlineStr">
        <is>
          <t>Baseline : Before the project: 108 firms as of March 2018   End of Project:  80 firms beyond baseline from among the 650 largest energy consumers, plus 160 SMEs (Additional of 240 over the baseline of 108 equals 348).</t>
        </is>
      </c>
      <c r="O18" s="59" t="inlineStr">
        <is>
          <t>GEF</t>
        </is>
      </c>
      <c r="P18" s="73" t="n"/>
      <c r="Q18" s="92" t="inlineStr">
        <is>
          <t>VF</t>
        </is>
      </c>
      <c r="R18" s="32" t="n"/>
      <c r="S18" s="14" t="n"/>
      <c r="T18" s="60" t="inlineStr">
        <is>
          <t>Close the gap on energy access</t>
        </is>
      </c>
      <c r="U18" s="90" t="n"/>
      <c r="V18" s="90" t="n"/>
      <c r="W18" s="90" t="n"/>
      <c r="X18" s="90" t="n"/>
      <c r="Y18" s="92" t="n"/>
      <c r="Z18" s="90" t="n"/>
      <c r="AA18" s="90" t="n"/>
      <c r="AB18" s="92" t="n"/>
    </row>
    <row r="19">
      <c r="A19" s="51" t="n"/>
      <c r="B19" s="70" t="n"/>
      <c r="C19" s="71" t="n"/>
      <c r="D19" s="51" t="n"/>
      <c r="E19" s="51" t="n"/>
      <c r="F19" s="51" t="n"/>
      <c r="G19" s="51" t="n"/>
      <c r="H19" s="51" t="n"/>
      <c r="I19" s="87" t="n"/>
      <c r="J19" s="67" t="inlineStr">
        <is>
          <t>Energy (MW added)</t>
        </is>
      </c>
      <c r="K19" s="46" t="inlineStr">
        <is>
          <t>Installed capacity in MW for access/productive-use outputs</t>
        </is>
      </c>
      <c r="L19" s="68" t="n">
        <v>0</v>
      </c>
      <c r="M19" s="101" t="n"/>
      <c r="N19" s="102" t="inlineStr">
        <is>
          <t>[AUTO-ADDED] Project reports access/productive-use beneficiary numbers but no MW value. Please add installed capacity (MW) or confirm not applicable.</t>
        </is>
      </c>
      <c r="O19" s="59" t="n"/>
      <c r="P19" s="73" t="n"/>
      <c r="Q19" s="92" t="n"/>
      <c r="R19" s="32" t="n"/>
      <c r="S19" s="14" t="n"/>
      <c r="T19" s="60" t="n"/>
      <c r="U19" s="90" t="n"/>
      <c r="V19" s="90" t="n"/>
      <c r="W19" s="90" t="n"/>
      <c r="X19" s="90" t="n"/>
      <c r="Y19" s="92" t="n"/>
      <c r="Z19" s="90" t="n"/>
      <c r="AA19" s="90" t="n"/>
      <c r="AB19" s="92" t="n"/>
    </row>
  </sheetData>
  <dataValidations count="12">
    <dataValidation sqref="F7" showDropDown="0" showInputMessage="1" showErrorMessage="1" allowBlank="1"/>
    <dataValidation sqref="P2:P18" showDropDown="0" showInputMessage="1" showErrorMessage="1" allowBlank="1" type="list">
      <formula1>"Accelerating just energy transition, Close the gap on energy access, Scale up energy finance"</formula1>
    </dataValidation>
    <dataValidation sqref="R2:R18" showDropDown="0" showInputMessage="1" showErrorMessage="1" allowBlank="1" type="list">
      <formula1>"AMP, PUDC, Solar4Health, Action Opportunities, Italy UNDP Energy Partnership"</formula1>
    </dataValidation>
    <dataValidation sqref="S2:S18"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Q18" showDropDown="0" showInputMessage="1" showErrorMessage="1" allowBlank="1" type="list">
      <formula1>"Electricity Access, Energy Efficiency, Clean Cooking, Renewable Energy, Overall"</formula1>
    </dataValidation>
    <dataValidation sqref="W2:W18" showDropDown="0" showInputMessage="1" showErrorMessage="1" allowBlank="1" type="list">
      <formula1>"National, Regional, City, Community"</formula1>
    </dataValidation>
    <dataValidation sqref="U2:U18" showDropDown="0" showInputMessage="1" showErrorMessage="1" allowBlank="1" type="list">
      <formula1>"Solar, Wind, Bioenergy, Hydro, Geothermal, Waste, Some Sources, Other, Unknown"</formula1>
    </dataValidation>
    <dataValidation sqref="T2:T18"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V2:V18" showDropDown="0" showInputMessage="1" showErrorMessage="1" allowBlank="1" type="list">
      <formula1>"Incentives and Support, Derisking Financial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6" r:id="rId2"/>
    <hyperlink xmlns:r="http://schemas.openxmlformats.org/officeDocument/2006/relationships" ref="C12"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66.28515625" bestFit="1" customWidth="1" min="2" max="2"/>
    <col width="20.7109375" customWidth="1" min="3" max="3"/>
    <col width="20.7109375" customWidth="1" style="1" min="5" max="6"/>
    <col width="12.7109375" customWidth="1" style="1" min="7" max="7"/>
    <col width="19.5703125" customWidth="1" style="1" min="8" max="8"/>
    <col width="50.85546875" customWidth="1" min="9" max="9"/>
    <col width="56.5703125" customWidth="1" min="13" max="13"/>
  </cols>
  <sheetData>
    <row r="1">
      <c r="A1" s="10" t="inlineStr">
        <is>
          <t>Project ID</t>
        </is>
      </c>
      <c r="B1" s="10" t="inlineStr">
        <is>
          <t>Title</t>
        </is>
      </c>
      <c r="C1" s="10" t="inlineStr">
        <is>
          <t>Link</t>
        </is>
      </c>
      <c r="D1" s="10" t="inlineStr">
        <is>
          <t>Budget</t>
        </is>
      </c>
      <c r="E1" s="11" t="inlineStr">
        <is>
          <t>Beneficiary Category</t>
        </is>
      </c>
      <c r="F1" s="11" t="inlineStr">
        <is>
          <t>Indicator</t>
        </is>
      </c>
      <c r="G1" s="11" t="inlineStr">
        <is>
          <t>Baseline</t>
        </is>
      </c>
      <c r="H1" s="11" t="inlineStr">
        <is>
          <t>Target</t>
        </is>
      </c>
      <c r="I1" s="10" t="inlineStr">
        <is>
          <t>Notes</t>
        </is>
      </c>
      <c r="J1" s="9" t="inlineStr">
        <is>
          <t>Donors</t>
        </is>
      </c>
      <c r="K1" s="9" t="inlineStr">
        <is>
          <t>Gender (% female)</t>
        </is>
      </c>
      <c r="L1" s="9" t="inlineStr">
        <is>
          <t>Category</t>
        </is>
      </c>
      <c r="M1" s="9" t="inlineStr">
        <is>
          <t>Comments</t>
        </is>
      </c>
      <c r="N1" s="39" t="inlineStr">
        <is>
          <t>Tag</t>
        </is>
      </c>
      <c r="O1" s="39" t="inlineStr">
        <is>
          <t>SEH Taxonomy</t>
        </is>
      </c>
      <c r="P1" s="39" t="inlineStr">
        <is>
          <t>RISE Taxonomy</t>
        </is>
      </c>
      <c r="Q1" s="39" t="inlineStr">
        <is>
          <t>Flagship</t>
        </is>
      </c>
      <c r="R1" s="39" t="inlineStr">
        <is>
          <t>Indirect Category</t>
        </is>
      </c>
      <c r="S1" s="39" t="inlineStr">
        <is>
          <t>Indirect Taxonomy</t>
        </is>
      </c>
      <c r="T1" s="39" t="n"/>
    </row>
    <row r="2" ht="60.75" customHeight="1">
      <c r="A2" s="90" t="n">
        <v>6486</v>
      </c>
      <c r="B2" s="92" t="inlineStr">
        <is>
          <t>Promoting Low-carbon Electric Public Bus Transport in Mauritius</t>
        </is>
      </c>
      <c r="C2" s="23" t="inlineStr">
        <is>
          <t>6486 Promoting Low-carbon Electric Public Bus Transport in Mauritius (undp.org)</t>
        </is>
      </c>
      <c r="D2" s="92" t="n">
        <v>5600607</v>
      </c>
      <c r="E2" s="6" t="inlineStr">
        <is>
          <t>Energy (MW added)</t>
        </is>
      </c>
      <c r="F2" s="12" t="inlineStr">
        <is>
          <t>Increase in installed renewable energy capacity per technology  MW</t>
        </is>
      </c>
      <c r="G2" s="5" t="n">
        <v>0</v>
      </c>
      <c r="H2" s="5" t="n">
        <v>0.75</v>
      </c>
      <c r="I2" s="13" t="inlineStr">
        <is>
          <t>Increase in total installed Solar PV capacity in Mauritius for bus charging</t>
        </is>
      </c>
      <c r="J2" s="91" t="inlineStr">
        <is>
          <t>GEF</t>
        </is>
      </c>
      <c r="K2" s="14" t="n"/>
      <c r="L2" s="92" t="inlineStr">
        <is>
          <t>VF</t>
        </is>
      </c>
      <c r="M2" s="32" t="n"/>
      <c r="N2" s="14" t="n"/>
      <c r="O2" s="14" t="n"/>
      <c r="P2" s="14" t="n"/>
      <c r="Q2" s="14" t="n"/>
      <c r="R2" s="14" t="n"/>
      <c r="S2" s="14" t="n"/>
      <c r="T2" s="14" t="n"/>
    </row>
    <row r="3" ht="152.25" customHeight="1">
      <c r="A3" s="103" t="n"/>
      <c r="B3" s="92" t="n"/>
      <c r="C3" s="92" t="n"/>
      <c r="D3" s="92" t="n"/>
      <c r="E3" s="19" t="inlineStr">
        <is>
          <t>Campaign Participant</t>
        </is>
      </c>
      <c r="F3" s="20" t="inlineStr">
        <is>
          <t>Number of beneficiaries</t>
        </is>
      </c>
      <c r="G3" s="21" t="n">
        <v>0</v>
      </c>
      <c r="H3" s="21" t="n">
        <v>700000</v>
      </c>
      <c r="I3" s="20" t="inlineStr">
        <is>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is>
      </c>
      <c r="J3" s="103" t="n"/>
      <c r="K3" s="14" t="n"/>
      <c r="L3" s="103" t="n"/>
      <c r="M3" s="33" t="inlineStr">
        <is>
          <t>to the CO: Please estimate number of beneficiaries.
From CO: The estimated number of beneficiaries from the 35 promotional campaigns is expected to be around 700,000.</t>
        </is>
      </c>
      <c r="N3" s="14" t="n"/>
      <c r="O3" s="14" t="n"/>
      <c r="P3" s="14" t="n"/>
      <c r="Q3" s="14" t="n"/>
      <c r="R3" s="14" t="n"/>
      <c r="S3" s="14" t="n"/>
      <c r="T3" s="14" t="n"/>
    </row>
    <row r="4" ht="106.5" customHeight="1">
      <c r="A4" s="103" t="n"/>
      <c r="B4" s="92" t="n"/>
      <c r="C4" s="92" t="n"/>
      <c r="D4" s="92" t="n"/>
      <c r="E4" s="6" t="inlineStr">
        <is>
          <t>Policy or Regulatory Framework</t>
        </is>
      </c>
      <c r="F4" s="6" t="inlineStr">
        <is>
          <t>Progress in developing policies and regulations to create an enabling environment for electric bus mobility in Mauritius.</t>
        </is>
      </c>
      <c r="G4" s="5" t="n">
        <v>0</v>
      </c>
      <c r="H4" s="5" t="n">
        <v>1</v>
      </c>
      <c r="I4" s="13" t="inlineStr">
        <is>
          <t>Approved Gender-responsive Policy and Regulatory Framework documents endorsed and approved by the Cabinet/Parliament</t>
        </is>
      </c>
      <c r="J4" s="103" t="n"/>
      <c r="K4" s="14" t="n"/>
      <c r="L4" s="103" t="n"/>
      <c r="M4" s="34" t="n"/>
      <c r="N4" s="14" t="n"/>
      <c r="O4" s="14" t="n"/>
      <c r="P4" s="14" t="n"/>
      <c r="Q4" s="14" t="n"/>
      <c r="R4" s="14" t="n"/>
      <c r="S4" s="14" t="n"/>
      <c r="T4" s="14" t="n"/>
    </row>
    <row r="5" ht="60.75" customHeight="1">
      <c r="A5" s="104" t="n"/>
      <c r="B5" s="92" t="n"/>
      <c r="C5" s="92" t="n"/>
      <c r="D5" s="92" t="n"/>
      <c r="E5" s="6" t="inlineStr">
        <is>
          <t>Transport Services</t>
        </is>
      </c>
      <c r="F5" s="7" t="inlineStr">
        <is>
          <t>Direct Project Beneficiaries per day- public transport passengers</t>
        </is>
      </c>
      <c r="G5" s="5" t="inlineStr">
        <is>
          <t>Negligible</t>
        </is>
      </c>
      <c r="H5" s="5" t="n">
        <v>21000</v>
      </c>
      <c r="I5" s="13" t="inlineStr">
        <is>
          <t>Number of public transport passengers impacted in terms of number of public transport passengers that are able to travel on electric public transport buses on a regular basis</t>
        </is>
      </c>
      <c r="J5" s="104" t="n"/>
      <c r="K5" s="14" t="n"/>
      <c r="L5" s="104" t="n"/>
      <c r="M5" s="34" t="n"/>
      <c r="N5" s="14" t="n"/>
      <c r="O5" s="14" t="n"/>
      <c r="P5" s="14" t="n"/>
      <c r="Q5" s="14" t="n"/>
      <c r="R5" s="14" t="n"/>
      <c r="S5" s="14" t="n"/>
      <c r="T5" s="14" t="n"/>
    </row>
    <row r="6" ht="148.5" customHeight="1">
      <c r="A6" s="92" t="n">
        <v>5681</v>
      </c>
      <c r="B6" s="92" t="inlineStr">
        <is>
          <t>Transformational shift to a low-carbon economy</t>
        </is>
      </c>
      <c r="C6" s="23" t="inlineStr">
        <is>
          <t>5681 Transformational shift to a low-carbon economy (undp.org)</t>
        </is>
      </c>
      <c r="D6" s="92" t="n">
        <v>28210000</v>
      </c>
      <c r="E6" s="2" t="inlineStr">
        <is>
          <t>Electricity Access</t>
        </is>
      </c>
      <c r="F6" s="2" t="inlineStr">
        <is>
          <t>Direct Project Beneficiaries</t>
        </is>
      </c>
      <c r="G6" s="3" t="n">
        <v>252178</v>
      </c>
      <c r="H6" s="3" t="n">
        <v>441315</v>
      </c>
      <c r="I6" s="4" t="inlineStr">
        <is>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is>
      </c>
      <c r="J6" s="91" t="inlineStr">
        <is>
          <t>GCF</t>
        </is>
      </c>
      <c r="K6" s="14" t="n"/>
      <c r="L6" s="90" t="inlineStr">
        <is>
          <t>VF</t>
        </is>
      </c>
      <c r="M6" s="34" t="n"/>
      <c r="N6" s="14" t="n"/>
      <c r="O6" s="14" t="n"/>
      <c r="P6" s="14" t="n"/>
      <c r="Q6" s="14" t="n"/>
      <c r="R6" s="14" t="n"/>
      <c r="S6" s="14" t="n"/>
      <c r="T6" s="14" t="n"/>
    </row>
    <row r="7" ht="151.5" customHeight="1">
      <c r="A7" s="92" t="n"/>
      <c r="B7" s="92" t="n"/>
      <c r="C7" s="92" t="n"/>
      <c r="D7" s="92" t="n"/>
      <c r="E7" s="2" t="inlineStr">
        <is>
          <t>GHG Emissions Reduction</t>
        </is>
      </c>
      <c r="F7" s="2" t="inlineStr">
        <is>
          <t>Tonnes of Carbon Dioxide equivalent reduced or avoided</t>
        </is>
      </c>
      <c r="G7" s="2" t="n">
        <v>0</v>
      </c>
      <c r="H7" s="3" t="n">
        <v>196000</v>
      </c>
      <c r="I7" s="4" t="inlineStr">
        <is>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is>
      </c>
      <c r="J7" s="103" t="n"/>
      <c r="K7" s="14" t="n"/>
      <c r="L7" s="103" t="n"/>
      <c r="M7" s="34" t="n"/>
      <c r="N7" s="14" t="n"/>
      <c r="O7" s="14" t="n"/>
      <c r="P7" s="14" t="n"/>
      <c r="Q7" s="14" t="n"/>
      <c r="R7" s="14" t="n"/>
      <c r="S7" s="14" t="n"/>
      <c r="T7" s="14" t="n"/>
    </row>
    <row r="8" ht="105" customHeight="1">
      <c r="A8" s="92" t="n"/>
      <c r="B8" s="92" t="n"/>
      <c r="C8" s="92" t="n"/>
      <c r="D8" s="92" t="n"/>
      <c r="E8" s="2" t="inlineStr">
        <is>
          <t>Electricity Access</t>
        </is>
      </c>
      <c r="F8" s="2" t="inlineStr">
        <is>
          <t>Number of households and individuals (males and females) with improved access to low-emission energy sources</t>
        </is>
      </c>
      <c r="G8" s="2" t="inlineStr">
        <is>
          <t>83000 HH</t>
        </is>
      </c>
      <c r="H8" s="2" t="inlineStr">
        <is>
          <t>129500 HH</t>
        </is>
      </c>
      <c r="I8" s="4" t="inlineStr">
        <is>
          <t xml:space="preserve">Based on estimate of low-emission MW divided by effective capacity of the power system, multiplied by total number of households/household composition in Mauritius and Rodrigues.
Installation of rooftopps solar PV panels in households is ongoing. </t>
        </is>
      </c>
      <c r="J8" s="103" t="n"/>
      <c r="K8" s="14" t="n"/>
      <c r="L8" s="103" t="n"/>
      <c r="M8" s="34" t="n"/>
      <c r="N8" s="14" t="n"/>
      <c r="O8" s="14" t="n"/>
      <c r="P8" s="14" t="n"/>
      <c r="Q8" s="14" t="n"/>
      <c r="R8" s="14" t="n"/>
      <c r="S8" s="14" t="n"/>
      <c r="T8" s="14" t="n"/>
    </row>
    <row r="9" ht="147.75" customHeight="1">
      <c r="A9" s="92" t="n"/>
      <c r="B9" s="92" t="n"/>
      <c r="C9" s="92" t="n"/>
      <c r="D9" s="92" t="n"/>
      <c r="E9" s="2" t="n"/>
      <c r="F9" s="2" t="inlineStr">
        <is>
          <t>Battery energy storage system procured MW</t>
        </is>
      </c>
      <c r="G9" s="2" t="inlineStr">
        <is>
          <t>No AGC software installed 
No batteries 
Grid able to accept 60 MW</t>
        </is>
      </c>
      <c r="H9" s="2" t="n">
        <v>18</v>
      </c>
      <c r="I9" s="4" t="inlineStr">
        <is>
          <t>As at date, 18 MW total capacity of battery energy storage system has already been installed and the grid absorption capacity has been increased from 60MW to 185 MW.</t>
        </is>
      </c>
      <c r="J9" s="103" t="n"/>
      <c r="K9" s="14" t="n"/>
      <c r="L9" s="103" t="n"/>
      <c r="M9" s="34" t="n"/>
      <c r="N9" s="14" t="n"/>
      <c r="O9" s="14" t="n"/>
      <c r="P9" s="14" t="n"/>
      <c r="Q9" s="14" t="n"/>
      <c r="R9" s="14" t="n"/>
      <c r="S9" s="14" t="n"/>
      <c r="T9" s="14" t="n"/>
    </row>
    <row r="10" ht="86.25" customHeight="1">
      <c r="A10" s="92" t="n"/>
      <c r="B10" s="92" t="n"/>
      <c r="C10" s="92" t="n"/>
      <c r="D10" s="92" t="n"/>
      <c r="E10" s="2" t="inlineStr">
        <is>
          <t>Policy or Regulatory Framework</t>
        </is>
      </c>
      <c r="F10" s="2" t="inlineStr">
        <is>
          <t>Renewable Energy Agency Act in place</t>
        </is>
      </c>
      <c r="G10" s="2" t="inlineStr">
        <is>
          <t>Legislation voted</t>
        </is>
      </c>
      <c r="H10" s="2" t="n"/>
      <c r="I10" s="4" t="inlineStr">
        <is>
          <t>Government is fully supporting the project and is maintaining policy of promoting renewable energy. As a result, the Mauritius Renewable Energy Agency (MARENA) is in place and is functioning under the aegis of the Ministry of Energy and Public Utilities.</t>
        </is>
      </c>
      <c r="J10" s="103" t="n"/>
      <c r="K10" s="14" t="n"/>
      <c r="L10" s="103" t="n"/>
      <c r="M10" s="35" t="n"/>
      <c r="N10" s="14" t="n"/>
      <c r="O10" s="14" t="n"/>
      <c r="P10" s="14" t="n"/>
      <c r="Q10" s="14" t="n"/>
      <c r="R10" s="14" t="n"/>
      <c r="S10" s="14" t="n"/>
      <c r="T10" s="14" t="n"/>
    </row>
    <row r="11" ht="262.5" customHeight="1">
      <c r="A11" s="92" t="n"/>
      <c r="B11" s="92" t="n"/>
      <c r="C11" s="92" t="n"/>
      <c r="D11" s="92" t="n"/>
      <c r="E11" s="2" t="inlineStr">
        <is>
          <t>Energy (MW added)</t>
        </is>
      </c>
      <c r="F11" s="2" t="inlineStr">
        <is>
          <t>Actual MW installed by category</t>
        </is>
      </c>
      <c r="G11" s="2" t="n">
        <v>5</v>
      </c>
      <c r="H11" s="2" t="n">
        <v>11</v>
      </c>
      <c r="I11" s="4" t="inlineStr">
        <is>
          <t>Installation of solar PV panels on rooftops of households and NGOs has already started.
4MW capacity on grid from NGOs and 10MW from households.
11 MW capacity installed on public buildings.
5MW PV under phases 1,2 and 3</t>
        </is>
      </c>
      <c r="J11" s="104" t="n"/>
      <c r="K11" s="14" t="n"/>
      <c r="L11" s="103" t="n"/>
      <c r="M11" s="36" t="inlineStr">
        <is>
          <t>to the CO: Are the 25MW discussed in this output overlapping with the # of beneficiaries listed above?
From CO: The estimated number of beneficiaries does include the 25 MW that will be deployed under this project. It is expected that Mauritians will stand to benefit from the project since the facilitation of renewable energy uptake and the installation of solar PV facilities is being supported under the project. Those who do not benefit directly from the project (that is, those who do not have rooftop PV) will nonetheless benefit from increased grid stability, lower grid losses and more stable electricity prices over time. With a higher renewable energy content distributed throughout the grid, all Mauritians will benefit from more rapid re-establishment of supply after climate-forced interruptions.</t>
        </is>
      </c>
      <c r="N11" s="14" t="n"/>
      <c r="O11" s="14" t="n"/>
      <c r="P11" s="14" t="n"/>
      <c r="Q11" s="14" t="n"/>
      <c r="R11" s="14" t="n"/>
      <c r="S11" s="14" t="n"/>
      <c r="T11" s="14" t="n"/>
    </row>
    <row r="12" ht="106.5" customHeight="1">
      <c r="A12" s="92" t="n">
        <v>5509</v>
      </c>
      <c r="B12" s="24" t="inlineStr">
        <is>
          <t xml:space="preserve">Realising Energy Savings and Climate Benefits of Implementing Mandatory Energy Auditing in the Republic of Mauritius </t>
        </is>
      </c>
      <c r="C12" s="27" t="inlineStr">
        <is>
          <t xml:space="preserve">Realising Energy Savings and Climate Benefits of Implementing Mandatory Energy Auditing in the Republic of Mauritius </t>
        </is>
      </c>
      <c r="D12" s="92" t="n">
        <v>4532164</v>
      </c>
      <c r="E12" s="15" t="inlineStr">
        <is>
          <t>Medium Enterprises</t>
        </is>
      </c>
      <c r="F12" s="8" t="inlineStr">
        <is>
          <t xml:space="preserve"> % of the 650 largest energy consumers  that have ISO 50001 based energy management systems in place </t>
        </is>
      </c>
      <c r="G12" s="16" t="n">
        <v>4</v>
      </c>
      <c r="H12" s="16" t="n">
        <v>40</v>
      </c>
      <c r="I12" s="17" t="inlineStr">
        <is>
          <t xml:space="preserve">Includes firms that are fully ISO-50001 compliant, but also firms that have energy management systems that are partially compliant or otherwise based on ISO 50001 principles and training. </t>
        </is>
      </c>
      <c r="J12" s="91" t="inlineStr">
        <is>
          <t>GEF</t>
        </is>
      </c>
      <c r="K12" s="14" t="n"/>
      <c r="L12" s="103" t="n"/>
      <c r="M12" s="37" t="inlineStr">
        <is>
          <t>to the CO: What is the project ID / title here?
Project ID: 5509
Project Title:Realising  Energy Savings and Climate Benefits of implementing Mandatory EEnergy Auditing in the Republic of Mauritius</t>
        </is>
      </c>
      <c r="N12" s="14" t="n"/>
      <c r="O12" s="14" t="n"/>
      <c r="P12" s="14" t="n"/>
      <c r="Q12" s="14" t="n"/>
      <c r="R12" s="14" t="n"/>
      <c r="S12" s="14" t="n"/>
      <c r="T12" s="14" t="n"/>
    </row>
    <row r="13" ht="30.75" customHeight="1">
      <c r="A13" s="92" t="n"/>
      <c r="B13" s="25" t="n"/>
      <c r="C13" s="28" t="inlineStr">
        <is>
          <t>https://co.pims.undp.org/project/view?id=5509</t>
        </is>
      </c>
      <c r="D13" s="92" t="n"/>
      <c r="E13" s="15" t="inlineStr">
        <is>
          <t>Small Enterprises</t>
        </is>
      </c>
      <c r="F13" s="8" t="inlineStr">
        <is>
          <t xml:space="preserve">No. of direct project beneficiaries </t>
        </is>
      </c>
      <c r="G13" s="16" t="n">
        <v>0</v>
      </c>
      <c r="H13" s="16" t="n">
        <v>435</v>
      </c>
      <c r="I13" s="8" t="inlineStr">
        <is>
          <t xml:space="preserve">Firms receiving energy-efficiency training and other support.  </t>
        </is>
      </c>
      <c r="J13" s="103" t="n"/>
      <c r="K13" s="14" t="n"/>
      <c r="L13" s="103" t="n"/>
      <c r="M13" s="38" t="inlineStr">
        <is>
          <t>Project Title and ID inserted. Note that the Prodoc is undergoing amendments prior to re-submission to GEF</t>
        </is>
      </c>
      <c r="N13" s="14" t="n"/>
      <c r="O13" s="14" t="n"/>
      <c r="P13" s="14" t="n"/>
      <c r="Q13" s="14" t="n"/>
      <c r="R13" s="14" t="n"/>
      <c r="S13" s="14" t="n"/>
      <c r="T13" s="14" t="n"/>
    </row>
    <row r="14" ht="45.75" customHeight="1">
      <c r="A14" s="92" t="n"/>
      <c r="B14" s="25" t="n"/>
      <c r="C14" s="28" t="inlineStr">
        <is>
          <t>https://co.pims.undp.org/project/view?id=5509</t>
        </is>
      </c>
      <c r="D14" s="92" t="n"/>
      <c r="E14" s="15" t="inlineStr">
        <is>
          <t>Small Enterprises</t>
        </is>
      </c>
      <c r="F14" s="8" t="inlineStr">
        <is>
          <t xml:space="preserve">No. of direct project beneficiaries </t>
        </is>
      </c>
      <c r="G14" s="16" t="n">
        <v>0</v>
      </c>
      <c r="H14" s="16" t="n">
        <v>170</v>
      </c>
      <c r="I14" s="8" t="inlineStr">
        <is>
          <t xml:space="preserve">“Individuals” here refers to practicing and aspiring energy-efficiency professionals receiving training and other support.  </t>
        </is>
      </c>
      <c r="J14" s="103" t="n"/>
      <c r="K14" s="14" t="n"/>
      <c r="L14" s="103" t="n"/>
      <c r="M14" s="32" t="n"/>
      <c r="N14" s="14" t="n"/>
      <c r="O14" s="14" t="n"/>
      <c r="P14" s="14" t="n"/>
      <c r="Q14" s="14" t="n"/>
      <c r="R14" s="14" t="n"/>
      <c r="S14" s="14" t="n"/>
      <c r="T14" s="14" t="n"/>
    </row>
    <row r="15" ht="76.5" customHeight="1">
      <c r="A15" s="92" t="n"/>
      <c r="B15" s="25" t="n"/>
      <c r="C15" s="28" t="inlineStr">
        <is>
          <t>https://co.pims.undp.org/project/view?id=5509</t>
        </is>
      </c>
      <c r="D15" s="92" t="n"/>
      <c r="E15" s="15" t="inlineStr">
        <is>
          <t>Capacity Training</t>
        </is>
      </c>
      <c r="F15" s="8" t="inlineStr">
        <is>
          <t xml:space="preserve">Number of people trained and certified in energy audit and energy management based in Mauritius </t>
        </is>
      </c>
      <c r="G15" s="31" t="n">
        <v>31</v>
      </c>
      <c r="H15" s="31" t="n"/>
      <c r="I15" s="15" t="inlineStr">
        <is>
          <t>Includes Energy auditors, Energy Managers, Energy Mangement Auditors, MRV specialists (33 % women)</t>
        </is>
      </c>
      <c r="J15" s="103" t="n"/>
      <c r="K15" s="30" t="n">
        <v>0.33</v>
      </c>
      <c r="L15" s="103" t="n"/>
      <c r="M15" s="32" t="n"/>
      <c r="N15" s="14" t="n"/>
      <c r="O15" s="14" t="n"/>
      <c r="P15" s="14" t="n"/>
      <c r="Q15" s="14" t="n"/>
      <c r="R15" s="14" t="n"/>
      <c r="S15" s="14" t="n"/>
      <c r="T15" s="14" t="n"/>
    </row>
    <row r="16" ht="81" customHeight="1">
      <c r="A16" s="92" t="n"/>
      <c r="B16" s="25" t="n"/>
      <c r="C16" s="28" t="inlineStr">
        <is>
          <t>https://co.pims.undp.org/project/view?id=5509</t>
        </is>
      </c>
      <c r="D16" s="92" t="n"/>
      <c r="E16" s="15" t="inlineStr">
        <is>
          <t>Policy or Regulatory Framework</t>
        </is>
      </c>
      <c r="F16" s="18" t="inlineStr">
        <is>
          <t xml:space="preserve">Number of articles/communication items per year that specifically refer to energy efficiency measures for small-medium </t>
        </is>
      </c>
      <c r="G16" s="16" t="n">
        <v>0</v>
      </c>
      <c r="H16" s="16" t="n">
        <v>50</v>
      </c>
      <c r="I16" s="15" t="inlineStr">
        <is>
          <t>Communication may include not only mass media coverage, but also e-bulletins, mailings, and other direct outreach to recipients.</t>
        </is>
      </c>
      <c r="J16" s="103" t="n"/>
      <c r="K16" s="14" t="n"/>
      <c r="L16" s="103" t="n"/>
      <c r="M16" s="32" t="n"/>
      <c r="N16" s="14" t="n"/>
      <c r="O16" s="14" t="n"/>
      <c r="P16" s="14" t="n"/>
      <c r="Q16" s="14" t="n"/>
      <c r="R16" s="14" t="n"/>
      <c r="S16" s="14" t="n"/>
      <c r="T16" s="14" t="n"/>
    </row>
    <row r="17" ht="76.5" customHeight="1">
      <c r="A17" s="92" t="n"/>
      <c r="B17" s="25" t="n"/>
      <c r="C17" s="28" t="inlineStr">
        <is>
          <t>https://co.pims.undp.org/project/view?id=5509</t>
        </is>
      </c>
      <c r="D17" s="92" t="n"/>
      <c r="E17" s="15" t="inlineStr">
        <is>
          <t>Policy or Regulatory Framework</t>
        </is>
      </c>
      <c r="F17" s="8" t="inlineStr">
        <is>
          <t xml:space="preserve">Progress towards plans and policies for the implementation of the Energy Efficiency Regulations </t>
        </is>
      </c>
      <c r="G17" s="16" t="n">
        <v>0</v>
      </c>
      <c r="H17" s="16" t="n">
        <v>14</v>
      </c>
      <c r="I17" s="15" t="inlineStr">
        <is>
          <t xml:space="preserve">Includes agreement on Roadmap, achieving energy savings and GHG reductions targets, restructuring of EEMO, enery audit mandatory for private sector, new MEPS adopted, Mauritas accredited, etc. </t>
        </is>
      </c>
      <c r="J17" s="103" t="n"/>
      <c r="K17" s="14" t="n"/>
      <c r="L17" s="103" t="n"/>
      <c r="M17" s="32" t="n"/>
      <c r="N17" s="14" t="n"/>
      <c r="O17" s="14" t="n"/>
      <c r="P17" s="14" t="n"/>
      <c r="Q17" s="14" t="n"/>
      <c r="R17" s="14" t="n"/>
      <c r="S17" s="14" t="n"/>
      <c r="T17" s="14" t="n"/>
    </row>
    <row r="18" ht="106.5" customHeight="1">
      <c r="A18" s="92" t="n"/>
      <c r="B18" s="26" t="n"/>
      <c r="C18" s="29" t="inlineStr">
        <is>
          <t>https://co.pims.undp.org/project/view?id=5509</t>
        </is>
      </c>
      <c r="D18" s="92" t="n"/>
      <c r="E18" s="15" t="inlineStr">
        <is>
          <t>Medium Enterprises</t>
        </is>
      </c>
      <c r="F18" s="8" t="inlineStr">
        <is>
          <t xml:space="preserve">No of firms, including both large energy consumers and SMEs, that have invested in energy efficiency upgrades as a result of project activities </t>
        </is>
      </c>
      <c r="G18" s="16" t="n">
        <v>108</v>
      </c>
      <c r="H18" s="16" t="n">
        <v>348</v>
      </c>
      <c r="I18" s="15" t="inlineStr">
        <is>
          <t>Baseline : Before the project: 108 firms as of March 2018   End of Project:  80 firms beyond baseline from among the 650 largest energy consumers, plus 160 SMEs (Additional of 240 over the baseline of 108 equals 348).</t>
        </is>
      </c>
      <c r="J18" s="104" t="n"/>
      <c r="K18" s="14" t="n"/>
      <c r="L18" s="104" t="n"/>
      <c r="M18" s="32" t="n"/>
      <c r="N18" s="14" t="n"/>
      <c r="O18" s="14" t="n"/>
      <c r="P18" s="14" t="n"/>
      <c r="Q18" s="14" t="n"/>
      <c r="R18" s="14" t="n"/>
      <c r="S18" s="14" t="n"/>
      <c r="T18" s="14" t="n"/>
    </row>
  </sheetData>
  <mergeCells count="6">
    <mergeCell ref="A2:A5"/>
    <mergeCell ref="J12:J18"/>
    <mergeCell ref="J6:J11"/>
    <mergeCell ref="L6:L18"/>
    <mergeCell ref="J2:J5"/>
    <mergeCell ref="L2:L5"/>
  </mergeCells>
  <dataValidations count="1">
    <dataValidation sqref="E5 E7" showDropDown="0" showInputMessage="1" showErrorMessage="1" allowBlank="1"/>
  </dataValidations>
  <hyperlinks>
    <hyperlink xmlns:r="http://schemas.openxmlformats.org/officeDocument/2006/relationships" ref="C2" r:id="rId1"/>
    <hyperlink xmlns:r="http://schemas.openxmlformats.org/officeDocument/2006/relationships" ref="C6" r:id="rId2"/>
    <hyperlink xmlns:r="http://schemas.openxmlformats.org/officeDocument/2006/relationships" ref="C12" display="Realising Energy Savings and Climate Benefits of Implementing Mandatory Energy Auditing in the Republic of Mauritius " r:id="rId3"/>
    <hyperlink xmlns:r="http://schemas.openxmlformats.org/officeDocument/2006/relationships" ref="C13" display="Realising Energy Savings and Climate Benefits of Implementing Mandatory Energy Auditing in the Republic of Mauritius " r:id="rId4"/>
    <hyperlink xmlns:r="http://schemas.openxmlformats.org/officeDocument/2006/relationships" ref="C14" display="Realising Energy Savings and Climate Benefits of Implementing Mandatory Energy Auditing in the Republic of Mauritius " r:id="rId5"/>
    <hyperlink xmlns:r="http://schemas.openxmlformats.org/officeDocument/2006/relationships" ref="C15" display="Realising Energy Savings and Climate Benefits of Implementing Mandatory Energy Auditing in the Republic of Mauritius " r:id="rId6"/>
    <hyperlink xmlns:r="http://schemas.openxmlformats.org/officeDocument/2006/relationships" ref="C16" display="Realising Energy Savings and Climate Benefits of Implementing Mandatory Energy Auditing in the Republic of Mauritius " r:id="rId7"/>
    <hyperlink xmlns:r="http://schemas.openxmlformats.org/officeDocument/2006/relationships" ref="C17" display="Realising Energy Savings and Climate Benefits of Implementing Mandatory Energy Auditing in the Republic of Mauritius " r:id="rId8"/>
    <hyperlink xmlns:r="http://schemas.openxmlformats.org/officeDocument/2006/relationships" ref="C18" display="Realising Energy Savings and Climate Benefits of Implementing Mandatory Energy Auditing in the Republic of Mauritius " r:id="rId9"/>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8"/>
  <sheetViews>
    <sheetView topLeftCell="B11" workbookViewId="0">
      <selection activeCell="M11" sqref="M11"/>
    </sheetView>
  </sheetViews>
  <sheetFormatPr baseColWidth="8" defaultRowHeight="15"/>
  <cols>
    <col width="66.28515625" bestFit="1" customWidth="1" min="2" max="2"/>
    <col width="20.7109375" customWidth="1" min="3" max="3"/>
    <col width="20.7109375" customWidth="1" style="1" min="5" max="6"/>
    <col width="12.7109375" customWidth="1" style="1" min="7" max="7"/>
    <col width="19.5703125" customWidth="1" style="1" min="8" max="8"/>
    <col width="50.85546875" customWidth="1" min="9" max="9"/>
    <col width="56.5703125" customWidth="1" min="13" max="13"/>
  </cols>
  <sheetData>
    <row r="1">
      <c r="A1" s="10" t="inlineStr">
        <is>
          <t>Project ID</t>
        </is>
      </c>
      <c r="B1" s="10" t="inlineStr">
        <is>
          <t>Title</t>
        </is>
      </c>
      <c r="C1" s="10" t="inlineStr">
        <is>
          <t>Link</t>
        </is>
      </c>
      <c r="D1" s="10" t="inlineStr">
        <is>
          <t>Budget</t>
        </is>
      </c>
      <c r="E1" s="11" t="inlineStr">
        <is>
          <t>Beneficiary Category</t>
        </is>
      </c>
      <c r="F1" s="11" t="inlineStr">
        <is>
          <t>Indicator</t>
        </is>
      </c>
      <c r="G1" s="11" t="inlineStr">
        <is>
          <t>Baseline</t>
        </is>
      </c>
      <c r="H1" s="11" t="inlineStr">
        <is>
          <t>Target</t>
        </is>
      </c>
      <c r="I1" s="10" t="inlineStr">
        <is>
          <t>Notes</t>
        </is>
      </c>
      <c r="J1" s="9" t="inlineStr">
        <is>
          <t>Donors</t>
        </is>
      </c>
      <c r="K1" s="9" t="inlineStr">
        <is>
          <t>Gender (% female)</t>
        </is>
      </c>
      <c r="L1" s="9" t="inlineStr">
        <is>
          <t>Category</t>
        </is>
      </c>
      <c r="M1" s="9" t="inlineStr">
        <is>
          <t>Comments</t>
        </is>
      </c>
      <c r="N1" s="39" t="inlineStr">
        <is>
          <t>Tag</t>
        </is>
      </c>
      <c r="O1" s="39" t="inlineStr">
        <is>
          <t>SEH Taxonomy</t>
        </is>
      </c>
      <c r="P1" s="39" t="inlineStr">
        <is>
          <t>RISE Taxonomy</t>
        </is>
      </c>
      <c r="Q1" s="39" t="inlineStr">
        <is>
          <t>Flagship</t>
        </is>
      </c>
      <c r="R1" s="39" t="inlineStr">
        <is>
          <t>Indirect Category</t>
        </is>
      </c>
      <c r="S1" s="39" t="inlineStr">
        <is>
          <t>Indirect Taxonomy</t>
        </is>
      </c>
      <c r="T1" s="39" t="n"/>
    </row>
    <row r="2" ht="60.75" customHeight="1">
      <c r="A2" s="90" t="n">
        <v>6486</v>
      </c>
      <c r="B2" s="92" t="inlineStr">
        <is>
          <t>Promoting Low-carbon Electric Public Bus Transport in Mauritius</t>
        </is>
      </c>
      <c r="C2" s="23" t="inlineStr">
        <is>
          <t>6486 Promoting Low-carbon Electric Public Bus Transport in Mauritius (undp.org)</t>
        </is>
      </c>
      <c r="D2" s="92" t="n">
        <v>5600607</v>
      </c>
      <c r="E2" s="6" t="inlineStr">
        <is>
          <t>Energy (MW added)</t>
        </is>
      </c>
      <c r="F2" s="12" t="inlineStr">
        <is>
          <t>Increase in installed renewable energy capacity per technology  MW</t>
        </is>
      </c>
      <c r="G2" s="5" t="n">
        <v>0</v>
      </c>
      <c r="H2" s="5" t="n">
        <v>0.75</v>
      </c>
      <c r="I2" s="13" t="inlineStr">
        <is>
          <t>Increase in total installed Solar PV capacity in Mauritius for bus charging</t>
        </is>
      </c>
      <c r="J2" s="91" t="inlineStr">
        <is>
          <t>GEF</t>
        </is>
      </c>
      <c r="K2" s="14" t="n"/>
      <c r="L2" s="92" t="inlineStr">
        <is>
          <t>VF</t>
        </is>
      </c>
      <c r="M2" s="32" t="n"/>
      <c r="N2" s="14" t="n"/>
      <c r="O2" s="14" t="n"/>
      <c r="P2" s="14" t="n"/>
      <c r="Q2" s="14" t="n"/>
      <c r="R2" s="14" t="n"/>
      <c r="S2" s="14" t="n"/>
      <c r="T2" s="14" t="n"/>
    </row>
    <row r="3" ht="152.25" customHeight="1">
      <c r="A3" s="103" t="n"/>
      <c r="B3" s="92" t="n"/>
      <c r="C3" s="92" t="n"/>
      <c r="D3" s="92" t="n"/>
      <c r="E3" s="19" t="inlineStr">
        <is>
          <t>Campaign Participant</t>
        </is>
      </c>
      <c r="F3" s="20" t="inlineStr">
        <is>
          <t>Number of beneficiaries</t>
        </is>
      </c>
      <c r="G3" s="21" t="n">
        <v>0</v>
      </c>
      <c r="H3" s="21" t="n">
        <v>700000</v>
      </c>
      <c r="I3" s="20" t="inlineStr">
        <is>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is>
      </c>
      <c r="J3" s="103" t="n"/>
      <c r="K3" s="14" t="n"/>
      <c r="L3" s="103" t="n"/>
      <c r="M3" s="33" t="inlineStr">
        <is>
          <t>to the CO: Please estimate number of beneficiaries.
From CO: The estimated number of beneficiaries from the 35 promotional campaigns is expected to be around 700,000.</t>
        </is>
      </c>
      <c r="N3" s="14" t="n"/>
      <c r="O3" s="14" t="n"/>
      <c r="P3" s="14" t="n"/>
      <c r="Q3" s="14" t="n"/>
      <c r="R3" s="14" t="n"/>
      <c r="S3" s="14" t="n"/>
      <c r="T3" s="14" t="n"/>
    </row>
    <row r="4" ht="106.5" customHeight="1">
      <c r="A4" s="103" t="n"/>
      <c r="B4" s="92" t="n"/>
      <c r="C4" s="92" t="n"/>
      <c r="D4" s="92" t="n"/>
      <c r="E4" s="6" t="inlineStr">
        <is>
          <t>Policy or Regulatory Framework</t>
        </is>
      </c>
      <c r="F4" s="6" t="inlineStr">
        <is>
          <t>Progress in developing policies and regulations to create an enabling environment for electric bus mobility in Mauritius.</t>
        </is>
      </c>
      <c r="G4" s="5" t="n">
        <v>0</v>
      </c>
      <c r="H4" s="5" t="n">
        <v>1</v>
      </c>
      <c r="I4" s="13" t="inlineStr">
        <is>
          <t>Approved Gender-responsive Policy and Regulatory Framework documents endorsed and approved by the Cabinet/Parliament</t>
        </is>
      </c>
      <c r="J4" s="103" t="n"/>
      <c r="K4" s="14" t="n"/>
      <c r="L4" s="103" t="n"/>
      <c r="M4" s="34" t="n"/>
      <c r="N4" s="14" t="n"/>
      <c r="O4" s="14" t="n"/>
      <c r="P4" s="14" t="n"/>
      <c r="Q4" s="14" t="n"/>
      <c r="R4" s="14" t="n"/>
      <c r="S4" s="14" t="n"/>
      <c r="T4" s="14" t="n"/>
    </row>
    <row r="5" ht="60.75" customHeight="1">
      <c r="A5" s="104" t="n"/>
      <c r="B5" s="92" t="n"/>
      <c r="C5" s="92" t="n"/>
      <c r="D5" s="92" t="n"/>
      <c r="E5" s="6" t="inlineStr">
        <is>
          <t>Transport Services</t>
        </is>
      </c>
      <c r="F5" s="7" t="inlineStr">
        <is>
          <t>Direct Project Beneficiaries per day- public transport passengers</t>
        </is>
      </c>
      <c r="G5" s="5" t="inlineStr">
        <is>
          <t>Negligible</t>
        </is>
      </c>
      <c r="H5" s="5" t="n">
        <v>21000</v>
      </c>
      <c r="I5" s="13" t="inlineStr">
        <is>
          <t>Number of public transport passengers impacted in terms of number of public transport passengers that are able to travel on electric public transport buses on a regular basis</t>
        </is>
      </c>
      <c r="J5" s="104" t="n"/>
      <c r="K5" s="14" t="n"/>
      <c r="L5" s="104" t="n"/>
      <c r="M5" s="34" t="n"/>
      <c r="N5" s="14" t="n"/>
      <c r="O5" s="14" t="n"/>
      <c r="P5" s="14" t="n"/>
      <c r="Q5" s="14" t="n"/>
      <c r="R5" s="14" t="n"/>
      <c r="S5" s="14" t="n"/>
      <c r="T5" s="14" t="n"/>
    </row>
    <row r="6" ht="148.5" customHeight="1">
      <c r="A6" s="92" t="n">
        <v>5681</v>
      </c>
      <c r="B6" s="92" t="inlineStr">
        <is>
          <t>Transformational shift to a low-carbon economy</t>
        </is>
      </c>
      <c r="C6" s="23" t="inlineStr">
        <is>
          <t>5681 Transformational shift to a low-carbon economy (undp.org)</t>
        </is>
      </c>
      <c r="D6" s="92" t="n">
        <v>28210000</v>
      </c>
      <c r="E6" s="2" t="inlineStr">
        <is>
          <t>Electricity Access</t>
        </is>
      </c>
      <c r="F6" s="2" t="inlineStr">
        <is>
          <t>Direct Project Beneficiaries</t>
        </is>
      </c>
      <c r="G6" s="3" t="n">
        <v>252178</v>
      </c>
      <c r="H6" s="3" t="n">
        <v>441315</v>
      </c>
      <c r="I6" s="4" t="inlineStr">
        <is>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is>
      </c>
      <c r="J6" s="91" t="inlineStr">
        <is>
          <t>GCF</t>
        </is>
      </c>
      <c r="K6" s="14" t="n"/>
      <c r="L6" s="90" t="inlineStr">
        <is>
          <t>VF</t>
        </is>
      </c>
      <c r="M6" s="34" t="n"/>
      <c r="N6" s="14" t="n"/>
      <c r="O6" s="14" t="n"/>
      <c r="P6" s="14" t="n"/>
      <c r="Q6" s="14" t="n"/>
      <c r="R6" s="14" t="n"/>
      <c r="S6" s="14" t="n"/>
      <c r="T6" s="14" t="n"/>
    </row>
    <row r="7" ht="151.5" customHeight="1">
      <c r="A7" s="92" t="n"/>
      <c r="B7" s="92" t="n"/>
      <c r="C7" s="92" t="n"/>
      <c r="D7" s="92" t="n"/>
      <c r="E7" s="2" t="inlineStr">
        <is>
          <t>GHG Emissions Reduction</t>
        </is>
      </c>
      <c r="F7" s="2" t="inlineStr">
        <is>
          <t>Tonnes of Carbon Dioxide equivalent reduced or avoided</t>
        </is>
      </c>
      <c r="G7" s="2" t="n">
        <v>0</v>
      </c>
      <c r="H7" s="3" t="n">
        <v>196000</v>
      </c>
      <c r="I7" s="4" t="inlineStr">
        <is>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is>
      </c>
      <c r="J7" s="103" t="n"/>
      <c r="K7" s="14" t="n"/>
      <c r="L7" s="103" t="n"/>
      <c r="M7" s="34" t="n"/>
      <c r="N7" s="14" t="n"/>
      <c r="O7" s="14" t="n"/>
      <c r="P7" s="14" t="n"/>
      <c r="Q7" s="14" t="n"/>
      <c r="R7" s="14" t="n"/>
      <c r="S7" s="14" t="n"/>
      <c r="T7" s="14" t="n"/>
    </row>
    <row r="8" ht="105" customHeight="1">
      <c r="A8" s="92" t="n"/>
      <c r="B8" s="92" t="n"/>
      <c r="C8" s="92" t="n"/>
      <c r="D8" s="92" t="n"/>
      <c r="E8" s="2" t="inlineStr">
        <is>
          <t>Electricity Access</t>
        </is>
      </c>
      <c r="F8" s="2" t="inlineStr">
        <is>
          <t>Number of households and individuals (males and females) with improved access to low-emission energy sources</t>
        </is>
      </c>
      <c r="G8" s="2" t="inlineStr">
        <is>
          <t>83000 HH</t>
        </is>
      </c>
      <c r="H8" s="2" t="inlineStr">
        <is>
          <t>129500 HH</t>
        </is>
      </c>
      <c r="I8" s="4" t="inlineStr">
        <is>
          <t xml:space="preserve">Based on estimate of low-emission MW divided by effective capacity of the power system, multiplied by total number of households/household composition in Mauritius and Rodrigues.
Installation of rooftopps solar PV panels in households is ongoing. </t>
        </is>
      </c>
      <c r="J8" s="103" t="n"/>
      <c r="K8" s="14" t="n"/>
      <c r="L8" s="103" t="n"/>
      <c r="M8" s="34" t="n"/>
      <c r="N8" s="14" t="n"/>
      <c r="O8" s="14" t="n"/>
      <c r="P8" s="14" t="n"/>
      <c r="Q8" s="14" t="n"/>
      <c r="R8" s="14" t="n"/>
      <c r="S8" s="14" t="n"/>
      <c r="T8" s="14" t="n"/>
    </row>
    <row r="9" ht="147.75" customHeight="1">
      <c r="A9" s="92" t="n"/>
      <c r="B9" s="92" t="n"/>
      <c r="C9" s="92" t="n"/>
      <c r="D9" s="92" t="n"/>
      <c r="E9" s="2" t="n"/>
      <c r="F9" s="2" t="inlineStr">
        <is>
          <t>Battery energy storage system procured MW</t>
        </is>
      </c>
      <c r="G9" s="2" t="inlineStr">
        <is>
          <t>No AGC software installed 
No batteries 
Grid able to accept 60 MW</t>
        </is>
      </c>
      <c r="H9" s="2" t="n">
        <v>18</v>
      </c>
      <c r="I9" s="4" t="inlineStr">
        <is>
          <t>As at date, 18 MW total capacity of battery energy storage system has already been installed and the grid absorption capacity has been increased from 60MW to 185 MW.</t>
        </is>
      </c>
      <c r="J9" s="103" t="n"/>
      <c r="K9" s="14" t="n"/>
      <c r="L9" s="103" t="n"/>
      <c r="M9" s="34" t="n"/>
      <c r="N9" s="14" t="n"/>
      <c r="O9" s="14" t="n"/>
      <c r="P9" s="14" t="n"/>
      <c r="Q9" s="14" t="n"/>
      <c r="R9" s="14" t="n"/>
      <c r="S9" s="14" t="n"/>
      <c r="T9" s="14" t="n"/>
    </row>
    <row r="10" ht="86.25" customHeight="1">
      <c r="A10" s="92" t="n"/>
      <c r="B10" s="92" t="n"/>
      <c r="C10" s="92" t="n"/>
      <c r="D10" s="92" t="n"/>
      <c r="E10" s="2" t="inlineStr">
        <is>
          <t>Policy or Regulatory Framework</t>
        </is>
      </c>
      <c r="F10" s="2" t="inlineStr">
        <is>
          <t>Renewable Energy Agency Act in place</t>
        </is>
      </c>
      <c r="G10" s="2" t="inlineStr">
        <is>
          <t>Legislation voted</t>
        </is>
      </c>
      <c r="H10" s="2" t="n"/>
      <c r="I10" s="4" t="inlineStr">
        <is>
          <t>Government is fully supporting the project and is maintaining policy of promoting renewable energy. As a result, the Mauritius Renewable Energy Agency (MARENA) is in place and is functioning under the aegis of the Ministry of Energy and Public Utilities.</t>
        </is>
      </c>
      <c r="J10" s="103" t="n"/>
      <c r="K10" s="14" t="n"/>
      <c r="L10" s="103" t="n"/>
      <c r="M10" s="35" t="n"/>
      <c r="N10" s="14" t="n"/>
      <c r="O10" s="14" t="n"/>
      <c r="P10" s="14" t="n"/>
      <c r="Q10" s="14" t="n"/>
      <c r="R10" s="14" t="n"/>
      <c r="S10" s="14" t="n"/>
      <c r="T10" s="14" t="n"/>
    </row>
    <row r="11" ht="262.5" customHeight="1">
      <c r="A11" s="92" t="n"/>
      <c r="B11" s="92" t="n"/>
      <c r="C11" s="92" t="n"/>
      <c r="D11" s="92" t="n"/>
      <c r="E11" s="2" t="inlineStr">
        <is>
          <t>Energy (MW added)</t>
        </is>
      </c>
      <c r="F11" s="2" t="inlineStr">
        <is>
          <t>Actual MW installed by category</t>
        </is>
      </c>
      <c r="G11" s="2" t="n">
        <v>5</v>
      </c>
      <c r="H11" s="2" t="n">
        <v>11</v>
      </c>
      <c r="I11" s="4" t="inlineStr">
        <is>
          <t>Installation of solar PV panels on rooftops of households and NGOs has already started.
4MW capacity on grid from NGOs and 10MW from households.
11 MW capacity installed on public buildings.
5MW PV under phases 1,2 and 3</t>
        </is>
      </c>
      <c r="J11" s="104" t="n"/>
      <c r="K11" s="14" t="n"/>
      <c r="L11" s="103" t="n"/>
      <c r="M11" s="36" t="inlineStr">
        <is>
          <t>to the CO: Are the 25MW discussed in this output overlapping with the # of beneficiaries listed above?
From CO: The estimated number of beneficiaries does include the 25 MW that will be deployed under this project. It is expected that Mauritians will stand to benefit from the project since the facilitation of renewable energy uptake and the installation of solar PV facilities is being supported under the project. Those who do not benefit directly from the project (that is, those who do not have rooftop PV) will nonetheless benefit from increased grid stability, lower grid losses and more stable electricity prices over time. With a higher renewable energy content distributed throughout the grid, all Mauritians will benefit from more rapid re-establishment of supply after climate-forced interruptions.</t>
        </is>
      </c>
      <c r="N11" s="14" t="n"/>
      <c r="O11" s="14" t="n"/>
      <c r="P11" s="14" t="n"/>
      <c r="Q11" s="14" t="n"/>
      <c r="R11" s="14" t="n"/>
      <c r="S11" s="14" t="n"/>
      <c r="T11" s="14" t="n"/>
    </row>
    <row r="12" ht="106.5" customHeight="1">
      <c r="A12" s="92" t="n">
        <v>5509</v>
      </c>
      <c r="B12" s="24" t="inlineStr">
        <is>
          <t xml:space="preserve">Realising Energy Savings and Climate Benefits of Implementing Mandatory Energy Auditing in the Republic of Mauritius </t>
        </is>
      </c>
      <c r="C12" s="27" t="inlineStr">
        <is>
          <t xml:space="preserve">Realising Energy Savings and Climate Benefits of Implementing Mandatory Energy Auditing in the Republic of Mauritius </t>
        </is>
      </c>
      <c r="D12" s="92" t="n">
        <v>4532164</v>
      </c>
      <c r="E12" s="15" t="inlineStr">
        <is>
          <t>Medium Enterprises</t>
        </is>
      </c>
      <c r="F12" s="8" t="inlineStr">
        <is>
          <t xml:space="preserve"> % of the 650 largest energy consumers  that have ISO 50001 based energy management systems in place </t>
        </is>
      </c>
      <c r="G12" s="16" t="n">
        <v>4</v>
      </c>
      <c r="H12" s="16" t="n">
        <v>40</v>
      </c>
      <c r="I12" s="17" t="inlineStr">
        <is>
          <t xml:space="preserve">Includes firms that are fully ISO-50001 compliant, but also firms that have energy management systems that are partially compliant or otherwise based on ISO 50001 principles and training. </t>
        </is>
      </c>
      <c r="J12" s="91" t="inlineStr">
        <is>
          <t>GEF</t>
        </is>
      </c>
      <c r="K12" s="14" t="n"/>
      <c r="L12" s="103" t="n"/>
      <c r="M12" s="37" t="inlineStr">
        <is>
          <t>to the CO: What is the project ID / title here?
Project ID: 5509
Project Title:Realising  Energy Savings and Climate Benefits of implementing Mandatory EEnergy Auditing in the Republic of Mauritius</t>
        </is>
      </c>
      <c r="N12" s="14" t="n"/>
      <c r="O12" s="14" t="n"/>
      <c r="P12" s="14" t="n"/>
      <c r="Q12" s="14" t="n"/>
      <c r="R12" s="14" t="n"/>
      <c r="S12" s="14" t="n"/>
      <c r="T12" s="14" t="n"/>
    </row>
    <row r="13" ht="30.75" customHeight="1">
      <c r="A13" s="92" t="n"/>
      <c r="B13" s="25" t="n"/>
      <c r="C13" s="28" t="inlineStr">
        <is>
          <t>https://co.pims.undp.org/project/view?id=5509</t>
        </is>
      </c>
      <c r="D13" s="92" t="n"/>
      <c r="E13" s="15" t="inlineStr">
        <is>
          <t>Small Enterprises</t>
        </is>
      </c>
      <c r="F13" s="8" t="inlineStr">
        <is>
          <t xml:space="preserve">No. of direct project beneficiaries </t>
        </is>
      </c>
      <c r="G13" s="16" t="n">
        <v>0</v>
      </c>
      <c r="H13" s="16" t="n">
        <v>435</v>
      </c>
      <c r="I13" s="8" t="inlineStr">
        <is>
          <t xml:space="preserve">Firms receiving energy-efficiency training and other support.  </t>
        </is>
      </c>
      <c r="J13" s="103" t="n"/>
      <c r="K13" s="14" t="n"/>
      <c r="L13" s="103" t="n"/>
      <c r="M13" s="38" t="inlineStr">
        <is>
          <t>Project Title and ID inserted. Note that the Prodoc is undergoing amendments prior to re-submission to GEF</t>
        </is>
      </c>
      <c r="N13" s="14" t="n"/>
      <c r="O13" s="14" t="n"/>
      <c r="P13" s="14" t="n"/>
      <c r="Q13" s="14" t="n"/>
      <c r="R13" s="14" t="n"/>
      <c r="S13" s="14" t="n"/>
      <c r="T13" s="14" t="n"/>
    </row>
    <row r="14" ht="45.75" customHeight="1">
      <c r="A14" s="92" t="n"/>
      <c r="B14" s="25" t="n"/>
      <c r="C14" s="28" t="inlineStr">
        <is>
          <t>https://co.pims.undp.org/project/view?id=5509</t>
        </is>
      </c>
      <c r="D14" s="92" t="n"/>
      <c r="E14" s="15" t="inlineStr">
        <is>
          <t>Small Enterprises</t>
        </is>
      </c>
      <c r="F14" s="8" t="inlineStr">
        <is>
          <t xml:space="preserve">No. of direct project beneficiaries </t>
        </is>
      </c>
      <c r="G14" s="16" t="n">
        <v>0</v>
      </c>
      <c r="H14" s="16" t="n">
        <v>170</v>
      </c>
      <c r="I14" s="8" t="inlineStr">
        <is>
          <t xml:space="preserve">“Individuals” here refers to practicing and aspiring energy-efficiency professionals receiving training and other support.  </t>
        </is>
      </c>
      <c r="J14" s="103" t="n"/>
      <c r="K14" s="14" t="n"/>
      <c r="L14" s="103" t="n"/>
      <c r="M14" s="32" t="n"/>
      <c r="N14" s="14" t="n"/>
      <c r="O14" s="14" t="n"/>
      <c r="P14" s="14" t="n"/>
      <c r="Q14" s="14" t="n"/>
      <c r="R14" s="14" t="n"/>
      <c r="S14" s="14" t="n"/>
      <c r="T14" s="14" t="n"/>
    </row>
    <row r="15" ht="76.5" customHeight="1">
      <c r="A15" s="92" t="n"/>
      <c r="B15" s="25" t="n"/>
      <c r="C15" s="28" t="inlineStr">
        <is>
          <t>https://co.pims.undp.org/project/view?id=5509</t>
        </is>
      </c>
      <c r="D15" s="92" t="n"/>
      <c r="E15" s="15" t="inlineStr">
        <is>
          <t>Capacity Training</t>
        </is>
      </c>
      <c r="F15" s="8" t="inlineStr">
        <is>
          <t xml:space="preserve">Number of people trained and certified in energy audit and energy management based in Mauritius </t>
        </is>
      </c>
      <c r="G15" s="31" t="n">
        <v>31</v>
      </c>
      <c r="H15" s="31" t="n"/>
      <c r="I15" s="15" t="inlineStr">
        <is>
          <t>Includes Energy auditors, Energy Managers, Energy Mangement Auditors, MRV specialists (33 % women)</t>
        </is>
      </c>
      <c r="J15" s="103" t="n"/>
      <c r="K15" s="30" t="n">
        <v>0.33</v>
      </c>
      <c r="L15" s="103" t="n"/>
      <c r="M15" s="32" t="n"/>
      <c r="N15" s="14" t="n"/>
      <c r="O15" s="14" t="n"/>
      <c r="P15" s="14" t="n"/>
      <c r="Q15" s="14" t="n"/>
      <c r="R15" s="14" t="n"/>
      <c r="S15" s="14" t="n"/>
      <c r="T15" s="14" t="n"/>
    </row>
    <row r="16" ht="81" customHeight="1">
      <c r="A16" s="92" t="n"/>
      <c r="B16" s="25" t="n"/>
      <c r="C16" s="28" t="inlineStr">
        <is>
          <t>https://co.pims.undp.org/project/view?id=5509</t>
        </is>
      </c>
      <c r="D16" s="92" t="n"/>
      <c r="E16" s="15" t="inlineStr">
        <is>
          <t>Policy or Regulatory Framework</t>
        </is>
      </c>
      <c r="F16" s="18" t="inlineStr">
        <is>
          <t xml:space="preserve">Number of articles/communication items per year that specifically refer to energy efficiency measures for small-medium </t>
        </is>
      </c>
      <c r="G16" s="16" t="n">
        <v>0</v>
      </c>
      <c r="H16" s="16" t="n">
        <v>50</v>
      </c>
      <c r="I16" s="15" t="inlineStr">
        <is>
          <t>Communication may include not only mass media coverage, but also e-bulletins, mailings, and other direct outreach to recipients.</t>
        </is>
      </c>
      <c r="J16" s="103" t="n"/>
      <c r="K16" s="14" t="n"/>
      <c r="L16" s="103" t="n"/>
      <c r="M16" s="32" t="n"/>
      <c r="N16" s="14" t="n"/>
      <c r="O16" s="14" t="n"/>
      <c r="P16" s="14" t="n"/>
      <c r="Q16" s="14" t="n"/>
      <c r="R16" s="14" t="n"/>
      <c r="S16" s="14" t="n"/>
      <c r="T16" s="14" t="n"/>
    </row>
    <row r="17" ht="76.5" customHeight="1">
      <c r="A17" s="92" t="n"/>
      <c r="B17" s="25" t="n"/>
      <c r="C17" s="28" t="inlineStr">
        <is>
          <t>https://co.pims.undp.org/project/view?id=5509</t>
        </is>
      </c>
      <c r="D17" s="92" t="n"/>
      <c r="E17" s="15" t="inlineStr">
        <is>
          <t>Policy or Regulatory Framework</t>
        </is>
      </c>
      <c r="F17" s="8" t="inlineStr">
        <is>
          <t xml:space="preserve">Progress towards plans and policies for the implementation of the Energy Efficiency Regulations </t>
        </is>
      </c>
      <c r="G17" s="16" t="n">
        <v>0</v>
      </c>
      <c r="H17" s="16" t="n">
        <v>14</v>
      </c>
      <c r="I17" s="15" t="inlineStr">
        <is>
          <t xml:space="preserve">Includes agreement on Roadmap, achieving energy savings and GHG reductions targets, restructuring of EEMO, enery audit mandatory for private sector, new MEPS adopted, Mauritas accredited, etc. </t>
        </is>
      </c>
      <c r="J17" s="103" t="n"/>
      <c r="K17" s="14" t="n"/>
      <c r="L17" s="103" t="n"/>
      <c r="M17" s="32" t="n"/>
      <c r="N17" s="14" t="n"/>
      <c r="O17" s="14" t="n"/>
      <c r="P17" s="14" t="n"/>
      <c r="Q17" s="14" t="n"/>
      <c r="R17" s="14" t="n"/>
      <c r="S17" s="14" t="n"/>
      <c r="T17" s="14" t="n"/>
    </row>
    <row r="18" ht="106.5" customHeight="1">
      <c r="A18" s="92" t="n"/>
      <c r="B18" s="26" t="n"/>
      <c r="C18" s="29" t="inlineStr">
        <is>
          <t>https://co.pims.undp.org/project/view?id=5509</t>
        </is>
      </c>
      <c r="D18" s="92" t="n"/>
      <c r="E18" s="15" t="inlineStr">
        <is>
          <t>Medium Enterprises</t>
        </is>
      </c>
      <c r="F18" s="8" t="inlineStr">
        <is>
          <t xml:space="preserve">No of firms, including both large energy consumers and SMEs, that have invested in energy efficiency upgrades as a result of project activities </t>
        </is>
      </c>
      <c r="G18" s="16" t="n">
        <v>108</v>
      </c>
      <c r="H18" s="16" t="n">
        <v>348</v>
      </c>
      <c r="I18" s="15" t="inlineStr">
        <is>
          <t>Baseline : Before the project: 108 firms as of March 2018   End of Project:  80 firms beyond baseline from among the 650 largest energy consumers, plus 160 SMEs (Additional of 240 over the baseline of 108 equals 348).</t>
        </is>
      </c>
      <c r="J18" s="104" t="n"/>
      <c r="K18" s="14" t="n"/>
      <c r="L18" s="104" t="n"/>
      <c r="M18" s="32" t="n"/>
      <c r="N18" s="14" t="n"/>
      <c r="O18" s="14" t="n"/>
      <c r="P18" s="14" t="n"/>
      <c r="Q18" s="14" t="n"/>
      <c r="R18" s="14" t="n"/>
      <c r="S18" s="14" t="n"/>
      <c r="T18" s="14" t="n"/>
    </row>
  </sheetData>
  <mergeCells count="6">
    <mergeCell ref="A2:A5"/>
    <mergeCell ref="J12:J18"/>
    <mergeCell ref="J6:J11"/>
    <mergeCell ref="L6:L18"/>
    <mergeCell ref="J2:J5"/>
    <mergeCell ref="L2:L5"/>
  </mergeCells>
  <dataValidations count="1">
    <dataValidation sqref="E5 E7" showDropDown="0" showInputMessage="1" showErrorMessage="1" allowBlank="1"/>
  </dataValidations>
  <hyperlinks>
    <hyperlink xmlns:r="http://schemas.openxmlformats.org/officeDocument/2006/relationships" ref="C2" r:id="rId1"/>
    <hyperlink xmlns:r="http://schemas.openxmlformats.org/officeDocument/2006/relationships" ref="C6" r:id="rId2"/>
    <hyperlink xmlns:r="http://schemas.openxmlformats.org/officeDocument/2006/relationships" ref="C12" display="Realising Energy Savings and Climate Benefits of Implementing Mandatory Energy Auditing in the Republic of Mauritius " r:id="rId3"/>
    <hyperlink xmlns:r="http://schemas.openxmlformats.org/officeDocument/2006/relationships" ref="C13" display="Realising Energy Savings and Climate Benefits of Implementing Mandatory Energy Auditing in the Republic of Mauritius " r:id="rId4"/>
    <hyperlink xmlns:r="http://schemas.openxmlformats.org/officeDocument/2006/relationships" ref="C14" display="Realising Energy Savings and Climate Benefits of Implementing Mandatory Energy Auditing in the Republic of Mauritius " r:id="rId5"/>
    <hyperlink xmlns:r="http://schemas.openxmlformats.org/officeDocument/2006/relationships" ref="C15" display="Realising Energy Savings and Climate Benefits of Implementing Mandatory Energy Auditing in the Republic of Mauritius " r:id="rId6"/>
    <hyperlink xmlns:r="http://schemas.openxmlformats.org/officeDocument/2006/relationships" ref="C16" display="Realising Energy Savings and Climate Benefits of Implementing Mandatory Energy Auditing in the Republic of Mauritius " r:id="rId7"/>
    <hyperlink xmlns:r="http://schemas.openxmlformats.org/officeDocument/2006/relationships" ref="C17" display="Realising Energy Savings and Climate Benefits of Implementing Mandatory Energy Auditing in the Republic of Mauritius " r:id="rId8"/>
    <hyperlink xmlns:r="http://schemas.openxmlformats.org/officeDocument/2006/relationships" ref="C18" display="Realising Energy Savings and Climate Benefits of Implementing Mandatory Energy Auditing in the Republic of Mauritius " r:id="rId9"/>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05" t="inlineStr">
        <is>
          <t>Beneficiary Category</t>
        </is>
      </c>
      <c r="B1" s="105" t="inlineStr">
        <is>
          <t>Indicator</t>
        </is>
      </c>
    </row>
    <row r="2" ht="45.75" customHeight="1">
      <c r="A2" s="106" t="inlineStr">
        <is>
          <t>Electricity Access</t>
        </is>
      </c>
      <c r="B2" s="106" t="inlineStr">
        <is>
          <t>Number of people, disaggregated by sex, who gain access to clean electricity (direct access to electricity, lighting, cooling, etc.).</t>
        </is>
      </c>
    </row>
    <row r="3">
      <c r="A3" s="106" t="inlineStr">
        <is>
          <t>Energy (MW added)</t>
        </is>
      </c>
      <c r="B3" s="106" t="inlineStr">
        <is>
          <t>Installed renewable or clean-energy power capacity added, in MW.</t>
        </is>
      </c>
    </row>
    <row r="4" ht="30.75" customHeight="1">
      <c r="A4" s="106" t="inlineStr">
        <is>
          <t>Energy Storage (MW)</t>
        </is>
      </c>
      <c r="B4" s="106" t="inlineStr">
        <is>
          <t>Installed energy storage power capacity added, in MW.</t>
        </is>
      </c>
    </row>
    <row r="5" ht="30.75" customHeight="1">
      <c r="A5" s="106" t="inlineStr">
        <is>
          <t>Clean Cooking</t>
        </is>
      </c>
      <c r="B5" s="106" t="inlineStr">
        <is>
          <t>Number of people who gain access to clean cooking (direct access to clean cook stoves, clean fuels, biomass, etc.).</t>
        </is>
      </c>
    </row>
    <row r="6" ht="91.5" customHeight="1">
      <c r="A6" s="106" t="inlineStr">
        <is>
          <t>Clean Heating</t>
        </is>
      </c>
      <c r="B6" s="106" t="inlineStr">
        <is>
          <t>Number of people who gain access to clean heating (direct access to clean electric heaters, clean fuels, etc.).</t>
        </is>
      </c>
    </row>
    <row r="7" ht="45.75" customHeight="1">
      <c r="A7" s="106" t="inlineStr">
        <is>
          <t>Agriculture and Food System</t>
        </is>
      </c>
      <c r="B7" s="106" t="inlineStr">
        <is>
          <t>Number of people who gain access to clean, affordable, and sustainable energy for agricultural and food-system activities.</t>
        </is>
      </c>
    </row>
    <row r="8" ht="45.75" customHeight="1">
      <c r="A8" s="106" t="inlineStr">
        <is>
          <t>Health Services</t>
        </is>
      </c>
      <c r="B8" s="106" t="inlineStr">
        <is>
          <t>Number of people who gain access to health care facilities through clean energy systems.</t>
        </is>
      </c>
    </row>
    <row r="9" ht="45.75" customHeight="1">
      <c r="A9" s="106" t="inlineStr">
        <is>
          <t>Water Services</t>
        </is>
      </c>
      <c r="B9" s="106" t="inlineStr">
        <is>
          <t>Number of people who gain access to water services through clean energy systems.</t>
        </is>
      </c>
    </row>
    <row r="10" ht="30.75" customHeight="1">
      <c r="A10" s="106" t="inlineStr">
        <is>
          <t>Education Services</t>
        </is>
      </c>
      <c r="B10" s="106" t="inlineStr">
        <is>
          <t>Number of people who gain access to education services through clean energy systems, including students and teachers.</t>
        </is>
      </c>
    </row>
    <row r="11" ht="30.75" customHeight="1">
      <c r="A11" s="106" t="inlineStr">
        <is>
          <t>Transportation and E-mobility Services</t>
        </is>
      </c>
      <c r="B11" s="106" t="inlineStr">
        <is>
          <t>Number of people served or energy saved from transport and e-mobility interventions, such as electric vehicles or charging stations.</t>
        </is>
      </c>
    </row>
    <row r="12" ht="45.75" customHeight="1">
      <c r="A12" s="106" t="inlineStr">
        <is>
          <t>Energy Efficiency Services</t>
        </is>
      </c>
      <c r="B12" s="106" t="inlineStr">
        <is>
          <t>Energy saved from energy-efficiency interventions, such as building or industrial efficiency.</t>
        </is>
      </c>
    </row>
    <row r="13" ht="30.75" customHeight="1">
      <c r="A13" s="106" t="inlineStr">
        <is>
          <t>Energy Infrastructure Services</t>
        </is>
      </c>
      <c r="B13" s="106" t="inlineStr">
        <is>
          <t>Number of people benefiting from energy infrastructure interventions, such as streetlights, transmission, and distribution lines.</t>
        </is>
      </c>
    </row>
    <row r="14">
      <c r="A14" s="106" t="inlineStr">
        <is>
          <t>Other Energy Services</t>
        </is>
      </c>
      <c r="B14" s="106" t="inlineStr">
        <is>
          <t>Access to other energy services not captured by the categories above.</t>
        </is>
      </c>
    </row>
    <row r="15" ht="30.75" customHeight="1">
      <c r="A15" s="106" t="inlineStr">
        <is>
          <t>Financing support</t>
        </is>
      </c>
      <c r="B15" s="106" t="inlineStr">
        <is>
          <t>Support for the development of the energy market ecosystem.</t>
        </is>
      </c>
    </row>
    <row r="16" ht="30.75" customHeight="1">
      <c r="A16" s="106" t="inlineStr">
        <is>
          <t>Medium Enterprises</t>
        </is>
      </c>
      <c r="B16" s="106" t="inlineStr">
        <is>
          <t>Support for the development of medium enterprises in the energy transition market.</t>
        </is>
      </c>
    </row>
    <row r="17" ht="30.75" customHeight="1">
      <c r="A17" s="106" t="inlineStr">
        <is>
          <t>Small Enterprises</t>
        </is>
      </c>
      <c r="B17" s="106" t="inlineStr">
        <is>
          <t>Support for the development of small enterprises in the energy transition market.</t>
        </is>
      </c>
    </row>
    <row r="18" ht="30.75" customHeight="1">
      <c r="A18" s="106" t="inlineStr">
        <is>
          <t>Capacity Building Training</t>
        </is>
      </c>
      <c r="B18" s="106" t="inlineStr">
        <is>
          <t>Number of people benefiting from training on energy business, energy finance, or related implementation capacity.</t>
        </is>
      </c>
    </row>
    <row r="19" ht="76.5" customHeight="1">
      <c r="A19" s="106" t="inlineStr">
        <is>
          <t>Entrepreneurship Training</t>
        </is>
      </c>
      <c r="B19" s="106" t="inlineStr">
        <is>
          <t>Training for enterprises on the energy business, assumed to result in direct beneficiaries.</t>
        </is>
      </c>
    </row>
    <row r="20" ht="30.75" customHeight="1">
      <c r="A20" s="106" t="inlineStr">
        <is>
          <t>Market Intervention</t>
        </is>
      </c>
      <c r="B20" s="106" t="inlineStr">
        <is>
          <t>Volume of investment leveraged or barriers removed for clean, reliable, affordable, and sustainable energy solutions.</t>
        </is>
      </c>
    </row>
    <row r="21" ht="45.75" customHeight="1">
      <c r="A21" s="106" t="inlineStr">
        <is>
          <t>Campaign Participant</t>
        </is>
      </c>
      <c r="B21" s="106" t="inlineStr">
        <is>
          <t>Individuals who participate in advocacy or awareness campaigns on energy.</t>
        </is>
      </c>
    </row>
    <row r="22" ht="30.75" customHeight="1">
      <c r="A22" s="106" t="inlineStr">
        <is>
          <t>Policy or Regulatory Framework</t>
        </is>
      </c>
      <c r="B22" s="106" t="inlineStr">
        <is>
          <t>Policies, regulations, strategies, plans, or frameworks developed, approved, implemented, or strengthened.</t>
        </is>
      </c>
    </row>
    <row r="23">
      <c r="A23" s="106" t="inlineStr">
        <is>
          <t>GHG Emissions Reduction</t>
        </is>
      </c>
      <c r="B23" s="106" t="inlineStr">
        <is>
          <t>Greenhouse gas emissions reduced or mitigated, in tCO2e.</t>
        </is>
      </c>
    </row>
    <row r="24">
      <c r="A24" s="106" t="inlineStr">
        <is>
          <t>Other</t>
        </is>
      </c>
      <c r="B24" s="10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2026-06-08T15:49:47Z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