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family val="2"/>
      <b val="1"/>
      <color rgb="FFFF0000"/>
      <sz val="11"/>
      <scheme val="minor"/>
    </font>
    <font>
      <name val="Calibri"/>
      <color rgb="FF000000"/>
      <sz val="11"/>
      <scheme val="minor"/>
    </font>
    <font>
      <name val="Calibri"/>
      <b val="1"/>
      <color rgb="FF000000"/>
      <sz val="11"/>
      <scheme val="minor"/>
    </font>
    <font>
      <name val="Calibri"/>
      <b val="1"/>
      <color theme="1"/>
      <sz val="11"/>
      <scheme val="minor"/>
    </font>
    <font>
      <name val="Calibri"/>
      <family val="2"/>
      <color theme="10"/>
      <sz val="11"/>
      <u val="single"/>
      <scheme val="minor"/>
    </font>
    <font>
      <b val="1"/>
    </font>
  </fonts>
  <fills count="5">
    <fill>
      <patternFill/>
    </fill>
    <fill>
      <patternFill patternType="gray125"/>
    </fill>
    <fill>
      <patternFill patternType="solid">
        <fgColor rgb="FFFFE497"/>
        <bgColor indexed="64"/>
      </patternFill>
    </fill>
    <fill>
      <patternFill patternType="solid">
        <fgColor rgb="FFFFFF00"/>
        <bgColor indexed="64"/>
      </patternFill>
    </fill>
    <fill>
      <patternFill patternType="solid">
        <fgColor rgb="00FFFF00"/>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s>
  <cellStyleXfs count="2">
    <xf numFmtId="0" fontId="0" fillId="0" borderId="0"/>
    <xf numFmtId="0" fontId="8" fillId="0" borderId="0"/>
  </cellStyleXfs>
  <cellXfs count="59">
    <xf numFmtId="0" fontId="0" fillId="0" borderId="0" pivotButton="0" quotePrefix="0" xfId="0"/>
    <xf numFmtId="0" fontId="2" fillId="0" borderId="1" applyAlignment="1" pivotButton="0" quotePrefix="0" xfId="0">
      <alignment horizontal="center" vertical="top"/>
    </xf>
    <xf numFmtId="0" fontId="3" fillId="0" borderId="0" pivotButton="0" quotePrefix="0" xfId="1"/>
    <xf numFmtId="0" fontId="0" fillId="2" borderId="0" pivotButton="0" quotePrefix="0" xfId="0"/>
    <xf numFmtId="0" fontId="2" fillId="0" borderId="2" pivotButton="0" quotePrefix="0" xfId="0"/>
    <xf numFmtId="0" fontId="2" fillId="0" borderId="3" applyAlignment="1" pivotButton="0" quotePrefix="0" xfId="0">
      <alignment horizontal="center" vertical="top"/>
    </xf>
    <xf numFmtId="0" fontId="0" fillId="0" borderId="2" pivotButton="0" quotePrefix="0" xfId="0"/>
    <xf numFmtId="0" fontId="2" fillId="0" borderId="4" applyAlignment="1" pivotButton="0" quotePrefix="0" xfId="0">
      <alignment horizontal="center" vertical="top"/>
    </xf>
    <xf numFmtId="0" fontId="2" fillId="0" borderId="5" applyAlignment="1" pivotButton="0" quotePrefix="0" xfId="0">
      <alignment horizontal="center" vertical="top"/>
    </xf>
    <xf numFmtId="0" fontId="2" fillId="0" borderId="6" pivotButton="0" quotePrefix="0" xfId="0"/>
    <xf numFmtId="0" fontId="0" fillId="0" borderId="7" pivotButton="0" quotePrefix="0" xfId="0"/>
    <xf numFmtId="0" fontId="2" fillId="0" borderId="8" pivotButton="0" quotePrefix="0" xfId="0"/>
    <xf numFmtId="0" fontId="0" fillId="0" borderId="2" applyAlignment="1" pivotButton="0" quotePrefix="0" xfId="0">
      <alignment horizontal="left" vertical="top"/>
    </xf>
    <xf numFmtId="0" fontId="3" fillId="0" borderId="2" applyAlignment="1" pivotButton="0" quotePrefix="0" xfId="1">
      <alignment horizontal="left" vertical="top"/>
    </xf>
    <xf numFmtId="0" fontId="0" fillId="2" borderId="2" applyAlignment="1" pivotButton="0" quotePrefix="0" xfId="0">
      <alignment horizontal="left" vertical="top"/>
    </xf>
    <xf numFmtId="0" fontId="0" fillId="0" borderId="2" applyAlignment="1" pivotButton="0" quotePrefix="0" xfId="0">
      <alignment vertical="top" wrapText="1"/>
    </xf>
    <xf numFmtId="0" fontId="0" fillId="2" borderId="0" applyAlignment="1" pivotButton="0" quotePrefix="0" xfId="0">
      <alignment horizontal="left" vertical="top"/>
    </xf>
    <xf numFmtId="0" fontId="2" fillId="0" borderId="0" pivotButton="0" quotePrefix="0" xfId="0"/>
    <xf numFmtId="0" fontId="4" fillId="3" borderId="0" applyAlignment="1" pivotButton="0" quotePrefix="0" xfId="0">
      <alignment vertical="top" wrapText="1"/>
    </xf>
    <xf numFmtId="0" fontId="5" fillId="2" borderId="2" applyAlignment="1" pivotButton="0" quotePrefix="0" xfId="0">
      <alignment horizontal="left" vertical="top" wrapText="1"/>
    </xf>
    <xf numFmtId="0" fontId="2" fillId="0" borderId="4" applyAlignment="1" pivotButton="0" quotePrefix="0" xfId="0">
      <alignment horizontal="center" vertical="center"/>
    </xf>
    <xf numFmtId="0" fontId="2" fillId="0" borderId="5" applyAlignment="1" pivotButton="0" quotePrefix="0" xfId="0">
      <alignment horizontal="center" vertical="center"/>
    </xf>
    <xf numFmtId="0" fontId="0" fillId="0" borderId="2" applyAlignment="1" pivotButton="0" quotePrefix="0" xfId="0">
      <alignment horizontal="center" vertical="center"/>
    </xf>
    <xf numFmtId="0" fontId="5" fillId="2" borderId="2" applyAlignment="1" pivotButton="0" quotePrefix="0" xfId="0">
      <alignment vertical="center" wrapText="1"/>
    </xf>
    <xf numFmtId="0" fontId="2" fillId="0" borderId="6" applyAlignment="1" pivotButton="0" quotePrefix="0" xfId="0">
      <alignment horizontal="center" vertical="center"/>
    </xf>
    <xf numFmtId="0" fontId="2" fillId="0" borderId="8" applyAlignment="1" pivotButton="0" quotePrefix="0" xfId="0">
      <alignment horizontal="center" vertical="center"/>
    </xf>
    <xf numFmtId="0" fontId="0" fillId="2" borderId="2" applyAlignment="1" pivotButton="0" quotePrefix="0" xfId="0">
      <alignment horizontal="center" vertical="center"/>
    </xf>
    <xf numFmtId="0" fontId="0" fillId="0" borderId="2" applyAlignment="1" pivotButton="0" quotePrefix="0" xfId="0">
      <alignment horizontal="center" vertical="center" wrapText="1"/>
    </xf>
    <xf numFmtId="0" fontId="0" fillId="0" borderId="7" applyAlignment="1" pivotButton="0" quotePrefix="0" xfId="0">
      <alignment horizontal="center" vertical="center"/>
    </xf>
    <xf numFmtId="0" fontId="0" fillId="0" borderId="10" applyAlignment="1" pivotButton="0" quotePrefix="0" xfId="0">
      <alignment horizontal="center" vertical="center"/>
    </xf>
    <xf numFmtId="0" fontId="0" fillId="0" borderId="9" applyAlignment="1" pivotButton="0" quotePrefix="0" xfId="0">
      <alignment horizontal="center" vertical="center"/>
    </xf>
    <xf numFmtId="0" fontId="0" fillId="2" borderId="9" applyAlignment="1" pivotButton="0" quotePrefix="0" xfId="0">
      <alignment horizontal="center" vertical="center"/>
    </xf>
    <xf numFmtId="0" fontId="0" fillId="0" borderId="10" applyAlignment="1" pivotButton="0" quotePrefix="0" xfId="0">
      <alignment horizontal="center" vertical="center" wrapText="1"/>
    </xf>
    <xf numFmtId="0" fontId="0" fillId="2" borderId="2" applyAlignment="1" pivotButton="0" quotePrefix="0" xfId="0">
      <alignment horizontal="center" vertical="center" wrapText="1"/>
    </xf>
    <xf numFmtId="0" fontId="5" fillId="2" borderId="11" applyAlignment="1" pivotButton="0" quotePrefix="0" xfId="0">
      <alignment vertical="center" wrapText="1"/>
    </xf>
    <xf numFmtId="0" fontId="0" fillId="2" borderId="7" applyAlignment="1" pivotButton="0" quotePrefix="0" xfId="0">
      <alignment horizontal="center" vertical="center"/>
    </xf>
    <xf numFmtId="0" fontId="0" fillId="2" borderId="10" applyAlignment="1" pivotButton="0" quotePrefix="0" xfId="0">
      <alignment horizontal="center" vertical="center"/>
    </xf>
    <xf numFmtId="0" fontId="0" fillId="0" borderId="11" applyAlignment="1" pivotButton="0" quotePrefix="0" xfId="0">
      <alignment horizontal="center" vertical="center" wrapText="1"/>
    </xf>
    <xf numFmtId="0" fontId="0" fillId="0" borderId="11" applyAlignment="1" pivotButton="0" quotePrefix="0" xfId="0">
      <alignment horizontal="center" vertical="center"/>
    </xf>
    <xf numFmtId="0" fontId="3" fillId="0" borderId="12" applyAlignment="1" pivotButton="0" quotePrefix="0" xfId="1">
      <alignment horizontal="center" vertical="center" wrapText="1"/>
    </xf>
    <xf numFmtId="0" fontId="2" fillId="0" borderId="2" applyAlignment="1" pivotButton="0" quotePrefix="0" xfId="0">
      <alignment horizontal="center"/>
    </xf>
    <xf numFmtId="0" fontId="7" fillId="0" borderId="2" applyAlignment="1" pivotButton="0" quotePrefix="0" xfId="0">
      <alignment horizontal="center" vertical="top" wrapText="1"/>
    </xf>
    <xf numFmtId="0" fontId="5" fillId="0" borderId="2" applyAlignment="1" pivotButton="0" quotePrefix="0" xfId="0">
      <alignment wrapText="1"/>
    </xf>
    <xf numFmtId="0" fontId="2" fillId="0" borderId="11" applyAlignment="1" pivotButton="0" quotePrefix="0" xfId="0">
      <alignment horizontal="center"/>
    </xf>
    <xf numFmtId="0" fontId="2" fillId="0" borderId="6" applyAlignment="1" pivotButton="0" quotePrefix="0" xfId="0">
      <alignment horizontal="center"/>
    </xf>
    <xf numFmtId="0" fontId="2" fillId="0" borderId="11" pivotButton="0" quotePrefix="0" xfId="0"/>
    <xf numFmtId="0" fontId="0" fillId="0" borderId="2" applyAlignment="1" pivotButton="0" quotePrefix="0" xfId="0">
      <alignment vertical="center"/>
    </xf>
    <xf numFmtId="0" fontId="8" fillId="0" borderId="7" applyAlignment="1" pivotButton="0" quotePrefix="0" xfId="1">
      <alignment horizontal="center" vertical="center"/>
    </xf>
    <xf numFmtId="0" fontId="8" fillId="0" borderId="11" applyAlignment="1" pivotButton="0" quotePrefix="0" xfId="1">
      <alignment horizontal="center" vertical="center" wrapText="1"/>
    </xf>
    <xf numFmtId="0" fontId="0" fillId="0" borderId="0" applyAlignment="1" pivotButton="0" quotePrefix="0" xfId="0">
      <alignment wrapText="1"/>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0" fillId="4" borderId="11" applyAlignment="1" pivotButton="0" quotePrefix="0" xfId="0">
      <alignment horizontal="center" vertical="center"/>
    </xf>
    <xf numFmtId="0" fontId="0" fillId="4" borderId="2" applyAlignment="1" pivotButton="0" quotePrefix="0" xfId="0">
      <alignment horizontal="center" vertical="center"/>
    </xf>
    <xf numFmtId="0" fontId="0" fillId="4" borderId="9" applyAlignment="1" pivotButton="0" quotePrefix="0" xfId="0">
      <alignment horizontal="center" vertical="center"/>
    </xf>
    <xf numFmtId="0" fontId="0" fillId="4" borderId="7" applyAlignment="1" pivotButton="0" quotePrefix="0" xfId="0">
      <alignment horizontal="center" vertical="center"/>
    </xf>
    <xf numFmtId="0" fontId="9"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K4" authorId="0" shapeId="0">
      <text>
        <t>[AUTO-ADDED] Project reports access/productive-use beneficiary numbers but no MW value. Please add installed capacity (MW) or confirm not applicable.</t>
      </text>
    </comment>
    <comment ref="L4"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42807"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open.undp.org/projects/00142807" TargetMode="External" Id="rId1"/></Relationships>
</file>

<file path=xl/worksheets/_rels/sheet3.xml.rels><Relationships xmlns="http://schemas.openxmlformats.org/package/2006/relationships"><Relationship Type="http://schemas.openxmlformats.org/officeDocument/2006/relationships/hyperlink" Target="http://open.undp.org/projects/00142807" TargetMode="External" Id="rId1"/></Relationships>
</file>

<file path=xl/worksheets/sheet1.xml><?xml version="1.0" encoding="utf-8"?>
<worksheet xmlns="http://schemas.openxmlformats.org/spreadsheetml/2006/main">
  <sheetPr>
    <outlinePr summaryBelow="1" summaryRight="1"/>
    <pageSetUpPr/>
  </sheetPr>
  <dimension ref="A1:Y5"/>
  <sheetViews>
    <sheetView tabSelected="1" workbookViewId="0">
      <pane xSplit="1" ySplit="1" topLeftCell="N2" activePane="bottomRight" state="frozen"/>
      <selection pane="bottomRight" activeCell="V2" sqref="V2"/>
      <selection pane="bottomLeft" activeCell="A1" sqref="A1"/>
      <selection pane="topRight" activeCell="A1" sqref="A1"/>
    </sheetView>
  </sheetViews>
  <sheetFormatPr baseColWidth="8" defaultRowHeight="15"/>
  <cols>
    <col width="16.28515625" customWidth="1" min="1" max="1"/>
    <col width="56.85546875" bestFit="1" customWidth="1" min="2" max="2"/>
    <col width="20.7109375" customWidth="1" min="3" max="3"/>
    <col width="12.140625" bestFit="1" customWidth="1" min="4" max="4"/>
    <col width="12.140625" customWidth="1" min="5" max="5"/>
    <col width="12.140625" bestFit="1" customWidth="1" min="6" max="6"/>
    <col width="12.140625" customWidth="1" min="7" max="8"/>
    <col width="12.140625" customWidth="1" min="8" max="8"/>
    <col width="169" customWidth="1" min="9" max="9"/>
    <col width="12.85546875" bestFit="1" customWidth="1" min="12" max="12"/>
    <col width="31.7109375" bestFit="1" customWidth="1" min="14" max="14"/>
    <col width="16.140625" bestFit="1" customWidth="1" min="15" max="15"/>
    <col width="16.140625" customWidth="1" min="16" max="16"/>
    <col width="16.5703125" bestFit="1" customWidth="1" min="17" max="17"/>
    <col width="18.140625" bestFit="1" customWidth="1" min="18" max="18"/>
    <col width="11.28515625" bestFit="1" customWidth="1" min="19" max="19"/>
    <col width="30.28515625" bestFit="1" customWidth="1" min="20" max="20"/>
    <col width="16.7109375" bestFit="1" customWidth="1" min="21" max="21"/>
  </cols>
  <sheetData>
    <row r="1">
      <c r="A1" s="20" t="inlineStr">
        <is>
          <t>Project ID</t>
        </is>
      </c>
      <c r="B1" s="20" t="inlineStr">
        <is>
          <t>Title</t>
        </is>
      </c>
      <c r="C1" s="20" t="inlineStr">
        <is>
          <t>Link</t>
        </is>
      </c>
      <c r="D1" s="20" t="inlineStr">
        <is>
          <t>Budget</t>
        </is>
      </c>
      <c r="E1" s="20" t="inlineStr">
        <is>
          <t>Start Year</t>
        </is>
      </c>
      <c r="F1" s="20" t="inlineStr">
        <is>
          <t>End Year</t>
        </is>
      </c>
      <c r="G1" s="20" t="inlineStr">
        <is>
          <t>Status</t>
        </is>
      </c>
      <c r="H1" s="20" t="inlineStr">
        <is>
          <t>VF or Non-VF</t>
        </is>
      </c>
      <c r="I1" s="20" t="inlineStr">
        <is>
          <t>Beneficiary Category</t>
        </is>
      </c>
      <c r="J1" s="20" t="inlineStr">
        <is>
          <t>Indicator</t>
        </is>
      </c>
      <c r="K1" s="20" t="inlineStr">
        <is>
          <t>Baseline</t>
        </is>
      </c>
      <c r="L1" s="20" t="inlineStr">
        <is>
          <t>Target</t>
        </is>
      </c>
      <c r="M1" s="21" t="inlineStr">
        <is>
          <t>Notes</t>
        </is>
      </c>
      <c r="N1" s="24" t="inlineStr">
        <is>
          <t>Donors</t>
        </is>
      </c>
      <c r="O1" s="25" t="inlineStr">
        <is>
          <t>Gender (% female)</t>
        </is>
      </c>
      <c r="P1" s="43" t="inlineStr">
        <is>
          <t>Tag</t>
        </is>
      </c>
      <c r="Q1" s="40" t="inlineStr">
        <is>
          <t>SEH Taxonomy</t>
        </is>
      </c>
      <c r="R1" s="40" t="inlineStr">
        <is>
          <t>RISE Taxonomy</t>
        </is>
      </c>
      <c r="S1" s="43" t="inlineStr">
        <is>
          <t>Flagship</t>
        </is>
      </c>
      <c r="T1" s="43" t="inlineStr">
        <is>
          <t>Indirect Category</t>
        </is>
      </c>
      <c r="U1" s="44" t="inlineStr">
        <is>
          <t>Indirect Taxonomy</t>
        </is>
      </c>
      <c r="V1" s="45" t="inlineStr">
        <is>
          <t>Technology</t>
        </is>
      </c>
      <c r="W1" s="44" t="inlineStr">
        <is>
          <t>Policy or Regulatory Framework</t>
        </is>
      </c>
      <c r="X1" s="45" t="inlineStr">
        <is>
          <t>Policy Population</t>
        </is>
      </c>
    </row>
    <row r="2" ht="302.25" customHeight="1">
      <c r="A2" s="22" t="n">
        <v>142807</v>
      </c>
      <c r="B2" s="37" t="inlineStr">
        <is>
          <t>Energy Efficiency in Barda and Ganja</t>
        </is>
      </c>
      <c r="C2" s="48" t="inlineStr">
        <is>
          <t>http://open.undp.org/projects/00142807</t>
        </is>
      </c>
      <c r="D2" s="38" t="n">
        <v>885772</v>
      </c>
      <c r="E2" s="53" t="n"/>
      <c r="F2" s="53" t="n"/>
      <c r="G2" s="53" t="n"/>
      <c r="H2" s="38" t="inlineStr">
        <is>
          <t>Non-VF</t>
        </is>
      </c>
      <c r="I2" s="26" t="inlineStr">
        <is>
          <t>Energy Efficiency Services</t>
        </is>
      </c>
      <c r="J2" s="26" t="inlineStr">
        <is>
          <t>Number of people covered</t>
        </is>
      </c>
      <c r="K2" s="26" t="n">
        <v>0</v>
      </c>
      <c r="L2" s="26" t="n">
        <v>3000</v>
      </c>
      <c r="M2" s="34" t="inlineStr">
        <is>
          <t xml:space="preserve">We have corrected the budget figure. The number of direct beneficiaries is about 3000, including school children, their teachers, their parents, school support staff, residnet of the multistore building, their relatives that will enjoy excellent and convenient venue for family and clan gatherings. The number of indirect beneficiaries is about 4 hundred 
thousand, including residents of Ganja, Barda and surrounding rayons, covered by TV- and Radio-based awareness-raising activities.       
 the direct beneficiaries -   *62 families, or approximately 240 people, out of which 135 females and 105 male. The number of youth aged 15-24 y.o. is 42.                                              *Over 425 schoolchildren, out of which 261 are girls and 164 are boys.
The number of direct beneficiaries, who benefited from the implementation of energy efficiency measures in both facilities with improved living, studying and working conditions, reached 1,800. The reduced energy consumption resulting from using centralized heating systems has led to lower funding requirements by 30 percent. In previous times, families would allocate approximately 50-100 AZN per month for household expenses. However, with the implementation of the centralized heating system, this financial burden has significantly diminished to a mere 15-20 AZN. Furthermore, the project's integration of 20 solar panels boasting an impressive capacity of 10 kWt for outdoor lighting has played a pivotal role in curtailing overall energy consumption.
The indirect beneficiaries - *A training session was held for about 100 high-school students and 20 teachers at a selected secondary school in Barda in order to raise awareness among teachers and schoolchildren about the significance of energy efficiency.  
*To reach a wider audience, two training sessions were organized for the citizens of Ganja, which is home to about 400,000 people. These sessions were held on television and radio platforms to deliver impactful presentations on energy-efficiency principles and conducted enlightening interviews aimed at raising awareness
 On comment column: Can you please diagregate the data in two rows (e.g. energy access, advocacy ) and provide the assamption the calculation of the direct and indirect number of beneficiaries in the notes ? </t>
        </is>
      </c>
      <c r="N2" s="27" t="inlineStr">
        <is>
          <t>GOV. of Japan, 
UNDP</t>
        </is>
      </c>
      <c r="O2" s="28" t="n"/>
      <c r="P2" s="22" t="n"/>
      <c r="Q2" s="32" t="inlineStr">
        <is>
          <t>Accelerating just energy transition</t>
        </is>
      </c>
      <c r="R2" s="22" t="n"/>
      <c r="S2" s="22" t="n"/>
      <c r="T2" s="22" t="n"/>
      <c r="U2" s="22" t="n"/>
      <c r="V2" s="46" t="n"/>
      <c r="W2" s="22" t="n"/>
      <c r="X2" s="46" t="n"/>
      <c r="Y2" s="49" t="inlineStr">
        <is>
          <t xml:space="preserve">Aleksandra: please make sure 3000 beneficiaris are reflected in the dashboard. </t>
        </is>
      </c>
    </row>
    <row r="3" ht="207" customHeight="1">
      <c r="A3" s="30" t="n"/>
      <c r="B3" s="30" t="n"/>
      <c r="C3" s="39" t="n"/>
      <c r="D3" s="29" t="n"/>
      <c r="E3" s="29" t="n"/>
      <c r="F3" s="29" t="n"/>
      <c r="G3" s="29" t="n"/>
      <c r="H3" s="29" t="n"/>
      <c r="I3" s="36" t="inlineStr">
        <is>
          <t>Education Services</t>
        </is>
      </c>
      <c r="J3" s="33" t="inlineStr">
        <is>
          <t>Number of people trained/educated/informed 
through technical transfers, dialogues, workshops, 
campaigns, and other efforts</t>
        </is>
      </c>
      <c r="K3" s="26" t="n">
        <v>0</v>
      </c>
      <c r="L3" s="31" t="n">
        <v>120</v>
      </c>
      <c r="M3" s="23" t="n"/>
      <c r="N3" s="32" t="n"/>
      <c r="O3" s="28" t="n"/>
      <c r="P3" s="22" t="n"/>
      <c r="Q3" s="32" t="inlineStr">
        <is>
          <t>Accelerating just energy transition</t>
        </is>
      </c>
      <c r="R3" s="22" t="n"/>
      <c r="S3" s="22" t="n"/>
      <c r="T3" s="22" t="n"/>
      <c r="U3" s="22" t="n"/>
      <c r="V3" s="46" t="n"/>
      <c r="W3" s="22" t="n"/>
      <c r="X3" s="46" t="n"/>
    </row>
    <row r="4">
      <c r="A4" s="30" t="n"/>
      <c r="B4" s="30" t="n"/>
      <c r="C4" s="39" t="n"/>
      <c r="D4" s="29" t="n"/>
      <c r="E4" s="29" t="n"/>
      <c r="F4" s="29" t="n"/>
      <c r="G4" s="29" t="n"/>
      <c r="H4" s="29" t="n"/>
      <c r="I4" s="36" t="inlineStr">
        <is>
          <t>Energy (MW added)</t>
        </is>
      </c>
      <c r="J4" s="33" t="inlineStr">
        <is>
          <t>Installed capacity in MW for access/productive-use outputs</t>
        </is>
      </c>
      <c r="K4" s="54" t="n">
        <v>0</v>
      </c>
      <c r="L4" s="55" t="n"/>
      <c r="M4" s="23" t="n"/>
      <c r="N4" s="32" t="n"/>
      <c r="O4" s="28" t="n"/>
      <c r="P4" s="22" t="n"/>
      <c r="Q4" s="32" t="n"/>
      <c r="R4" s="22" t="n"/>
      <c r="S4" s="22" t="n"/>
      <c r="T4" s="22" t="n"/>
      <c r="U4" s="22" t="n"/>
      <c r="V4" s="46" t="n"/>
      <c r="W4" s="22" t="n"/>
      <c r="X4" s="46" t="n"/>
    </row>
    <row r="5">
      <c r="A5" s="22" t="n">
        <v>6479</v>
      </c>
      <c r="B5" s="28" t="inlineStr">
        <is>
          <t>Energy Efficiency in Buildings – EMIS and Green Social Housing</t>
        </is>
      </c>
      <c r="C5" s="47" t="inlineStr">
        <is>
          <t>https://co.pims.undp.org/project/view?id=6479</t>
        </is>
      </c>
      <c r="D5" s="28" t="n">
        <v>4521005</v>
      </c>
      <c r="E5" s="56" t="n"/>
      <c r="F5" s="56" t="n"/>
      <c r="G5" s="56" t="n"/>
      <c r="H5" s="28" t="inlineStr">
        <is>
          <t>VF</t>
        </is>
      </c>
      <c r="I5" s="26" t="n"/>
      <c r="J5" s="26" t="n"/>
      <c r="K5" s="26" t="n">
        <v>0</v>
      </c>
      <c r="L5" s="31" t="n">
        <v>10000</v>
      </c>
      <c r="M5" s="35" t="inlineStr">
        <is>
          <t>The project is in the Government's approval stage. Will be filled-in accordingly as soon as the project starts.</t>
        </is>
      </c>
      <c r="N5" s="29" t="inlineStr">
        <is>
          <t>GEF</t>
        </is>
      </c>
      <c r="O5" s="22" t="n"/>
      <c r="P5" s="22" t="n"/>
      <c r="Q5" s="32" t="inlineStr">
        <is>
          <t>Accelerating just energy transition</t>
        </is>
      </c>
      <c r="R5" s="22" t="n"/>
      <c r="S5" s="22" t="n"/>
      <c r="T5" s="22" t="n"/>
      <c r="U5" s="22" t="n"/>
      <c r="V5" s="46" t="n"/>
      <c r="W5" s="22" t="n"/>
      <c r="X5" s="46" t="n"/>
    </row>
  </sheetData>
  <dataValidations count="10">
    <dataValidation sqref="Q2:Q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4" showDropDown="0" showInputMessage="1" showErrorMessage="1" allowBlank="1" type="list">
      <formula1>"AMP, PUDC, Solar4Health, Action Opportunities, Italy UNDP Energy Partnership"</formula1>
    </dataValidation>
    <dataValidation sqref="N2:N4" showDropDown="0" showInputMessage="1" showErrorMessage="1" allowBlank="1" type="list">
      <formula1>"Accelerating just energy transition, Close the gap on energy access, Scale up energy finance"</formula1>
    </dataValidation>
    <dataValidation sqref="O2:O4" showDropDown="0" showInputMessage="1" showErrorMessage="1" allowBlank="1" type="list">
      <formula1>"Electricity Access, Energy Efficiency, Clean Cooking, Renewable Energy, Overall"</formula1>
    </dataValidation>
    <dataValidation sqref="L2:L4" showDropDown="0" showInputMessage="1" showErrorMessage="1" allowBlank="1" type="list">
      <formula1>"Non-VF, VF"</formula1>
    </dataValidation>
    <dataValidation sqref="M2:M4" showDropDown="0" showInputMessage="1" showErrorMessage="1" allowBlank="1" type="list">
      <formula1>"Finance, Gender, Efficiency, Just, Health"</formula1>
    </dataValidation>
    <dataValidation sqref="T2:T4" showDropDown="0" showInputMessage="1" showErrorMessage="1" allowBlank="1" type="list">
      <formula1>"National, Regional, City, Community"</formula1>
    </dataValidation>
    <dataValidation sqref="S2:S4" showDropDown="0" showInputMessage="1" showErrorMessage="1" allowBlank="1" type="list">
      <formula1>"Solar, Wind, Bioenergy, Hydro, Geothermal, Waste, Other, Unknown"</formula1>
    </dataValidation>
    <dataValidation sqref="R2:R4"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3"/>
  <sheetViews>
    <sheetView workbookViewId="0">
      <selection activeCell="M1" sqref="M1"/>
    </sheetView>
  </sheetViews>
  <sheetFormatPr baseColWidth="8" defaultRowHeight="15"/>
  <cols>
    <col width="20.7109375" customWidth="1" min="2" max="3"/>
    <col width="20.7109375" customWidth="1" min="5" max="6"/>
    <col width="12.7109375" customWidth="1" min="7" max="8"/>
    <col width="29" customWidth="1" min="9" max="9"/>
    <col width="153.140625" customWidth="1" min="10" max="10"/>
    <col width="66.7109375" customWidth="1" min="14" max="14"/>
  </cols>
  <sheetData>
    <row r="1">
      <c r="A1" s="7" t="inlineStr">
        <is>
          <t>Project ID</t>
        </is>
      </c>
      <c r="B1" s="7" t="inlineStr">
        <is>
          <t>Title</t>
        </is>
      </c>
      <c r="C1" s="7" t="inlineStr">
        <is>
          <t>Link</t>
        </is>
      </c>
      <c r="D1" s="7" t="inlineStr">
        <is>
          <t>Budget</t>
        </is>
      </c>
      <c r="E1" s="7" t="inlineStr">
        <is>
          <t>Beneficiary Category</t>
        </is>
      </c>
      <c r="F1" s="7" t="inlineStr">
        <is>
          <t>Indicator</t>
        </is>
      </c>
      <c r="G1" s="7" t="inlineStr">
        <is>
          <t>Baseline</t>
        </is>
      </c>
      <c r="H1" s="7" t="inlineStr">
        <is>
          <t>Target</t>
        </is>
      </c>
      <c r="I1" s="8" t="inlineStr">
        <is>
          <t xml:space="preserve">Indirect Beneficiaries </t>
        </is>
      </c>
      <c r="J1" s="8" t="inlineStr">
        <is>
          <t>Notes</t>
        </is>
      </c>
      <c r="K1" s="9" t="inlineStr">
        <is>
          <t>Donors</t>
        </is>
      </c>
      <c r="L1" s="11" t="inlineStr">
        <is>
          <t>Gender (% female)</t>
        </is>
      </c>
      <c r="M1" s="11" t="inlineStr">
        <is>
          <t>Category</t>
        </is>
      </c>
      <c r="N1" s="17" t="inlineStr">
        <is>
          <t>Comments</t>
        </is>
      </c>
    </row>
    <row r="2" ht="408.75" customHeight="1">
      <c r="A2" s="12" t="n">
        <v>142807</v>
      </c>
      <c r="B2" s="12" t="inlineStr">
        <is>
          <t>Energy Efficiency in Barda and Ganja</t>
        </is>
      </c>
      <c r="C2" s="13" t="inlineStr">
        <is>
          <t>http://open.undp.org/projects/00142807</t>
        </is>
      </c>
      <c r="D2" s="12" t="inlineStr">
        <is>
          <t>US$885772</t>
        </is>
      </c>
      <c r="E2" s="14" t="inlineStr">
        <is>
          <t>Other Energy Services</t>
        </is>
      </c>
      <c r="F2" s="14" t="inlineStr">
        <is>
          <t>Number of people covered</t>
        </is>
      </c>
      <c r="G2" s="14" t="n">
        <v>0</v>
      </c>
      <c r="H2" s="14" t="n">
        <v>3000</v>
      </c>
      <c r="I2" s="14" t="n">
        <v>400000</v>
      </c>
      <c r="J2" s="19" t="inlineStr">
        <is>
          <t xml:space="preserve">We have corrected the budget figure. 
The number of direct beneficiaries is about 3000, 
including school children, their teachers, their 
parents, school support staff, residnet of the 
multistore building, their relatives that will 
enjoy excellent and convenient venue for 
family and clan gatherings. The number of 
indirect beneficiaries is about 4 hundred 
thousand, including residents of Ganja, 
Barda and surrounding rayons, covered by 
TV- and Radio-based awareness-raising activities.       
 the direct beneficiaries -   *62 families, or approximately 240 people, out of which 135 females and 105 male. The number of youth aged 15-24 y.o. is 42.                                              *Over 425 schoolchildren, out of which 261 are girls and 164 are boys.
The number of direct beneficiaries, who benefited from the implementation of energy efficiency measures in both facilities with improved living, studying and working conditions, reached 1,800. The reduced energy consumption resulting from using centralized heating systems has led to lower funding requirements by 30 percent. In previous times, families would allocate approximately 50-100 AZN per month for household expenses. However, with the implementation of the centralized heating system, this financial burden has significantly diminished to a mere 15-20 AZN. Furthermore, the project's integration of 20 solar panels boasting an impressive capacity of 10 kWt for outdoor lighting has played a pivotal role in curtailing overall energy consumption.
The indirect beneficiaries - *A training session was held for about 100 high-school students and 20 teachers at a selected secondary school in Barda in order to raise awareness among teachers and schoolchildren about the significance of energy efficiency.  
*To reach a wider audience, two training sessions were organized for the citizens of Ganja, which is home to about 400,000 people. These sessions were held on television and radio platforms to deliver impactful presentations on energy-efficiency principles and conducted enlightening interviews aimed at raising awareness
                                      </t>
        </is>
      </c>
      <c r="K2" s="15" t="inlineStr">
        <is>
          <t>GOV. of Japan, 
UNDP</t>
        </is>
      </c>
      <c r="L2" s="10" t="n"/>
      <c r="M2" s="10" t="n"/>
      <c r="N2" s="18" t="inlineStr">
        <is>
          <t xml:space="preserve">Can you please diagregate the data in two rows (e.g. energy access, advocacy ) and provide the assamption the calculation of the direct and indirect number of beneficiaries in the notes ? </t>
        </is>
      </c>
    </row>
    <row r="3">
      <c r="A3" s="12" t="n">
        <v>6479</v>
      </c>
      <c r="B3" s="12" t="inlineStr">
        <is>
          <t>Energy Efficiency in Buildings – EMIS and Green Social Housing</t>
        </is>
      </c>
      <c r="C3" s="12" t="inlineStr">
        <is>
          <t>PIMS+</t>
        </is>
      </c>
      <c r="D3" s="12" t="n">
        <v>4521005</v>
      </c>
      <c r="E3" s="14" t="n"/>
      <c r="F3" s="14" t="n"/>
      <c r="G3" s="14" t="n">
        <v>0</v>
      </c>
      <c r="H3" s="14" t="n">
        <v>10000</v>
      </c>
      <c r="I3" s="16" t="n"/>
      <c r="J3" s="3" t="inlineStr">
        <is>
          <t>The project is in the Government's approval stage. Will be filled-in accordingly as soon as the project starts.</t>
        </is>
      </c>
      <c r="K3" s="6" t="n"/>
      <c r="L3" s="6" t="n"/>
      <c r="M3" s="12" t="inlineStr">
        <is>
          <t>VF</t>
        </is>
      </c>
    </row>
  </sheetData>
  <hyperlinks>
    <hyperlink xmlns:r="http://schemas.openxmlformats.org/officeDocument/2006/relationships" ref="C2"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3"/>
  <sheetViews>
    <sheetView topLeftCell="B1" workbookViewId="0">
      <selection activeCell="I2" sqref="I2"/>
    </sheetView>
  </sheetViews>
  <sheetFormatPr baseColWidth="8" defaultRowHeight="15"/>
  <cols>
    <col width="20.7109375" customWidth="1" min="2" max="3"/>
    <col width="20.7109375" customWidth="1" min="5" max="6"/>
    <col width="12.7109375" customWidth="1" min="7" max="8"/>
    <col width="32.7109375" customWidth="1" min="9" max="9"/>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5" t="inlineStr">
        <is>
          <t>Notes</t>
        </is>
      </c>
      <c r="J1" s="4" t="inlineStr">
        <is>
          <t>Donors</t>
        </is>
      </c>
    </row>
    <row r="2">
      <c r="A2" t="n">
        <v>142807</v>
      </c>
      <c r="B2" t="inlineStr">
        <is>
          <t>Energy Efficiency in Barda and Ganja</t>
        </is>
      </c>
      <c r="C2" s="2" t="inlineStr">
        <is>
          <t>http://open.undp.org/projects/00142807</t>
        </is>
      </c>
      <c r="D2" t="n">
        <v>885772</v>
      </c>
      <c r="E2" s="3" t="inlineStr">
        <is>
          <t>Other Energy Services</t>
        </is>
      </c>
      <c r="F2" s="3" t="inlineStr">
        <is>
          <t>Number of people covered</t>
        </is>
      </c>
      <c r="G2" s="3" t="n">
        <v>0</v>
      </c>
      <c r="H2" s="3" t="n">
        <v>400000</v>
      </c>
      <c r="I2" s="3" t="inlineStr">
        <is>
          <t xml:space="preserve">We have corrected the budget figure. The number of direct beneficiaries is about 3000, including school children, their teachers, their parents, school support staff, residnet of the multistore building, their relatives that will enjoy excellent and convenient venue for family and clan gatherings. The number of indirect beneficiaries is about 4 hundred thousand, including residents of Ganja, Barda and surrounding rayons, covered by TV- and Radio-based awareness-raising activities. </t>
        </is>
      </c>
    </row>
    <row r="3">
      <c r="A3" t="n">
        <v>6479</v>
      </c>
      <c r="B3" t="inlineStr">
        <is>
          <t>Energy Efficiency in Buildings – EMIS and Green Social Housing</t>
        </is>
      </c>
      <c r="C3" t="inlineStr">
        <is>
          <t>PIMS+</t>
        </is>
      </c>
      <c r="D3" t="n">
        <v>4521005</v>
      </c>
      <c r="E3" s="3" t="n"/>
      <c r="F3" s="3" t="n"/>
      <c r="G3" s="3" t="n"/>
      <c r="H3" s="3" t="n">
        <v>10000</v>
      </c>
      <c r="I3" s="3" t="inlineStr">
        <is>
          <t>The project is in the Government's approval stage. Will be filled-in accordingly as soon as the project starts.</t>
        </is>
      </c>
    </row>
  </sheetData>
  <hyperlinks>
    <hyperlink xmlns:r="http://schemas.openxmlformats.org/officeDocument/2006/relationships" ref="C2" r:id="rId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opLeftCell="A3" workbookViewId="0">
      <pane ySplit="1" topLeftCell="A2" activePane="bottomLeft" state="frozen"/>
      <selection pane="bottomLeft" activeCell="A13" sqref="A13"/>
    </sheetView>
  </sheetViews>
  <sheetFormatPr baseColWidth="8" defaultRowHeight="15"/>
  <cols>
    <col width="36" customWidth="1" min="1" max="2"/>
    <col width="110" customWidth="1" min="2" max="2"/>
  </cols>
  <sheetData>
    <row r="1">
      <c r="A1" s="57" t="inlineStr">
        <is>
          <t>Beneficiary Category</t>
        </is>
      </c>
      <c r="B1" s="57" t="inlineStr">
        <is>
          <t>Indicator</t>
        </is>
      </c>
    </row>
    <row r="2" ht="45.75" customHeight="1">
      <c r="A2" s="58" t="inlineStr">
        <is>
          <t>Electricity Access</t>
        </is>
      </c>
      <c r="B2" s="58" t="inlineStr">
        <is>
          <t>Number of people, disaggregated by sex, who gain access to clean electricity (direct access to electricity, lighting, cooling, etc.).</t>
        </is>
      </c>
    </row>
    <row r="3">
      <c r="A3" s="58" t="inlineStr">
        <is>
          <t>Energy (MW added)</t>
        </is>
      </c>
      <c r="B3" s="58" t="inlineStr">
        <is>
          <t>Installed renewable or clean-energy power capacity added, in MW.</t>
        </is>
      </c>
    </row>
    <row r="4" ht="30.75" customHeight="1">
      <c r="A4" s="58" t="inlineStr">
        <is>
          <t>Energy Storage (MW)</t>
        </is>
      </c>
      <c r="B4" s="58" t="inlineStr">
        <is>
          <t>Installed energy storage power capacity added, in MW.</t>
        </is>
      </c>
    </row>
    <row r="5" ht="30.75" customHeight="1">
      <c r="A5" s="58" t="inlineStr">
        <is>
          <t>Clean Cooking</t>
        </is>
      </c>
      <c r="B5" s="58" t="inlineStr">
        <is>
          <t>Number of people who gain access to clean cooking (direct access to clean cook stoves, clean fuels, biomass, etc.).</t>
        </is>
      </c>
    </row>
    <row r="6" ht="91.5" customHeight="1">
      <c r="A6" s="58" t="inlineStr">
        <is>
          <t>Clean Heating</t>
        </is>
      </c>
      <c r="B6" s="58" t="inlineStr">
        <is>
          <t>Number of people who gain access to clean heating (direct access to clean electric heaters, clean fuels, etc.).</t>
        </is>
      </c>
    </row>
    <row r="7" ht="45.75" customHeight="1">
      <c r="A7" s="58" t="inlineStr">
        <is>
          <t>Agriculture and Food System</t>
        </is>
      </c>
      <c r="B7" s="58" t="inlineStr">
        <is>
          <t>Number of people who gain access to clean, affordable, and sustainable energy for agricultural and food-system activities.</t>
        </is>
      </c>
    </row>
    <row r="8" ht="45.75" customHeight="1">
      <c r="A8" s="58" t="inlineStr">
        <is>
          <t>Health Services</t>
        </is>
      </c>
      <c r="B8" s="58" t="inlineStr">
        <is>
          <t>Number of people who gain access to health care facilities through clean energy systems.</t>
        </is>
      </c>
    </row>
    <row r="9" ht="45.75" customHeight="1">
      <c r="A9" s="58" t="inlineStr">
        <is>
          <t>Water Services</t>
        </is>
      </c>
      <c r="B9" s="58" t="inlineStr">
        <is>
          <t>Number of people who gain access to water services through clean energy systems.</t>
        </is>
      </c>
    </row>
    <row r="10" ht="30.75" customHeight="1">
      <c r="A10" s="58" t="inlineStr">
        <is>
          <t>Education Services</t>
        </is>
      </c>
      <c r="B10" s="58" t="inlineStr">
        <is>
          <t>Number of people who gain access to education services through clean energy systems, including students and teachers.</t>
        </is>
      </c>
    </row>
    <row r="11" ht="30.75" customHeight="1">
      <c r="A11" s="58" t="inlineStr">
        <is>
          <t>Transportation and E-mobility Services</t>
        </is>
      </c>
      <c r="B11" s="58" t="inlineStr">
        <is>
          <t>Number of people served or energy saved from transport and e-mobility interventions, such as electric vehicles or charging stations.</t>
        </is>
      </c>
    </row>
    <row r="12" ht="45.75" customHeight="1">
      <c r="A12" s="58" t="inlineStr">
        <is>
          <t>Energy Efficiency Services</t>
        </is>
      </c>
      <c r="B12" s="58" t="inlineStr">
        <is>
          <t>Energy saved from energy-efficiency interventions, such as building or industrial efficiency.</t>
        </is>
      </c>
    </row>
    <row r="13" ht="30.75" customHeight="1">
      <c r="A13" s="58" t="inlineStr">
        <is>
          <t>Energy Infrastructure Services</t>
        </is>
      </c>
      <c r="B13" s="58" t="inlineStr">
        <is>
          <t>Number of people benefiting from energy infrastructure interventions, such as streetlights, transmission, and distribution lines.</t>
        </is>
      </c>
    </row>
    <row r="14">
      <c r="A14" s="58" t="inlineStr">
        <is>
          <t>Other Energy Services</t>
        </is>
      </c>
      <c r="B14" s="58" t="inlineStr">
        <is>
          <t>Access to other energy services not captured by the categories above.</t>
        </is>
      </c>
    </row>
    <row r="15" ht="30.75" customHeight="1">
      <c r="A15" s="58" t="inlineStr">
        <is>
          <t>Financing support</t>
        </is>
      </c>
      <c r="B15" s="58" t="inlineStr">
        <is>
          <t>Support for the development of the energy market ecosystem.</t>
        </is>
      </c>
    </row>
    <row r="16" ht="30.75" customHeight="1">
      <c r="A16" s="58" t="inlineStr">
        <is>
          <t>Medium Enterprises</t>
        </is>
      </c>
      <c r="B16" s="58" t="inlineStr">
        <is>
          <t>Support for the development of medium enterprises in the energy transition market.</t>
        </is>
      </c>
    </row>
    <row r="17" ht="30.75" customHeight="1">
      <c r="A17" s="58" t="inlineStr">
        <is>
          <t>Small Enterprises</t>
        </is>
      </c>
      <c r="B17" s="58" t="inlineStr">
        <is>
          <t>Support for the development of small enterprises in the energy transition market.</t>
        </is>
      </c>
    </row>
    <row r="18" ht="30.75" customHeight="1">
      <c r="A18" s="58" t="inlineStr">
        <is>
          <t>Capacity Building Training</t>
        </is>
      </c>
      <c r="B18" s="58" t="inlineStr">
        <is>
          <t>Number of people benefiting from training on energy business, energy finance, or related implementation capacity.</t>
        </is>
      </c>
    </row>
    <row r="19" ht="76.5" customHeight="1">
      <c r="A19" s="58" t="inlineStr">
        <is>
          <t>Entrepreneurship Training</t>
        </is>
      </c>
      <c r="B19" s="58" t="inlineStr">
        <is>
          <t>Training for enterprises on the energy business, assumed to result in direct beneficiaries.</t>
        </is>
      </c>
    </row>
    <row r="20" ht="30.75" customHeight="1">
      <c r="A20" s="58" t="inlineStr">
        <is>
          <t>Market Intervention</t>
        </is>
      </c>
      <c r="B20" s="58" t="inlineStr">
        <is>
          <t>Volume of investment leveraged or barriers removed for clean, reliable, affordable, and sustainable energy solutions.</t>
        </is>
      </c>
    </row>
    <row r="21" ht="45.75" customHeight="1">
      <c r="A21" s="58" t="inlineStr">
        <is>
          <t>Campaign Participant</t>
        </is>
      </c>
      <c r="B21" s="58" t="inlineStr">
        <is>
          <t>Individuals who participate in advocacy or awareness campaigns on energy.</t>
        </is>
      </c>
    </row>
    <row r="22" ht="30.75" customHeight="1">
      <c r="A22" s="58" t="inlineStr">
        <is>
          <t>Policy or Regulatory Framework</t>
        </is>
      </c>
      <c r="B22" s="58" t="inlineStr">
        <is>
          <t>Policies, regulations, strategies, plans, or frameworks developed, approved, implemented, or strengthened.</t>
        </is>
      </c>
    </row>
    <row r="23">
      <c r="A23" s="58" t="inlineStr">
        <is>
          <t>GHG Emissions Reduction</t>
        </is>
      </c>
      <c r="B23" s="58" t="inlineStr">
        <is>
          <t>Greenhouse gas emissions reduced or mitigated, in tCO2e.</t>
        </is>
      </c>
    </row>
    <row r="24">
      <c r="A24" s="58" t="inlineStr">
        <is>
          <t>Other</t>
        </is>
      </c>
      <c r="B24" s="58"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2026-06-10T12:20:11Z</dcterms:modified>
  <cp:lastModifiedBy>Aleksandra Prodan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