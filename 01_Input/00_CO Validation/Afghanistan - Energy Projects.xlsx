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7575" yWindow="-15780" windowWidth="15375" windowHeight="7785"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color theme="1"/>
      <sz val="11"/>
      <scheme val="minor"/>
    </font>
    <font>
      <name val="Calibri"/>
      <family val="2"/>
      <b val="1"/>
      <color theme="1"/>
      <sz val="11"/>
      <scheme val="minor"/>
    </font>
    <font>
      <name val="Calibri"/>
      <family val="2"/>
      <color rgb="FF000000"/>
      <sz val="11"/>
    </font>
    <font>
      <name val="Calibri"/>
      <family val="2"/>
      <sz val="11"/>
    </font>
    <font>
      <name val="Calibri"/>
      <family val="2"/>
      <color theme="10"/>
      <sz val="11"/>
      <u val="single"/>
      <scheme val="minor"/>
    </font>
    <font>
      <name val="Calibri"/>
      <b val="1"/>
      <color theme="1"/>
      <sz val="11"/>
      <scheme val="minor"/>
    </font>
    <font>
      <name val="Calibri"/>
      <color rgb="FF000000"/>
      <sz val="11"/>
      <scheme val="minor"/>
    </font>
    <font>
      <name val="Calibri"/>
      <color rgb="FF000000"/>
      <sz val="11"/>
    </font>
    <font>
      <name val="Calibri"/>
      <color rgb="FFFF0000"/>
      <sz val="11"/>
    </font>
    <font>
      <b val="1"/>
    </font>
  </fonts>
  <fills count="5">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rgb="00FFFF00"/>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diagonal/>
    </border>
    <border>
      <left/>
      <right/>
      <top style="thin">
        <color rgb="FF000000"/>
      </top>
      <bottom style="thin">
        <color rgb="FF000000"/>
      </bottom>
      <diagonal/>
    </border>
  </borders>
  <cellStyleXfs count="2">
    <xf numFmtId="0" fontId="0" fillId="0" borderId="0"/>
    <xf numFmtId="0" fontId="5" fillId="0" borderId="0"/>
  </cellStyleXfs>
  <cellXfs count="72">
    <xf numFmtId="0" fontId="0" fillId="0" borderId="0" pivotButton="0" quotePrefix="0" xfId="0"/>
    <xf numFmtId="0" fontId="2" fillId="0" borderId="1" applyAlignment="1" pivotButton="0" quotePrefix="0" xfId="0">
      <alignment horizontal="center" vertical="top"/>
    </xf>
    <xf numFmtId="0" fontId="2" fillId="0" borderId="2" pivotButton="0" quotePrefix="0" xfId="0"/>
    <xf numFmtId="0" fontId="3" fillId="0" borderId="1" applyAlignment="1" pivotButton="0" quotePrefix="0" xfId="0">
      <alignment vertical="center" wrapText="1"/>
    </xf>
    <xf numFmtId="0" fontId="3" fillId="0" borderId="3" applyAlignment="1" pivotButton="0" quotePrefix="0" xfId="0">
      <alignment vertical="center" wrapText="1"/>
    </xf>
    <xf numFmtId="0" fontId="0" fillId="0" borderId="0" applyAlignment="1" pivotButton="0" quotePrefix="0" xfId="0">
      <alignment vertical="center"/>
    </xf>
    <xf numFmtId="0" fontId="4" fillId="0" borderId="1" applyAlignment="1" pivotButton="0" quotePrefix="0" xfId="0">
      <alignment vertical="center" wrapText="1"/>
    </xf>
    <xf numFmtId="0" fontId="3" fillId="0" borderId="0" applyAlignment="1" pivotButton="0" quotePrefix="0" xfId="0">
      <alignment vertical="center" wrapText="1"/>
    </xf>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5" applyAlignment="1" pivotButton="0" quotePrefix="0" xfId="0">
      <alignment vertical="center"/>
    </xf>
    <xf numFmtId="0" fontId="4" fillId="0" borderId="5" applyAlignment="1" pivotButton="0" quotePrefix="0" xfId="0">
      <alignment vertical="center" wrapText="1"/>
    </xf>
    <xf numFmtId="0" fontId="3" fillId="0" borderId="3" applyAlignment="1" pivotButton="0" quotePrefix="0" xfId="0">
      <alignment vertical="center"/>
    </xf>
    <xf numFmtId="0" fontId="2" fillId="2" borderId="2" pivotButton="0" quotePrefix="0" xfId="0"/>
    <xf numFmtId="0" fontId="2" fillId="2" borderId="1" applyAlignment="1" pivotButton="0" quotePrefix="0" xfId="0">
      <alignment horizontal="center" vertical="top"/>
    </xf>
    <xf numFmtId="0" fontId="2" fillId="0" borderId="0" pivotButton="0" quotePrefix="0" xfId="0"/>
    <xf numFmtId="0" fontId="3" fillId="0" borderId="1" applyAlignment="1" pivotButton="0" quotePrefix="0" xfId="0">
      <alignment horizontal="center" vertical="center" wrapText="1"/>
    </xf>
    <xf numFmtId="0" fontId="3" fillId="0" borderId="3" applyAlignment="1" pivotButton="0" quotePrefix="0" xfId="0">
      <alignment horizontal="center" vertical="center" wrapText="1"/>
    </xf>
    <xf numFmtId="0" fontId="5" fillId="0" borderId="3" applyAlignment="1" pivotButton="0" quotePrefix="0" xfId="1">
      <alignment horizontal="center" vertical="center" wrapText="1"/>
    </xf>
    <xf numFmtId="0" fontId="3" fillId="0" borderId="8" applyAlignment="1" pivotButton="0" quotePrefix="0" xfId="0">
      <alignment horizontal="center" vertical="center" wrapText="1"/>
    </xf>
    <xf numFmtId="0" fontId="3" fillId="0" borderId="9" applyAlignment="1" pivotButton="0" quotePrefix="0" xfId="0">
      <alignment horizontal="center" vertical="center" wrapText="1"/>
    </xf>
    <xf numFmtId="0" fontId="0" fillId="0" borderId="8" applyAlignment="1" pivotButton="0" quotePrefix="0" xfId="0">
      <alignment horizontal="center" vertical="center"/>
    </xf>
    <xf numFmtId="0" fontId="3" fillId="0" borderId="0" applyAlignment="1" pivotButton="0" quotePrefix="0" xfId="0">
      <alignment horizontal="center" vertical="center" wrapText="1"/>
    </xf>
    <xf numFmtId="0" fontId="4" fillId="0" borderId="1" applyAlignment="1" pivotButton="0" quotePrefix="0" xfId="0">
      <alignment horizontal="center" vertical="center" wrapText="1"/>
    </xf>
    <xf numFmtId="9" fontId="0" fillId="0" borderId="8" applyAlignment="1" pivotButton="0" quotePrefix="0" xfId="0">
      <alignment horizontal="center" vertical="center"/>
    </xf>
    <xf numFmtId="0" fontId="3" fillId="0" borderId="4"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5" applyAlignment="1" pivotButton="0" quotePrefix="0" xfId="0">
      <alignment horizontal="center" vertical="center"/>
    </xf>
    <xf numFmtId="0" fontId="4" fillId="0" borderId="5" applyAlignment="1" pivotButton="0" quotePrefix="0" xfId="0">
      <alignment horizontal="center" vertical="center" wrapText="1"/>
    </xf>
    <xf numFmtId="0" fontId="3" fillId="0" borderId="10" applyAlignment="1" pivotButton="0" quotePrefix="0" xfId="0">
      <alignment horizontal="center" vertical="center" wrapText="1"/>
    </xf>
    <xf numFmtId="10" fontId="0" fillId="0" borderId="8" applyAlignment="1" pivotButton="0" quotePrefix="0" xfId="0">
      <alignment horizontal="center" vertical="center"/>
    </xf>
    <xf numFmtId="0" fontId="3" fillId="0" borderId="11" applyAlignment="1" pivotButton="0" quotePrefix="0" xfId="0">
      <alignment horizontal="center" vertical="center" wrapText="1"/>
    </xf>
    <xf numFmtId="0" fontId="3" fillId="0" borderId="3"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wrapText="1"/>
    </xf>
    <xf numFmtId="0" fontId="0" fillId="0" borderId="8" applyAlignment="1" pivotButton="0" quotePrefix="0" xfId="0">
      <alignment horizontal="center" vertical="center" wrapText="1"/>
    </xf>
    <xf numFmtId="0" fontId="3" fillId="0" borderId="15" applyAlignment="1" pivotButton="0" quotePrefix="0" xfId="0">
      <alignment horizontal="center" vertical="center" wrapText="1"/>
    </xf>
    <xf numFmtId="0" fontId="2" fillId="0" borderId="6" applyAlignment="1" pivotButton="0" quotePrefix="0" xfId="0">
      <alignment horizontal="center" vertical="top"/>
    </xf>
    <xf numFmtId="0" fontId="2" fillId="0" borderId="2" applyAlignment="1" pivotButton="0" quotePrefix="0" xfId="0">
      <alignment horizontal="center"/>
    </xf>
    <xf numFmtId="0" fontId="2" fillId="0" borderId="8" applyAlignment="1" pivotButton="0" quotePrefix="0" xfId="0">
      <alignment horizontal="center"/>
    </xf>
    <xf numFmtId="0" fontId="2" fillId="0" borderId="14" applyAlignment="1" pivotButton="0" quotePrefix="0" xfId="0">
      <alignment horizontal="center"/>
    </xf>
    <xf numFmtId="0" fontId="3" fillId="0" borderId="7" applyAlignment="1" pivotButton="0" quotePrefix="0" xfId="0">
      <alignment horizontal="center" vertical="center" wrapText="1"/>
    </xf>
    <xf numFmtId="0" fontId="5" fillId="0" borderId="15" applyAlignment="1" pivotButton="0" quotePrefix="0" xfId="1">
      <alignment horizontal="center" vertical="center"/>
    </xf>
    <xf numFmtId="0" fontId="3" fillId="0" borderId="15" applyAlignment="1" pivotButton="0" quotePrefix="0" xfId="0">
      <alignment horizontal="center" vertical="center"/>
    </xf>
    <xf numFmtId="0" fontId="3" fillId="0" borderId="12" applyAlignment="1" pivotButton="0" quotePrefix="0" xfId="0">
      <alignment horizontal="center" vertical="center" wrapText="1"/>
    </xf>
    <xf numFmtId="0" fontId="3" fillId="0" borderId="16" applyAlignment="1" pivotButton="0" quotePrefix="0" xfId="0">
      <alignment horizontal="center" vertical="center" wrapText="1"/>
    </xf>
    <xf numFmtId="0" fontId="3" fillId="0" borderId="16" applyAlignment="1" pivotButton="0" quotePrefix="0" xfId="0">
      <alignment horizontal="center" vertical="center"/>
    </xf>
    <xf numFmtId="0" fontId="3" fillId="0" borderId="13" applyAlignment="1" pivotButton="0" quotePrefix="0" xfId="0">
      <alignment horizontal="center" vertical="center"/>
    </xf>
    <xf numFmtId="0" fontId="6" fillId="0" borderId="8" applyAlignment="1" pivotButton="0" quotePrefix="0" xfId="0">
      <alignment horizontal="center" vertical="top" wrapText="1"/>
    </xf>
    <xf numFmtId="0" fontId="7" fillId="0" borderId="8" applyAlignment="1" pivotButton="0" quotePrefix="0" xfId="0">
      <alignment wrapText="1"/>
    </xf>
    <xf numFmtId="0" fontId="2" fillId="0" borderId="8" pivotButton="0" quotePrefix="0" xfId="0"/>
    <xf numFmtId="0" fontId="0" fillId="0" borderId="8" applyAlignment="1" pivotButton="0" quotePrefix="0" xfId="0">
      <alignment vertical="center"/>
    </xf>
    <xf numFmtId="0" fontId="2" fillId="0" borderId="12" applyAlignment="1" pivotButton="0" quotePrefix="0" xfId="0">
      <alignment horizontal="center"/>
    </xf>
    <xf numFmtId="0" fontId="8" fillId="0" borderId="3" applyAlignment="1" pivotButton="0" quotePrefix="0" xfId="0">
      <alignment horizontal="center" vertical="center" wrapText="1"/>
    </xf>
    <xf numFmtId="0" fontId="8"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5" fillId="0" borderId="0" applyAlignment="1" pivotButton="0" quotePrefix="0" xfId="1">
      <alignment horizontal="center" vertical="center" wrapText="1"/>
    </xf>
    <xf numFmtId="0" fontId="0" fillId="0" borderId="0" applyAlignment="1" pivotButton="0" quotePrefix="0" xfId="0">
      <alignment horizontal="left" vertical="center" wrapText="1"/>
    </xf>
    <xf numFmtId="0" fontId="1" fillId="0" borderId="8" applyAlignment="1" pivotButton="0" quotePrefix="0" xfId="0">
      <alignment horizontal="left" vertical="center" wrapText="1"/>
    </xf>
    <xf numFmtId="0" fontId="1" fillId="3" borderId="8" applyAlignment="1" pivotButton="0" quotePrefix="0" xfId="0">
      <alignment wrapText="1"/>
    </xf>
    <xf numFmtId="0" fontId="1" fillId="0" borderId="8" applyAlignment="1" pivotButton="0" quotePrefix="0" xfId="0">
      <alignment wrapText="1"/>
    </xf>
    <xf numFmtId="0" fontId="1" fillId="0" borderId="8" applyAlignment="1" pivotButton="0" quotePrefix="0" xfId="0">
      <alignment vertical="center" wrapText="1"/>
    </xf>
    <xf numFmtId="0" fontId="3" fillId="4" borderId="3" applyAlignment="1" pivotButton="0" quotePrefix="0" xfId="0">
      <alignment horizontal="center" vertical="center" wrapText="1"/>
    </xf>
    <xf numFmtId="0" fontId="4" fillId="4" borderId="1" applyAlignment="1" pivotButton="0" quotePrefix="0" xfId="0">
      <alignment horizontal="center" vertical="center" wrapText="1"/>
    </xf>
    <xf numFmtId="0" fontId="3" fillId="4" borderId="0" applyAlignment="1" pivotButton="0" quotePrefix="0" xfId="0">
      <alignment horizontal="center" vertical="center" wrapText="1"/>
    </xf>
    <xf numFmtId="0" fontId="4" fillId="4" borderId="5" applyAlignment="1" pivotButton="0" quotePrefix="0" xfId="0">
      <alignment horizontal="center" vertical="center" wrapText="1"/>
    </xf>
    <xf numFmtId="0" fontId="3" fillId="4" borderId="5" applyAlignment="1" pivotButton="0" quotePrefix="0" xfId="0">
      <alignment horizontal="center" vertical="center" wrapText="1"/>
    </xf>
    <xf numFmtId="0" fontId="3" fillId="4" borderId="15" applyAlignment="1" pivotButton="0" quotePrefix="0" xfId="0">
      <alignment horizontal="center" vertical="center"/>
    </xf>
    <xf numFmtId="0" fontId="3" fillId="4" borderId="5" applyAlignment="1" pivotButton="0" quotePrefix="0" xfId="0">
      <alignment horizontal="center" vertical="center"/>
    </xf>
    <xf numFmtId="0" fontId="0" fillId="4" borderId="0" applyAlignment="1" pivotButton="0" quotePrefix="0" xfId="0">
      <alignment horizontal="center" vertical="center" wrapText="1"/>
    </xf>
    <xf numFmtId="0" fontId="10"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4" authorId="0" shapeId="0">
      <text>
        <t>[AUTO-ADDED] Project reports access/productive-use beneficiary numbers but no MW value. Please add installed capacity (MW) or confirm not applicable.</t>
      </text>
    </comment>
    <comment ref="L4" authorId="0" shapeId="0">
      <text>
        <t>[AUTO-ADDED] Project reports access/productive-use beneficiary numbers but no MW value. Please add installed capacity (MW) or confirm not applicable.</t>
      </text>
    </comment>
    <comment ref="K6" authorId="0" shapeId="0">
      <text>
        <t>[AUTO-ADDED] Project reports access/productive-use beneficiary numbers but no MW value. Please add installed capacity (MW) or confirm not applicable.</t>
      </text>
    </comment>
    <comment ref="L6" authorId="0" shapeId="0">
      <text>
        <t>[AUTO-ADDED] Project reports access/productive-use beneficiary numbers but no MW value. Please add installed capacity (MW) or confirm not applicable.</t>
      </text>
    </comment>
    <comment ref="K9" authorId="0" shapeId="0">
      <text>
        <t>[AUTO-ADDED] Project reports access/productive-use beneficiary numbers but no MW value. Please add installed capacity (MW) or confirm not applicable.</t>
      </text>
    </comment>
    <comment ref="L9" authorId="0" shapeId="0">
      <text>
        <t>[AUTO-ADDED] Project reports access/productive-use beneficiary numbers but no MW value. Please add installed capacity (MW) or confirm not applicable.</t>
      </text>
    </comment>
    <comment ref="K11" authorId="0" shapeId="0">
      <text>
        <t>[AUTO-ADDED] Project reports access/productive-use beneficiary numbers but no MW value. Please add installed capacity (MW) or confirm not applicable.</t>
      </text>
    </comment>
    <comment ref="L11" authorId="0" shapeId="0">
      <text>
        <t>[AUTO-ADDED] Project reports access/productive-use beneficiary numbers but no MW value. Please add installed capacity (MW) or confirm not applicable.</t>
      </text>
    </comment>
    <comment ref="K13" authorId="0" shapeId="0">
      <text>
        <t>[AUTO-ADDED] Project reports access/productive-use beneficiary numbers but no MW value. Please add installed capacity (MW) or confirm not applicable.</t>
      </text>
    </comment>
    <comment ref="L13"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32059" TargetMode="External" Id="rId1"/><Relationship Type="http://schemas.openxmlformats.org/officeDocument/2006/relationships/hyperlink" Target="https://open.undp.org/projects/00147445" TargetMode="External" Id="rId2"/><Relationship Type="http://schemas.openxmlformats.org/officeDocument/2006/relationships/hyperlink" Target="https://open.undp.org/projects/00138844"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Y14"/>
  <sheetViews>
    <sheetView showGridLines="0" tabSelected="1" workbookViewId="0">
      <pane xSplit="3" ySplit="1" topLeftCell="D3" activePane="bottomRight" state="frozen"/>
      <selection pane="bottomRight" activeCell="D4" sqref="D4"/>
      <selection pane="bottomLeft" activeCell="A1" sqref="A1"/>
      <selection pane="topRight" activeCell="A1" sqref="A1"/>
    </sheetView>
  </sheetViews>
  <sheetFormatPr baseColWidth="8" defaultRowHeight="15"/>
  <cols>
    <col width="34.28515625" customWidth="1" min="2" max="2"/>
    <col width="20.7109375" customWidth="1" min="3" max="3"/>
    <col width="13.42578125" bestFit="1" customWidth="1" min="4" max="4"/>
    <col width="13.42578125" customWidth="1" min="5" max="5"/>
    <col width="13.42578125" customWidth="1" min="6" max="6"/>
    <col width="13.42578125" customWidth="1" min="7" max="7"/>
    <col width="13.42578125" customWidth="1" min="8" max="8"/>
    <col width="50.28515625" customWidth="1" min="9" max="9"/>
    <col width="32.85546875" customWidth="1" min="10" max="10"/>
    <col width="17.42578125" customWidth="1" min="11" max="11"/>
    <col width="12.85546875" bestFit="1" customWidth="1" min="12" max="12"/>
    <col width="17.42578125" customWidth="1" min="13" max="13"/>
    <col width="19" customWidth="1" min="14"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c r="A1" s="1" t="inlineStr">
        <is>
          <t>Project ID</t>
        </is>
      </c>
      <c r="B1" s="1" t="inlineStr">
        <is>
          <t>Title</t>
        </is>
      </c>
      <c r="C1" s="1" t="inlineStr">
        <is>
          <t>Link</t>
        </is>
      </c>
      <c r="D1" s="1" t="inlineStr">
        <is>
          <t>Budget</t>
        </is>
      </c>
      <c r="E1" s="1" t="inlineStr">
        <is>
          <t>Start Year</t>
        </is>
      </c>
      <c r="F1" s="1" t="inlineStr">
        <is>
          <t>End Year</t>
        </is>
      </c>
      <c r="G1" s="1" t="inlineStr">
        <is>
          <t>Status</t>
        </is>
      </c>
      <c r="H1" s="1" t="inlineStr">
        <is>
          <t>VF or Non-VF</t>
        </is>
      </c>
      <c r="I1" s="1" t="inlineStr">
        <is>
          <t>Beneficiary Category</t>
        </is>
      </c>
      <c r="J1" s="37" t="inlineStr">
        <is>
          <t>Indicator</t>
        </is>
      </c>
      <c r="K1" s="1" t="inlineStr">
        <is>
          <t>Baseline</t>
        </is>
      </c>
      <c r="L1" s="1" t="inlineStr">
        <is>
          <t>Target</t>
        </is>
      </c>
      <c r="M1" s="1" t="inlineStr">
        <is>
          <t>Notes</t>
        </is>
      </c>
      <c r="N1" s="38" t="inlineStr">
        <is>
          <t>Donors</t>
        </is>
      </c>
      <c r="O1" s="39" t="inlineStr">
        <is>
          <t>Gender (% female)</t>
        </is>
      </c>
      <c r="P1" s="40" t="inlineStr">
        <is>
          <t>Tag</t>
        </is>
      </c>
      <c r="Q1" s="39" t="inlineStr">
        <is>
          <t>SEH Taxonomy</t>
        </is>
      </c>
      <c r="R1" s="39" t="inlineStr">
        <is>
          <t>RISE Taxonomy</t>
        </is>
      </c>
      <c r="S1" s="39" t="inlineStr">
        <is>
          <t>Flagship</t>
        </is>
      </c>
      <c r="T1" s="39" t="inlineStr">
        <is>
          <t>Indirect Category</t>
        </is>
      </c>
      <c r="U1" s="52" t="inlineStr">
        <is>
          <t>Indirect Taxonomy</t>
        </is>
      </c>
      <c r="V1" s="50" t="inlineStr">
        <is>
          <t>Technology</t>
        </is>
      </c>
      <c r="W1" s="52" t="inlineStr">
        <is>
          <t>Policy or Regulatory Framework</t>
        </is>
      </c>
      <c r="X1" s="50" t="inlineStr">
        <is>
          <t>Policy Population</t>
        </is>
      </c>
      <c r="Y1" t="inlineStr">
        <is>
          <t>Project Document</t>
        </is>
      </c>
    </row>
    <row r="2" ht="60.75" customFormat="1" customHeight="1" s="5">
      <c r="A2" s="16" t="n">
        <v>132059</v>
      </c>
      <c r="B2" s="17" t="inlineStr">
        <is>
          <t>Rural Energy Market Transform (AREMTI)</t>
        </is>
      </c>
      <c r="C2" s="18" t="inlineStr">
        <is>
          <t>https://open.undp.org/projects/00132059</t>
        </is>
      </c>
      <c r="D2" s="17" t="n">
        <v>21398843</v>
      </c>
      <c r="E2" s="62" t="n"/>
      <c r="F2" s="62" t="n"/>
      <c r="G2" s="62" t="n"/>
      <c r="H2" s="17" t="inlineStr">
        <is>
          <t>VF</t>
        </is>
      </c>
      <c r="I2" s="21" t="inlineStr">
        <is>
          <t>Energy (MW added)</t>
        </is>
      </c>
      <c r="J2" s="19" t="inlineStr">
        <is>
          <t>Renewable energy capacity installed</t>
        </is>
      </c>
      <c r="K2" s="17" t="inlineStr">
        <is>
          <t>Absent RE mini-grids for energy access in the selected areas</t>
        </is>
      </c>
      <c r="L2" s="17" t="n">
        <v>2.6</v>
      </c>
      <c r="M2" s="53" t="inlineStr">
        <is>
          <t>Project is on hold by GCF due to the change of regime in the country. As of 2021, the project had ended due to uncertain reasons and did not complete its duration as per the ProDoc.</t>
        </is>
      </c>
      <c r="N2" s="20" t="inlineStr">
        <is>
          <t>GCF (including 17,198,843) , UNDP, Ministry of Rural Rehabilitation and
Development (MRRD)</t>
        </is>
      </c>
      <c r="O2" s="21" t="n"/>
      <c r="P2" s="21" t="n"/>
      <c r="Q2" s="34" t="inlineStr">
        <is>
          <t>Close the gap on energy access</t>
        </is>
      </c>
      <c r="R2" s="21" t="n"/>
      <c r="S2" s="21" t="n"/>
      <c r="T2" s="21" t="n"/>
      <c r="U2" s="21" t="n"/>
      <c r="V2" s="51" t="inlineStr">
        <is>
          <t>Solar</t>
        </is>
      </c>
      <c r="W2" s="33" t="n"/>
      <c r="X2" s="51" t="n"/>
      <c r="Y2" s="5" t="inlineStr">
        <is>
          <t>yes</t>
        </is>
      </c>
    </row>
    <row r="3" ht="229.5" customFormat="1" customHeight="1" s="5">
      <c r="A3" s="16" t="n">
        <v>147445</v>
      </c>
      <c r="B3" s="17" t="inlineStr">
        <is>
          <t xml:space="preserve"> Sustainable Energy Services for Education and Health in Afghanistan (SESEHA)</t>
        </is>
      </c>
      <c r="C3" s="18" t="inlineStr">
        <is>
          <t>https://open.undp.org/projects/00147445</t>
        </is>
      </c>
      <c r="D3" s="17" t="n">
        <v>40860000</v>
      </c>
      <c r="E3" s="62" t="n"/>
      <c r="F3" s="62" t="n"/>
      <c r="G3" s="62" t="n"/>
      <c r="H3" s="17" t="inlineStr">
        <is>
          <t>Non-VF</t>
        </is>
      </c>
      <c r="I3" s="21" t="inlineStr">
        <is>
          <t>Health Services</t>
        </is>
      </c>
      <c r="J3" s="22" t="inlineStr">
        <is>
          <t>Number of people, who benefitted from services from clean, affordable and sustainable energy (disaggregated by sex)</t>
        </is>
      </c>
      <c r="K3" s="23" t="inlineStr">
        <is>
          <t>The baseline is access to electricity is less than 6 hours of average supply in selected 18 provinces in Phase I. Site specific baselines being established as a part of the current Inception Phase through an independent assessment of target public facilities in both education and health sectors based on a technical criteria.</t>
        </is>
      </c>
      <c r="L3" s="22" t="n">
        <v>1000000</v>
      </c>
      <c r="M3" s="16" t="inlineStr">
        <is>
          <t xml:space="preserve">Phase I: Target number of public facilities – approx. 792 ; Health facilities – 92 and Education facilities – 700 
~ tentative/likely reach of 0.5 - 1 million people for both sectors (~ at least 0.5 million women ) 
The financing agreement with KfW was signed on 22 December 2022 and went into a funding pause until March 2023 due to DFA decrees on women education and employment. The project kick off held on April 26-27, 2023 and is the first energy project utilizing development funding in Afghanistan post August 2021 crisis (the project contributes to the levy to UNRC) 
(Total contribution for 66 months from 1 Januray 2023 to 30 June 2028 ) </t>
        </is>
      </c>
      <c r="N3" s="20" t="inlineStr">
        <is>
          <t>BMZ (Federal Ministry for Economic Cooperation and Development) through KFW (German Development Bank)</t>
        </is>
      </c>
      <c r="O3" s="24" t="n">
        <v>0.5</v>
      </c>
      <c r="P3" s="21" t="inlineStr">
        <is>
          <t>Health</t>
        </is>
      </c>
      <c r="Q3" s="35" t="inlineStr">
        <is>
          <t>Accelerating just energy transition</t>
        </is>
      </c>
      <c r="R3" s="21" t="n"/>
      <c r="S3" s="21" t="n"/>
      <c r="T3" s="21" t="n"/>
      <c r="U3" s="21" t="n"/>
      <c r="V3" s="51" t="n"/>
      <c r="W3" s="33" t="n"/>
      <c r="X3" s="51" t="n"/>
      <c r="Y3" s="5" t="inlineStr">
        <is>
          <t>yes</t>
        </is>
      </c>
    </row>
    <row r="4" ht="259.5" customFormat="1" customHeight="1" s="5">
      <c r="A4" s="16" t="n"/>
      <c r="B4" s="17" t="n"/>
      <c r="C4" s="18" t="n"/>
      <c r="D4" s="17" t="n"/>
      <c r="E4" s="17" t="n"/>
      <c r="F4" s="17" t="n"/>
      <c r="G4" s="17" t="n"/>
      <c r="H4" s="17" t="n"/>
      <c r="I4" s="21" t="inlineStr">
        <is>
          <t>Energy (MW added)</t>
        </is>
      </c>
      <c r="J4" s="22" t="inlineStr">
        <is>
          <t>Installed capacity in MW for access/productive-use outputs</t>
        </is>
      </c>
      <c r="K4" s="63" t="n">
        <v>0</v>
      </c>
      <c r="L4" s="64" t="n"/>
      <c r="M4" s="16" t="n"/>
      <c r="N4" s="20" t="n"/>
      <c r="O4" s="24" t="n"/>
      <c r="P4" s="21" t="n"/>
      <c r="Q4" s="35" t="n"/>
      <c r="R4" s="21" t="n"/>
      <c r="S4" s="21" t="n"/>
      <c r="T4" s="21" t="n"/>
      <c r="U4" s="21" t="n"/>
      <c r="V4" s="51" t="n"/>
      <c r="W4" s="33" t="n"/>
      <c r="X4" s="51" t="n"/>
      <c r="Y4" s="5" t="n"/>
    </row>
    <row r="5" ht="30.75" customFormat="1" customHeight="1" s="5">
      <c r="A5" s="25" t="n">
        <v>1000372</v>
      </c>
      <c r="B5" s="26" t="inlineStr">
        <is>
          <t>ABADEI 2.0</t>
        </is>
      </c>
      <c r="C5" s="27" t="inlineStr">
        <is>
          <t xml:space="preserve"> </t>
        </is>
      </c>
      <c r="D5" s="28" t="n">
        <v>8726624</v>
      </c>
      <c r="E5" s="65" t="n"/>
      <c r="F5" s="65" t="n"/>
      <c r="G5" s="65" t="n"/>
      <c r="H5" s="28" t="inlineStr">
        <is>
          <t>Non-VF</t>
        </is>
      </c>
      <c r="I5" s="21" t="inlineStr">
        <is>
          <t>Electricity Access</t>
        </is>
      </c>
      <c r="J5" s="17" t="inlineStr">
        <is>
          <t>Number of basic facilities powered through renewable energy, disaggregated by type of facility ( e.g. health, education, sanitation) and location
Number of households who gained access to clean
and affordable energy (including women headed immunocompromised and or disabled households)</t>
        </is>
      </c>
      <c r="K5" s="26" t="n"/>
      <c r="L5" s="17" t="n">
        <v>1188687</v>
      </c>
      <c r="M5" s="36" t="inlineStr">
        <is>
          <t xml:space="preserve">Total number of beneficiaries : 1,188,687 (Female: 414,661)
Energy Kits: 6,446 (Health facilities: 37 ;
Education Facility: 52; Community members: 6357)
Energy system installed: 687
(Health Facility: 202; Educational Institutions (Including religious) : 483; Community: 2)
Baseline is ABADEI-1.0 achievement until 31 March 2023
  1000 (Target 2023)
 150,000 (Target 2023)
</t>
        </is>
      </c>
      <c r="N5" s="29" t="inlineStr">
        <is>
          <t>Government of Japan</t>
        </is>
      </c>
      <c r="O5" s="30" t="n">
        <v>0.3488395178882246</v>
      </c>
      <c r="P5" s="21" t="inlineStr">
        <is>
          <t>Health</t>
        </is>
      </c>
      <c r="Q5" s="35" t="inlineStr">
        <is>
          <t>Accelerating just energy transition</t>
        </is>
      </c>
      <c r="R5" s="21" t="n"/>
      <c r="S5" s="21" t="n"/>
      <c r="T5" s="21" t="n"/>
      <c r="U5" s="21" t="n"/>
      <c r="V5" s="51" t="inlineStr">
        <is>
          <t>Solar</t>
        </is>
      </c>
      <c r="W5" s="33" t="n"/>
      <c r="X5" s="51" t="n"/>
      <c r="Y5" s="5" t="inlineStr">
        <is>
          <t>yes</t>
        </is>
      </c>
    </row>
    <row r="6" ht="30.75" customFormat="1" customHeight="1" s="5">
      <c r="A6" s="25" t="n"/>
      <c r="B6" s="26" t="n"/>
      <c r="C6" s="27" t="n"/>
      <c r="D6" s="28" t="n"/>
      <c r="E6" s="28" t="n"/>
      <c r="F6" s="28" t="n"/>
      <c r="G6" s="28" t="n"/>
      <c r="H6" s="28" t="n"/>
      <c r="I6" s="21" t="inlineStr">
        <is>
          <t>Energy (MW added)</t>
        </is>
      </c>
      <c r="J6" s="17" t="inlineStr">
        <is>
          <t>Installed capacity in MW for access/productive-use outputs</t>
        </is>
      </c>
      <c r="K6" s="66" t="n">
        <v>0</v>
      </c>
      <c r="L6" s="62" t="n"/>
      <c r="M6" s="36" t="n"/>
      <c r="N6" s="29" t="n"/>
      <c r="O6" s="30" t="n"/>
      <c r="P6" s="21" t="n"/>
      <c r="Q6" s="35" t="n"/>
      <c r="R6" s="21" t="n"/>
      <c r="S6" s="21" t="n"/>
      <c r="T6" s="21" t="n"/>
      <c r="U6" s="21" t="n"/>
      <c r="V6" s="51" t="n"/>
      <c r="W6" s="33" t="n"/>
      <c r="X6" s="51" t="n"/>
      <c r="Y6" s="5" t="n"/>
    </row>
    <row r="7" ht="45.75" customFormat="1" customHeight="1" s="5">
      <c r="A7" s="41" t="n">
        <v>138844</v>
      </c>
      <c r="B7" s="36" t="inlineStr">
        <is>
          <t>ABADEI 1.0 (PIP)</t>
        </is>
      </c>
      <c r="C7" s="42" t="inlineStr">
        <is>
          <t>https://open.undp.org/projects/00138844</t>
        </is>
      </c>
      <c r="D7" s="43" t="n">
        <v>12895159</v>
      </c>
      <c r="E7" s="67" t="n"/>
      <c r="F7" s="67" t="n"/>
      <c r="G7" s="67" t="n"/>
      <c r="H7" s="43" t="inlineStr">
        <is>
          <t>Non-VF</t>
        </is>
      </c>
      <c r="I7" s="21" t="inlineStr">
        <is>
          <t>Electricity Access</t>
        </is>
      </c>
      <c r="J7" s="26" t="inlineStr">
        <is>
          <t>Number of individuals who gained access to clean and affordable energy  (disaggregated by sex)</t>
        </is>
      </c>
      <c r="K7" s="27" t="n">
        <v>0</v>
      </c>
      <c r="L7" s="29" t="inlineStr">
        <is>
          <t>11000 HH</t>
        </is>
      </c>
      <c r="M7" s="19" t="n"/>
      <c r="N7" s="29" t="inlineStr">
        <is>
          <t>Government of Japan, UNDP</t>
        </is>
      </c>
      <c r="O7" s="21" t="n"/>
      <c r="P7" s="21" t="n"/>
      <c r="Q7" s="35" t="inlineStr">
        <is>
          <t>Accelerating just energy transition</t>
        </is>
      </c>
      <c r="R7" s="21" t="n"/>
      <c r="S7" s="21" t="n"/>
      <c r="T7" s="21" t="n"/>
      <c r="U7" s="21" t="n"/>
      <c r="V7" s="51" t="inlineStr">
        <is>
          <t>Solar</t>
        </is>
      </c>
      <c r="W7" s="33" t="n"/>
      <c r="X7" s="51" t="n"/>
      <c r="Y7" s="5" t="inlineStr">
        <is>
          <t>yes</t>
        </is>
      </c>
    </row>
    <row r="8" ht="121.5" customFormat="1" customHeight="1" s="5">
      <c r="A8" s="44" t="n"/>
      <c r="B8" s="45" t="n"/>
      <c r="C8" s="46" t="n"/>
      <c r="D8" s="47" t="n"/>
      <c r="E8" s="47" t="n"/>
      <c r="F8" s="47" t="n"/>
      <c r="G8" s="47" t="n"/>
      <c r="H8" s="47" t="n"/>
      <c r="I8" s="21" t="inlineStr">
        <is>
          <t>Clean Cooking</t>
        </is>
      </c>
      <c r="J8" s="26" t="inlineStr">
        <is>
          <t>Number of individuals who gained access to clean and affordable energy  (disaggregated by sex)</t>
        </is>
      </c>
      <c r="K8" s="27" t="n">
        <v>0</v>
      </c>
      <c r="L8" s="26" t="inlineStr">
        <is>
          <t>10000 HH</t>
        </is>
      </c>
      <c r="M8" s="22" t="n"/>
      <c r="N8" s="31" t="inlineStr">
        <is>
          <t>Government of Japan, UNDP</t>
        </is>
      </c>
      <c r="O8" s="21" t="n"/>
      <c r="P8" s="21" t="n"/>
      <c r="Q8" s="35" t="inlineStr">
        <is>
          <t>Accelerating just energy transition</t>
        </is>
      </c>
      <c r="R8" s="21" t="n"/>
      <c r="S8" s="21" t="n"/>
      <c r="T8" s="21" t="n"/>
      <c r="U8" s="21" t="n"/>
      <c r="V8" s="51" t="n"/>
      <c r="W8" s="33" t="n"/>
      <c r="X8" s="51" t="n"/>
    </row>
    <row r="9" ht="65.25" customFormat="1" customHeight="1" s="55">
      <c r="A9" s="44" t="n"/>
      <c r="B9" s="45" t="n"/>
      <c r="C9" s="46" t="n"/>
      <c r="D9" s="47" t="n"/>
      <c r="E9" s="47" t="n"/>
      <c r="F9" s="47" t="n"/>
      <c r="G9" s="47" t="n"/>
      <c r="H9" s="47" t="n"/>
      <c r="I9" s="21" t="inlineStr">
        <is>
          <t>Energy (MW added)</t>
        </is>
      </c>
      <c r="J9" s="26" t="inlineStr">
        <is>
          <t>Installed capacity in MW for access/productive-use outputs</t>
        </is>
      </c>
      <c r="K9" s="68" t="n">
        <v>0</v>
      </c>
      <c r="L9" s="66" t="n"/>
      <c r="M9" s="22" t="n"/>
      <c r="N9" s="31" t="n"/>
      <c r="O9" s="21" t="n"/>
      <c r="P9" s="21" t="n"/>
      <c r="Q9" s="35" t="n"/>
      <c r="R9" s="21" t="n"/>
      <c r="S9" s="21" t="n"/>
      <c r="T9" s="21" t="n"/>
      <c r="U9" s="21" t="n"/>
      <c r="V9" s="51" t="n"/>
      <c r="W9" s="33" t="n"/>
      <c r="X9" s="51" t="n"/>
    </row>
    <row r="10">
      <c r="A10" s="25" t="n">
        <v>143651</v>
      </c>
      <c r="B10" s="26" t="inlineStr">
        <is>
          <t xml:space="preserve">Strengthening Community Safety Well-being and Humanitarian Security in Afghanistan </t>
        </is>
      </c>
      <c r="C10" s="27" t="inlineStr">
        <is>
          <t xml:space="preserve"> </t>
        </is>
      </c>
      <c r="D10" s="27" t="n">
        <v>1253880</v>
      </c>
      <c r="E10" s="68" t="n"/>
      <c r="F10" s="68" t="n"/>
      <c r="G10" s="68" t="n"/>
      <c r="H10" s="27" t="inlineStr">
        <is>
          <t>Non-VF</t>
        </is>
      </c>
      <c r="I10" s="21" t="inlineStr">
        <is>
          <t>Medium Enterprises</t>
        </is>
      </c>
      <c r="J10" s="26" t="inlineStr">
        <is>
          <t>Solarization of production facilities of 60 selected SMEs</t>
        </is>
      </c>
      <c r="K10" s="27" t="n">
        <v>0</v>
      </c>
      <c r="L10" s="27" t="n">
        <v>60</v>
      </c>
      <c r="M10" s="32" t="inlineStr">
        <is>
          <t xml:space="preserve"> </t>
        </is>
      </c>
      <c r="N10" s="29" t="inlineStr">
        <is>
          <t>Government of Japan</t>
        </is>
      </c>
      <c r="O10" s="21" t="n"/>
      <c r="P10" s="21" t="n"/>
      <c r="Q10" s="35" t="inlineStr">
        <is>
          <t>Accelerating just energy transition</t>
        </is>
      </c>
      <c r="R10" s="21" t="n"/>
      <c r="S10" s="21" t="n"/>
      <c r="T10" s="21" t="n"/>
      <c r="U10" s="21" t="n"/>
      <c r="V10" s="51" t="n"/>
      <c r="W10" s="33" t="n"/>
      <c r="X10" s="51" t="n"/>
      <c r="Y10" s="5" t="inlineStr">
        <is>
          <t>yes</t>
        </is>
      </c>
    </row>
    <row r="11">
      <c r="A11" s="25" t="n"/>
      <c r="B11" s="26" t="n"/>
      <c r="C11" s="27" t="n"/>
      <c r="D11" s="27" t="n"/>
      <c r="E11" s="27" t="n"/>
      <c r="F11" s="27" t="n"/>
      <c r="G11" s="27" t="n"/>
      <c r="H11" s="27" t="n"/>
      <c r="I11" s="21" t="inlineStr">
        <is>
          <t>Energy (MW added)</t>
        </is>
      </c>
      <c r="J11" s="26" t="inlineStr">
        <is>
          <t>Installed capacity in MW for access/productive-use outputs</t>
        </is>
      </c>
      <c r="K11" s="68" t="n">
        <v>0</v>
      </c>
      <c r="L11" s="68" t="n"/>
      <c r="M11" s="32" t="n"/>
      <c r="N11" s="29" t="n"/>
      <c r="O11" s="21" t="n"/>
      <c r="P11" s="21" t="n"/>
      <c r="Q11" s="35" t="n"/>
      <c r="R11" s="21" t="n"/>
      <c r="S11" s="21" t="n"/>
      <c r="T11" s="21" t="n"/>
      <c r="U11" s="21" t="n"/>
      <c r="V11" s="51" t="n"/>
      <c r="W11" s="33" t="n"/>
      <c r="X11" s="51" t="n"/>
      <c r="Y11" s="5" t="n"/>
    </row>
    <row r="12">
      <c r="A12" s="25" t="n">
        <v>88841</v>
      </c>
      <c r="B12" s="26" t="inlineStr">
        <is>
          <t>Afghanistan Sustainable Energy for Rural Development (ASERD)</t>
        </is>
      </c>
      <c r="C12" s="26" t="inlineStr">
        <is>
          <t xml:space="preserve"> </t>
        </is>
      </c>
      <c r="D12" s="26" t="n">
        <v>12846044</v>
      </c>
      <c r="E12" s="66" t="n"/>
      <c r="F12" s="66" t="n"/>
      <c r="G12" s="66" t="n"/>
      <c r="H12" s="26" t="inlineStr">
        <is>
          <t>Non-VF</t>
        </is>
      </c>
      <c r="I12" s="21" t="inlineStr">
        <is>
          <t>Electricity Access</t>
        </is>
      </c>
      <c r="J12" s="26" t="inlineStr">
        <is>
          <t>Number of households with access to energy, disaggregated by female headed households</t>
        </is>
      </c>
      <c r="K12" s="26" t="inlineStr">
        <is>
          <t>40000 HH</t>
        </is>
      </c>
      <c r="L12" s="26" t="inlineStr">
        <is>
          <t>200000 HH</t>
        </is>
      </c>
      <c r="M12" s="54" t="inlineStr">
        <is>
          <t>ASERD project was operationally completed in 2020. The beneficiaries continue to be served through this project and has increased since the commissioning of the minigrid.  Provide access to 1,608,000 households with energy, including female-headed households, through the Afghanistan Sustainable Energy for Rural Development (ASERD) project. The project has ended in of 2022</t>
        </is>
      </c>
      <c r="N12" s="29" t="inlineStr">
        <is>
          <t>Republic of Korea, UNDP, Canada, Spain</t>
        </is>
      </c>
      <c r="O12" s="21" t="n"/>
      <c r="P12" s="21" t="n"/>
      <c r="Q12" s="35" t="inlineStr">
        <is>
          <t>Accelerating just energy transition</t>
        </is>
      </c>
      <c r="R12" s="21" t="n"/>
      <c r="S12" s="21" t="n"/>
      <c r="T12" s="21" t="n"/>
      <c r="U12" s="21" t="n"/>
      <c r="V12" s="51" t="inlineStr">
        <is>
          <t>Solar</t>
        </is>
      </c>
      <c r="W12" s="33" t="n"/>
      <c r="X12" s="51" t="n"/>
      <c r="Y12" s="5" t="inlineStr">
        <is>
          <t>yes</t>
        </is>
      </c>
    </row>
    <row r="13">
      <c r="A13" s="25" t="n"/>
      <c r="B13" s="26" t="n"/>
      <c r="C13" s="26" t="n"/>
      <c r="D13" s="26" t="n"/>
      <c r="E13" s="26" t="n"/>
      <c r="F13" s="26" t="n"/>
      <c r="G13" s="26" t="n"/>
      <c r="H13" s="26" t="n"/>
      <c r="I13" s="21" t="inlineStr">
        <is>
          <t>Energy (MW added)</t>
        </is>
      </c>
      <c r="J13" s="26" t="inlineStr">
        <is>
          <t>Installed capacity in MW for access/productive-use outputs</t>
        </is>
      </c>
      <c r="K13" s="66" t="n">
        <v>0</v>
      </c>
      <c r="L13" s="66" t="n"/>
      <c r="M13" s="54" t="n"/>
      <c r="N13" s="29" t="n"/>
      <c r="O13" s="21" t="n"/>
      <c r="P13" s="21" t="n"/>
      <c r="Q13" s="35" t="n"/>
      <c r="R13" s="21" t="n"/>
      <c r="S13" s="21" t="n"/>
      <c r="T13" s="21" t="n"/>
      <c r="U13" s="21" t="n"/>
      <c r="V13" s="51" t="n"/>
      <c r="W13" s="33" t="n"/>
      <c r="X13" s="51" t="n"/>
      <c r="Y13" s="5" t="n"/>
    </row>
    <row r="14">
      <c r="A14" s="55" t="n">
        <v>122244</v>
      </c>
      <c r="B14" s="55" t="inlineStr">
        <is>
          <t>Community-based Agriculture and Development Project</t>
        </is>
      </c>
      <c r="C14" s="56" t="inlineStr">
        <is>
          <t>https://open.undp.org/projects/00122244</t>
        </is>
      </c>
      <c r="D14" s="55" t="n">
        <v>30892000</v>
      </c>
      <c r="E14" s="69" t="n"/>
      <c r="F14" s="69" t="n"/>
      <c r="G14" s="69" t="n"/>
      <c r="H14" s="55" t="inlineStr">
        <is>
          <t>Non-VF</t>
        </is>
      </c>
      <c r="I14" s="55" t="inlineStr">
        <is>
          <t>Energy Transition</t>
        </is>
      </c>
      <c r="J14" s="55" t="inlineStr">
        <is>
          <t xml:space="preserve">Number of farmers who benefited from the provision of solar dryers
Number of production companies supported through the installation of solar energy systems
</t>
        </is>
      </c>
      <c r="K14" s="55" t="n">
        <v>0</v>
      </c>
      <c r="L14" s="55" t="n">
        <v>1551</v>
      </c>
      <c r="M14" s="55" t="inlineStr">
        <is>
          <t>A total of 1,551 farmers across various regions benefited from the provision of solar dryers, enabling them to employ improved drying technologies. Additionally, nine production companies (seven male-owned and two female-owned) were supported in adopting green energy solutions through the installation of 783 kW of solar energy systems tailored to their production needs. Furthermore, 171 greenhouses were rehabilitated and upgraded to utilize solar technology, with the solar systems collectively generating 85 kW of power.</t>
        </is>
      </c>
      <c r="N14" s="55" t="inlineStr">
        <is>
          <t>Us Int'L Narcotics &amp; Law Enfmnt Affairs</t>
        </is>
      </c>
      <c r="Y14" s="57" t="inlineStr">
        <is>
          <t>yes</t>
        </is>
      </c>
    </row>
  </sheetData>
  <dataValidations count="10">
    <dataValidation sqref="Q2:Q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8" showDropDown="0" showInputMessage="1" showErrorMessage="1" allowBlank="1" type="list">
      <formula1>"AMP, PUDC, Solar4Health, Action Opportunities, Italy UNDP Energy Partnership"</formula1>
    </dataValidation>
    <dataValidation sqref="N2:N8" showDropDown="0" showInputMessage="1" showErrorMessage="1" allowBlank="1" type="list">
      <formula1>"Accelerating just energy transition, Close the gap on energy access, Scale up energy finance"</formula1>
    </dataValidation>
    <dataValidation sqref="O2:O8" showDropDown="0" showInputMessage="1" showErrorMessage="1" allowBlank="1" type="list">
      <formula1>"Electricity Access, Energy Efficiency, Clean Cooking, Renewable Energy, Overall"</formula1>
    </dataValidation>
    <dataValidation sqref="T2:T8" showDropDown="0" showInputMessage="1" showErrorMessage="1" allowBlank="1" type="list">
      <formula1>"National, Regional, City, Community"</formula1>
    </dataValidation>
    <dataValidation sqref="M2:M8" showDropDown="0" showInputMessage="1" showErrorMessage="1" allowBlank="1" type="list">
      <formula1>"Finance, Gender, Efficiency, Just, Health"</formula1>
    </dataValidation>
    <dataValidation sqref="L2:L8" showDropDown="0" showInputMessage="1" showErrorMessage="1" allowBlank="1" type="list">
      <formula1>"Non-VF, VF"</formula1>
    </dataValidation>
    <dataValidation sqref="S2:S8" showDropDown="0" showInputMessage="1" showErrorMessage="1" allowBlank="1" type="list">
      <formula1>"Solar, Wind, Bioenergy, Hydro, Geothermal, Waste, Other, Unknown"</formula1>
    </dataValidation>
    <dataValidation sqref="R2:R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5" r:id="rId3"/>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R8"/>
  <sheetViews>
    <sheetView topLeftCell="C1" workbookViewId="0">
      <selection activeCell="E2" sqref="E2"/>
    </sheetView>
  </sheetViews>
  <sheetFormatPr baseColWidth="8" defaultRowHeight="15"/>
  <cols>
    <col width="34.28515625" customWidth="1" min="2" max="2"/>
    <col width="20.7109375" customWidth="1" min="3" max="3"/>
    <col width="26.140625" customWidth="1" min="4" max="4"/>
    <col width="20.7109375" customWidth="1" min="5" max="5"/>
    <col width="45.42578125" customWidth="1" min="6" max="6"/>
    <col width="44.140625" customWidth="1" min="7" max="7"/>
    <col width="24" customWidth="1" min="8" max="8"/>
    <col width="50.28515625" customWidth="1" min="9" max="9"/>
    <col width="32.85546875" customWidth="1" min="10" max="10"/>
    <col width="17.42578125" customWidth="1" min="11" max="11"/>
    <col width="12" customWidth="1" min="12" max="12"/>
    <col width="17.42578125" customWidth="1" min="13" max="13"/>
    <col width="19" customWidth="1" min="14" max="15"/>
  </cols>
  <sheetData>
    <row r="1">
      <c r="A1" s="14" t="inlineStr">
        <is>
          <t>Project ID</t>
        </is>
      </c>
      <c r="B1" s="1" t="inlineStr">
        <is>
          <t>Title</t>
        </is>
      </c>
      <c r="C1" s="1" t="inlineStr">
        <is>
          <t>Link</t>
        </is>
      </c>
      <c r="D1" s="14" t="inlineStr">
        <is>
          <t>Budget</t>
        </is>
      </c>
      <c r="E1" s="14" t="inlineStr">
        <is>
          <t>Beneficiary Category</t>
        </is>
      </c>
      <c r="F1" s="1" t="inlineStr">
        <is>
          <t>Indicator</t>
        </is>
      </c>
      <c r="G1" s="14" t="inlineStr">
        <is>
          <t>Baseline</t>
        </is>
      </c>
      <c r="H1" s="14" t="inlineStr">
        <is>
          <t>Target</t>
        </is>
      </c>
      <c r="I1" s="1" t="inlineStr">
        <is>
          <t>Notes</t>
        </is>
      </c>
      <c r="J1" s="13" t="inlineStr">
        <is>
          <t>Donors</t>
        </is>
      </c>
      <c r="K1" s="13" t="inlineStr">
        <is>
          <t>Gender (% female)</t>
        </is>
      </c>
      <c r="L1" s="13" t="inlineStr">
        <is>
          <t>Category</t>
        </is>
      </c>
      <c r="M1" s="15" t="inlineStr">
        <is>
          <t>Tag</t>
        </is>
      </c>
      <c r="N1" s="15" t="inlineStr">
        <is>
          <t>SEH Taxonomy</t>
        </is>
      </c>
      <c r="O1" s="15" t="inlineStr">
        <is>
          <t>RISE Taxonomy</t>
        </is>
      </c>
      <c r="P1" s="15" t="inlineStr">
        <is>
          <t>Flagship</t>
        </is>
      </c>
      <c r="Q1" s="15" t="inlineStr">
        <is>
          <t>Indirect Category</t>
        </is>
      </c>
      <c r="R1" s="15" t="inlineStr">
        <is>
          <t>Indirect Taxonomy</t>
        </is>
      </c>
    </row>
    <row r="2" ht="60.75" customFormat="1" customHeight="1" s="5">
      <c r="A2" s="3" t="n">
        <v>132059</v>
      </c>
      <c r="B2" s="4" t="inlineStr">
        <is>
          <t>Rural Energy Market Transform (AREMTI)</t>
        </is>
      </c>
      <c r="C2" s="4" t="n"/>
      <c r="D2" s="4" t="inlineStr">
        <is>
          <t>US$21,398,843</t>
        </is>
      </c>
      <c r="E2" t="inlineStr">
        <is>
          <t>Energy (MW added)</t>
        </is>
      </c>
      <c r="F2" s="4" t="inlineStr">
        <is>
          <t>Renewable energy capacity installed</t>
        </is>
      </c>
      <c r="G2" s="4" t="inlineStr">
        <is>
          <t>Absent RE mini-grids for energy access in the selected areas</t>
        </is>
      </c>
      <c r="H2" s="4" t="n">
        <v>2.6</v>
      </c>
      <c r="I2" s="4" t="inlineStr">
        <is>
          <t>Project is on hold by GCF due to the change of regime in the country</t>
        </is>
      </c>
      <c r="J2" s="4" t="inlineStr">
        <is>
          <t>GCF(including US$17,198,843) , UNDP, Ministry of Rural Rehabilitation and
Development (MRRD)</t>
        </is>
      </c>
      <c r="L2" s="5" t="inlineStr">
        <is>
          <t>Non-VF</t>
        </is>
      </c>
      <c r="N2" s="5" t="inlineStr">
        <is>
          <t>Close the gap on energy access</t>
        </is>
      </c>
      <c r="O2" s="5" t="inlineStr">
        <is>
          <t>Renewable Energy</t>
        </is>
      </c>
    </row>
    <row r="3" ht="229.5" customFormat="1" customHeight="1" s="5">
      <c r="A3" s="3" t="n">
        <v>147445</v>
      </c>
      <c r="B3" s="4" t="inlineStr">
        <is>
          <t xml:space="preserve"> Sustainable Energy Services for Education and Health in Afghanistan (SESEHA)</t>
        </is>
      </c>
      <c r="C3" s="4" t="inlineStr">
        <is>
          <t xml:space="preserve"> </t>
        </is>
      </c>
      <c r="D3" s="4" t="inlineStr">
        <is>
          <t>US$60,110,220</t>
        </is>
      </c>
      <c r="E3" s="4" t="inlineStr">
        <is>
          <t>Health Services</t>
        </is>
      </c>
      <c r="F3" s="7" t="inlineStr">
        <is>
          <t>Number of people, who benefitted from services from clean, affordable and sustainable energy (disaggregated by sex)</t>
        </is>
      </c>
      <c r="G3" s="6" t="inlineStr">
        <is>
          <t>The baseline is access to electricity is less than 6 hours of average supply in selected 18 provinces in Phase I. Site specific baselines being established as a part of the current Inception Phase through an independent assessment of target public facilities in both education and health sectors based on a technical criteria.</t>
        </is>
      </c>
      <c r="H3" s="7" t="n">
        <v>1000000</v>
      </c>
      <c r="I3" s="3" t="inlineStr">
        <is>
          <t xml:space="preserve">Phase I: Target number of public facilities – approx. 792 ; Health facilities – 92 and Education facilities – 700 
~ tentative/likely reach of 0.5 - 1 million people for both sectors (~ at least 0.5 million women ) 
The financing agreement with KfW was signed on 22 December 2022 and went into a funding pause until March 2023 due to DFA decrees on women education and employment. The project kick off held on April 26-27, 2023 and is the first energy project utilizing development funding in Afghanistan post August 2021 crisis (the project contributes to the levy to UNRC) 
(Total contribution for 66 months from 1 Januray 2023 to 30 June 2028 ) </t>
        </is>
      </c>
      <c r="J3" s="4" t="inlineStr">
        <is>
          <t>BMZ(Federal Ministry for Economic Cooperation and Development) through KFW (German Development Bank)</t>
        </is>
      </c>
      <c r="K3" s="5" t="n">
        <v>50</v>
      </c>
      <c r="L3" s="5" t="inlineStr">
        <is>
          <t>Non-VF</t>
        </is>
      </c>
      <c r="M3" s="5" t="inlineStr">
        <is>
          <t>h</t>
        </is>
      </c>
      <c r="N3" s="5" t="inlineStr">
        <is>
          <t>Accelerating just energy transition</t>
        </is>
      </c>
      <c r="O3" s="5" t="inlineStr">
        <is>
          <t>Electricity Access</t>
        </is>
      </c>
    </row>
    <row r="4" ht="259.5" customFormat="1" customHeight="1" s="5">
      <c r="A4" s="8" t="n">
        <v>1000372</v>
      </c>
      <c r="B4" s="9" t="inlineStr">
        <is>
          <t>ABADEI 2.0</t>
        </is>
      </c>
      <c r="C4" s="10" t="inlineStr">
        <is>
          <t xml:space="preserve"> </t>
        </is>
      </c>
      <c r="D4" s="11" t="inlineStr">
        <is>
          <t>US$8,726,624</t>
        </is>
      </c>
      <c r="E4" s="9" t="inlineStr">
        <is>
          <t>Health Services; Education Services</t>
        </is>
      </c>
      <c r="F4" s="4" t="inlineStr">
        <is>
          <t>Number of basic facilities powered through renewable energy, disaggregated by type of facility ( e.g. health, education, sanitation) and location
Number of households who gained access to clean
and affordable energy (including women headed immunocompromised and or disabled households)</t>
        </is>
      </c>
      <c r="G4" s="9" t="inlineStr">
        <is>
          <t>Total number of beneficiaries : 1,188,687 (Female: 414,661)
Energy Kits: 6,446 (Health facilities: 37 ;
Education Facility: 52; Community members: 6357)
Energy system installed: 687
(Health Facility: 202; Educational Institutions (Including religious) : 483; Community: 2)</t>
        </is>
      </c>
      <c r="H4" s="4" t="n">
        <v>1188687</v>
      </c>
      <c r="I4" s="9" t="inlineStr">
        <is>
          <t xml:space="preserve">Total number of beneficiaries : 1,188,687 (Female: 414,661)
Energy Kits: 6,446 (Health facilities: 37 ;
Education Facility: 52; Community members: 6357)
Energy system installed: 687
(Health Facility: 202; Educational Institutions (Including religious) : 483; Community: 2)
Baseline is ABADEI-1.0 achievement until 31 March 2023
  1000 (Target 2023)
 150,000 (Target 2023)
</t>
        </is>
      </c>
      <c r="J4" s="9" t="inlineStr">
        <is>
          <t>Government of Japan</t>
        </is>
      </c>
      <c r="K4" s="5" t="n">
        <v>0.3488395178882246</v>
      </c>
      <c r="L4" s="5" t="inlineStr">
        <is>
          <t>Non-VF</t>
        </is>
      </c>
      <c r="M4" s="5" t="inlineStr">
        <is>
          <t>h</t>
        </is>
      </c>
      <c r="N4" s="5" t="inlineStr">
        <is>
          <t>Accelerating just energy transition</t>
        </is>
      </c>
      <c r="O4" s="5" t="inlineStr">
        <is>
          <t>Electricity Access</t>
        </is>
      </c>
    </row>
    <row r="5" ht="30.75" customFormat="1" customHeight="1" s="5">
      <c r="A5" s="8" t="n">
        <v>138844</v>
      </c>
      <c r="B5" s="9" t="inlineStr">
        <is>
          <t>ABADEI 1.0 (PIP)</t>
        </is>
      </c>
      <c r="C5" s="10" t="inlineStr">
        <is>
          <t xml:space="preserve"> </t>
        </is>
      </c>
      <c r="D5" s="10" t="inlineStr">
        <is>
          <t xml:space="preserve"> US$12,895,159 </t>
        </is>
      </c>
      <c r="E5" s="10" t="inlineStr">
        <is>
          <t xml:space="preserve">Electricity Access </t>
        </is>
      </c>
      <c r="F5" s="9" t="inlineStr">
        <is>
          <t>Number of individuals who gained access to clean and affordable energy  (disaggregated by sex)</t>
        </is>
      </c>
      <c r="G5" s="10" t="n">
        <v>0</v>
      </c>
      <c r="H5" s="9" t="inlineStr">
        <is>
          <t>11,000 households</t>
        </is>
      </c>
      <c r="I5" s="7" t="n"/>
      <c r="J5" s="8" t="inlineStr">
        <is>
          <t>Government of Japan, UNDP</t>
        </is>
      </c>
      <c r="L5" s="5" t="inlineStr">
        <is>
          <t>Non-VF</t>
        </is>
      </c>
      <c r="N5" s="5" t="inlineStr">
        <is>
          <t>Accelerating just energy transition</t>
        </is>
      </c>
      <c r="O5" s="5" t="inlineStr">
        <is>
          <t>Electricity Access</t>
        </is>
      </c>
    </row>
    <row r="6" ht="30.75" customFormat="1" customHeight="1" s="5">
      <c r="A6" s="8" t="n"/>
      <c r="B6" s="9" t="n"/>
      <c r="C6" s="10" t="n"/>
      <c r="D6" s="10" t="n"/>
      <c r="E6" s="10" t="inlineStr">
        <is>
          <t>Clean Cooking</t>
        </is>
      </c>
      <c r="F6" s="9" t="inlineStr">
        <is>
          <t>Number of individuals who gained access to clean and affordable energy  (disaggregated by sex)</t>
        </is>
      </c>
      <c r="G6" s="10" t="n">
        <v>0</v>
      </c>
      <c r="H6" s="9" t="inlineStr">
        <is>
          <t>10,000 HH</t>
        </is>
      </c>
      <c r="I6" s="7" t="n"/>
      <c r="J6" s="8" t="inlineStr">
        <is>
          <t>Government of Japan, UNDP</t>
        </is>
      </c>
      <c r="L6" s="5" t="inlineStr">
        <is>
          <t>Non-VF</t>
        </is>
      </c>
      <c r="N6" s="5" t="inlineStr">
        <is>
          <t>Accelerating just energy transition</t>
        </is>
      </c>
      <c r="O6" s="5" t="inlineStr">
        <is>
          <t>Clean Cooking</t>
        </is>
      </c>
    </row>
    <row r="7" ht="45.75" customFormat="1" customHeight="1" s="5">
      <c r="A7" s="8" t="n">
        <v>143651</v>
      </c>
      <c r="B7" s="9" t="inlineStr">
        <is>
          <t xml:space="preserve">Strengthening Community Safety Well-being and Humanitarian Security in Afghanistan </t>
        </is>
      </c>
      <c r="C7" s="10" t="inlineStr">
        <is>
          <t xml:space="preserve"> </t>
        </is>
      </c>
      <c r="D7" s="10" t="inlineStr">
        <is>
          <t xml:space="preserve"> US$1,253,880 </t>
        </is>
      </c>
      <c r="E7" s="10" t="inlineStr">
        <is>
          <t>Medium Enterprises</t>
        </is>
      </c>
      <c r="F7" s="9" t="inlineStr">
        <is>
          <t>Solarization of production facilities of 60 selected SMEs</t>
        </is>
      </c>
      <c r="G7" s="10" t="n">
        <v>0</v>
      </c>
      <c r="H7" s="10" t="n">
        <v>60</v>
      </c>
      <c r="I7" s="12" t="inlineStr">
        <is>
          <t xml:space="preserve"> </t>
        </is>
      </c>
      <c r="J7" s="9" t="inlineStr">
        <is>
          <t>Government of Japan</t>
        </is>
      </c>
      <c r="L7" s="5" t="inlineStr">
        <is>
          <t>Non-VF</t>
        </is>
      </c>
      <c r="N7" s="5" t="inlineStr">
        <is>
          <t>Close the gap on energy access</t>
        </is>
      </c>
      <c r="O7" s="5" t="inlineStr">
        <is>
          <t>Renewable Energy</t>
        </is>
      </c>
    </row>
    <row r="8" ht="60.75" customFormat="1" customHeight="1" s="5">
      <c r="A8" s="8" t="n">
        <v>88841</v>
      </c>
      <c r="B8" s="9" t="inlineStr">
        <is>
          <t>Afghanistan Sustainable Energy for Rural Development (ASERD)</t>
        </is>
      </c>
      <c r="C8" s="9" t="inlineStr">
        <is>
          <t xml:space="preserve"> </t>
        </is>
      </c>
      <c r="D8" s="9" t="inlineStr">
        <is>
          <t xml:space="preserve"> US$12,846,044 </t>
        </is>
      </c>
      <c r="E8" s="9" t="inlineStr">
        <is>
          <t>Electricity Access</t>
        </is>
      </c>
      <c r="F8" s="9" t="inlineStr">
        <is>
          <t>Number of households with access to energy, disaggregated by female headed households</t>
        </is>
      </c>
      <c r="G8" s="9" t="inlineStr">
        <is>
          <t>40,000 households</t>
        </is>
      </c>
      <c r="H8" s="9" t="inlineStr">
        <is>
          <t>200,000 households</t>
        </is>
      </c>
      <c r="I8" s="3" t="inlineStr">
        <is>
          <t xml:space="preserve">ASERD project was operationally completed in 2020. The beneficiaries continue to be served through this project and has increased since the commissioning of the minigrid. </t>
        </is>
      </c>
      <c r="J8" s="9" t="inlineStr">
        <is>
          <t>Republic of Korea, UNDP, Canada, Spain</t>
        </is>
      </c>
      <c r="L8" s="5" t="inlineStr">
        <is>
          <t>Non-VF</t>
        </is>
      </c>
      <c r="N8" s="5" t="inlineStr">
        <is>
          <t>Accelerating just energy transition</t>
        </is>
      </c>
      <c r="O8" s="5" t="inlineStr">
        <is>
          <t>Clean Cooking</t>
        </is>
      </c>
    </row>
  </sheetData>
  <dataValidations count="5">
    <dataValidation sqref="N2:N8" showDropDown="0" showInputMessage="1" showErrorMessage="1" allowBlank="1" type="list">
      <formula1>"Accelerating just energy transition, Close the gap on energy access, Scale up energy finance"</formula1>
    </dataValidation>
    <dataValidation sqref="O2:O8" showDropDown="0" showInputMessage="1" showErrorMessage="1" allowBlank="1" type="list">
      <formula1>"Electricity Access, Energy Efficiency, Clean Cooking, Renewable Energy"</formula1>
    </dataValidation>
    <dataValidation sqref="P2:P8" showDropDown="0" showInputMessage="1" showErrorMessage="1" allowBlank="1" type="list">
      <formula1>"AMP, PUDC, Solar4Health, Action Opportunities, Italy UNDP Energy Partnership"</formula1>
    </dataValidation>
    <dataValidation sqref="Q2:Q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R2:R8"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7"/>
  <sheetViews>
    <sheetView workbookViewId="0">
      <selection activeCell="E1" sqref="E1"/>
    </sheetView>
  </sheetViews>
  <sheetFormatPr baseColWidth="8" defaultRowHeight="15"/>
  <cols>
    <col width="34.28515625" customWidth="1" min="2" max="2"/>
    <col width="20.7109375" customWidth="1" min="3" max="3"/>
    <col width="26.140625" customWidth="1" min="4" max="4"/>
    <col width="20.7109375" customWidth="1" min="5" max="5"/>
    <col width="45.42578125" customWidth="1" min="6" max="6"/>
    <col width="47" customWidth="1" min="7" max="7"/>
    <col width="36.85546875" customWidth="1" min="8" max="8"/>
    <col width="50.28515625" customWidth="1" min="9" max="9"/>
    <col width="32.85546875" customWidth="1" min="10" max="10"/>
    <col width="17.42578125" customWidth="1" min="11" max="11"/>
    <col width="12" customWidth="1" min="12" max="12"/>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2" t="inlineStr">
        <is>
          <t>Donors</t>
        </is>
      </c>
      <c r="K1" s="2" t="inlineStr">
        <is>
          <t>Gender (% female)</t>
        </is>
      </c>
      <c r="L1" s="2" t="inlineStr">
        <is>
          <t>Category</t>
        </is>
      </c>
    </row>
    <row r="2" ht="45" customFormat="1" customHeight="1" s="5">
      <c r="A2" s="3" t="n">
        <v>132059</v>
      </c>
      <c r="B2" s="4" t="inlineStr">
        <is>
          <t>Rural Energy Market Transform (AREMTI)</t>
        </is>
      </c>
      <c r="C2" s="4" t="n"/>
      <c r="D2" s="4" t="inlineStr">
        <is>
          <t xml:space="preserve">US$21,398,843 (including US$17,198,843 from GCF) </t>
        </is>
      </c>
      <c r="E2" s="4" t="inlineStr">
        <is>
          <t>Electricity Access</t>
        </is>
      </c>
      <c r="F2" s="4" t="inlineStr">
        <is>
          <t>Renewable energy capacity installed</t>
        </is>
      </c>
      <c r="G2" s="4" t="inlineStr">
        <is>
          <t>Absent RE mini-grids for energy access in the selected areas</t>
        </is>
      </c>
      <c r="H2" s="4" t="inlineStr">
        <is>
          <t>2.6 MW solar mini-grids</t>
        </is>
      </c>
      <c r="I2" s="4" t="inlineStr">
        <is>
          <t>Project is on hold by GCF due to the change of regime in the country</t>
        </is>
      </c>
      <c r="J2" s="4" t="inlineStr">
        <is>
          <t>GCF, UNDP, Ministry of Rural Rehabilitation and
Development (MRRD)</t>
        </is>
      </c>
      <c r="L2" s="5" t="inlineStr">
        <is>
          <t>Non-VF</t>
        </is>
      </c>
    </row>
    <row r="3" ht="105" customFormat="1" customHeight="1" s="5">
      <c r="A3" s="3" t="n">
        <v>147445</v>
      </c>
      <c r="B3" s="4" t="inlineStr">
        <is>
          <t xml:space="preserve"> Sustainable Energy Services for Education and Health in Afghanistan (SESEHA)</t>
        </is>
      </c>
      <c r="C3" s="4" t="inlineStr">
        <is>
          <t xml:space="preserve"> </t>
        </is>
      </c>
      <c r="D3" s="4" t="inlineStr">
        <is>
          <t xml:space="preserve">US$60,110,220 (Total contribution for 66 months from 1 Januray 2023 to 30 June 2028 ) </t>
        </is>
      </c>
      <c r="E3" s="4" t="inlineStr">
        <is>
          <t>Electricity Access</t>
        </is>
      </c>
      <c r="F3" s="7" t="inlineStr">
        <is>
          <t>Number of people, who benefitted from services from clean, affordable and sustainable energy (disaggregated by sex)</t>
        </is>
      </c>
      <c r="G3" s="6" t="inlineStr">
        <is>
          <t>The baseline is access to electricity is less than 6 hours of average supply in selected 18 provinces in Phase I. Site specific baselines being established as a part of the current Inception Phase through an independent assessment of target public facilities in both education and health sectors based on a technical criteria.</t>
        </is>
      </c>
      <c r="H3" s="7" t="inlineStr">
        <is>
          <t xml:space="preserve">Phase I: Target number of public facilities – approx. 792 ; Health facilities – 92 and Education facilities – 700 
~ tentative/likely reach of 0.5 - 1 million people for both sectors (~ at least 0.5 million women ) </t>
        </is>
      </c>
      <c r="I3" s="3" t="inlineStr">
        <is>
          <t xml:space="preserve">The financing agreement with KfW was signed on 22 December 2022 and went into a funding pause until March 2023 due to DFA decrees on women education and employment. The project kick off held on April 26-27, 2023 and is the first energy project utilizing development funding in Afghanistan post August 2021 crisis (the project contributes to the levy to UNRC) </t>
        </is>
      </c>
      <c r="J3" s="4" t="inlineStr">
        <is>
          <t>BMZ(Federal Ministry for Economic Cooperation and Development) through KFW (German Development Bank)</t>
        </is>
      </c>
      <c r="L3" s="5" t="inlineStr">
        <is>
          <t>Non-VF</t>
        </is>
      </c>
    </row>
    <row r="4" ht="210" customFormat="1" customHeight="1" s="5">
      <c r="A4" s="8" t="n">
        <v>1000372</v>
      </c>
      <c r="B4" s="9" t="inlineStr">
        <is>
          <t>ABADEI 2.0</t>
        </is>
      </c>
      <c r="C4" s="10" t="inlineStr">
        <is>
          <t xml:space="preserve"> </t>
        </is>
      </c>
      <c r="D4" s="11" t="inlineStr">
        <is>
          <t xml:space="preserve">US$8,726,624 (Total for 2023 year) </t>
        </is>
      </c>
      <c r="E4" s="9" t="inlineStr">
        <is>
          <t>Electricity Access</t>
        </is>
      </c>
      <c r="F4" s="4" t="inlineStr">
        <is>
          <t>Number of basic facilities powered through renewable energy, disaggregated by type of facility ( e.g. health, education, sanitation) and location
Number of households who gained access to clean
and affordable energy (including women headed immunocompromised and or disabled households)</t>
        </is>
      </c>
      <c r="G4" s="9" t="inlineStr">
        <is>
          <t>Total number of beneficiaries : 1,188,687 (Female: 414,661)
Energy Kits: 6,446 (Health facilities: 37 ;
Education Facility: 52; Community members: 6357)
Energy system installed: 687
(Health Facility: 202; Educational Institutions (Including religious) : 483; Community: 2)</t>
        </is>
      </c>
      <c r="H4" s="4" t="inlineStr">
        <is>
          <t xml:space="preserve"> 
 1000 (Target 2023)
150,000 (Target 2023)
</t>
        </is>
      </c>
      <c r="I4" s="9" t="inlineStr">
        <is>
          <t>Baseline is ABADEI-1.0 achievement until 31 March 2023</t>
        </is>
      </c>
      <c r="J4" s="9" t="inlineStr">
        <is>
          <t>Government of Japan</t>
        </is>
      </c>
      <c r="K4" s="5" t="n">
        <v>0.3488395178882246</v>
      </c>
      <c r="L4" s="5" t="inlineStr">
        <is>
          <t>Non-VF</t>
        </is>
      </c>
    </row>
    <row r="5" ht="45" customFormat="1" customHeight="1" s="5">
      <c r="A5" s="8" t="n">
        <v>138844</v>
      </c>
      <c r="B5" s="9" t="inlineStr">
        <is>
          <t>ABADEI 1.0 (PIP)</t>
        </is>
      </c>
      <c r="C5" s="10" t="inlineStr">
        <is>
          <t xml:space="preserve"> </t>
        </is>
      </c>
      <c r="D5" s="10" t="inlineStr">
        <is>
          <t xml:space="preserve"> US$12,895,159 </t>
        </is>
      </c>
      <c r="E5" s="10" t="inlineStr">
        <is>
          <t xml:space="preserve">Electricity Access </t>
        </is>
      </c>
      <c r="F5" s="9" t="inlineStr">
        <is>
          <t>Number of individuals who gained access to clean and affordable energy  (disaggregated by sex)</t>
        </is>
      </c>
      <c r="G5" s="10" t="n">
        <v>0</v>
      </c>
      <c r="H5" s="9" t="inlineStr">
        <is>
          <t>10 PV System: 11,000 household
cooking devices: 10,000 HHs</t>
        </is>
      </c>
      <c r="I5" s="7" t="n"/>
      <c r="J5" s="8" t="inlineStr">
        <is>
          <t>Government of Japan, UNDP</t>
        </is>
      </c>
      <c r="L5" s="5" t="inlineStr">
        <is>
          <t>Non-VF</t>
        </is>
      </c>
    </row>
    <row r="6" ht="45" customFormat="1" customHeight="1" s="5">
      <c r="A6" s="8" t="n">
        <v>143651</v>
      </c>
      <c r="B6" s="9" t="inlineStr">
        <is>
          <t xml:space="preserve">Strengthening Community Safety Well-being and Humanitarian Security in Afghanistan </t>
        </is>
      </c>
      <c r="C6" s="10" t="inlineStr">
        <is>
          <t xml:space="preserve"> </t>
        </is>
      </c>
      <c r="D6" s="10" t="inlineStr">
        <is>
          <t xml:space="preserve"> US$1,253,880 </t>
        </is>
      </c>
      <c r="E6" s="10" t="inlineStr">
        <is>
          <t xml:space="preserve">Electricity Access </t>
        </is>
      </c>
      <c r="F6" s="9" t="inlineStr">
        <is>
          <t>Solarization of production facilities of 60 selected SMEs</t>
        </is>
      </c>
      <c r="G6" s="10" t="n">
        <v>0</v>
      </c>
      <c r="H6" s="10" t="n">
        <v>60</v>
      </c>
      <c r="I6" s="12" t="inlineStr">
        <is>
          <t xml:space="preserve"> </t>
        </is>
      </c>
      <c r="J6" s="9" t="inlineStr">
        <is>
          <t>Government of Japan</t>
        </is>
      </c>
      <c r="L6" s="5" t="inlineStr">
        <is>
          <t>Non-VF</t>
        </is>
      </c>
    </row>
    <row r="7" ht="60" customFormat="1" customHeight="1" s="5">
      <c r="A7" s="8" t="n">
        <v>88841</v>
      </c>
      <c r="B7" s="9" t="inlineStr">
        <is>
          <t>Afghanistan Sustainable Energy for Rural Development (ASERD)</t>
        </is>
      </c>
      <c r="C7" s="9" t="inlineStr">
        <is>
          <t xml:space="preserve"> </t>
        </is>
      </c>
      <c r="D7" s="9" t="inlineStr">
        <is>
          <t xml:space="preserve"> US$12,846,044 </t>
        </is>
      </c>
      <c r="E7" s="9" t="inlineStr">
        <is>
          <t>Electricity Access</t>
        </is>
      </c>
      <c r="F7" s="9" t="inlineStr">
        <is>
          <t>Number of households with access to energy, disaggregated by female headed households</t>
        </is>
      </c>
      <c r="G7" s="9" t="inlineStr">
        <is>
          <t>40,000 households</t>
        </is>
      </c>
      <c r="H7" s="9" t="inlineStr">
        <is>
          <t>200,000 households</t>
        </is>
      </c>
      <c r="I7" s="3" t="inlineStr">
        <is>
          <t xml:space="preserve">ASERD project was operationally completed in 2020. The beneficiaries continue to be served through this project and has increased since the commissioning of the minigrid. </t>
        </is>
      </c>
      <c r="J7" s="9" t="inlineStr">
        <is>
          <t>Republic of Korea, UNDP, Canada, Spain</t>
        </is>
      </c>
      <c r="L7" s="5" t="inlineStr">
        <is>
          <t>Non-VF</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4" sqref="B4"/>
    </sheetView>
  </sheetViews>
  <sheetFormatPr baseColWidth="8" defaultRowHeight="60.75" customHeight="1"/>
  <cols>
    <col width="36" bestFit="1" customWidth="1" min="1" max="1"/>
    <col width="110" bestFit="1" customWidth="1" min="2" max="2"/>
  </cols>
  <sheetData>
    <row r="1" ht="15" customHeight="1">
      <c r="A1" s="70" t="inlineStr">
        <is>
          <t>Beneficiary Category</t>
        </is>
      </c>
      <c r="B1" s="70" t="inlineStr">
        <is>
          <t>Indicator</t>
        </is>
      </c>
    </row>
    <row r="2" ht="30.75" customHeight="1">
      <c r="A2" s="71" t="inlineStr">
        <is>
          <t>Electricity Access</t>
        </is>
      </c>
      <c r="B2" s="71" t="inlineStr">
        <is>
          <t>Number of people, disaggregated by sex, who gain access to clean electricity (direct access to electricity, lighting, cooling, etc.).</t>
        </is>
      </c>
    </row>
    <row r="3" ht="15" customHeight="1">
      <c r="A3" s="71" t="inlineStr">
        <is>
          <t>Energy (MW added)</t>
        </is>
      </c>
      <c r="B3" s="71" t="inlineStr">
        <is>
          <t>Installed renewable or clean-energy power capacity added, in MW.</t>
        </is>
      </c>
    </row>
    <row r="4" ht="30.75" customHeight="1">
      <c r="A4" s="71" t="inlineStr">
        <is>
          <t>Energy Storage (MW)</t>
        </is>
      </c>
      <c r="B4" s="71" t="inlineStr">
        <is>
          <t>Installed energy storage power capacity added, in MW.</t>
        </is>
      </c>
    </row>
    <row r="5" ht="15" customHeight="1">
      <c r="A5" s="71" t="inlineStr">
        <is>
          <t>Clean Cooking</t>
        </is>
      </c>
      <c r="B5" s="71" t="inlineStr">
        <is>
          <t>Number of people who gain access to clean cooking (direct access to clean cook stoves, clean fuels, biomass, etc.).</t>
        </is>
      </c>
    </row>
    <row r="6" ht="45.75" customHeight="1">
      <c r="A6" s="71" t="inlineStr">
        <is>
          <t>Clean Heating</t>
        </is>
      </c>
      <c r="B6" s="71" t="inlineStr">
        <is>
          <t>Number of people who gain access to clean heating (direct access to clean electric heaters, clean fuels, etc.).</t>
        </is>
      </c>
    </row>
    <row r="7" ht="30.75" customHeight="1">
      <c r="A7" s="71" t="inlineStr">
        <is>
          <t>Agriculture and Food System</t>
        </is>
      </c>
      <c r="B7" s="71" t="inlineStr">
        <is>
          <t>Number of people who gain access to clean, affordable, and sustainable energy for agricultural and food-system activities.</t>
        </is>
      </c>
    </row>
    <row r="8" ht="30.75" customHeight="1">
      <c r="A8" s="71" t="inlineStr">
        <is>
          <t>Health Services</t>
        </is>
      </c>
      <c r="B8" s="71" t="inlineStr">
        <is>
          <t>Number of people who gain access to health care facilities through clean energy systems.</t>
        </is>
      </c>
    </row>
    <row r="9" ht="30.75" customHeight="1">
      <c r="A9" s="71" t="inlineStr">
        <is>
          <t>Water Services</t>
        </is>
      </c>
      <c r="B9" s="71" t="inlineStr">
        <is>
          <t>Number of people who gain access to water services through clean energy systems.</t>
        </is>
      </c>
    </row>
    <row r="10" ht="15" customHeight="1">
      <c r="A10" s="71" t="inlineStr">
        <is>
          <t>Education Services</t>
        </is>
      </c>
      <c r="B10" s="71" t="inlineStr">
        <is>
          <t>Number of people who gain access to education services through clean energy systems, including students and teachers.</t>
        </is>
      </c>
    </row>
    <row r="11" ht="15" customHeight="1">
      <c r="A11" s="71" t="inlineStr">
        <is>
          <t>Transportation and E-mobility Services</t>
        </is>
      </c>
      <c r="B11" s="71" t="inlineStr">
        <is>
          <t>Number of people served or energy saved from transport and e-mobility interventions, such as electric vehicles or charging stations.</t>
        </is>
      </c>
    </row>
    <row r="12" ht="30.75" customHeight="1">
      <c r="A12" s="71" t="inlineStr">
        <is>
          <t>Energy Efficiency Services</t>
        </is>
      </c>
      <c r="B12" s="71" t="inlineStr">
        <is>
          <t>Energy saved from energy-efficiency interventions, such as building or industrial efficiency.</t>
        </is>
      </c>
    </row>
    <row r="13" ht="15" customHeight="1">
      <c r="A13" s="71" t="inlineStr">
        <is>
          <t>Energy Infrastructure Services</t>
        </is>
      </c>
      <c r="B13" s="71" t="inlineStr">
        <is>
          <t>Number of people benefiting from energy infrastructure interventions, such as streetlights, transmission, and distribution lines.</t>
        </is>
      </c>
    </row>
    <row r="14" ht="15" customHeight="1">
      <c r="A14" s="71" t="inlineStr">
        <is>
          <t>Other Energy Services</t>
        </is>
      </c>
      <c r="B14" s="71" t="inlineStr">
        <is>
          <t>Access to other energy services not captured by the categories above.</t>
        </is>
      </c>
    </row>
    <row r="15" ht="15" customHeight="1">
      <c r="A15" s="71" t="inlineStr">
        <is>
          <t>Financing support</t>
        </is>
      </c>
      <c r="B15" s="71" t="inlineStr">
        <is>
          <t>Support for the development of the energy market ecosystem.</t>
        </is>
      </c>
    </row>
    <row r="16" ht="15" customHeight="1">
      <c r="A16" s="71" t="inlineStr">
        <is>
          <t>Medium Enterprises</t>
        </is>
      </c>
      <c r="B16" s="71" t="inlineStr">
        <is>
          <t>Support for the development of medium enterprises in the energy transition market.</t>
        </is>
      </c>
    </row>
    <row r="17" ht="15" customHeight="1">
      <c r="A17" s="71" t="inlineStr">
        <is>
          <t>Small Enterprises</t>
        </is>
      </c>
      <c r="B17" s="71" t="inlineStr">
        <is>
          <t>Support for the development of small enterprises in the energy transition market.</t>
        </is>
      </c>
    </row>
    <row r="18" ht="15" customHeight="1">
      <c r="A18" s="71" t="inlineStr">
        <is>
          <t>Capacity Building Training</t>
        </is>
      </c>
      <c r="B18" s="71" t="inlineStr">
        <is>
          <t>Number of people benefiting from training on energy business, energy finance, or related implementation capacity.</t>
        </is>
      </c>
    </row>
    <row r="19" ht="45.75" customHeight="1">
      <c r="A19" s="71" t="inlineStr">
        <is>
          <t>Entrepreneurship Training</t>
        </is>
      </c>
      <c r="B19" s="71" t="inlineStr">
        <is>
          <t>Training for enterprises on the energy business, assumed to result in direct beneficiaries.</t>
        </is>
      </c>
    </row>
    <row r="20" ht="15" customHeight="1">
      <c r="A20" s="71" t="inlineStr">
        <is>
          <t>Market Intervention</t>
        </is>
      </c>
      <c r="B20" s="71" t="inlineStr">
        <is>
          <t>Volume of investment leveraged or barriers removed for clean, reliable, affordable, and sustainable energy solutions.</t>
        </is>
      </c>
    </row>
    <row r="21" ht="30.75" customHeight="1">
      <c r="A21" s="71" t="inlineStr">
        <is>
          <t>Campaign Participant</t>
        </is>
      </c>
      <c r="B21" s="71" t="inlineStr">
        <is>
          <t>Individuals who participate in advocacy or awareness campaigns on energy.</t>
        </is>
      </c>
    </row>
    <row r="22" ht="15" customHeight="1">
      <c r="A22" s="71" t="inlineStr">
        <is>
          <t>Policy or Regulatory Framework</t>
        </is>
      </c>
      <c r="B22" s="71" t="inlineStr">
        <is>
          <t>Policies, regulations, strategies, plans, or frameworks developed, approved, implemented, or strengthened.</t>
        </is>
      </c>
    </row>
    <row r="23">
      <c r="A23" s="71" t="inlineStr">
        <is>
          <t>GHG Emissions Reduction</t>
        </is>
      </c>
      <c r="B23" s="71" t="inlineStr">
        <is>
          <t>Greenhouse gas emissions reduced or mitigated, in tCO2e.</t>
        </is>
      </c>
    </row>
    <row r="24">
      <c r="A24" s="71" t="inlineStr">
        <is>
          <t>Other</t>
        </is>
      </c>
      <c r="B24" s="7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2026-06-10T12:20:11Z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