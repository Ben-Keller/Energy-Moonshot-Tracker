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1"/>
  <workbookPr defaultThemeVersion="124226"/>
  <xr:revisionPtr revIDLastSave="848" documentId="11_0354F80925A16C94F44275D1D09B3032E8EAA263" xr6:coauthVersionLast="47" xr6:coauthVersionMax="47" xr10:uidLastSave="{8AC16853-E3EA-4E27-BACC-F0C7AFDF8249}"/>
  <bookViews>
    <workbookView xWindow="240" yWindow="15" windowWidth="16095" windowHeight="9660" firstSheet="1" activeTab="1" xr2:uid="{00000000-000D-0000-FFFF-FFFF00000000}"/>
  </bookViews>
  <sheets>
    <sheet name="Projects (2.5)" sheetId="5" state="hidden" r:id="rId1"/>
    <sheet name="Projects (3)" sheetId="4" r:id="rId2"/>
    <sheet name="Projects (2)" sheetId="3" state="hidden" r:id="rId3"/>
    <sheet name="Projects" sheetId="1" state="hidden" r:id="rId4"/>
    <sheet name="Beneficiary Categories" sheetId="2"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tc={79EEC1AE-897B-4A90-805B-F768C8A6C2CD}</author>
    <author>tc={621A9DFD-CCA8-4D76-B5B6-158D5A833901}</author>
    <author>tc={A08E9D70-5A23-46E7-B9E5-91D2EF7C552F}</author>
    <author>tc={D2FE1F41-7211-4981-AD33-0A9F681DCFBD}</author>
    <author>tc={891F3133-B0A9-4747-959A-2C56653BE395}</author>
    <author>tc={BC0B41C5-54B6-4044-85AB-618F19862654}</author>
    <author>tc={23B597A5-1B66-4CAB-AA0F-F278334B7E92}</author>
    <author>tc={66639FD2-4E2E-4171-92B2-2E309852434A}</author>
    <author>tc={2EBE4A3C-45A5-419E-9453-DCAF8C235A44}</author>
    <author>tc={C03134EB-0D27-4781-BC31-6E10FCBCA97A}</author>
  </authors>
  <commentList>
    <comment ref="K2" authorId="0" shapeId="0" xr:uid="{79EEC1AE-897B-4A90-805B-F768C8A6C2CD}">
      <text>
        <t>[Threaded comment]
Your version of Excel allows you to read this threaded comment; however, any edits to it will get removed if the file is opened in a newer version of Excel. Learn more: https://go.microsoft.com/fwlink/?linkid=870924
Comment:
    I added the donor named based on the web link for this column, please check if this is correct</t>
      </text>
    </comment>
    <comment ref="I3" authorId="1" shapeId="0" xr:uid="{621A9DFD-CCA8-4D76-B5B6-158D5A833901}">
      <text>
        <t>[Threaded comment]
Your version of Excel allows you to read this threaded comment; however, any edits to it will get removed if the file is opened in a newer version of Excel. Learn more: https://go.microsoft.com/fwlink/?linkid=870924
Comment:
    Note to system: The number relates to energy saved not number of beneficiaries
Reply:
    Correct.</t>
      </text>
    </comment>
    <comment ref="J4" authorId="2" shapeId="0" xr:uid="{A08E9D70-5A23-46E7-B9E5-91D2EF7C552F}">
      <text>
        <t>[Threaded comment]
Your version of Excel allows you to read this threaded comment; however, any edits to it will get removed if the file is opened in a newer version of Excel. Learn more: https://go.microsoft.com/fwlink/?linkid=870924
Comment:
    I moved the GHG emission date in the Note as our system doesn't support this kind of date in the Target column.</t>
      </text>
    </comment>
    <comment ref="I6" authorId="3" shapeId="0" xr:uid="{D2FE1F41-7211-4981-AD33-0A9F681DCFBD}">
      <text>
        <t>[Threaded comment]
Your version of Excel allows you to read this threaded comment; however, any edits to it will get removed if the file is opened in a newer version of Excel. Learn more: https://go.microsoft.com/fwlink/?linkid=870924
Comment:
    Tentative/target number of SME beneficiaries of support (tech assistance, "green" loans and performance-based incentives) for RE/EE investments.</t>
      </text>
    </comment>
    <comment ref="I16" authorId="4" shapeId="0" xr:uid="{891F3133-B0A9-4747-959A-2C56653BE395}">
      <text>
        <t>[Threaded comment]
Your version of Excel allows you to read this threaded comment; however, any edits to it will get removed if the file is opened in a newer version of Excel. Learn more: https://go.microsoft.com/fwlink/?linkid=870924
Comment:
    This should indicate the number of beneficiaries supported by this intervention
Reply:
    It indicates an expected/target number of households/individuals supported (with tech assistance, "green" loans, and ex-post, performance-based incentives) for RE/EE investments.</t>
      </text>
    </comment>
    <comment ref="I20" authorId="5" shapeId="0" xr:uid="{BC0B41C5-54B6-4044-85AB-618F19862654}">
      <text>
        <t>[Threaded comment]
Your version of Excel allows you to read this threaded comment; however, any edits to it will get removed if the file is opened in a newer version of Excel. Learn more: https://go.microsoft.com/fwlink/?linkid=870924
Comment:
    This should indicate the volume of investment (US dollars). Thank you for checking if this is correct.
Reply:
    This indicates the volume of *ex-post, performance-based incentives* attached to the investments (upon verification). The incentives for these groups of beneficiaries, though are payable by IOM (implementing partner in the project/GFF).</t>
      </text>
    </comment>
    <comment ref="J23" authorId="6" shapeId="0" xr:uid="{23B597A5-1B66-4CAB-AA0F-F278334B7E92}">
      <text>
        <t>[Threaded comment]
Your version of Excel allows you to read this threaded comment; however, any edits to it will get removed if the file is opened in a newer version of Excel. Learn more: https://go.microsoft.com/fwlink/?linkid=870924
Comment:
    I moved the GHG emission date in the Note as our system doesn't support this kind of date in the Target column.</t>
      </text>
    </comment>
    <comment ref="D26" authorId="7" shapeId="0" xr:uid="{66639FD2-4E2E-4171-92B2-2E309852434A}">
      <text>
        <t>[Threaded comment]
Your version of Excel allows you to read this threaded comment; however, any edits to it will get removed if the file is opened in a newer version of Excel. Learn more: https://go.microsoft.com/fwlink/?linkid=870924
Comment:
    Budget taken from web link, please check if this is correct</t>
      </text>
    </comment>
    <comment ref="D27" authorId="8" shapeId="0" xr:uid="{2EBE4A3C-45A5-419E-9453-DCAF8C235A44}">
      <text>
        <t>[Threaded comment]
Your version of Excel allows you to read this threaded comment; however, any edits to it will get removed if the file is opened in a newer version of Excel. Learn more: https://go.microsoft.com/fwlink/?linkid=870924
Comment:
    Budget taken from web link, please check if this is correct</t>
      </text>
    </comment>
    <comment ref="D28" authorId="9" shapeId="0" xr:uid="{C03134EB-0D27-4781-BC31-6E10FCBCA97A}">
      <text>
        <t>[Threaded comment]
Your version of Excel allows you to read this threaded comment; however, any edits to it will get removed if the file is opened in a newer version of Excel. Learn more: https://go.microsoft.com/fwlink/?linkid=870924
Comment:
    Budget taken from web link, please check if this is correct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tc={9234F38C-6247-4C32-9C39-0813DCF2450F}</author>
    <author>tc={7A94FBEE-AD1F-467F-AD57-574F1E79D6C3}</author>
    <author>tc={CA08CDE2-D4D6-4671-B38F-80F1DB89074F}</author>
    <author>tc={BDC16EA3-A8E2-496C-BBA7-C59FBD41AC51}</author>
    <author>tc={952459A9-C6C8-4831-8252-7617B7339F3E}</author>
    <author>tc={C38306C6-5115-4A98-B84A-C3BE8B9B0A8B}</author>
    <author>tc={10739C89-E707-417F-AB4E-5ABD4B510B80}</author>
    <author>tc={8F310A7D-2DE2-4A4C-A359-FA3AEC7579AD}</author>
    <author>tc={8E2C567E-C0F8-4DD4-B60D-DE770583DE9B}</author>
    <author>tc={2B238BD5-0FE1-4ABD-837C-4C765A136BD6}</author>
  </authors>
  <commentList>
    <comment ref="K2" authorId="0" shapeId="0" xr:uid="{9234F38C-6247-4C32-9C39-0813DCF2450F}">
      <text>
        <t>[Threaded comment]
Your version of Excel allows you to read this threaded comment; however, any edits to it will get removed if the file is opened in a newer version of Excel. Learn more: https://go.microsoft.com/fwlink/?linkid=870924
Comment:
    I added the donor named based on the web link for this column, please check if this is correct</t>
      </text>
    </comment>
    <comment ref="I3" authorId="1" shapeId="0" xr:uid="{7A94FBEE-AD1F-467F-AD57-574F1E79D6C3}">
      <text>
        <t>[Threaded comment]
Your version of Excel allows you to read this threaded comment; however, any edits to it will get removed if the file is opened in a newer version of Excel. Learn more: https://go.microsoft.com/fwlink/?linkid=870924
Comment:
    Note to system: The number relates to energy saved not number of beneficiaries
Reply:
    Correct.</t>
      </text>
    </comment>
    <comment ref="J4" authorId="2" shapeId="0" xr:uid="{CA08CDE2-D4D6-4671-B38F-80F1DB89074F}">
      <text>
        <t>[Threaded comment]
Your version of Excel allows you to read this threaded comment; however, any edits to it will get removed if the file is opened in a newer version of Excel. Learn more: https://go.microsoft.com/fwlink/?linkid=870924
Comment:
    I moved the GHG emission date in the Note as our system doesn't support this kind of date in the Target column.</t>
      </text>
    </comment>
    <comment ref="I6" authorId="3" shapeId="0" xr:uid="{BDC16EA3-A8E2-496C-BBA7-C59FBD41AC51}">
      <text>
        <t>[Threaded comment]
Your version of Excel allows you to read this threaded comment; however, any edits to it will get removed if the file is opened in a newer version of Excel. Learn more: https://go.microsoft.com/fwlink/?linkid=870924
Comment:
    Tentative/target number of SME beneficiaries of support (tech assistance, "green" loans and performance-based incentives) for RE/EE investments.</t>
      </text>
    </comment>
    <comment ref="I16" authorId="4" shapeId="0" xr:uid="{952459A9-C6C8-4831-8252-7617B7339F3E}">
      <text>
        <t>[Threaded comment]
Your version of Excel allows you to read this threaded comment; however, any edits to it will get removed if the file is opened in a newer version of Excel. Learn more: https://go.microsoft.com/fwlink/?linkid=870924
Comment:
    This should indicate the number of beneficiaries supported by this intervention
Reply:
    It indicates an expected/target number of households/individuals supported (with tech assistance, "green" loans, and ex-post, performance-based incentives) for RE/EE investments.</t>
      </text>
    </comment>
    <comment ref="I20" authorId="5" shapeId="0" xr:uid="{C38306C6-5115-4A98-B84A-C3BE8B9B0A8B}">
      <text>
        <t>[Threaded comment]
Your version of Excel allows you to read this threaded comment; however, any edits to it will get removed if the file is opened in a newer version of Excel. Learn more: https://go.microsoft.com/fwlink/?linkid=870924
Comment:
    This should indicate the volume of investment (US dollars). Thank you for checking if this is correct.
Reply:
    This indicates the volume of *ex-post, performance-based incentives* attached to the investments (upon verification). The incentives for these groups of beneficiaries, though are payable by IOM (implementing partner in the project/GFF).</t>
      </text>
    </comment>
    <comment ref="J23" authorId="6" shapeId="0" xr:uid="{10739C89-E707-417F-AB4E-5ABD4B510B80}">
      <text>
        <t>[Threaded comment]
Your version of Excel allows you to read this threaded comment; however, any edits to it will get removed if the file is opened in a newer version of Excel. Learn more: https://go.microsoft.com/fwlink/?linkid=870924
Comment:
    I moved the GHG emission date in the Note as our system doesn't support this kind of date in the Target column.</t>
      </text>
    </comment>
    <comment ref="D25" authorId="7" shapeId="0" xr:uid="{8F310A7D-2DE2-4A4C-A359-FA3AEC7579AD}">
      <text>
        <t>[Threaded comment]
Your version of Excel allows you to read this threaded comment; however, any edits to it will get removed if the file is opened in a newer version of Excel. Learn more: https://go.microsoft.com/fwlink/?linkid=870924
Comment:
    Budget taken from web link, please check if this is correct</t>
      </text>
    </comment>
    <comment ref="D26" authorId="8" shapeId="0" xr:uid="{8E2C567E-C0F8-4DD4-B60D-DE770583DE9B}">
      <text>
        <t>[Threaded comment]
Your version of Excel allows you to read this threaded comment; however, any edits to it will get removed if the file is opened in a newer version of Excel. Learn more: https://go.microsoft.com/fwlink/?linkid=870924
Comment:
    Budget taken from web link, please check if this is correct</t>
      </text>
    </comment>
    <comment ref="D27" authorId="9" shapeId="0" xr:uid="{2B238BD5-0FE1-4ABD-837C-4C765A136BD6}">
      <text>
        <t>[Threaded comment]
Your version of Excel allows you to read this threaded comment; however, any edits to it will get removed if the file is opened in a newer version of Excel. Learn more: https://go.microsoft.com/fwlink/?linkid=870924
Comment:
    Budget taken from web link, please check if this is correct</t>
      </text>
    </comment>
  </commentList>
</comments>
</file>

<file path=xl/sharedStrings.xml><?xml version="1.0" encoding="utf-8"?>
<sst xmlns="http://schemas.openxmlformats.org/spreadsheetml/2006/main" count="545" uniqueCount="143">
  <si>
    <t>Project ID</t>
  </si>
  <si>
    <t>Title</t>
  </si>
  <si>
    <t>Link</t>
  </si>
  <si>
    <t>Budget</t>
  </si>
  <si>
    <t>Output 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</si>
  <si>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</si>
  <si>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</si>
  <si>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</si>
  <si>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</si>
  <si>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</si>
  <si>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</si>
  <si>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</si>
  <si>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</si>
  <si>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</si>
  <si>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</si>
  <si>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</si>
  <si>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</si>
  <si>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</si>
  <si>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</si>
  <si>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</si>
  <si>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</si>
  <si>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</si>
  <si>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</si>
  <si>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Addressing food and energy crisis in North Macedonia</t>
  </si>
  <si>
    <t>http://open.undp.org/projects/00144953</t>
  </si>
  <si>
    <t xml:space="preserve"> By 2025, people in North Macedonia benefit from ambitious climate action, sustainably managed natural resources and
well-preserved biodiversity through good environmental governance and disaster resilient communities.</t>
  </si>
  <si>
    <t>Mptf-Joint Sdg Fund</t>
  </si>
  <si>
    <t>Non-VF</t>
  </si>
  <si>
    <t>Accelerating just energy transition</t>
  </si>
  <si>
    <t>Renewable Energy</t>
  </si>
  <si>
    <t>NDC Support</t>
  </si>
  <si>
    <t>Decarbonization</t>
  </si>
  <si>
    <t>National</t>
  </si>
  <si>
    <t>Green Finance Facility to Improve Air Quality and Combat Climate Change in North Macedonia</t>
  </si>
  <si>
    <t>https://open.undp.org/projects/00144270</t>
  </si>
  <si>
    <t>Energy Efficiency Services</t>
  </si>
  <si>
    <t>Expected annual energy saved (MJ)</t>
  </si>
  <si>
    <t>81,000 MWh tonnes</t>
  </si>
  <si>
    <t>Estimated GHG emissions avoided (tCO2e/year):  75654</t>
  </si>
  <si>
    <t>Energy (MW added)</t>
  </si>
  <si>
    <t>Renewable capacity added</t>
  </si>
  <si>
    <t>Medium Enterprises</t>
  </si>
  <si>
    <t xml:space="preserve">Number (sex disaggregated) of sub-loans (RE/EE) extended by PFIs </t>
  </si>
  <si>
    <t>Total value of sub-loans extended</t>
  </si>
  <si>
    <t>Business Model</t>
  </si>
  <si>
    <t>Total value of performance- based payments allocated:</t>
  </si>
  <si>
    <t>Capacity Building Training</t>
  </si>
  <si>
    <t xml:space="preserve">Number (sex disaggregated) of loan officers trained to assess RE/EE project loan applications </t>
  </si>
  <si>
    <t>Number of loan officers trained on gender-disaggregated data collection and analysis</t>
  </si>
  <si>
    <t>Campaign Participant</t>
  </si>
  <si>
    <t xml:space="preserve">Number (sex-disaggregated) of individuals reached through marketing efforts  </t>
  </si>
  <si>
    <t>Expected annual energy saved  (MJ)</t>
  </si>
  <si>
    <t>5,200 MWh -&gt; convert to MJ 18720000</t>
  </si>
  <si>
    <t>Estimated GHG emissions avoided tCO2e/year= 4856.8</t>
  </si>
  <si>
    <t xml:space="preserve">Total value of loans extended: </t>
  </si>
  <si>
    <t>USD 6.5 M</t>
  </si>
  <si>
    <t>Other</t>
  </si>
  <si>
    <t xml:space="preserve">Number (sex-disaggregated) of loans extended by banks </t>
  </si>
  <si>
    <t xml:space="preserve">Number (sex-disaggregated) of loan officers trained to assess RE/EE project loan applications </t>
  </si>
  <si>
    <t>Total value of performance-
based payments allocated to returning migrants and
remittance recipients:  $ 0.45 M</t>
  </si>
  <si>
    <t xml:space="preserve"> Number of loans extended to women and women-headed
h ouse holds (in cluding returning migrant s and remit :  227</t>
  </si>
  <si>
    <t>Number of loans extended to returning migrant s and
remitt ance recipient s:  150  ( sex-
di saaareaat ed)</t>
  </si>
  <si>
    <t>Tackling Air Pollution in Skopje</t>
  </si>
  <si>
    <t>https://open.undp.org/projects/00110061</t>
  </si>
  <si>
    <t>GHG Emission Reduction=2.23.  5.56t in 2019</t>
  </si>
  <si>
    <t>Swedish Int'L Development Cooperation</t>
  </si>
  <si>
    <t>https://open.undp.org/projects/00129099</t>
  </si>
  <si>
    <t>GHG emission Reduction : amount to be determined after selection of the measures</t>
  </si>
  <si>
    <t>Scaling up action to tackle air pollution,</t>
  </si>
  <si>
    <t> https://open.undp.org/projects/00129099</t>
  </si>
  <si>
    <t>MW added</t>
  </si>
  <si>
    <t>It is expected that around 24 kW of photovoltaic power plants will be installed (TBC)</t>
  </si>
  <si>
    <t>Transportation and E-mobility Services</t>
  </si>
  <si>
    <t>Street-cleaning vehicles, preferably electric, are expected to be procured, the exact MJ to be determined upon completion of the technical documentation.</t>
  </si>
  <si>
    <t>To be determined upon completion of the technical documentation for the selected priority measures that will be implemented.</t>
  </si>
  <si>
    <t>Development of five air quality plans is planned for the pilot municipalities of Kavadarci, Strumica, Kumanovo, Struga, and Gostivar, collectively supporting a population of approximately 245,131 citizens.</t>
  </si>
  <si>
    <t>Output Title</t>
  </si>
  <si>
    <t>Category</t>
  </si>
  <si>
    <t>Comments</t>
  </si>
  <si>
    <t>Energy Efficiency</t>
  </si>
  <si>
    <t>USD 44.4 M</t>
  </si>
  <si>
    <t>Scale up energy finance</t>
  </si>
  <si>
    <t>Output 1: SMEs have greater access to finance for accelerating a transition to renewable energy and energy efficiency solutions. No. in Quantum: 00132098</t>
  </si>
  <si>
    <t>Other Energy Services</t>
  </si>
  <si>
    <t>Expected annual energy saved</t>
  </si>
  <si>
    <t>Close the gap on energy access</t>
  </si>
  <si>
    <t>GHG Emissions Reduction</t>
  </si>
  <si>
    <t>Estimated GHG emissions avoided (tCO2e/year)</t>
  </si>
  <si>
    <t>$30.39 M</t>
  </si>
  <si>
    <t>USD 3.039 M</t>
  </si>
  <si>
    <t>Capacity Training</t>
  </si>
  <si>
    <t>"Output 2: Target groups/ households, especially women and female headed households have greater access to finance for accelerating a transition to RE and EE solutions. No. in Quantum: 00132099
"</t>
  </si>
  <si>
    <t xml:space="preserve">Expected annual energy saved </t>
  </si>
  <si>
    <t>5,200 MWh</t>
  </si>
  <si>
    <t>Estimated GHG emissions avoided tCO2e/year</t>
  </si>
  <si>
    <t>USD 2.15 mil</t>
  </si>
  <si>
    <t>Low emission district concept demonstrated (Decrease of polluting emissions from the selected area)</t>
  </si>
  <si>
    <t>CO2 Emissions Reduction</t>
  </si>
  <si>
    <t xml:space="preserve">Calculation of emissions </t>
  </si>
  <si>
    <t>5.56t in 2019</t>
  </si>
  <si>
    <t xml:space="preserve">Estimated GHG emissions avoided </t>
  </si>
  <si>
    <t>75,654 (tCO2e/year)</t>
  </si>
  <si>
    <t>8.1 MW</t>
  </si>
  <si>
    <t>at least 20</t>
  </si>
  <si>
    <t>Number (sex-disaggregated) of businesses reached through marketing efforts</t>
  </si>
  <si>
    <t>at least 700</t>
  </si>
  <si>
    <t xml:space="preserve">Output 2: Target groups/ households, especially women and female headed households have greater access to finance for accelerating a transition to RE and EE solutions. No. in Quantum: 00132099
</t>
  </si>
  <si>
    <t>4,856.8 tCO2e/year</t>
  </si>
  <si>
    <t>2.6 MW</t>
  </si>
  <si>
    <t>Households in Lisiche</t>
  </si>
  <si>
    <t>2.23t in 2021</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</si>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</sst>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_);_(* \(#,##0.0\);_(* &quot;-&quot;??_);_(@_)"/>
    <numFmt numFmtId="165" formatCode="_(* #,##0_);_(* \(#,##0\);_(* &quot;-&quot;??_);_(@_)"/>
    <numFmt numFmtId="166" formatCode="_(* #,##0.0000_);_(* \(#,##0.0000\);_(* &quot;-&quot;??_);_(@_)"/>
  </numFmts>
  <fonts count="17">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i/>
      <sz val="10"/>
      <color rgb="FF000000"/>
      <name val="Calibri"/>
      <family val="2"/>
    </font>
    <font>
      <sz val="11"/>
      <color rgb="FF444444"/>
      <name val="Calibri"/>
      <family val="2"/>
      <charset val="1"/>
    </font>
    <font>
      <i/>
      <sz val="10"/>
      <color rgb="FF000000"/>
      <name val="Calibri"/>
    </font>
    <font>
      <sz val="12"/>
      <color rgb="FF000000"/>
      <name val="Calibri"/>
      <family val="2"/>
    </font>
    <font>
      <sz val="11"/>
      <color rgb="FF444444"/>
      <name val="Calibri"/>
      <charset val="1"/>
    </font>
    <font>
      <sz val="10"/>
      <color rgb="FFFF0000"/>
      <name val="Helvetica Neue"/>
      <charset val="1"/>
    </font>
    <font>
      <b/>
      <sz val="11"/>
      <color theme="1"/>
      <name val="Calibri"/>
      <scheme val="minor"/>
    </font>
    <font>
      <sz val="11"/>
      <color rgb="FF000000"/>
      <name val="Calibri"/>
      <scheme val="minor"/>
    </font>
    <font>
      <sz val="11"/>
      <color rgb="FFFF0000"/>
      <name val="Calibri"/>
      <family val="2"/>
      <scheme val="minor"/>
    </font>
    <font>
      <sz val="11"/>
      <color rgb="FFFF0000"/>
      <name val="Calibri"/>
      <family val="2"/>
      <charset val="1"/>
    </font>
    <font>
      <u/>
      <sz val="11"/>
      <color rgb="FFFF0000"/>
      <name val="Calibri"/>
      <family val="2"/>
    </font>
    <font>
      <sz val="11"/>
      <color rgb="FFFF0000"/>
      <name val="Calibri"/>
      <charset val="1"/>
    </font>
    <font>
      <b/>
      <sz val="11"/>
      <color rgb="FFFF0000"/>
      <name val="Calibri"/>
      <family val="2"/>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alignment vertical="top"/>
      <protection locked="0"/>
    </xf>
  </cellStyleXfs>
  <cellXfs count="107">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4" fillId="0" borderId="0" xfId="0" applyFont="1" applyAlignment="1">
      <alignment wrapText="1"/>
    </xf>
    <xf numFmtId="0" fontId="0" fillId="0" borderId="0" xfId="0" applyAlignment="1">
      <alignment horizontal="center"/>
    </xf>
    <xf numFmtId="0" fontId="0" fillId="0" borderId="0" xfId="0" applyAlignment="1">
      <alignment vertical="center"/>
    </xf>
    <xf numFmtId="0" fontId="4" fillId="0" borderId="0" xfId="0" applyFont="1" applyAlignment="1">
      <alignment vertical="center" wrapText="1"/>
    </xf>
    <xf numFmtId="0" fontId="6" fillId="0" borderId="0" xfId="0" applyFont="1" applyAlignment="1">
      <alignment vertical="center" wrapText="1"/>
    </xf>
    <xf numFmtId="0" fontId="0" fillId="0" borderId="0" xfId="0" applyAlignment="1">
      <alignment horizontal="center" vertical="center"/>
    </xf>
    <xf numFmtId="0" fontId="5" fillId="0" borderId="0" xfId="0" applyFont="1" applyAlignment="1">
      <alignment horizontal="left" vertical="center" wrapText="1"/>
    </xf>
    <xf numFmtId="3" fontId="5" fillId="0" borderId="0" xfId="0" applyNumberFormat="1"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5" fillId="0" borderId="0" xfId="0" applyFont="1" applyAlignment="1">
      <alignment vertical="center"/>
    </xf>
    <xf numFmtId="0" fontId="0" fillId="0" borderId="2" xfId="0" applyBorder="1"/>
    <xf numFmtId="0" fontId="0" fillId="0" borderId="0" xfId="0" applyAlignment="1">
      <alignment wrapText="1"/>
    </xf>
    <xf numFmtId="0" fontId="0" fillId="0" borderId="3" xfId="0" applyBorder="1" applyAlignment="1">
      <alignment wrapText="1"/>
    </xf>
    <xf numFmtId="0" fontId="0" fillId="0" borderId="4" xfId="0" applyBorder="1" applyAlignment="1">
      <alignment wrapText="1"/>
    </xf>
    <xf numFmtId="0" fontId="3" fillId="0" borderId="4" xfId="1" applyBorder="1" applyAlignment="1" applyProtection="1">
      <alignment wrapText="1"/>
    </xf>
    <xf numFmtId="0" fontId="0" fillId="0" borderId="4" xfId="0" applyBorder="1" applyAlignment="1">
      <alignment vertical="center" wrapText="1"/>
    </xf>
    <xf numFmtId="0" fontId="0" fillId="0" borderId="5" xfId="0"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7" xfId="0" applyBorder="1" applyAlignment="1">
      <alignment vertical="center" wrapText="1"/>
    </xf>
    <xf numFmtId="0" fontId="0" fillId="0" borderId="8" xfId="0" applyBorder="1" applyAlignment="1">
      <alignment wrapText="1"/>
    </xf>
    <xf numFmtId="3" fontId="5" fillId="0" borderId="0" xfId="0" applyNumberFormat="1" applyFont="1" applyAlignment="1">
      <alignment horizontal="center" vertical="center"/>
    </xf>
    <xf numFmtId="0" fontId="2" fillId="0" borderId="0" xfId="0" applyFont="1"/>
    <xf numFmtId="0" fontId="2" fillId="0" borderId="9" xfId="0" applyFont="1" applyBorder="1"/>
    <xf numFmtId="0" fontId="8" fillId="0" borderId="0" xfId="0" applyFont="1"/>
    <xf numFmtId="4" fontId="5" fillId="0" borderId="0" xfId="0" applyNumberFormat="1" applyFont="1" applyAlignment="1">
      <alignment horizontal="center" vertical="center" wrapText="1"/>
    </xf>
    <xf numFmtId="0" fontId="9" fillId="0" borderId="0" xfId="0" applyFont="1" applyAlignment="1">
      <alignment vertical="center"/>
    </xf>
    <xf numFmtId="0" fontId="7" fillId="0" borderId="0" xfId="0" applyFont="1" applyAlignment="1">
      <alignment vertical="center" wrapText="1"/>
    </xf>
    <xf numFmtId="0" fontId="0" fillId="0" borderId="9" xfId="0" applyBorder="1"/>
    <xf numFmtId="0" fontId="3" fillId="0" borderId="9" xfId="1" applyFill="1" applyBorder="1" applyAlignment="1" applyProtection="1">
      <alignment wrapText="1"/>
    </xf>
    <xf numFmtId="0" fontId="2" fillId="0" borderId="9" xfId="0" applyFont="1" applyBorder="1" applyAlignment="1">
      <alignment horizontal="center" vertical="top"/>
    </xf>
    <xf numFmtId="0" fontId="3" fillId="0" borderId="9" xfId="1" applyFill="1" applyBorder="1" applyAlignment="1" applyProtection="1"/>
    <xf numFmtId="0" fontId="0" fillId="0" borderId="9" xfId="0" applyBorder="1" applyAlignment="1">
      <alignment vertical="center"/>
    </xf>
    <xf numFmtId="0" fontId="4" fillId="0" borderId="9" xfId="0" applyFont="1" applyBorder="1" applyAlignment="1">
      <alignment vertical="center" wrapText="1"/>
    </xf>
    <xf numFmtId="0" fontId="0" fillId="0" borderId="9" xfId="0" applyBorder="1" applyAlignment="1">
      <alignment horizontal="center" vertical="center"/>
    </xf>
    <xf numFmtId="0" fontId="8" fillId="0" borderId="9" xfId="0" applyFont="1" applyBorder="1"/>
    <xf numFmtId="0" fontId="7" fillId="0" borderId="9" xfId="0" applyFont="1" applyBorder="1" applyAlignment="1">
      <alignment vertical="center" wrapText="1"/>
    </xf>
    <xf numFmtId="0" fontId="6" fillId="0" borderId="9" xfId="0" applyFont="1" applyBorder="1" applyAlignment="1">
      <alignment vertical="center" wrapText="1"/>
    </xf>
    <xf numFmtId="0" fontId="0" fillId="0" borderId="9" xfId="0" applyBorder="1" applyAlignment="1">
      <alignment horizontal="center"/>
    </xf>
    <xf numFmtId="0" fontId="4" fillId="0" borderId="9" xfId="0" applyFont="1" applyBorder="1" applyAlignment="1">
      <alignment wrapText="1"/>
    </xf>
    <xf numFmtId="0" fontId="0" fillId="0" borderId="9" xfId="0" applyBorder="1" applyAlignment="1">
      <alignment wrapText="1"/>
    </xf>
    <xf numFmtId="0" fontId="0" fillId="0" borderId="9" xfId="0" applyBorder="1" applyAlignment="1">
      <alignment vertical="center" wrapText="1"/>
    </xf>
    <xf numFmtId="0" fontId="10" fillId="0" borderId="9" xfId="0" applyFont="1" applyBorder="1" applyAlignment="1">
      <alignment horizontal="center" vertical="top" wrapText="1"/>
    </xf>
    <xf numFmtId="0" fontId="11" fillId="0" borderId="9" xfId="0" applyFont="1" applyBorder="1" applyAlignment="1">
      <alignment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2" fillId="0" borderId="10" xfId="0" applyFont="1" applyBorder="1"/>
    <xf numFmtId="0" fontId="0" fillId="0" borderId="12" xfId="0" applyBorder="1" applyAlignment="1">
      <alignment horizontal="center" vertical="center"/>
    </xf>
    <xf numFmtId="0" fontId="0" fillId="0" borderId="13" xfId="0" applyBorder="1" applyAlignment="1">
      <alignment horizontal="center" vertical="center" wrapText="1"/>
    </xf>
    <xf numFmtId="0" fontId="0" fillId="0" borderId="10" xfId="0" applyBorder="1"/>
    <xf numFmtId="0" fontId="0" fillId="0" borderId="14" xfId="0" applyBorder="1"/>
    <xf numFmtId="165" fontId="2" fillId="0" borderId="9" xfId="0" applyNumberFormat="1" applyFont="1" applyBorder="1" applyAlignment="1">
      <alignment horizontal="center" vertical="top"/>
    </xf>
    <xf numFmtId="165" fontId="0" fillId="0" borderId="9" xfId="0" applyNumberFormat="1" applyBorder="1" applyAlignment="1">
      <alignment horizontal="center"/>
    </xf>
    <xf numFmtId="165" fontId="5" fillId="0" borderId="9" xfId="0" applyNumberFormat="1" applyFont="1" applyBorder="1" applyAlignment="1">
      <alignment horizontal="center" vertical="center" wrapText="1"/>
    </xf>
    <xf numFmtId="165" fontId="0" fillId="0" borderId="9" xfId="0" applyNumberFormat="1" applyBorder="1" applyAlignment="1">
      <alignment horizontal="center" wrapText="1"/>
    </xf>
    <xf numFmtId="165" fontId="0" fillId="0" borderId="0" xfId="0" applyNumberFormat="1" applyAlignment="1">
      <alignment horizontal="center"/>
    </xf>
    <xf numFmtId="165" fontId="0" fillId="0" borderId="0" xfId="0" applyNumberFormat="1"/>
    <xf numFmtId="165" fontId="5" fillId="3" borderId="9" xfId="0" applyNumberFormat="1" applyFont="1" applyFill="1" applyBorder="1" applyAlignment="1">
      <alignment horizontal="center" vertical="center"/>
    </xf>
    <xf numFmtId="0" fontId="12" fillId="0" borderId="9" xfId="0" applyFont="1" applyBorder="1"/>
    <xf numFmtId="165" fontId="5" fillId="3" borderId="9" xfId="0" applyNumberFormat="1" applyFont="1" applyFill="1" applyBorder="1" applyAlignment="1">
      <alignment horizontal="center" vertical="center" wrapText="1"/>
    </xf>
    <xf numFmtId="0" fontId="0" fillId="0" borderId="11" xfId="0" applyBorder="1" applyAlignment="1">
      <alignment horizontal="center" vertical="center"/>
    </xf>
    <xf numFmtId="0" fontId="0" fillId="0" borderId="10" xfId="0" applyBorder="1" applyAlignment="1">
      <alignment horizontal="center" vertical="center"/>
    </xf>
    <xf numFmtId="0" fontId="0" fillId="0" borderId="15" xfId="0" applyBorder="1" applyAlignment="1">
      <alignment horizontal="center" vertical="center" wrapText="1"/>
    </xf>
    <xf numFmtId="0" fontId="0" fillId="0" borderId="10" xfId="0" applyBorder="1" applyAlignment="1">
      <alignment vertical="center"/>
    </xf>
    <xf numFmtId="0" fontId="0" fillId="0" borderId="9" xfId="0" applyBorder="1" applyAlignment="1">
      <alignment horizontal="center" vertical="center" wrapText="1"/>
    </xf>
    <xf numFmtId="0" fontId="12" fillId="0" borderId="9" xfId="0" applyFont="1" applyBorder="1" applyAlignment="1">
      <alignment wrapText="1"/>
    </xf>
    <xf numFmtId="0" fontId="12" fillId="0" borderId="9" xfId="0" applyFont="1" applyBorder="1" applyAlignment="1">
      <alignment vertical="center" wrapText="1"/>
    </xf>
    <xf numFmtId="166" fontId="12" fillId="0" borderId="9" xfId="0" applyNumberFormat="1" applyFont="1" applyBorder="1" applyAlignment="1">
      <alignment horizontal="center" wrapText="1"/>
    </xf>
    <xf numFmtId="0" fontId="15" fillId="0" borderId="9" xfId="0" applyFont="1" applyBorder="1"/>
    <xf numFmtId="0" fontId="12" fillId="0" borderId="9" xfId="0" applyFont="1" applyBorder="1" applyAlignment="1">
      <alignment horizontal="center" vertical="center"/>
    </xf>
    <xf numFmtId="0" fontId="12" fillId="0" borderId="9" xfId="0" applyFont="1" applyBorder="1" applyAlignment="1">
      <alignment horizontal="center" vertical="center" wrapText="1"/>
    </xf>
    <xf numFmtId="0" fontId="12" fillId="0" borderId="9" xfId="0" applyFont="1" applyBorder="1" applyAlignment="1">
      <alignment vertical="center"/>
    </xf>
    <xf numFmtId="0" fontId="13" fillId="0" borderId="9" xfId="0" applyFont="1" applyBorder="1"/>
    <xf numFmtId="0" fontId="14" fillId="0" borderId="9" xfId="1" applyFont="1" applyBorder="1" applyAlignment="1" applyProtection="1">
      <alignment wrapText="1"/>
    </xf>
    <xf numFmtId="0" fontId="7" fillId="0" borderId="10" xfId="0" applyFont="1" applyBorder="1" applyAlignment="1">
      <alignment vertical="center" wrapText="1"/>
    </xf>
    <xf numFmtId="0" fontId="4" fillId="0" borderId="10" xfId="0" applyFont="1" applyBorder="1" applyAlignment="1">
      <alignment wrapText="1"/>
    </xf>
    <xf numFmtId="165" fontId="5" fillId="3" borderId="10" xfId="0" applyNumberFormat="1" applyFont="1" applyFill="1" applyBorder="1" applyAlignment="1">
      <alignment horizontal="center" vertical="center"/>
    </xf>
    <xf numFmtId="0" fontId="14" fillId="0" borderId="9" xfId="1" applyFont="1" applyFill="1" applyBorder="1" applyAlignment="1" applyProtection="1">
      <alignment wrapText="1"/>
    </xf>
    <xf numFmtId="165" fontId="12" fillId="0" borderId="9" xfId="0" applyNumberFormat="1" applyFont="1" applyBorder="1" applyAlignment="1">
      <alignment horizontal="center" wrapText="1"/>
    </xf>
    <xf numFmtId="0" fontId="15" fillId="0" borderId="9" xfId="0" applyFont="1" applyBorder="1" applyAlignment="1">
      <alignment wrapText="1"/>
    </xf>
    <xf numFmtId="0" fontId="12" fillId="3" borderId="9" xfId="0" applyFont="1" applyFill="1" applyBorder="1" applyAlignment="1">
      <alignment horizontal="center" vertical="center"/>
    </xf>
    <xf numFmtId="0" fontId="0" fillId="3" borderId="9" xfId="0" applyFill="1" applyBorder="1"/>
    <xf numFmtId="164" fontId="13" fillId="0" borderId="9" xfId="0" applyNumberFormat="1" applyFont="1" applyBorder="1" applyAlignment="1">
      <alignment horizontal="center" vertical="center" wrapText="1"/>
    </xf>
    <xf numFmtId="165" fontId="13" fillId="3" borderId="9" xfId="0" applyNumberFormat="1" applyFont="1" applyFill="1" applyBorder="1" applyAlignment="1">
      <alignment horizontal="center" vertical="center" wrapText="1"/>
    </xf>
    <xf numFmtId="165" fontId="15" fillId="0" borderId="12" xfId="0" applyNumberFormat="1" applyFont="1" applyBorder="1" applyAlignment="1">
      <alignment horizontal="center"/>
    </xf>
    <xf numFmtId="165" fontId="13" fillId="0" borderId="9" xfId="0" applyNumberFormat="1" applyFont="1" applyBorder="1" applyAlignment="1">
      <alignment horizontal="center" vertical="center"/>
    </xf>
    <xf numFmtId="164" fontId="13" fillId="0" borderId="9" xfId="0" applyNumberFormat="1" applyFont="1" applyBorder="1" applyAlignment="1">
      <alignment horizontal="center" vertical="center"/>
    </xf>
    <xf numFmtId="0" fontId="15" fillId="0" borderId="13" xfId="0" applyFont="1" applyBorder="1"/>
    <xf numFmtId="165" fontId="13" fillId="3" borderId="9" xfId="0" applyNumberFormat="1" applyFont="1" applyFill="1" applyBorder="1" applyAlignment="1">
      <alignment horizontal="center" vertical="center"/>
    </xf>
    <xf numFmtId="0" fontId="3" fillId="0" borderId="1" xfId="1" applyFill="1" applyBorder="1" applyAlignment="1" applyProtection="1">
      <alignment wrapText="1"/>
    </xf>
    <xf numFmtId="0" fontId="16" fillId="0" borderId="9" xfId="0" applyFont="1" applyBorder="1" applyAlignment="1">
      <alignment horizontal="center" vertical="top"/>
    </xf>
    <xf numFmtId="3" fontId="12" fillId="3" borderId="9" xfId="0" applyNumberFormat="1" applyFont="1" applyFill="1" applyBorder="1" applyAlignment="1">
      <alignment wrapText="1"/>
    </xf>
    <xf numFmtId="0" fontId="0" fillId="0" borderId="7" xfId="0" applyBorder="1" applyAlignment="1">
      <alignment horizontal="left" wrapText="1"/>
    </xf>
    <xf numFmtId="0" fontId="7" fillId="0" borderId="0" xfId="0" applyFont="1" applyAlignment="1">
      <alignment horizontal="center" vertical="center" wrapText="1"/>
    </xf>
    <xf numFmtId="0" fontId="7" fillId="0" borderId="7" xfId="0" applyFont="1" applyBorder="1" applyAlignment="1">
      <alignment horizontal="center" vertical="center" wrapText="1"/>
    </xf>
    <xf numFmtId="0" fontId="7" fillId="0" borderId="0" xfId="0" applyFont="1" applyAlignment="1">
      <alignment horizontal="left" vertical="center" wrapText="1"/>
    </xf>
    <xf numFmtId="0" fontId="0" fillId="0" borderId="0" xfId="0" applyAlignment="1">
      <alignment horizontal="center" vertical="center"/>
    </xf>
    <xf numFmtId="0" fontId="0" fillId="0" borderId="7" xfId="0" applyBorder="1" applyAlignment="1">
      <alignment horizontal="center" wrapText="1"/>
    </xf>
    <xf numFmtId="0" fontId="1" fillId="0" borderId="9" xfId="0" applyFont="1" applyBorder="1" applyAlignment="1">
      <alignment horizontal="left" vertical="center" wrapText="1"/>
    </xf>
    <xf numFmtId="0" fontId="1" fillId="0" borderId="9" xfId="0" applyFont="1" applyBorder="1" applyAlignment="1">
      <alignment wrapText="1"/>
    </xf>
    <xf numFmtId="0" fontId="1" fillId="0" borderId="9" xfId="0" applyFont="1" applyBorder="1" applyAlignment="1">
      <alignment vertical="center" wrapText="1"/>
    </xf>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Folashade Jaiyeola" id="{677AD49F-3492-411D-9D2E-6FC8BC25D7F7}" userId="S::folashade.jaiyeola@undp.org::c208a32e-6303-48b2-9538-645490e99643" providerId="AD"/>
  <person displayName="Gordana Popovikj Friedman" id="{2C744443-592E-4DFA-B2F7-DD2AAA854B05}" userId="S::gordana.popovikj.friedman@undp.org::99a5efa7-f829-4525-8197-01706efa92a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 dT="2024-11-22T19:10:13.16" personId="{677AD49F-3492-411D-9D2E-6FC8BC25D7F7}" id="{79EEC1AE-897B-4A90-805B-F768C8A6C2CD}">
    <text>I added the donor named based on the web link for this column, please check if this is correct</text>
  </threadedComment>
  <threadedComment ref="I3" dT="2024-11-22T18:41:27.42" personId="{677AD49F-3492-411D-9D2E-6FC8BC25D7F7}" id="{621A9DFD-CCA8-4D76-B5B6-158D5A833901}">
    <text>Note to system: The number relates to energy saved not number of beneficiaries</text>
  </threadedComment>
  <threadedComment ref="I3" dT="2024-11-25T12:29:04.95" personId="{2C744443-592E-4DFA-B2F7-DD2AAA854B05}" id="{0DB1A00D-B2FF-4EB4-ADA0-B269866981A3}" parentId="{621A9DFD-CCA8-4D76-B5B6-158D5A833901}">
    <text>Correct.</text>
  </threadedComment>
  <threadedComment ref="J4" dT="2024-11-22T18:40:15.67" personId="{677AD49F-3492-411D-9D2E-6FC8BC25D7F7}" id="{A08E9D70-5A23-46E7-B9E5-91D2EF7C552F}">
    <text>I moved the GHG emission date in the Note as our system doesn't support this kind of date in the Target column.</text>
  </threadedComment>
  <threadedComment ref="I6" dT="2024-11-25T12:32:39.76" personId="{2C744443-592E-4DFA-B2F7-DD2AAA854B05}" id="{D2FE1F41-7211-4981-AD33-0A9F681DCFBD}">
    <text>Tentative/target number of SME beneficiaries of support (tech assistance, "green" loans and performance-based incentives) for RE/EE investments.</text>
  </threadedComment>
  <threadedComment ref="I16" dT="2024-11-22T18:37:27.83" personId="{677AD49F-3492-411D-9D2E-6FC8BC25D7F7}" id="{891F3133-B0A9-4747-959A-2C56653BE395}">
    <text>This should indicate the number of beneficiaries supported by this intervention</text>
  </threadedComment>
  <threadedComment ref="I16" dT="2024-11-25T12:30:21.34" personId="{2C744443-592E-4DFA-B2F7-DD2AAA854B05}" id="{67E0B355-A6CF-4722-9D8E-0A3FB24178C5}" parentId="{891F3133-B0A9-4747-959A-2C56653BE395}">
    <text>It indicates an expected/target number of households/individuals supported (with tech assistance, "green" loans, and ex-post, performance-based incentives) for RE/EE investments.</text>
  </threadedComment>
  <threadedComment ref="I20" dT="2024-11-22T18:36:16.12" personId="{677AD49F-3492-411D-9D2E-6FC8BC25D7F7}" id="{BC0B41C5-54B6-4044-85AB-618F19862654}">
    <text>This should indicate the volume of investment (US dollars). Thank you for checking if this is correct.</text>
  </threadedComment>
  <threadedComment ref="I20" dT="2024-11-25T12:31:24.48" personId="{2C744443-592E-4DFA-B2F7-DD2AAA854B05}" id="{0AF225B4-3328-4483-9BE2-C183E4DE5000}" parentId="{BC0B41C5-54B6-4044-85AB-618F19862654}">
    <text>This indicates the volume of *ex-post, performance-based incentives* attached to the investments (upon verification). The incentives for these groups of beneficiaries, though are payable by IOM (implementing partner in the project/GFF).</text>
  </threadedComment>
  <threadedComment ref="J23" dT="2024-11-22T18:51:17.04" personId="{677AD49F-3492-411D-9D2E-6FC8BC25D7F7}" id="{23B597A5-1B66-4CAB-AA0F-F278334B7E92}">
    <text>I moved the GHG emission date in the Note as our system doesn't support this kind of date in the Target column.</text>
  </threadedComment>
  <threadedComment ref="D26" dT="2024-11-22T18:47:01.19" personId="{677AD49F-3492-411D-9D2E-6FC8BC25D7F7}" id="{66639FD2-4E2E-4171-92B2-2E309852434A}">
    <text>Budget taken from web link, please check if this is correct</text>
  </threadedComment>
  <threadedComment ref="D27" dT="2024-11-22T18:47:01.19" personId="{677AD49F-3492-411D-9D2E-6FC8BC25D7F7}" id="{2EBE4A3C-45A5-419E-9453-DCAF8C235A44}">
    <text>Budget taken from web link, please check if this is correct</text>
  </threadedComment>
  <threadedComment ref="D28" dT="2024-11-22T18:47:01.19" personId="{677AD49F-3492-411D-9D2E-6FC8BC25D7F7}" id="{C03134EB-0D27-4781-BC31-6E10FCBCA97A}">
    <text>Budget taken from web link, please check if this is correct</text>
  </threadedComment>
</ThreadedComments>
</file>

<file path=xl/threadedComments/threadedComment2.xml><?xml version="1.0" encoding="utf-8"?>
<ThreadedComments xmlns="http://schemas.microsoft.com/office/spreadsheetml/2018/threadedcomments" xmlns:x="http://schemas.openxmlformats.org/spreadsheetml/2006/main">
  <threadedComment ref="K2" dT="2024-11-22T19:10:13.16" personId="{677AD49F-3492-411D-9D2E-6FC8BC25D7F7}" id="{9234F38C-6247-4C32-9C39-0813DCF2450F}">
    <text>I added the donor named based on the web link for this column, please check if this is correct</text>
  </threadedComment>
  <threadedComment ref="I3" dT="2024-11-22T18:41:27.42" personId="{677AD49F-3492-411D-9D2E-6FC8BC25D7F7}" id="{7A94FBEE-AD1F-467F-AD57-574F1E79D6C3}">
    <text>Note to system: The number relates to energy saved not number of beneficiaries</text>
  </threadedComment>
  <threadedComment ref="I3" dT="2024-11-25T12:29:04.95" personId="{2C744443-592E-4DFA-B2F7-DD2AAA854B05}" id="{F915C7A0-1C17-4FE5-8D5C-D51D0F7A8467}" parentId="{7A94FBEE-AD1F-467F-AD57-574F1E79D6C3}">
    <text>Correct.</text>
  </threadedComment>
  <threadedComment ref="J4" dT="2024-11-22T18:40:15.67" personId="{677AD49F-3492-411D-9D2E-6FC8BC25D7F7}" id="{CA08CDE2-D4D6-4671-B38F-80F1DB89074F}">
    <text>I moved the GHG emission date in the Note as our system doesn't support this kind of date in the Target column.</text>
  </threadedComment>
  <threadedComment ref="I6" dT="2024-11-25T12:32:39.76" personId="{2C744443-592E-4DFA-B2F7-DD2AAA854B05}" id="{BDC16EA3-A8E2-496C-BBA7-C59FBD41AC51}">
    <text>Tentative/target number of SME beneficiaries of support (tech assistance, "green" loans and performance-based incentives) for RE/EE investments.</text>
  </threadedComment>
  <threadedComment ref="I16" dT="2024-11-22T18:37:27.83" personId="{677AD49F-3492-411D-9D2E-6FC8BC25D7F7}" id="{952459A9-C6C8-4831-8252-7617B7339F3E}">
    <text>This should indicate the number of beneficiaries supported by this intervention</text>
  </threadedComment>
  <threadedComment ref="I16" dT="2024-11-25T12:30:21.34" personId="{2C744443-592E-4DFA-B2F7-DD2AAA854B05}" id="{91631459-648D-4D48-84D7-35C1749F002B}" parentId="{952459A9-C6C8-4831-8252-7617B7339F3E}">
    <text>It indicates an expected/target number of households/individuals supported (with tech assistance, "green" loans, and ex-post, performance-based incentives) for RE/EE investments.</text>
  </threadedComment>
  <threadedComment ref="I20" dT="2024-11-22T18:36:16.12" personId="{677AD49F-3492-411D-9D2E-6FC8BC25D7F7}" id="{C38306C6-5115-4A98-B84A-C3BE8B9B0A8B}">
    <text>This should indicate the volume of investment (US dollars). Thank you for checking if this is correct.</text>
  </threadedComment>
  <threadedComment ref="I20" dT="2024-11-25T12:31:24.48" personId="{2C744443-592E-4DFA-B2F7-DD2AAA854B05}" id="{03036B92-1F2F-48A0-8DE0-A865D0F7CBB6}" parentId="{C38306C6-5115-4A98-B84A-C3BE8B9B0A8B}">
    <text>This indicates the volume of *ex-post, performance-based incentives* attached to the investments (upon verification). The incentives for these groups of beneficiaries, though are payable by IOM (implementing partner in the project/GFF).</text>
  </threadedComment>
  <threadedComment ref="J23" dT="2024-11-22T18:51:17.04" personId="{677AD49F-3492-411D-9D2E-6FC8BC25D7F7}" id="{10739C89-E707-417F-AB4E-5ABD4B510B80}">
    <text>I moved the GHG emission date in the Note as our system doesn't support this kind of date in the Target column.</text>
  </threadedComment>
  <threadedComment ref="D25" dT="2024-11-22T18:47:01.19" personId="{677AD49F-3492-411D-9D2E-6FC8BC25D7F7}" id="{8F310A7D-2DE2-4A4C-A359-FA3AEC7579AD}">
    <text>Budget taken from web link, please check if this is correct</text>
  </threadedComment>
  <threadedComment ref="D26" dT="2024-11-22T18:47:01.19" personId="{677AD49F-3492-411D-9D2E-6FC8BC25D7F7}" id="{8E2C567E-C0F8-4DD4-B60D-DE770583DE9B}">
    <text>Budget taken from web link, please check if this is correct</text>
  </threadedComment>
  <threadedComment ref="D27" dT="2024-11-22T18:47:01.19" personId="{677AD49F-3492-411D-9D2E-6FC8BC25D7F7}" id="{2B238BD5-0FE1-4ABD-837C-4C765A136BD6}">
    <text>Budget taken from web link, please check if this is correct</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open.undp.org/projects/00110061" TargetMode="External"/><Relationship Id="rId7" Type="http://schemas.openxmlformats.org/officeDocument/2006/relationships/comments" Target="../comments1.xm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 Id="rId6" Type="http://schemas.openxmlformats.org/officeDocument/2006/relationships/vmlDrawing" Target="../drawings/vmlDrawing1.vml"/><Relationship Id="rId5" Type="http://schemas.openxmlformats.org/officeDocument/2006/relationships/hyperlink" Target="https://open.undp.org/projects/00129099" TargetMode="External"/><Relationship Id="rId4" Type="http://schemas.openxmlformats.org/officeDocument/2006/relationships/hyperlink" Target="https://eur03.safelinks.protection.outlook.com/?url=https%3A%2F%2Fopen.undp.org%2Fprojects%2F00129099&amp;data=05%7C02%7Cfolashade.jaiyeola%40undp.org%7C7d530aef254c45ac260a08dd09be8346%7Cb3e5db5e2944483799f57488ace54319%7C0%7C0%7C638677436603760641%7CUnknown%7CTWFpbGZsb3d8eyJFbXB0eU1hcGkiOnRydWUsIlYiOiIwLjAuMDAwMCIsIlAiOiJXaW4zMiIsIkFOIjoiTWFpbCIsIldUIjoyfQ%3D%3D%7C0%7C%7C%7C&amp;sdata=WYYCuAjp%2BYSp6l4kNPy%2FwcZrJKpCk2hmakNWg2i7nFk%3D&amp;reserved=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110061" TargetMode="External"/><Relationship Id="rId7" Type="http://schemas.microsoft.com/office/2017/10/relationships/threadedComment" Target="../threadedComments/threadedComment2.xm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hyperlink" Target="https://eur03.safelinks.protection.outlook.com/?url=https%3A%2F%2Fopen.undp.org%2Fprojects%2F00129099&amp;data=05%7C02%7Cfolashade.jaiyeola%40undp.org%7C7d530aef254c45ac260a08dd09be8346%7Cb3e5db5e2944483799f57488ace54319%7C0%7C0%7C638677436603760641%7CUnknown%7CTWFpbGZsb3d8eyJFbXB0eU1hcGkiOnRydWUsIlYiOiIwLjAuMDAwMCIsIlAiOiJXaW4zMiIsIkFOIjoiTWFpbCIsIldUIjoyfQ%3D%3D%7C0%7C%7C%7C&amp;sdata=WYYCuAjp%2BYSp6l4kNPy%2FwcZrJKpCk2hmakNWg2i7nFk%3D&amp;reserved=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open.undp.org/projects/00110061" TargetMode="Externa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pen.undp.org/projects/00110061" TargetMode="External"/><Relationship Id="rId2" Type="http://schemas.openxmlformats.org/officeDocument/2006/relationships/hyperlink" Target="https://open.undp.org/projects/00144270" TargetMode="External"/><Relationship Id="rId1" Type="http://schemas.openxmlformats.org/officeDocument/2006/relationships/hyperlink" Target="http://open.undp.org/projects/0014495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72B0A-9916-452E-AD42-D1214710D1E2}">
  <dimension ref="A1:W29"/>
  <sheetViews>
    <sheetView workbookViewId="0">
      <pane xSplit="3" ySplit="1" topLeftCell="D2" activePane="bottomRight" state="frozen"/>
      <selection pane="bottomRight" activeCell="B9" sqref="B9"/>
      <selection pane="bottomLeft"/>
      <selection pane="topRight"/>
    </sheetView>
  </sheetViews>
  <sheetFormatPr defaultRowHeight="15"/>
  <cols>
    <col min="2" max="2" width="40" customWidth="1"/>
    <col min="3" max="3" width="20.7109375" customWidth="1"/>
    <col min="4" max="5" width="14.140625" customWidth="1"/>
    <col min="6" max="6" width="24" bestFit="1" customWidth="1"/>
    <col min="7" max="7" width="40" customWidth="1"/>
    <col min="8" max="8" width="10.140625" customWidth="1"/>
    <col min="9" max="9" width="20.42578125" style="62" customWidth="1"/>
    <col min="10" max="10" width="32.7109375" customWidth="1"/>
    <col min="12" max="12" width="18" bestFit="1" customWidth="1"/>
    <col min="13" max="13" width="12.85546875" bestFit="1" customWidth="1"/>
    <col min="15" max="15" width="14.42578125" bestFit="1" customWidth="1"/>
    <col min="16" max="16" width="17.5703125" bestFit="1" customWidth="1"/>
    <col min="18" max="18" width="16.5703125" bestFit="1" customWidth="1"/>
    <col min="19" max="19" width="18.140625" bestFit="1" customWidth="1"/>
    <col min="20" max="20" width="11.28515625" bestFit="1" customWidth="1"/>
    <col min="21" max="21" width="19.5703125" bestFit="1" customWidth="1"/>
    <col min="22" max="22" width="30.28515625" bestFit="1" customWidth="1"/>
    <col min="23" max="23" width="16.7109375" bestFit="1" customWidth="1"/>
  </cols>
  <sheetData>
    <row r="1" spans="1:23">
      <c r="A1" s="35" t="s">
        <v>0</v>
      </c>
      <c r="B1" s="35" t="s">
        <v>1</v>
      </c>
      <c r="C1" s="35" t="s">
        <v>2</v>
      </c>
      <c r="D1" s="35" t="s">
        <v>3</v>
      </c>
      <c r="E1" s="96" t="s">
        <v>4</v>
      </c>
      <c r="F1" s="35" t="s">
        <v>5</v>
      </c>
      <c r="G1" s="35" t="s">
        <v>6</v>
      </c>
      <c r="H1" s="35" t="s">
        <v>7</v>
      </c>
      <c r="I1" s="57" t="s">
        <v>8</v>
      </c>
      <c r="J1" s="35" t="s">
        <v>9</v>
      </c>
      <c r="K1" s="28" t="s">
        <v>10</v>
      </c>
      <c r="L1" s="28" t="s">
        <v>11</v>
      </c>
      <c r="M1" s="49" t="s">
        <v>12</v>
      </c>
      <c r="N1" s="50" t="s">
        <v>13</v>
      </c>
      <c r="O1" s="49" t="s">
        <v>14</v>
      </c>
      <c r="P1" s="49" t="s">
        <v>15</v>
      </c>
      <c r="Q1" s="50" t="s">
        <v>16</v>
      </c>
      <c r="R1" s="50" t="s">
        <v>17</v>
      </c>
      <c r="S1" s="51" t="s">
        <v>18</v>
      </c>
      <c r="T1" s="52" t="s">
        <v>19</v>
      </c>
      <c r="U1" s="51" t="s">
        <v>20</v>
      </c>
      <c r="V1" s="51" t="s">
        <v>21</v>
      </c>
      <c r="W1" s="52" t="s">
        <v>22</v>
      </c>
    </row>
    <row r="2" spans="1:23" ht="91.5">
      <c r="A2" s="33">
        <v>144953</v>
      </c>
      <c r="B2" s="45" t="s">
        <v>23</v>
      </c>
      <c r="C2" s="36" t="s">
        <v>24</v>
      </c>
      <c r="D2" s="37">
        <v>95000</v>
      </c>
      <c r="E2" s="37"/>
      <c r="F2" s="33" t="s">
        <v>21</v>
      </c>
      <c r="G2" s="45" t="s">
        <v>25</v>
      </c>
      <c r="H2" s="33"/>
      <c r="I2" s="58"/>
      <c r="J2" s="33"/>
      <c r="K2" s="87" t="s">
        <v>26</v>
      </c>
      <c r="L2" s="33"/>
      <c r="M2" s="53" t="s">
        <v>27</v>
      </c>
      <c r="N2" s="39"/>
      <c r="O2" s="54" t="s">
        <v>28</v>
      </c>
      <c r="P2" s="39" t="s">
        <v>29</v>
      </c>
      <c r="Q2" s="39"/>
      <c r="R2" s="39" t="s">
        <v>30</v>
      </c>
      <c r="S2" s="39" t="s">
        <v>31</v>
      </c>
      <c r="T2" s="37"/>
      <c r="U2" s="39"/>
      <c r="V2" s="39" t="s">
        <v>32</v>
      </c>
      <c r="W2" s="37"/>
    </row>
    <row r="3" spans="1:23" ht="64.5" customHeight="1">
      <c r="A3" s="33">
        <v>144270</v>
      </c>
      <c r="B3" s="33" t="s">
        <v>33</v>
      </c>
      <c r="C3" s="36" t="s">
        <v>34</v>
      </c>
      <c r="D3" s="77">
        <v>44400000</v>
      </c>
      <c r="E3" s="77"/>
      <c r="F3" s="37" t="s">
        <v>35</v>
      </c>
      <c r="G3" s="38" t="s">
        <v>36</v>
      </c>
      <c r="H3" s="39">
        <v>0</v>
      </c>
      <c r="I3" s="65">
        <v>291600000</v>
      </c>
      <c r="J3" s="40" t="s">
        <v>37</v>
      </c>
      <c r="K3" s="87" t="s">
        <v>26</v>
      </c>
      <c r="L3" s="33"/>
      <c r="M3" s="53" t="s">
        <v>27</v>
      </c>
      <c r="N3" s="39"/>
      <c r="O3" s="54" t="s">
        <v>28</v>
      </c>
      <c r="P3" s="39"/>
      <c r="Q3" s="39"/>
      <c r="R3" s="39"/>
      <c r="S3" s="39"/>
      <c r="T3" s="37"/>
      <c r="U3" s="39"/>
      <c r="V3" s="39"/>
      <c r="W3" s="37"/>
    </row>
    <row r="4" spans="1:23" ht="15" customHeight="1">
      <c r="A4" s="37"/>
      <c r="B4" s="41"/>
      <c r="C4" s="41"/>
      <c r="D4" s="41"/>
      <c r="E4" s="41"/>
      <c r="F4" s="37"/>
      <c r="G4" s="38"/>
      <c r="H4" s="39">
        <v>0</v>
      </c>
      <c r="I4" s="59"/>
      <c r="J4" s="64" t="s">
        <v>38</v>
      </c>
      <c r="K4" s="87" t="s">
        <v>26</v>
      </c>
      <c r="L4" s="33"/>
      <c r="M4" s="53" t="s">
        <v>27</v>
      </c>
      <c r="N4" s="39"/>
      <c r="O4" s="54" t="s">
        <v>28</v>
      </c>
      <c r="P4" s="39"/>
      <c r="Q4" s="39"/>
      <c r="R4" s="39"/>
      <c r="S4" s="39"/>
      <c r="T4" s="37"/>
      <c r="U4" s="39"/>
      <c r="V4" s="39"/>
      <c r="W4" s="37"/>
    </row>
    <row r="5" spans="1:23" ht="23.25" customHeight="1">
      <c r="A5" s="37"/>
      <c r="B5" s="41"/>
      <c r="C5" s="41"/>
      <c r="D5" s="41"/>
      <c r="E5" s="41"/>
      <c r="F5" s="37" t="s">
        <v>39</v>
      </c>
      <c r="G5" s="42" t="s">
        <v>40</v>
      </c>
      <c r="H5" s="39">
        <v>0</v>
      </c>
      <c r="I5" s="88">
        <v>8.1</v>
      </c>
      <c r="J5" s="33"/>
      <c r="K5" s="87" t="s">
        <v>26</v>
      </c>
      <c r="L5" s="33"/>
      <c r="M5" s="53" t="s">
        <v>27</v>
      </c>
      <c r="N5" s="39"/>
      <c r="O5" s="54" t="s">
        <v>28</v>
      </c>
      <c r="P5" s="39"/>
      <c r="Q5" s="39"/>
      <c r="R5" s="39"/>
      <c r="S5" s="39"/>
      <c r="T5" s="37"/>
      <c r="U5" s="39"/>
      <c r="V5" s="39"/>
      <c r="W5" s="37"/>
    </row>
    <row r="6" spans="1:23" ht="40.5" customHeight="1">
      <c r="A6" s="37"/>
      <c r="B6" s="41"/>
      <c r="C6" s="41"/>
      <c r="D6" s="41"/>
      <c r="E6" s="41"/>
      <c r="F6" s="37" t="s">
        <v>41</v>
      </c>
      <c r="G6" s="42" t="s">
        <v>42</v>
      </c>
      <c r="H6" s="39">
        <v>0</v>
      </c>
      <c r="I6" s="89">
        <v>105</v>
      </c>
      <c r="J6" s="55"/>
      <c r="K6" s="87" t="s">
        <v>26</v>
      </c>
      <c r="L6" s="33"/>
      <c r="M6" s="53" t="s">
        <v>27</v>
      </c>
      <c r="N6" s="39"/>
      <c r="O6" s="54" t="s">
        <v>28</v>
      </c>
      <c r="P6" s="39"/>
      <c r="Q6" s="39"/>
      <c r="R6" s="39"/>
      <c r="S6" s="39"/>
      <c r="T6" s="37"/>
      <c r="U6" s="39"/>
      <c r="V6" s="39"/>
      <c r="W6" s="37"/>
    </row>
    <row r="7" spans="1:23" ht="24.75" customHeight="1">
      <c r="A7" s="37"/>
      <c r="B7" s="41"/>
      <c r="C7" s="41"/>
      <c r="D7" s="41"/>
      <c r="E7" s="41"/>
      <c r="F7" s="41" t="s">
        <v>20</v>
      </c>
      <c r="G7" s="38" t="s">
        <v>43</v>
      </c>
      <c r="H7" s="39">
        <v>0</v>
      </c>
      <c r="I7" s="90">
        <v>30390000</v>
      </c>
      <c r="J7" s="33"/>
      <c r="K7" s="87" t="s">
        <v>26</v>
      </c>
      <c r="L7" s="33"/>
      <c r="M7" s="53" t="s">
        <v>27</v>
      </c>
      <c r="N7" s="39"/>
      <c r="O7" s="54" t="s">
        <v>28</v>
      </c>
      <c r="P7" s="39"/>
      <c r="Q7" s="39"/>
      <c r="R7" s="39"/>
      <c r="S7" s="39"/>
      <c r="T7" s="37"/>
      <c r="U7" s="39" t="s">
        <v>44</v>
      </c>
      <c r="V7" s="39"/>
      <c r="W7" s="37"/>
    </row>
    <row r="8" spans="1:23" ht="27.75" customHeight="1">
      <c r="A8" s="37"/>
      <c r="B8" s="41"/>
      <c r="C8" s="41"/>
      <c r="D8" s="41"/>
      <c r="E8" s="41"/>
      <c r="F8" s="41" t="s">
        <v>20</v>
      </c>
      <c r="G8" s="38" t="s">
        <v>45</v>
      </c>
      <c r="H8" s="39">
        <v>0</v>
      </c>
      <c r="I8" s="90">
        <v>3039000</v>
      </c>
      <c r="J8" s="33"/>
      <c r="K8" s="87" t="s">
        <v>26</v>
      </c>
      <c r="L8" s="33"/>
      <c r="M8" s="53" t="s">
        <v>27</v>
      </c>
      <c r="N8" s="39"/>
      <c r="O8" s="54" t="s">
        <v>28</v>
      </c>
      <c r="P8" s="39"/>
      <c r="Q8" s="39"/>
      <c r="R8" s="39"/>
      <c r="S8" s="39"/>
      <c r="T8" s="37"/>
      <c r="U8" s="39" t="s">
        <v>44</v>
      </c>
      <c r="V8" s="39"/>
      <c r="W8" s="37"/>
    </row>
    <row r="9" spans="1:23" ht="55.5" customHeight="1">
      <c r="A9" s="37"/>
      <c r="B9" s="41"/>
      <c r="C9" s="41"/>
      <c r="D9" s="41"/>
      <c r="E9" s="41"/>
      <c r="F9" s="37" t="s">
        <v>46</v>
      </c>
      <c r="G9" s="38" t="s">
        <v>47</v>
      </c>
      <c r="H9" s="39">
        <v>0</v>
      </c>
      <c r="I9" s="91">
        <v>20</v>
      </c>
      <c r="J9" s="56"/>
      <c r="K9" s="87" t="s">
        <v>26</v>
      </c>
      <c r="L9" s="33"/>
      <c r="M9" s="53" t="s">
        <v>27</v>
      </c>
      <c r="N9" s="39"/>
      <c r="O9" s="54" t="s">
        <v>28</v>
      </c>
      <c r="P9" s="39"/>
      <c r="Q9" s="39"/>
      <c r="R9" s="39"/>
      <c r="S9" s="39"/>
      <c r="T9" s="37"/>
      <c r="U9" s="39"/>
      <c r="V9" s="39"/>
      <c r="W9" s="37"/>
    </row>
    <row r="10" spans="1:23" ht="41.25" customHeight="1">
      <c r="A10" s="37"/>
      <c r="B10" s="41"/>
      <c r="C10" s="41"/>
      <c r="D10" s="41"/>
      <c r="E10" s="41"/>
      <c r="F10" s="37" t="s">
        <v>46</v>
      </c>
      <c r="G10" s="38" t="s">
        <v>48</v>
      </c>
      <c r="H10" s="39">
        <v>0</v>
      </c>
      <c r="I10" s="91">
        <v>20</v>
      </c>
      <c r="J10" s="33"/>
      <c r="K10" s="87" t="s">
        <v>26</v>
      </c>
      <c r="L10" s="33"/>
      <c r="M10" s="53" t="s">
        <v>27</v>
      </c>
      <c r="N10" s="39"/>
      <c r="O10" s="54" t="s">
        <v>28</v>
      </c>
      <c r="P10" s="39"/>
      <c r="Q10" s="39"/>
      <c r="R10" s="39"/>
      <c r="S10" s="39"/>
      <c r="T10" s="37"/>
      <c r="U10" s="39"/>
      <c r="V10" s="39"/>
      <c r="W10" s="37"/>
    </row>
    <row r="11" spans="1:23" ht="39.75" customHeight="1">
      <c r="A11" s="37"/>
      <c r="B11" s="41"/>
      <c r="C11" s="41"/>
      <c r="D11" s="41"/>
      <c r="E11" s="41"/>
      <c r="F11" s="37" t="s">
        <v>49</v>
      </c>
      <c r="G11" s="38" t="s">
        <v>50</v>
      </c>
      <c r="H11" s="39">
        <v>0</v>
      </c>
      <c r="I11" s="91">
        <v>7000</v>
      </c>
      <c r="J11" s="33"/>
      <c r="K11" s="87" t="s">
        <v>26</v>
      </c>
      <c r="L11" s="43"/>
      <c r="M11" s="53" t="s">
        <v>27</v>
      </c>
      <c r="N11" s="39"/>
      <c r="O11" s="54" t="s">
        <v>28</v>
      </c>
      <c r="P11" s="39"/>
      <c r="Q11" s="39"/>
      <c r="R11" s="39"/>
      <c r="S11" s="39"/>
      <c r="T11" s="37"/>
      <c r="U11" s="39"/>
      <c r="V11" s="39"/>
      <c r="W11" s="37"/>
    </row>
    <row r="12" spans="1:23" ht="27.75" customHeight="1">
      <c r="A12" s="37"/>
      <c r="B12" s="41"/>
      <c r="C12" s="41"/>
      <c r="D12" s="41"/>
      <c r="E12" s="41"/>
      <c r="F12" s="37" t="s">
        <v>35</v>
      </c>
      <c r="G12" s="38" t="s">
        <v>51</v>
      </c>
      <c r="H12" s="39">
        <v>0</v>
      </c>
      <c r="I12" s="91">
        <v>18720000</v>
      </c>
      <c r="J12" s="40" t="s">
        <v>52</v>
      </c>
      <c r="K12" s="87" t="s">
        <v>26</v>
      </c>
      <c r="L12" s="33"/>
      <c r="M12" s="53" t="s">
        <v>27</v>
      </c>
      <c r="N12" s="39"/>
      <c r="O12" s="54" t="s">
        <v>28</v>
      </c>
      <c r="P12" s="39"/>
      <c r="Q12" s="39"/>
      <c r="R12" s="39"/>
      <c r="S12" s="39"/>
      <c r="T12" s="37"/>
      <c r="U12" s="39"/>
      <c r="V12" s="39"/>
      <c r="W12" s="37"/>
    </row>
    <row r="13" spans="1:23" ht="24.75" customHeight="1">
      <c r="A13" s="37"/>
      <c r="B13" s="41"/>
      <c r="C13" s="41"/>
      <c r="D13" s="41"/>
      <c r="E13" s="41"/>
      <c r="F13" s="37"/>
      <c r="G13" s="38"/>
      <c r="H13" s="39"/>
      <c r="I13" s="59"/>
      <c r="J13" s="64" t="s">
        <v>53</v>
      </c>
      <c r="K13" s="87" t="s">
        <v>26</v>
      </c>
      <c r="L13" s="33"/>
      <c r="M13" s="53" t="s">
        <v>27</v>
      </c>
      <c r="N13" s="39"/>
      <c r="O13" s="54" t="s">
        <v>28</v>
      </c>
      <c r="P13" s="39"/>
      <c r="Q13" s="39"/>
      <c r="R13" s="39"/>
      <c r="S13" s="39"/>
      <c r="T13" s="37"/>
      <c r="U13" s="39"/>
      <c r="V13" s="39"/>
      <c r="W13" s="37"/>
    </row>
    <row r="14" spans="1:23" ht="20.25" customHeight="1">
      <c r="A14" s="37"/>
      <c r="B14" s="41"/>
      <c r="C14" s="41"/>
      <c r="D14" s="41"/>
      <c r="E14" s="41"/>
      <c r="F14" s="37" t="s">
        <v>39</v>
      </c>
      <c r="G14" s="44" t="s">
        <v>40</v>
      </c>
      <c r="H14" s="39">
        <v>0</v>
      </c>
      <c r="I14" s="92">
        <v>2.6</v>
      </c>
      <c r="J14" s="33"/>
      <c r="K14" s="87" t="s">
        <v>26</v>
      </c>
      <c r="L14" s="33"/>
      <c r="M14" s="53" t="s">
        <v>27</v>
      </c>
      <c r="N14" s="39"/>
      <c r="O14" s="54" t="s">
        <v>28</v>
      </c>
      <c r="P14" s="39"/>
      <c r="Q14" s="39"/>
      <c r="R14" s="39"/>
      <c r="S14" s="39"/>
      <c r="T14" s="37"/>
      <c r="U14" s="39"/>
      <c r="V14" s="39"/>
      <c r="W14" s="37"/>
    </row>
    <row r="15" spans="1:23" ht="20.25" customHeight="1">
      <c r="A15" s="37"/>
      <c r="B15" s="41"/>
      <c r="C15" s="41"/>
      <c r="D15" s="41"/>
      <c r="E15" s="41"/>
      <c r="F15" s="45" t="s">
        <v>20</v>
      </c>
      <c r="G15" s="44" t="s">
        <v>54</v>
      </c>
      <c r="H15" s="39">
        <v>0</v>
      </c>
      <c r="I15" s="78">
        <v>6500000</v>
      </c>
      <c r="J15" s="93" t="s">
        <v>55</v>
      </c>
      <c r="K15" s="87" t="s">
        <v>26</v>
      </c>
      <c r="L15" s="33"/>
      <c r="M15" s="53" t="s">
        <v>27</v>
      </c>
      <c r="N15" s="39"/>
      <c r="O15" s="54" t="s">
        <v>28</v>
      </c>
      <c r="P15" s="39"/>
      <c r="Q15" s="39"/>
      <c r="R15" s="39"/>
      <c r="S15" s="39"/>
      <c r="T15" s="37"/>
      <c r="U15" s="39" t="s">
        <v>44</v>
      </c>
      <c r="V15" s="39"/>
      <c r="W15" s="37"/>
    </row>
    <row r="16" spans="1:23" ht="45.75">
      <c r="A16" s="37"/>
      <c r="B16" s="41"/>
      <c r="C16" s="41"/>
      <c r="D16" s="41"/>
      <c r="E16" s="41"/>
      <c r="F16" s="37" t="s">
        <v>56</v>
      </c>
      <c r="G16" s="44" t="s">
        <v>57</v>
      </c>
      <c r="H16" s="39">
        <v>0</v>
      </c>
      <c r="I16" s="94">
        <v>650</v>
      </c>
      <c r="J16" s="33"/>
      <c r="K16" s="87" t="s">
        <v>26</v>
      </c>
      <c r="L16" s="33"/>
      <c r="M16" s="53" t="s">
        <v>27</v>
      </c>
      <c r="N16" s="39"/>
      <c r="O16" s="54" t="s">
        <v>28</v>
      </c>
      <c r="P16" s="39"/>
      <c r="Q16" s="39"/>
      <c r="R16" s="39"/>
      <c r="S16" s="39"/>
      <c r="T16" s="37"/>
      <c r="U16" s="39"/>
      <c r="V16" s="39"/>
      <c r="W16" s="37"/>
    </row>
    <row r="17" spans="1:23" ht="45.75">
      <c r="A17" s="37"/>
      <c r="B17" s="41"/>
      <c r="C17" s="41"/>
      <c r="D17" s="41"/>
      <c r="E17" s="41"/>
      <c r="F17" s="37" t="s">
        <v>46</v>
      </c>
      <c r="G17" s="44" t="s">
        <v>58</v>
      </c>
      <c r="H17" s="39">
        <v>0</v>
      </c>
      <c r="I17" s="91">
        <v>20</v>
      </c>
      <c r="J17" s="33"/>
      <c r="K17" s="87" t="s">
        <v>26</v>
      </c>
      <c r="L17" s="33"/>
      <c r="M17" s="53" t="s">
        <v>27</v>
      </c>
      <c r="N17" s="39"/>
      <c r="O17" s="54" t="s">
        <v>28</v>
      </c>
      <c r="P17" s="39"/>
      <c r="Q17" s="39"/>
      <c r="R17" s="39"/>
      <c r="S17" s="39"/>
      <c r="T17" s="37"/>
      <c r="U17" s="39"/>
      <c r="V17" s="39"/>
      <c r="W17" s="37"/>
    </row>
    <row r="18" spans="1:23" ht="45.75">
      <c r="A18" s="37"/>
      <c r="B18" s="41"/>
      <c r="C18" s="41"/>
      <c r="D18" s="41"/>
      <c r="E18" s="41"/>
      <c r="F18" s="37" t="s">
        <v>46</v>
      </c>
      <c r="G18" s="44" t="s">
        <v>48</v>
      </c>
      <c r="H18" s="39">
        <v>0</v>
      </c>
      <c r="I18" s="91">
        <v>20</v>
      </c>
      <c r="J18" s="33"/>
      <c r="K18" s="87" t="s">
        <v>26</v>
      </c>
      <c r="L18" s="33"/>
      <c r="M18" s="53" t="s">
        <v>27</v>
      </c>
      <c r="N18" s="39"/>
      <c r="O18" s="54" t="s">
        <v>28</v>
      </c>
      <c r="P18" s="39"/>
      <c r="Q18" s="39"/>
      <c r="R18" s="39"/>
      <c r="S18" s="39"/>
      <c r="T18" s="37"/>
      <c r="U18" s="39"/>
      <c r="V18" s="39"/>
      <c r="W18" s="37"/>
    </row>
    <row r="19" spans="1:23" ht="45.75">
      <c r="A19" s="37"/>
      <c r="B19" s="41"/>
      <c r="C19" s="41"/>
      <c r="D19" s="41"/>
      <c r="E19" s="41"/>
      <c r="F19" s="37" t="s">
        <v>49</v>
      </c>
      <c r="G19" s="44" t="s">
        <v>50</v>
      </c>
      <c r="H19" s="39">
        <v>0</v>
      </c>
      <c r="I19" s="91">
        <v>1000</v>
      </c>
      <c r="J19" s="33"/>
      <c r="K19" s="87" t="s">
        <v>26</v>
      </c>
      <c r="L19" s="33"/>
      <c r="M19" s="53" t="s">
        <v>27</v>
      </c>
      <c r="N19" s="39"/>
      <c r="O19" s="54" t="s">
        <v>28</v>
      </c>
      <c r="P19" s="39"/>
      <c r="Q19" s="39"/>
      <c r="R19" s="39"/>
      <c r="S19" s="39"/>
      <c r="T19" s="37"/>
      <c r="U19" s="39"/>
      <c r="V19" s="39"/>
      <c r="W19" s="37"/>
    </row>
    <row r="20" spans="1:23" ht="53.25">
      <c r="A20" s="37"/>
      <c r="B20" s="41"/>
      <c r="C20" s="41"/>
      <c r="D20" s="41"/>
      <c r="E20" s="41"/>
      <c r="F20" s="37" t="s">
        <v>20</v>
      </c>
      <c r="G20" s="44" t="s">
        <v>59</v>
      </c>
      <c r="H20" s="39">
        <v>0</v>
      </c>
      <c r="I20" s="63">
        <v>195</v>
      </c>
      <c r="J20" s="33"/>
      <c r="K20" s="87" t="s">
        <v>26</v>
      </c>
      <c r="L20" s="33"/>
      <c r="M20" s="53"/>
      <c r="N20" s="39"/>
      <c r="O20" s="54"/>
      <c r="P20" s="39"/>
      <c r="Q20" s="39"/>
      <c r="R20" s="39"/>
      <c r="S20" s="39"/>
      <c r="T20" s="37"/>
      <c r="U20" s="39"/>
      <c r="V20" s="39"/>
      <c r="W20" s="37"/>
    </row>
    <row r="21" spans="1:23" ht="53.25">
      <c r="A21" s="37"/>
      <c r="B21" s="41"/>
      <c r="C21" s="41"/>
      <c r="D21" s="41"/>
      <c r="E21" s="41"/>
      <c r="F21" s="37" t="s">
        <v>20</v>
      </c>
      <c r="G21" s="44" t="s">
        <v>60</v>
      </c>
      <c r="H21" s="39">
        <v>0</v>
      </c>
      <c r="I21" s="63">
        <v>100</v>
      </c>
      <c r="J21" s="33"/>
      <c r="K21" s="87" t="s">
        <v>26</v>
      </c>
      <c r="L21" s="33"/>
      <c r="M21" s="53"/>
      <c r="N21" s="39"/>
      <c r="O21" s="54"/>
      <c r="P21" s="39"/>
      <c r="Q21" s="39"/>
      <c r="R21" s="39"/>
      <c r="S21" s="39"/>
      <c r="T21" s="37"/>
      <c r="U21" s="39"/>
      <c r="V21" s="39"/>
      <c r="W21" s="37"/>
    </row>
    <row r="22" spans="1:23" ht="53.25">
      <c r="A22" s="69"/>
      <c r="B22" s="80"/>
      <c r="C22" s="80"/>
      <c r="D22" s="80"/>
      <c r="E22" s="80"/>
      <c r="F22" s="69" t="s">
        <v>20</v>
      </c>
      <c r="G22" s="81" t="s">
        <v>61</v>
      </c>
      <c r="H22" s="67">
        <v>0</v>
      </c>
      <c r="I22" s="82">
        <v>65</v>
      </c>
      <c r="J22" s="55"/>
      <c r="K22" s="87" t="s">
        <v>26</v>
      </c>
      <c r="L22" s="55"/>
      <c r="M22" s="66"/>
      <c r="N22" s="67"/>
      <c r="O22" s="68"/>
      <c r="P22" s="67"/>
      <c r="Q22" s="67"/>
      <c r="R22" s="67"/>
      <c r="S22" s="67"/>
      <c r="T22" s="69"/>
      <c r="U22" s="67"/>
      <c r="V22" s="67"/>
      <c r="W22" s="69"/>
    </row>
    <row r="23" spans="1:23" s="33" customFormat="1" ht="45.75">
      <c r="A23" s="45">
        <v>110061</v>
      </c>
      <c r="B23" s="45" t="s">
        <v>62</v>
      </c>
      <c r="C23" s="34" t="s">
        <v>63</v>
      </c>
      <c r="D23" s="45">
        <v>2150000</v>
      </c>
      <c r="E23" s="45"/>
      <c r="F23" s="45"/>
      <c r="G23" s="46"/>
      <c r="H23" s="45"/>
      <c r="I23" s="60"/>
      <c r="J23" s="74" t="s">
        <v>64</v>
      </c>
      <c r="K23" s="87" t="s">
        <v>65</v>
      </c>
      <c r="M23" s="39" t="s">
        <v>27</v>
      </c>
      <c r="N23" s="39"/>
      <c r="O23" s="70" t="s">
        <v>28</v>
      </c>
      <c r="P23" s="39"/>
      <c r="Q23" s="39"/>
      <c r="R23" s="39"/>
      <c r="S23" s="39"/>
      <c r="T23" s="37"/>
      <c r="U23" s="39"/>
      <c r="V23" s="39"/>
      <c r="W23" s="37"/>
    </row>
    <row r="24" spans="1:23" s="33" customFormat="1" ht="49.5" customHeight="1">
      <c r="A24" s="45">
        <v>129099</v>
      </c>
      <c r="B24" s="45" t="s">
        <v>62</v>
      </c>
      <c r="C24" s="95" t="s">
        <v>66</v>
      </c>
      <c r="D24" s="45">
        <v>2110000</v>
      </c>
      <c r="E24" s="45"/>
      <c r="F24" s="45"/>
      <c r="G24" s="46"/>
      <c r="H24" s="45"/>
      <c r="I24" s="60"/>
      <c r="J24" s="74" t="s">
        <v>67</v>
      </c>
      <c r="K24" s="87" t="s">
        <v>65</v>
      </c>
      <c r="M24" s="39"/>
      <c r="N24" s="39"/>
      <c r="O24" s="70"/>
      <c r="P24" s="39"/>
      <c r="Q24" s="39"/>
      <c r="R24" s="39"/>
      <c r="S24" s="39"/>
      <c r="T24" s="37"/>
      <c r="U24" s="39"/>
      <c r="V24" s="39"/>
      <c r="W24" s="37"/>
    </row>
    <row r="25" spans="1:23" s="64" customFormat="1" ht="46.5" customHeight="1">
      <c r="A25" s="71">
        <v>129099</v>
      </c>
      <c r="B25" s="78" t="s">
        <v>68</v>
      </c>
      <c r="C25" s="79" t="s">
        <v>69</v>
      </c>
      <c r="D25" s="97">
        <v>3134309</v>
      </c>
      <c r="E25" s="97"/>
      <c r="F25" s="71" t="s">
        <v>39</v>
      </c>
      <c r="G25" s="72" t="s">
        <v>70</v>
      </c>
      <c r="H25" s="71">
        <v>0</v>
      </c>
      <c r="I25" s="73">
        <v>2.4E-2</v>
      </c>
      <c r="J25" s="85" t="s">
        <v>71</v>
      </c>
      <c r="K25" s="87" t="s">
        <v>65</v>
      </c>
      <c r="M25" s="86"/>
      <c r="N25" s="75"/>
      <c r="O25" s="76"/>
      <c r="P25" s="75"/>
      <c r="Q25" s="75"/>
      <c r="R25" s="75"/>
      <c r="S25" s="75"/>
      <c r="T25" s="77"/>
      <c r="U25" s="75"/>
      <c r="V25" s="75"/>
      <c r="W25" s="77"/>
    </row>
    <row r="26" spans="1:23" s="33" customFormat="1" ht="47.25" customHeight="1">
      <c r="A26" s="71"/>
      <c r="B26" s="78"/>
      <c r="C26" s="83"/>
      <c r="D26" s="71"/>
      <c r="E26" s="71"/>
      <c r="F26" s="71" t="s">
        <v>72</v>
      </c>
      <c r="G26" s="72"/>
      <c r="H26" s="71"/>
      <c r="I26" s="73"/>
      <c r="J26" s="85" t="s">
        <v>73</v>
      </c>
      <c r="K26" s="87" t="s">
        <v>65</v>
      </c>
      <c r="L26" s="64"/>
      <c r="M26" s="86"/>
      <c r="N26" s="75"/>
      <c r="O26" s="76"/>
      <c r="P26" s="75"/>
      <c r="Q26" s="75"/>
      <c r="R26" s="75"/>
      <c r="S26" s="75"/>
      <c r="T26" s="77"/>
      <c r="U26" s="75"/>
      <c r="V26" s="75"/>
      <c r="W26" s="77"/>
    </row>
    <row r="27" spans="1:23" ht="48.75" customHeight="1">
      <c r="A27" s="71"/>
      <c r="B27" s="78"/>
      <c r="C27" s="83"/>
      <c r="D27" s="71"/>
      <c r="E27" s="71"/>
      <c r="F27" s="71" t="s">
        <v>35</v>
      </c>
      <c r="G27" s="72"/>
      <c r="H27" s="71"/>
      <c r="I27" s="73"/>
      <c r="J27" s="85" t="s">
        <v>74</v>
      </c>
      <c r="K27" s="87" t="s">
        <v>65</v>
      </c>
      <c r="L27" s="64"/>
      <c r="M27" s="86"/>
      <c r="N27" s="75"/>
      <c r="O27" s="76"/>
      <c r="P27" s="75"/>
      <c r="Q27" s="75"/>
      <c r="R27" s="75"/>
      <c r="S27" s="75"/>
      <c r="T27" s="77"/>
      <c r="U27" s="75"/>
      <c r="V27" s="75"/>
      <c r="W27" s="77"/>
    </row>
    <row r="28" spans="1:23" ht="50.25" customHeight="1">
      <c r="A28" s="71"/>
      <c r="B28" s="78"/>
      <c r="C28" s="83"/>
      <c r="D28" s="71"/>
      <c r="E28" s="71"/>
      <c r="F28" s="71" t="s">
        <v>21</v>
      </c>
      <c r="G28" s="72"/>
      <c r="H28" s="71"/>
      <c r="I28" s="84">
        <v>245131</v>
      </c>
      <c r="J28" s="85" t="s">
        <v>75</v>
      </c>
      <c r="K28" s="87" t="s">
        <v>65</v>
      </c>
      <c r="L28" s="64"/>
      <c r="M28" s="86"/>
      <c r="N28" s="75"/>
      <c r="O28" s="76"/>
      <c r="P28" s="75"/>
      <c r="Q28" s="75"/>
      <c r="R28" s="75"/>
      <c r="S28" s="75"/>
      <c r="T28" s="77"/>
      <c r="U28" s="75"/>
      <c r="V28" s="75"/>
      <c r="W28" s="77"/>
    </row>
    <row r="29" spans="1:23">
      <c r="I29" s="61"/>
    </row>
  </sheetData>
  <dataValidations count="10">
    <dataValidation type="list" allowBlank="1" showInputMessage="1" showErrorMessage="1" sqref="U2:U28" xr:uid="{C925DFE2-C2DA-4702-9F91-4718B91C356B}">
      <formula1>"Incentives and Support, Derisking Financial Model, Business Model"</formula1>
    </dataValidation>
    <dataValidation type="list" allowBlank="1" showInputMessage="1" showErrorMessage="1" sqref="T2:T28" xr:uid="{9515A593-D25A-4939-BA72-A253589B4A4F}">
      <formula1>"Solar, Wind, Bioenergy, Hydro, Geothermal, Waste, Some Sources, Other, Unknown"</formula1>
    </dataValidation>
    <dataValidation type="list" allowBlank="1" showInputMessage="1" showErrorMessage="1" sqref="S2:S28" xr:uid="{A50485F9-05E8-4406-8299-3F7B854B16DF}">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M2:M28" xr:uid="{2A897502-9936-41AA-967E-E51863A6DA70}">
      <formula1>"Non-VF, VF"</formula1>
    </dataValidation>
    <dataValidation type="list" allowBlank="1" showInputMessage="1" showErrorMessage="1" sqref="V2:V28" xr:uid="{78E5603E-B91B-488A-8A82-E7747438E8EC}">
      <formula1>"National, Regional, City, Community"</formula1>
    </dataValidation>
    <dataValidation type="list" allowBlank="1" showInputMessage="1" showErrorMessage="1" sqref="N2:N28" xr:uid="{7C0844DD-BCF9-4072-9061-18CA10E417D1}">
      <formula1>"Finance, Gender, Efficiency, Just, Health"</formula1>
    </dataValidation>
    <dataValidation type="list" allowBlank="1" showInputMessage="1" showErrorMessage="1" sqref="P2:P28" xr:uid="{7BCD5010-23AF-4F45-A342-F8C227547A45}">
      <formula1>"Electricity Access, Energy Efficiency, Clean Cooking, Renewable Energy, Overall"</formula1>
    </dataValidation>
    <dataValidation type="list" allowBlank="1" showInputMessage="1" showErrorMessage="1" sqref="O2:O28" xr:uid="{77D8A213-7664-4DC5-9C9B-EE5917F1F3E3}">
      <formula1>"Accelerating just energy transition, Close the gap on energy access, Scale up energy finance"</formula1>
    </dataValidation>
    <dataValidation type="list" allowBlank="1" showInputMessage="1" showErrorMessage="1" sqref="Q2:Q28" xr:uid="{CD9257CF-30FE-42D7-A11D-D05F2EBED253}">
      <formula1>"AMP, PUDC, Solar4Health, Action Opportunities, Italy UNDP Energy Partnership"</formula1>
    </dataValidation>
    <dataValidation type="list" allowBlank="1" showInputMessage="1" showErrorMessage="1" sqref="R2:R28" xr:uid="{25F7B321-6683-4ADA-ADCC-5075A490D1BC}">
      <formula1>"NDC Support, National Strategy, Legal Framework,Incentives and Support, Government Capacity-Building, Carbon Pricing and Monitoring, Financing Model, Business Model"</formula1>
    </dataValidation>
  </dataValidations>
  <hyperlinks>
    <hyperlink ref="C2" r:id="rId1" xr:uid="{2C4541E0-3664-40CB-8AB7-8ABDAEEAB138}"/>
    <hyperlink ref="C3" r:id="rId2" xr:uid="{921BBF61-28B4-4F84-BBD2-C8EF2A721060}"/>
    <hyperlink ref="C23" r:id="rId3" xr:uid="{902523E9-61C1-4DEC-AAA8-4130F63FC80D}"/>
    <hyperlink ref="C25" r:id="rId4" xr:uid="{0BB26004-D8EB-4807-A438-F8D2282E89C2}"/>
    <hyperlink ref="C24" r:id="rId5" xr:uid="{1E1034D7-BE24-49B3-9C61-1E780B3A2F89}"/>
  </hyperlinks>
  <pageMargins left="0.7" right="0.7" top="0.75" bottom="0.75" header="0.3" footer="0.3"/>
  <legacyDrawing r:id="rId6"/>
  <extLst>
    <ext xmlns:x14="http://schemas.microsoft.com/office/spreadsheetml/2009/9/main" uri="{CCE6A557-97BC-4b89-ADB6-D9C93CAAB3DF}">
      <x14:dataValidations xmlns:xm="http://schemas.microsoft.com/office/excel/2006/main" count="1">
        <x14:dataValidation type="list" allowBlank="1" showInputMessage="1" showErrorMessage="1" xr:uid="{1B85B0CF-57A3-462D-8F46-9E9EC139B5C8}">
          <x14:formula1>
            <xm:f>'Beneficiary Categories'!$A$2:$A$22</xm:f>
          </x14:formula1>
          <xm:sqref>F2:F28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1400-35FF-426D-9AE6-BEF15E5709CF}">
  <dimension ref="A1:W28"/>
  <sheetViews>
    <sheetView tabSelected="1" workbookViewId="0">
      <pane xSplit="3" ySplit="1" topLeftCell="G20" activePane="bottomRight" state="frozen"/>
      <selection pane="bottomRight" activeCell="L26" sqref="L26"/>
      <selection pane="bottomLeft"/>
      <selection pane="topRight"/>
    </sheetView>
  </sheetViews>
  <sheetFormatPr defaultRowHeight="15"/>
  <cols>
    <col min="2" max="2" width="40" customWidth="1"/>
    <col min="3" max="3" width="20.7109375" customWidth="1"/>
    <col min="4" max="5" width="14.140625" customWidth="1"/>
    <col min="6" max="6" width="24" bestFit="1" customWidth="1"/>
    <col min="7" max="7" width="40" customWidth="1"/>
    <col min="8" max="8" width="10.140625" customWidth="1"/>
    <col min="9" max="9" width="20.42578125" style="62" customWidth="1"/>
    <col min="10" max="10" width="32.7109375" customWidth="1"/>
    <col min="12" max="12" width="18" bestFit="1" customWidth="1"/>
    <col min="13" max="13" width="12.85546875" bestFit="1" customWidth="1"/>
    <col min="15" max="15" width="14.42578125" bestFit="1" customWidth="1"/>
    <col min="16" max="16" width="17.5703125" bestFit="1" customWidth="1"/>
    <col min="18" max="18" width="16.5703125" bestFit="1" customWidth="1"/>
    <col min="19" max="19" width="18.140625" bestFit="1" customWidth="1"/>
    <col min="20" max="20" width="11.28515625" bestFit="1" customWidth="1"/>
    <col min="21" max="21" width="19.5703125" bestFit="1" customWidth="1"/>
    <col min="22" max="22" width="30.28515625" bestFit="1" customWidth="1"/>
    <col min="23" max="23" width="16.7109375" bestFit="1" customWidth="1"/>
  </cols>
  <sheetData>
    <row r="1" spans="1:23">
      <c r="A1" s="35" t="s">
        <v>0</v>
      </c>
      <c r="B1" s="35" t="s">
        <v>1</v>
      </c>
      <c r="C1" s="35" t="s">
        <v>2</v>
      </c>
      <c r="D1" s="35" t="s">
        <v>3</v>
      </c>
      <c r="E1" s="96" t="s">
        <v>4</v>
      </c>
      <c r="F1" s="35" t="s">
        <v>5</v>
      </c>
      <c r="G1" s="35" t="s">
        <v>6</v>
      </c>
      <c r="H1" s="35" t="s">
        <v>7</v>
      </c>
      <c r="I1" s="57" t="s">
        <v>8</v>
      </c>
      <c r="J1" s="35" t="s">
        <v>9</v>
      </c>
      <c r="K1" s="28" t="s">
        <v>10</v>
      </c>
      <c r="L1" s="28" t="s">
        <v>11</v>
      </c>
      <c r="M1" s="49" t="s">
        <v>12</v>
      </c>
      <c r="N1" s="50" t="s">
        <v>13</v>
      </c>
      <c r="O1" s="49" t="s">
        <v>14</v>
      </c>
      <c r="P1" s="49" t="s">
        <v>15</v>
      </c>
      <c r="Q1" s="50" t="s">
        <v>16</v>
      </c>
      <c r="R1" s="50" t="s">
        <v>17</v>
      </c>
      <c r="S1" s="51" t="s">
        <v>18</v>
      </c>
      <c r="T1" s="52" t="s">
        <v>19</v>
      </c>
      <c r="U1" s="51" t="s">
        <v>20</v>
      </c>
      <c r="V1" s="51" t="s">
        <v>21</v>
      </c>
      <c r="W1" s="52" t="s">
        <v>22</v>
      </c>
    </row>
    <row r="2" spans="1:23" ht="91.5">
      <c r="A2" s="33">
        <v>144953</v>
      </c>
      <c r="B2" s="45" t="s">
        <v>23</v>
      </c>
      <c r="C2" s="36" t="s">
        <v>24</v>
      </c>
      <c r="D2" s="37">
        <v>95000</v>
      </c>
      <c r="E2" s="37"/>
      <c r="F2" s="33" t="s">
        <v>21</v>
      </c>
      <c r="G2" s="45" t="s">
        <v>25</v>
      </c>
      <c r="H2" s="33"/>
      <c r="I2" s="58"/>
      <c r="J2" s="33"/>
      <c r="K2" s="87" t="s">
        <v>26</v>
      </c>
      <c r="L2" s="33"/>
      <c r="M2" s="53" t="s">
        <v>27</v>
      </c>
      <c r="N2" s="39"/>
      <c r="O2" s="54" t="s">
        <v>28</v>
      </c>
      <c r="P2" s="39" t="s">
        <v>29</v>
      </c>
      <c r="Q2" s="39"/>
      <c r="R2" s="39" t="s">
        <v>30</v>
      </c>
      <c r="S2" s="39" t="s">
        <v>31</v>
      </c>
      <c r="T2" s="37"/>
      <c r="U2" s="39"/>
      <c r="V2" s="39" t="s">
        <v>32</v>
      </c>
      <c r="W2" s="37"/>
    </row>
    <row r="3" spans="1:23" ht="64.5" customHeight="1">
      <c r="A3" s="33">
        <v>144270</v>
      </c>
      <c r="B3" s="33" t="s">
        <v>33</v>
      </c>
      <c r="C3" s="36" t="s">
        <v>34</v>
      </c>
      <c r="D3" s="77">
        <v>44400000</v>
      </c>
      <c r="E3" s="77"/>
      <c r="F3" s="37" t="s">
        <v>35</v>
      </c>
      <c r="G3" s="38" t="s">
        <v>36</v>
      </c>
      <c r="H3" s="39">
        <v>0</v>
      </c>
      <c r="I3" s="65">
        <v>291600000</v>
      </c>
      <c r="J3" s="40" t="s">
        <v>37</v>
      </c>
      <c r="K3" s="87" t="s">
        <v>26</v>
      </c>
      <c r="L3" s="33"/>
      <c r="M3" s="53" t="s">
        <v>27</v>
      </c>
      <c r="N3" s="39"/>
      <c r="O3" s="54" t="s">
        <v>28</v>
      </c>
      <c r="P3" s="39"/>
      <c r="Q3" s="39"/>
      <c r="R3" s="39"/>
      <c r="S3" s="39"/>
      <c r="T3" s="37"/>
      <c r="U3" s="39"/>
      <c r="V3" s="39"/>
      <c r="W3" s="37"/>
    </row>
    <row r="4" spans="1:23" ht="15" customHeight="1">
      <c r="A4" s="37"/>
      <c r="B4" s="41"/>
      <c r="C4" s="41"/>
      <c r="D4" s="41"/>
      <c r="E4" s="41"/>
      <c r="F4" s="37"/>
      <c r="G4" s="38"/>
      <c r="H4" s="39">
        <v>0</v>
      </c>
      <c r="I4" s="59"/>
      <c r="J4" s="64" t="s">
        <v>38</v>
      </c>
      <c r="K4" s="87" t="s">
        <v>26</v>
      </c>
      <c r="L4" s="33"/>
      <c r="M4" s="53" t="s">
        <v>27</v>
      </c>
      <c r="N4" s="39"/>
      <c r="O4" s="54" t="s">
        <v>28</v>
      </c>
      <c r="P4" s="39"/>
      <c r="Q4" s="39"/>
      <c r="R4" s="39"/>
      <c r="S4" s="39"/>
      <c r="T4" s="37"/>
      <c r="U4" s="39"/>
      <c r="V4" s="39"/>
      <c r="W4" s="37"/>
    </row>
    <row r="5" spans="1:23" ht="23.25" customHeight="1">
      <c r="A5" s="37"/>
      <c r="B5" s="41"/>
      <c r="C5" s="41"/>
      <c r="D5" s="41"/>
      <c r="E5" s="41"/>
      <c r="F5" s="37" t="s">
        <v>39</v>
      </c>
      <c r="G5" s="42" t="s">
        <v>40</v>
      </c>
      <c r="H5" s="39">
        <v>0</v>
      </c>
      <c r="I5" s="88">
        <v>8.1</v>
      </c>
      <c r="J5" s="33"/>
      <c r="K5" s="87" t="s">
        <v>26</v>
      </c>
      <c r="L5" s="33"/>
      <c r="M5" s="53" t="s">
        <v>27</v>
      </c>
      <c r="N5" s="39"/>
      <c r="O5" s="54" t="s">
        <v>28</v>
      </c>
      <c r="P5" s="39"/>
      <c r="Q5" s="39"/>
      <c r="R5" s="39"/>
      <c r="S5" s="39"/>
      <c r="T5" s="37"/>
      <c r="U5" s="39"/>
      <c r="V5" s="39"/>
      <c r="W5" s="37"/>
    </row>
    <row r="6" spans="1:23" ht="40.5" customHeight="1">
      <c r="A6" s="37"/>
      <c r="B6" s="41"/>
      <c r="C6" s="41"/>
      <c r="D6" s="41"/>
      <c r="E6" s="41"/>
      <c r="F6" s="37" t="s">
        <v>41</v>
      </c>
      <c r="G6" s="42" t="s">
        <v>42</v>
      </c>
      <c r="H6" s="39">
        <v>0</v>
      </c>
      <c r="I6" s="89">
        <v>105</v>
      </c>
      <c r="J6" s="55"/>
      <c r="K6" s="87" t="s">
        <v>26</v>
      </c>
      <c r="L6" s="33"/>
      <c r="M6" s="53" t="s">
        <v>27</v>
      </c>
      <c r="N6" s="39"/>
      <c r="O6" s="54" t="s">
        <v>28</v>
      </c>
      <c r="P6" s="39"/>
      <c r="Q6" s="39"/>
      <c r="R6" s="39"/>
      <c r="S6" s="39"/>
      <c r="T6" s="37"/>
      <c r="U6" s="39"/>
      <c r="V6" s="39"/>
      <c r="W6" s="37"/>
    </row>
    <row r="7" spans="1:23" ht="24.75" customHeight="1">
      <c r="A7" s="37"/>
      <c r="B7" s="41"/>
      <c r="C7" s="41"/>
      <c r="D7" s="41"/>
      <c r="E7" s="41"/>
      <c r="F7" s="41" t="s">
        <v>20</v>
      </c>
      <c r="G7" s="38" t="s">
        <v>43</v>
      </c>
      <c r="H7" s="39">
        <v>0</v>
      </c>
      <c r="I7" s="90">
        <v>30390000</v>
      </c>
      <c r="J7" s="33"/>
      <c r="K7" s="87" t="s">
        <v>26</v>
      </c>
      <c r="L7" s="33"/>
      <c r="M7" s="53" t="s">
        <v>27</v>
      </c>
      <c r="N7" s="39"/>
      <c r="O7" s="54" t="s">
        <v>28</v>
      </c>
      <c r="P7" s="39"/>
      <c r="Q7" s="39"/>
      <c r="R7" s="39"/>
      <c r="S7" s="39"/>
      <c r="T7" s="37"/>
      <c r="U7" s="39" t="s">
        <v>44</v>
      </c>
      <c r="V7" s="39"/>
      <c r="W7" s="37"/>
    </row>
    <row r="8" spans="1:23" ht="27.75" customHeight="1">
      <c r="A8" s="37"/>
      <c r="B8" s="41"/>
      <c r="C8" s="41"/>
      <c r="D8" s="41"/>
      <c r="E8" s="41"/>
      <c r="F8" s="41" t="s">
        <v>20</v>
      </c>
      <c r="G8" s="38" t="s">
        <v>45</v>
      </c>
      <c r="H8" s="39">
        <v>0</v>
      </c>
      <c r="I8" s="90">
        <v>3039000</v>
      </c>
      <c r="J8" s="33"/>
      <c r="K8" s="87" t="s">
        <v>26</v>
      </c>
      <c r="L8" s="33"/>
      <c r="M8" s="53" t="s">
        <v>27</v>
      </c>
      <c r="N8" s="39"/>
      <c r="O8" s="54" t="s">
        <v>28</v>
      </c>
      <c r="P8" s="39"/>
      <c r="Q8" s="39"/>
      <c r="R8" s="39"/>
      <c r="S8" s="39"/>
      <c r="T8" s="37"/>
      <c r="U8" s="39" t="s">
        <v>44</v>
      </c>
      <c r="V8" s="39"/>
      <c r="W8" s="37"/>
    </row>
    <row r="9" spans="1:23" ht="55.5" customHeight="1">
      <c r="A9" s="37"/>
      <c r="B9" s="41"/>
      <c r="C9" s="41"/>
      <c r="D9" s="41"/>
      <c r="E9" s="41"/>
      <c r="F9" s="37" t="s">
        <v>46</v>
      </c>
      <c r="G9" s="38" t="s">
        <v>47</v>
      </c>
      <c r="H9" s="39">
        <v>0</v>
      </c>
      <c r="I9" s="91">
        <v>20</v>
      </c>
      <c r="J9" s="56"/>
      <c r="K9" s="87" t="s">
        <v>26</v>
      </c>
      <c r="L9" s="33"/>
      <c r="M9" s="53" t="s">
        <v>27</v>
      </c>
      <c r="N9" s="39"/>
      <c r="O9" s="54" t="s">
        <v>28</v>
      </c>
      <c r="P9" s="39"/>
      <c r="Q9" s="39"/>
      <c r="R9" s="39"/>
      <c r="S9" s="39"/>
      <c r="T9" s="37"/>
      <c r="U9" s="39"/>
      <c r="V9" s="39"/>
      <c r="W9" s="37"/>
    </row>
    <row r="10" spans="1:23" ht="41.25" customHeight="1">
      <c r="A10" s="37"/>
      <c r="B10" s="41"/>
      <c r="C10" s="41"/>
      <c r="D10" s="41"/>
      <c r="E10" s="41"/>
      <c r="F10" s="37" t="s">
        <v>46</v>
      </c>
      <c r="G10" s="38" t="s">
        <v>48</v>
      </c>
      <c r="H10" s="39">
        <v>0</v>
      </c>
      <c r="I10" s="91">
        <v>20</v>
      </c>
      <c r="J10" s="33"/>
      <c r="K10" s="87" t="s">
        <v>26</v>
      </c>
      <c r="L10" s="33"/>
      <c r="M10" s="53" t="s">
        <v>27</v>
      </c>
      <c r="N10" s="39"/>
      <c r="O10" s="54" t="s">
        <v>28</v>
      </c>
      <c r="P10" s="39"/>
      <c r="Q10" s="39"/>
      <c r="R10" s="39"/>
      <c r="S10" s="39"/>
      <c r="T10" s="37"/>
      <c r="U10" s="39"/>
      <c r="V10" s="39"/>
      <c r="W10" s="37"/>
    </row>
    <row r="11" spans="1:23" ht="39.75" customHeight="1">
      <c r="A11" s="37"/>
      <c r="B11" s="41"/>
      <c r="C11" s="41"/>
      <c r="D11" s="41"/>
      <c r="E11" s="41"/>
      <c r="F11" s="37" t="s">
        <v>49</v>
      </c>
      <c r="G11" s="38" t="s">
        <v>50</v>
      </c>
      <c r="H11" s="39">
        <v>0</v>
      </c>
      <c r="I11" s="91">
        <v>7000</v>
      </c>
      <c r="J11" s="33"/>
      <c r="K11" s="87" t="s">
        <v>26</v>
      </c>
      <c r="L11" s="43"/>
      <c r="M11" s="53" t="s">
        <v>27</v>
      </c>
      <c r="N11" s="39"/>
      <c r="O11" s="54" t="s">
        <v>28</v>
      </c>
      <c r="P11" s="39"/>
      <c r="Q11" s="39"/>
      <c r="R11" s="39"/>
      <c r="S11" s="39"/>
      <c r="T11" s="37"/>
      <c r="U11" s="39"/>
      <c r="V11" s="39"/>
      <c r="W11" s="37"/>
    </row>
    <row r="12" spans="1:23" ht="27.75" customHeight="1">
      <c r="A12" s="37"/>
      <c r="B12" s="41"/>
      <c r="C12" s="41"/>
      <c r="D12" s="41"/>
      <c r="E12" s="41"/>
      <c r="F12" s="37" t="s">
        <v>35</v>
      </c>
      <c r="G12" s="38" t="s">
        <v>51</v>
      </c>
      <c r="H12" s="39">
        <v>0</v>
      </c>
      <c r="I12" s="91">
        <v>18720000</v>
      </c>
      <c r="J12" s="40" t="s">
        <v>52</v>
      </c>
      <c r="K12" s="87" t="s">
        <v>26</v>
      </c>
      <c r="L12" s="33"/>
      <c r="M12" s="53" t="s">
        <v>27</v>
      </c>
      <c r="N12" s="39"/>
      <c r="O12" s="54" t="s">
        <v>28</v>
      </c>
      <c r="P12" s="39"/>
      <c r="Q12" s="39"/>
      <c r="R12" s="39"/>
      <c r="S12" s="39"/>
      <c r="T12" s="37"/>
      <c r="U12" s="39"/>
      <c r="V12" s="39"/>
      <c r="W12" s="37"/>
    </row>
    <row r="13" spans="1:23" ht="24.75" customHeight="1">
      <c r="A13" s="37"/>
      <c r="B13" s="41"/>
      <c r="C13" s="41"/>
      <c r="D13" s="41"/>
      <c r="E13" s="41"/>
      <c r="F13" s="37"/>
      <c r="G13" s="38"/>
      <c r="H13" s="39"/>
      <c r="I13" s="59"/>
      <c r="J13" s="64" t="s">
        <v>53</v>
      </c>
      <c r="K13" s="87" t="s">
        <v>26</v>
      </c>
      <c r="L13" s="33"/>
      <c r="M13" s="53" t="s">
        <v>27</v>
      </c>
      <c r="N13" s="39"/>
      <c r="O13" s="54" t="s">
        <v>28</v>
      </c>
      <c r="P13" s="39"/>
      <c r="Q13" s="39"/>
      <c r="R13" s="39"/>
      <c r="S13" s="39"/>
      <c r="T13" s="37"/>
      <c r="U13" s="39"/>
      <c r="V13" s="39"/>
      <c r="W13" s="37"/>
    </row>
    <row r="14" spans="1:23" ht="20.25" customHeight="1">
      <c r="A14" s="37"/>
      <c r="B14" s="41"/>
      <c r="C14" s="41"/>
      <c r="D14" s="41"/>
      <c r="E14" s="41"/>
      <c r="F14" s="37" t="s">
        <v>39</v>
      </c>
      <c r="G14" s="44" t="s">
        <v>40</v>
      </c>
      <c r="H14" s="39">
        <v>0</v>
      </c>
      <c r="I14" s="92">
        <v>2.6</v>
      </c>
      <c r="J14" s="33"/>
      <c r="K14" s="87" t="s">
        <v>26</v>
      </c>
      <c r="L14" s="33"/>
      <c r="M14" s="53" t="s">
        <v>27</v>
      </c>
      <c r="N14" s="39"/>
      <c r="O14" s="54" t="s">
        <v>28</v>
      </c>
      <c r="P14" s="39"/>
      <c r="Q14" s="39"/>
      <c r="R14" s="39"/>
      <c r="S14" s="39"/>
      <c r="T14" s="37"/>
      <c r="U14" s="39"/>
      <c r="V14" s="39"/>
      <c r="W14" s="37"/>
    </row>
    <row r="15" spans="1:23" ht="20.25" customHeight="1">
      <c r="A15" s="37"/>
      <c r="B15" s="41"/>
      <c r="C15" s="41"/>
      <c r="D15" s="41"/>
      <c r="E15" s="41"/>
      <c r="F15" s="45" t="s">
        <v>20</v>
      </c>
      <c r="G15" s="44" t="s">
        <v>54</v>
      </c>
      <c r="H15" s="39">
        <v>0</v>
      </c>
      <c r="I15" s="78">
        <v>6500000</v>
      </c>
      <c r="J15" s="93" t="s">
        <v>55</v>
      </c>
      <c r="K15" s="87" t="s">
        <v>26</v>
      </c>
      <c r="L15" s="33"/>
      <c r="M15" s="53" t="s">
        <v>27</v>
      </c>
      <c r="N15" s="39"/>
      <c r="O15" s="54" t="s">
        <v>28</v>
      </c>
      <c r="P15" s="39"/>
      <c r="Q15" s="39"/>
      <c r="R15" s="39"/>
      <c r="S15" s="39"/>
      <c r="T15" s="37"/>
      <c r="U15" s="39" t="s">
        <v>44</v>
      </c>
      <c r="V15" s="39"/>
      <c r="W15" s="37"/>
    </row>
    <row r="16" spans="1:23" ht="45.75">
      <c r="A16" s="37"/>
      <c r="B16" s="41"/>
      <c r="C16" s="41"/>
      <c r="D16" s="41"/>
      <c r="E16" s="41"/>
      <c r="F16" s="37" t="s">
        <v>56</v>
      </c>
      <c r="G16" s="44" t="s">
        <v>57</v>
      </c>
      <c r="H16" s="39">
        <v>0</v>
      </c>
      <c r="I16" s="94">
        <v>650</v>
      </c>
      <c r="J16" s="33"/>
      <c r="K16" s="87" t="s">
        <v>26</v>
      </c>
      <c r="L16" s="33"/>
      <c r="M16" s="53" t="s">
        <v>27</v>
      </c>
      <c r="N16" s="39"/>
      <c r="O16" s="54" t="s">
        <v>28</v>
      </c>
      <c r="P16" s="39"/>
      <c r="Q16" s="39"/>
      <c r="R16" s="39"/>
      <c r="S16" s="39"/>
      <c r="T16" s="37"/>
      <c r="U16" s="39"/>
      <c r="V16" s="39"/>
      <c r="W16" s="37"/>
    </row>
    <row r="17" spans="1:23" ht="45.75">
      <c r="A17" s="37"/>
      <c r="B17" s="41"/>
      <c r="C17" s="41"/>
      <c r="D17" s="41"/>
      <c r="E17" s="41"/>
      <c r="F17" s="37" t="s">
        <v>46</v>
      </c>
      <c r="G17" s="44" t="s">
        <v>58</v>
      </c>
      <c r="H17" s="39">
        <v>0</v>
      </c>
      <c r="I17" s="91">
        <v>20</v>
      </c>
      <c r="J17" s="33"/>
      <c r="K17" s="87" t="s">
        <v>26</v>
      </c>
      <c r="L17" s="33"/>
      <c r="M17" s="53" t="s">
        <v>27</v>
      </c>
      <c r="N17" s="39"/>
      <c r="O17" s="54" t="s">
        <v>28</v>
      </c>
      <c r="P17" s="39"/>
      <c r="Q17" s="39"/>
      <c r="R17" s="39"/>
      <c r="S17" s="39"/>
      <c r="T17" s="37"/>
      <c r="U17" s="39"/>
      <c r="V17" s="39"/>
      <c r="W17" s="37"/>
    </row>
    <row r="18" spans="1:23" ht="45.75">
      <c r="A18" s="37"/>
      <c r="B18" s="41"/>
      <c r="C18" s="41"/>
      <c r="D18" s="41"/>
      <c r="E18" s="41"/>
      <c r="F18" s="37" t="s">
        <v>46</v>
      </c>
      <c r="G18" s="44" t="s">
        <v>48</v>
      </c>
      <c r="H18" s="39">
        <v>0</v>
      </c>
      <c r="I18" s="91">
        <v>20</v>
      </c>
      <c r="J18" s="33"/>
      <c r="K18" s="87" t="s">
        <v>26</v>
      </c>
      <c r="L18" s="33"/>
      <c r="M18" s="53" t="s">
        <v>27</v>
      </c>
      <c r="N18" s="39"/>
      <c r="O18" s="54" t="s">
        <v>28</v>
      </c>
      <c r="P18" s="39"/>
      <c r="Q18" s="39"/>
      <c r="R18" s="39"/>
      <c r="S18" s="39"/>
      <c r="T18" s="37"/>
      <c r="U18" s="39"/>
      <c r="V18" s="39"/>
      <c r="W18" s="37"/>
    </row>
    <row r="19" spans="1:23" ht="45.75">
      <c r="A19" s="37"/>
      <c r="B19" s="41"/>
      <c r="C19" s="41"/>
      <c r="D19" s="41"/>
      <c r="E19" s="41"/>
      <c r="F19" s="37" t="s">
        <v>49</v>
      </c>
      <c r="G19" s="44" t="s">
        <v>50</v>
      </c>
      <c r="H19" s="39">
        <v>0</v>
      </c>
      <c r="I19" s="91">
        <v>1000</v>
      </c>
      <c r="J19" s="33"/>
      <c r="K19" s="87" t="s">
        <v>26</v>
      </c>
      <c r="L19" s="33"/>
      <c r="M19" s="53" t="s">
        <v>27</v>
      </c>
      <c r="N19" s="39"/>
      <c r="O19" s="54" t="s">
        <v>28</v>
      </c>
      <c r="P19" s="39"/>
      <c r="Q19" s="39"/>
      <c r="R19" s="39"/>
      <c r="S19" s="39"/>
      <c r="T19" s="37"/>
      <c r="U19" s="39"/>
      <c r="V19" s="39"/>
      <c r="W19" s="37"/>
    </row>
    <row r="20" spans="1:23" ht="53.25">
      <c r="A20" s="37"/>
      <c r="B20" s="41"/>
      <c r="C20" s="41"/>
      <c r="D20" s="41"/>
      <c r="E20" s="41"/>
      <c r="F20" s="37" t="s">
        <v>20</v>
      </c>
      <c r="G20" s="44" t="s">
        <v>59</v>
      </c>
      <c r="H20" s="39">
        <v>0</v>
      </c>
      <c r="I20" s="63">
        <v>195</v>
      </c>
      <c r="J20" s="33"/>
      <c r="K20" s="87" t="s">
        <v>26</v>
      </c>
      <c r="L20" s="33"/>
      <c r="M20" s="53"/>
      <c r="N20" s="39"/>
      <c r="O20" s="54"/>
      <c r="P20" s="39"/>
      <c r="Q20" s="39"/>
      <c r="R20" s="39"/>
      <c r="S20" s="39"/>
      <c r="T20" s="37"/>
      <c r="U20" s="39"/>
      <c r="V20" s="39"/>
      <c r="W20" s="37"/>
    </row>
    <row r="21" spans="1:23" ht="53.25">
      <c r="A21" s="37"/>
      <c r="B21" s="41"/>
      <c r="C21" s="41"/>
      <c r="D21" s="41"/>
      <c r="E21" s="41"/>
      <c r="F21" s="37" t="s">
        <v>20</v>
      </c>
      <c r="G21" s="44" t="s">
        <v>60</v>
      </c>
      <c r="H21" s="39">
        <v>0</v>
      </c>
      <c r="I21" s="63">
        <v>100</v>
      </c>
      <c r="J21" s="33"/>
      <c r="K21" s="87" t="s">
        <v>26</v>
      </c>
      <c r="L21" s="33"/>
      <c r="M21" s="53"/>
      <c r="N21" s="39"/>
      <c r="O21" s="54"/>
      <c r="P21" s="39"/>
      <c r="Q21" s="39"/>
      <c r="R21" s="39"/>
      <c r="S21" s="39"/>
      <c r="T21" s="37"/>
      <c r="U21" s="39"/>
      <c r="V21" s="39"/>
      <c r="W21" s="37"/>
    </row>
    <row r="22" spans="1:23" ht="53.25">
      <c r="A22" s="69"/>
      <c r="B22" s="80"/>
      <c r="C22" s="80"/>
      <c r="D22" s="80"/>
      <c r="E22" s="80"/>
      <c r="F22" s="69" t="s">
        <v>20</v>
      </c>
      <c r="G22" s="81" t="s">
        <v>61</v>
      </c>
      <c r="H22" s="67">
        <v>0</v>
      </c>
      <c r="I22" s="82">
        <v>65</v>
      </c>
      <c r="J22" s="55"/>
      <c r="K22" s="87" t="s">
        <v>26</v>
      </c>
      <c r="L22" s="55"/>
      <c r="M22" s="66"/>
      <c r="N22" s="67"/>
      <c r="O22" s="68"/>
      <c r="P22" s="67"/>
      <c r="Q22" s="67"/>
      <c r="R22" s="67"/>
      <c r="S22" s="67"/>
      <c r="T22" s="69"/>
      <c r="U22" s="67"/>
      <c r="V22" s="67"/>
      <c r="W22" s="69"/>
    </row>
    <row r="23" spans="1:23" s="33" customFormat="1" ht="45.75">
      <c r="A23" s="45">
        <v>110061</v>
      </c>
      <c r="B23" s="45" t="s">
        <v>62</v>
      </c>
      <c r="C23" s="34" t="s">
        <v>63</v>
      </c>
      <c r="D23" s="45">
        <v>2150000</v>
      </c>
      <c r="E23" s="45"/>
      <c r="F23" s="45"/>
      <c r="G23" s="46"/>
      <c r="H23" s="45"/>
      <c r="I23" s="60"/>
      <c r="J23" s="74" t="s">
        <v>64</v>
      </c>
      <c r="K23" s="87" t="s">
        <v>65</v>
      </c>
      <c r="M23" s="39" t="s">
        <v>27</v>
      </c>
      <c r="N23" s="39"/>
      <c r="O23" s="70" t="s">
        <v>28</v>
      </c>
      <c r="P23" s="39"/>
      <c r="Q23" s="39"/>
      <c r="R23" s="39"/>
      <c r="S23" s="39"/>
      <c r="T23" s="37"/>
      <c r="U23" s="39"/>
      <c r="V23" s="39"/>
      <c r="W23" s="37"/>
    </row>
    <row r="24" spans="1:23" s="64" customFormat="1" ht="46.5" customHeight="1">
      <c r="A24" s="71">
        <v>129099</v>
      </c>
      <c r="B24" s="78" t="s">
        <v>68</v>
      </c>
      <c r="C24" s="79" t="s">
        <v>69</v>
      </c>
      <c r="D24" s="97">
        <v>3134309</v>
      </c>
      <c r="E24" s="97"/>
      <c r="F24" s="71" t="s">
        <v>39</v>
      </c>
      <c r="G24" s="72" t="s">
        <v>70</v>
      </c>
      <c r="H24" s="71">
        <v>0</v>
      </c>
      <c r="I24" s="73">
        <v>2.4E-2</v>
      </c>
      <c r="J24" s="85" t="s">
        <v>71</v>
      </c>
      <c r="K24" s="87" t="s">
        <v>65</v>
      </c>
      <c r="M24" s="39" t="s">
        <v>27</v>
      </c>
      <c r="N24" s="75"/>
      <c r="O24" s="76"/>
      <c r="P24" s="75"/>
      <c r="Q24" s="75"/>
      <c r="R24" s="75"/>
      <c r="S24" s="75"/>
      <c r="T24" s="77"/>
      <c r="U24" s="75"/>
      <c r="V24" s="75"/>
      <c r="W24" s="77"/>
    </row>
    <row r="25" spans="1:23" s="33" customFormat="1" ht="47.25" customHeight="1">
      <c r="A25" s="71"/>
      <c r="B25" s="78"/>
      <c r="C25" s="83"/>
      <c r="D25" s="71"/>
      <c r="E25" s="71"/>
      <c r="F25" s="71" t="s">
        <v>72</v>
      </c>
      <c r="G25" s="72"/>
      <c r="H25" s="71"/>
      <c r="I25" s="73"/>
      <c r="J25" s="85" t="s">
        <v>73</v>
      </c>
      <c r="K25" s="87" t="s">
        <v>65</v>
      </c>
      <c r="L25" s="64"/>
      <c r="M25" s="86"/>
      <c r="N25" s="75"/>
      <c r="O25" s="76"/>
      <c r="P25" s="75"/>
      <c r="Q25" s="75"/>
      <c r="R25" s="75"/>
      <c r="S25" s="75"/>
      <c r="T25" s="77"/>
      <c r="U25" s="75"/>
      <c r="V25" s="75"/>
      <c r="W25" s="77"/>
    </row>
    <row r="26" spans="1:23" ht="48.75" customHeight="1">
      <c r="A26" s="71"/>
      <c r="B26" s="78"/>
      <c r="C26" s="83"/>
      <c r="D26" s="71"/>
      <c r="E26" s="71"/>
      <c r="F26" s="71" t="s">
        <v>35</v>
      </c>
      <c r="G26" s="72"/>
      <c r="H26" s="71"/>
      <c r="I26" s="73"/>
      <c r="J26" s="85" t="s">
        <v>74</v>
      </c>
      <c r="K26" s="87" t="s">
        <v>65</v>
      </c>
      <c r="L26" s="64"/>
      <c r="M26" s="86"/>
      <c r="N26" s="75"/>
      <c r="O26" s="76"/>
      <c r="P26" s="75"/>
      <c r="Q26" s="75"/>
      <c r="R26" s="75"/>
      <c r="S26" s="75"/>
      <c r="T26" s="77"/>
      <c r="U26" s="75"/>
      <c r="V26" s="75"/>
      <c r="W26" s="77"/>
    </row>
    <row r="27" spans="1:23" ht="50.25" customHeight="1">
      <c r="A27" s="71"/>
      <c r="B27" s="78"/>
      <c r="C27" s="83"/>
      <c r="D27" s="71"/>
      <c r="E27" s="71"/>
      <c r="F27" s="71" t="s">
        <v>21</v>
      </c>
      <c r="G27" s="72"/>
      <c r="H27" s="71"/>
      <c r="I27" s="84">
        <v>245131</v>
      </c>
      <c r="J27" s="85" t="s">
        <v>75</v>
      </c>
      <c r="K27" s="87" t="s">
        <v>65</v>
      </c>
      <c r="L27" s="64"/>
      <c r="M27" s="86"/>
      <c r="N27" s="75"/>
      <c r="O27" s="76"/>
      <c r="P27" s="75"/>
      <c r="Q27" s="75"/>
      <c r="R27" s="75"/>
      <c r="S27" s="75"/>
      <c r="T27" s="77"/>
      <c r="U27" s="75"/>
      <c r="V27" s="75"/>
      <c r="W27" s="77"/>
    </row>
    <row r="28" spans="1:23">
      <c r="I28" s="61"/>
    </row>
  </sheetData>
  <dataValidations count="10">
    <dataValidation type="list" allowBlank="1" showInputMessage="1" showErrorMessage="1" sqref="R2:R27" xr:uid="{2001F045-7211-4118-BD15-E46516BB0DAB}">
      <formula1>"NDC Support, National Strategy, Legal Framework,Incentives and Support, Government Capacity-Building, Carbon Pricing and Monitoring, Financing Model, Business Model"</formula1>
    </dataValidation>
    <dataValidation type="list" allowBlank="1" showInputMessage="1" showErrorMessage="1" sqref="Q2:Q27" xr:uid="{96AE7F23-217A-4AD9-B279-78255CC36D9A}">
      <formula1>"AMP, PUDC, Solar4Health, Action Opportunities, Italy UNDP Energy Partnership"</formula1>
    </dataValidation>
    <dataValidation type="list" allowBlank="1" showInputMessage="1" showErrorMessage="1" sqref="O2:O27" xr:uid="{8BF837C9-DADF-4F73-B2BD-0382CD04DE67}">
      <formula1>"Accelerating just energy transition, Close the gap on energy access, Scale up energy finance"</formula1>
    </dataValidation>
    <dataValidation type="list" allowBlank="1" showInputMessage="1" showErrorMessage="1" sqref="P2:P27" xr:uid="{7AFDFACD-238C-4995-A371-0CB44E452D0E}">
      <formula1>"Electricity Access, Energy Efficiency, Clean Cooking, Renewable Energy, Overall"</formula1>
    </dataValidation>
    <dataValidation type="list" allowBlank="1" showInputMessage="1" showErrorMessage="1" sqref="N2:N27" xr:uid="{46DAB895-E9B1-4522-ABAF-25AE5B633D3B}">
      <formula1>"Finance, Gender, Efficiency, Just, Health"</formula1>
    </dataValidation>
    <dataValidation type="list" allowBlank="1" showInputMessage="1" showErrorMessage="1" sqref="V2:V27" xr:uid="{178070A3-1F94-4269-9451-493F2770BB30}">
      <formula1>"National, Regional, City, Community"</formula1>
    </dataValidation>
    <dataValidation type="list" allowBlank="1" showInputMessage="1" showErrorMessage="1" sqref="M2:M27" xr:uid="{4945BA84-8427-4530-86EA-3DBC336EB5D0}">
      <formula1>"Non-VF, VF"</formula1>
    </dataValidation>
    <dataValidation type="list" allowBlank="1" showInputMessage="1" showErrorMessage="1" sqref="S2:S27" xr:uid="{EAC35CAC-FDE6-4442-8588-CEC9F64480B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27" xr:uid="{2832DC64-DEAC-4976-A1E2-F5A781EE6B22}">
      <formula1>"Solar, Wind, Bioenergy, Hydro, Geothermal, Waste, Some Sources, Other, Unknown"</formula1>
    </dataValidation>
    <dataValidation type="list" allowBlank="1" showInputMessage="1" showErrorMessage="1" sqref="U2:U27" xr:uid="{9FB228AE-3228-45AB-864A-0D934BACE7A9}">
      <formula1>"Incentives and Support, Derisking Financial Model, Business Model"</formula1>
    </dataValidation>
  </dataValidations>
  <hyperlinks>
    <hyperlink ref="C2" r:id="rId1" xr:uid="{E526A5E1-C5A6-4AA2-ABA5-1BC765442B72}"/>
    <hyperlink ref="C3" r:id="rId2" xr:uid="{A8C7CD7F-F779-4D37-8E5B-FC1B6B146550}"/>
    <hyperlink ref="C23" r:id="rId3" xr:uid="{1057C5CB-3ACE-49CD-81D9-B6566CBF4DA9}"/>
    <hyperlink ref="C24" r:id="rId4" xr:uid="{72E96A84-96C3-4FB5-8418-75CC2EE9C21D}"/>
  </hyperlinks>
  <pageMargins left="0.7" right="0.7" top="0.75" bottom="0.75" header="0.3" footer="0.3"/>
  <legacyDrawing r:id="rId5"/>
  <extLst>
    <ext xmlns:x14="http://schemas.microsoft.com/office/spreadsheetml/2009/9/main" uri="{CCE6A557-97BC-4b89-ADB6-D9C93CAAB3DF}">
      <x14:dataValidations xmlns:xm="http://schemas.microsoft.com/office/excel/2006/main" count="1">
        <x14:dataValidation type="list" allowBlank="1" showInputMessage="1" showErrorMessage="1" xr:uid="{66F8F0A6-363A-4C37-A85D-C0887B898825}">
          <x14:formula1>
            <xm:f>'Beneficiary Categories'!$A$2:$A$22</xm:f>
          </x14:formula1>
          <xm:sqref>F2:F27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F89F9-6688-439D-801A-460CC8F3CB71}">
  <dimension ref="A1:T25"/>
  <sheetViews>
    <sheetView topLeftCell="B1" workbookViewId="0">
      <selection activeCell="G9" sqref="G9"/>
    </sheetView>
  </sheetViews>
  <sheetFormatPr defaultRowHeight="15"/>
  <cols>
    <col min="2" max="3" width="40" customWidth="1"/>
    <col min="4" max="4" width="20.7109375" customWidth="1"/>
    <col min="5" max="5" width="14.140625" customWidth="1"/>
    <col min="6" max="6" width="20.7109375" customWidth="1"/>
    <col min="7" max="7" width="40" customWidth="1"/>
    <col min="8" max="8" width="10.140625" customWidth="1"/>
    <col min="9" max="9" width="13.7109375" customWidth="1"/>
    <col min="10" max="10" width="32.7109375" customWidth="1"/>
    <col min="14" max="14" width="46" customWidth="1"/>
  </cols>
  <sheetData>
    <row r="1" spans="1:20">
      <c r="A1" s="1" t="s">
        <v>0</v>
      </c>
      <c r="B1" s="1" t="s">
        <v>1</v>
      </c>
      <c r="C1" s="1" t="s">
        <v>76</v>
      </c>
      <c r="D1" s="1" t="s">
        <v>2</v>
      </c>
      <c r="E1" s="1" t="s">
        <v>3</v>
      </c>
      <c r="F1" s="1" t="s">
        <v>5</v>
      </c>
      <c r="G1" s="1" t="s">
        <v>6</v>
      </c>
      <c r="H1" s="1" t="s">
        <v>7</v>
      </c>
      <c r="I1" s="1" t="s">
        <v>8</v>
      </c>
      <c r="J1" s="1" t="s">
        <v>9</v>
      </c>
      <c r="K1" s="27" t="s">
        <v>10</v>
      </c>
      <c r="L1" s="28" t="s">
        <v>11</v>
      </c>
      <c r="M1" s="28" t="s">
        <v>77</v>
      </c>
      <c r="N1" s="28" t="s">
        <v>78</v>
      </c>
      <c r="P1" s="27" t="s">
        <v>14</v>
      </c>
      <c r="Q1" s="27" t="s">
        <v>15</v>
      </c>
      <c r="R1" s="27" t="s">
        <v>16</v>
      </c>
      <c r="S1" s="27" t="s">
        <v>17</v>
      </c>
      <c r="T1" s="27" t="s">
        <v>18</v>
      </c>
    </row>
    <row r="2" spans="1:20">
      <c r="A2">
        <v>144953</v>
      </c>
      <c r="B2" t="s">
        <v>23</v>
      </c>
      <c r="D2" s="2" t="s">
        <v>24</v>
      </c>
      <c r="E2" s="6">
        <v>95000</v>
      </c>
      <c r="F2" s="3"/>
      <c r="G2" s="3"/>
      <c r="H2" s="3"/>
      <c r="I2" s="3"/>
      <c r="J2" s="3"/>
      <c r="N2" s="31"/>
      <c r="P2" t="s">
        <v>28</v>
      </c>
      <c r="Q2" t="s">
        <v>79</v>
      </c>
    </row>
    <row r="3" spans="1:20">
      <c r="A3">
        <v>144270</v>
      </c>
      <c r="B3" t="s">
        <v>33</v>
      </c>
      <c r="D3" s="2" t="s">
        <v>34</v>
      </c>
      <c r="E3" s="6" t="s">
        <v>80</v>
      </c>
      <c r="F3" s="6"/>
      <c r="N3" s="31"/>
      <c r="P3" t="s">
        <v>81</v>
      </c>
      <c r="Q3" t="s">
        <v>79</v>
      </c>
      <c r="S3" s="27"/>
      <c r="T3" s="27"/>
    </row>
    <row r="4" spans="1:20" ht="39.75" customHeight="1">
      <c r="A4" s="6"/>
      <c r="B4" s="32"/>
      <c r="C4" s="99" t="s">
        <v>82</v>
      </c>
      <c r="D4" s="32"/>
      <c r="E4" s="32"/>
      <c r="F4" s="6" t="s">
        <v>83</v>
      </c>
      <c r="G4" s="7" t="s">
        <v>84</v>
      </c>
      <c r="H4" s="9">
        <v>0</v>
      </c>
      <c r="I4" s="10"/>
      <c r="J4" s="29" t="s">
        <v>37</v>
      </c>
      <c r="N4" s="31"/>
      <c r="P4" t="s">
        <v>85</v>
      </c>
      <c r="Q4" t="s">
        <v>29</v>
      </c>
      <c r="S4" s="27"/>
      <c r="T4" s="27"/>
    </row>
    <row r="5" spans="1:20" ht="15" customHeight="1">
      <c r="A5" s="6"/>
      <c r="B5" s="32"/>
      <c r="C5" s="99"/>
      <c r="D5" s="32"/>
      <c r="E5" s="32"/>
      <c r="F5" s="6" t="s">
        <v>86</v>
      </c>
      <c r="G5" s="7" t="s">
        <v>87</v>
      </c>
      <c r="H5" s="9">
        <v>0</v>
      </c>
      <c r="I5" s="11">
        <v>75654</v>
      </c>
      <c r="N5" s="31"/>
      <c r="P5" t="s">
        <v>28</v>
      </c>
      <c r="Q5" t="s">
        <v>79</v>
      </c>
      <c r="S5" s="27"/>
      <c r="T5" s="27"/>
    </row>
    <row r="6" spans="1:20" ht="15" customHeight="1">
      <c r="A6" s="6"/>
      <c r="B6" s="32"/>
      <c r="C6" s="99"/>
      <c r="D6" s="32"/>
      <c r="E6" s="32"/>
      <c r="F6" s="6" t="s">
        <v>39</v>
      </c>
      <c r="G6" s="8" t="s">
        <v>40</v>
      </c>
      <c r="H6" s="9">
        <v>0</v>
      </c>
      <c r="I6" s="12">
        <v>8.1</v>
      </c>
      <c r="N6" s="31"/>
      <c r="P6" t="s">
        <v>28</v>
      </c>
      <c r="Q6" t="s">
        <v>79</v>
      </c>
      <c r="S6" s="27"/>
      <c r="T6" s="27"/>
    </row>
    <row r="7" spans="1:20" ht="40.5" customHeight="1">
      <c r="A7" s="6"/>
      <c r="B7" s="32"/>
      <c r="C7" s="99"/>
      <c r="D7" s="32"/>
      <c r="E7" s="32"/>
      <c r="F7" s="6" t="s">
        <v>41</v>
      </c>
      <c r="G7" s="8" t="s">
        <v>42</v>
      </c>
      <c r="H7" s="9">
        <v>0</v>
      </c>
      <c r="I7" s="12">
        <v>105</v>
      </c>
      <c r="N7" s="31"/>
      <c r="P7" t="s">
        <v>28</v>
      </c>
      <c r="Q7" t="s">
        <v>79</v>
      </c>
      <c r="S7" s="27"/>
      <c r="T7" s="27"/>
    </row>
    <row r="8" spans="1:20" ht="24.75" customHeight="1">
      <c r="A8" s="6"/>
      <c r="B8" s="32"/>
      <c r="C8" s="99"/>
      <c r="D8" s="32"/>
      <c r="E8" s="32"/>
      <c r="F8" s="6" t="s">
        <v>41</v>
      </c>
      <c r="G8" s="7" t="s">
        <v>43</v>
      </c>
      <c r="H8" s="9">
        <v>0</v>
      </c>
      <c r="I8" s="13"/>
      <c r="J8" s="29" t="s">
        <v>88</v>
      </c>
      <c r="N8" s="31"/>
      <c r="P8" t="s">
        <v>28</v>
      </c>
      <c r="Q8" t="s">
        <v>79</v>
      </c>
      <c r="S8" s="27"/>
      <c r="T8" s="27"/>
    </row>
    <row r="9" spans="1:20" ht="27.75" customHeight="1">
      <c r="A9" s="6"/>
      <c r="B9" s="32"/>
      <c r="C9" s="99"/>
      <c r="D9" s="32"/>
      <c r="E9" s="32"/>
      <c r="F9" s="6" t="s">
        <v>41</v>
      </c>
      <c r="G9" s="7" t="s">
        <v>45</v>
      </c>
      <c r="H9" s="9">
        <v>0</v>
      </c>
      <c r="I9" s="14"/>
      <c r="J9" s="29" t="s">
        <v>89</v>
      </c>
      <c r="N9" s="31"/>
      <c r="P9" t="s">
        <v>28</v>
      </c>
      <c r="Q9" t="s">
        <v>79</v>
      </c>
      <c r="S9" s="27"/>
      <c r="T9" s="27"/>
    </row>
    <row r="10" spans="1:20" ht="55.5" customHeight="1">
      <c r="A10" s="6"/>
      <c r="B10" s="32"/>
      <c r="C10" s="99"/>
      <c r="D10" s="32"/>
      <c r="E10" s="32"/>
      <c r="F10" s="6" t="s">
        <v>90</v>
      </c>
      <c r="G10" s="7" t="s">
        <v>47</v>
      </c>
      <c r="H10" s="9">
        <v>0</v>
      </c>
      <c r="I10" s="13">
        <v>20</v>
      </c>
      <c r="N10" s="31"/>
      <c r="P10" t="s">
        <v>28</v>
      </c>
      <c r="Q10" t="s">
        <v>79</v>
      </c>
      <c r="S10" s="27"/>
      <c r="T10" s="27"/>
    </row>
    <row r="11" spans="1:20" ht="41.25" customHeight="1">
      <c r="A11" s="6"/>
      <c r="B11" s="32"/>
      <c r="C11" s="99"/>
      <c r="D11" s="32"/>
      <c r="E11" s="32"/>
      <c r="F11" s="6" t="s">
        <v>90</v>
      </c>
      <c r="G11" s="7" t="s">
        <v>48</v>
      </c>
      <c r="H11" s="9">
        <v>0</v>
      </c>
      <c r="I11" s="13">
        <v>20</v>
      </c>
      <c r="N11" s="31"/>
      <c r="P11" t="s">
        <v>28</v>
      </c>
      <c r="Q11" t="s">
        <v>79</v>
      </c>
      <c r="S11" s="27"/>
      <c r="T11" s="27"/>
    </row>
    <row r="12" spans="1:20" ht="39.75" customHeight="1">
      <c r="A12" s="6"/>
      <c r="B12" s="32"/>
      <c r="C12" s="99"/>
      <c r="D12" s="32"/>
      <c r="E12" s="32"/>
      <c r="F12" s="6" t="s">
        <v>49</v>
      </c>
      <c r="G12" s="7" t="s">
        <v>50</v>
      </c>
      <c r="H12" s="9">
        <v>0</v>
      </c>
      <c r="I12" s="13">
        <v>7000</v>
      </c>
      <c r="L12" s="5"/>
      <c r="N12" s="31"/>
      <c r="P12" t="s">
        <v>28</v>
      </c>
      <c r="Q12" t="s">
        <v>79</v>
      </c>
      <c r="S12" s="27"/>
      <c r="T12" s="27"/>
    </row>
    <row r="13" spans="1:20" ht="27.75" customHeight="1">
      <c r="A13" s="6"/>
      <c r="B13" s="32"/>
      <c r="C13" s="99" t="s">
        <v>91</v>
      </c>
      <c r="D13" s="32"/>
      <c r="E13" s="32"/>
      <c r="F13" s="6"/>
      <c r="G13" s="7" t="s">
        <v>92</v>
      </c>
      <c r="H13" s="9">
        <v>0</v>
      </c>
      <c r="I13" s="13"/>
      <c r="J13" s="29" t="s">
        <v>93</v>
      </c>
      <c r="N13" s="31"/>
      <c r="P13" t="s">
        <v>28</v>
      </c>
      <c r="Q13" t="s">
        <v>79</v>
      </c>
      <c r="S13" s="27"/>
      <c r="T13" s="27"/>
    </row>
    <row r="14" spans="1:20" ht="24.75" customHeight="1">
      <c r="A14" s="6"/>
      <c r="B14" s="32"/>
      <c r="C14" s="99"/>
      <c r="D14" s="32"/>
      <c r="E14" s="32"/>
      <c r="F14" s="6" t="s">
        <v>86</v>
      </c>
      <c r="G14" s="7" t="s">
        <v>94</v>
      </c>
      <c r="H14" s="9">
        <v>0</v>
      </c>
      <c r="I14" s="30">
        <v>4856.8</v>
      </c>
      <c r="N14" s="31"/>
      <c r="P14" t="s">
        <v>28</v>
      </c>
      <c r="Q14" t="s">
        <v>79</v>
      </c>
      <c r="S14" s="27"/>
      <c r="T14" s="27"/>
    </row>
    <row r="15" spans="1:20" ht="20.25" customHeight="1">
      <c r="A15" s="6"/>
      <c r="B15" s="32"/>
      <c r="C15" s="99"/>
      <c r="D15" s="32"/>
      <c r="E15" s="32"/>
      <c r="F15" s="6" t="s">
        <v>39</v>
      </c>
      <c r="G15" s="4" t="s">
        <v>40</v>
      </c>
      <c r="H15" s="9">
        <v>0</v>
      </c>
      <c r="I15" s="13">
        <v>2.6</v>
      </c>
      <c r="N15" s="31"/>
      <c r="P15" t="s">
        <v>85</v>
      </c>
      <c r="Q15" t="s">
        <v>29</v>
      </c>
      <c r="S15" s="27"/>
      <c r="T15" s="27"/>
    </row>
    <row r="16" spans="1:20" ht="20.25" customHeight="1">
      <c r="A16" s="6"/>
      <c r="B16" s="32"/>
      <c r="C16" s="99"/>
      <c r="D16" s="32"/>
      <c r="E16" s="32"/>
      <c r="F16" s="16"/>
      <c r="G16" s="4" t="s">
        <v>54</v>
      </c>
      <c r="H16" s="9">
        <v>0</v>
      </c>
      <c r="I16" s="13"/>
      <c r="J16" s="29" t="s">
        <v>55</v>
      </c>
      <c r="N16" s="31"/>
      <c r="P16" t="s">
        <v>28</v>
      </c>
      <c r="Q16" t="s">
        <v>79</v>
      </c>
      <c r="S16" s="27"/>
      <c r="T16" s="27"/>
    </row>
    <row r="17" spans="1:20" ht="27">
      <c r="A17" s="6"/>
      <c r="B17" s="32"/>
      <c r="C17" s="99"/>
      <c r="D17" s="32"/>
      <c r="E17" s="32"/>
      <c r="F17" s="6" t="s">
        <v>41</v>
      </c>
      <c r="G17" s="4" t="s">
        <v>57</v>
      </c>
      <c r="H17" s="9">
        <v>0</v>
      </c>
      <c r="I17" s="13">
        <v>650</v>
      </c>
      <c r="N17" s="31"/>
      <c r="P17" t="s">
        <v>28</v>
      </c>
      <c r="Q17" t="s">
        <v>79</v>
      </c>
      <c r="S17" s="27"/>
      <c r="T17" s="27"/>
    </row>
    <row r="18" spans="1:20" ht="27">
      <c r="A18" s="6"/>
      <c r="B18" s="32"/>
      <c r="C18" s="99"/>
      <c r="D18" s="32"/>
      <c r="E18" s="32"/>
      <c r="F18" s="6" t="s">
        <v>90</v>
      </c>
      <c r="G18" s="4" t="s">
        <v>58</v>
      </c>
      <c r="H18" s="9">
        <v>0</v>
      </c>
      <c r="I18" s="13">
        <v>20</v>
      </c>
      <c r="N18" s="31"/>
      <c r="P18" t="s">
        <v>28</v>
      </c>
      <c r="Q18" t="s">
        <v>79</v>
      </c>
      <c r="S18" s="27"/>
      <c r="T18" s="27"/>
    </row>
    <row r="19" spans="1:20" ht="27">
      <c r="A19" s="6"/>
      <c r="B19" s="32"/>
      <c r="C19" s="99"/>
      <c r="D19" s="32"/>
      <c r="E19" s="32"/>
      <c r="F19" s="6" t="s">
        <v>90</v>
      </c>
      <c r="G19" s="4" t="s">
        <v>48</v>
      </c>
      <c r="H19" s="9">
        <v>0</v>
      </c>
      <c r="I19" s="13">
        <v>20</v>
      </c>
      <c r="N19" s="31"/>
      <c r="P19" t="s">
        <v>28</v>
      </c>
      <c r="Q19" t="s">
        <v>79</v>
      </c>
      <c r="S19" s="27"/>
      <c r="T19" s="27"/>
    </row>
    <row r="20" spans="1:20" ht="27">
      <c r="A20" s="6"/>
      <c r="B20" s="32"/>
      <c r="C20" s="100"/>
      <c r="D20" s="32"/>
      <c r="E20" s="32"/>
      <c r="F20" s="6" t="s">
        <v>49</v>
      </c>
      <c r="G20" s="4" t="s">
        <v>50</v>
      </c>
      <c r="H20" s="9">
        <v>0</v>
      </c>
      <c r="I20" s="26">
        <v>1000</v>
      </c>
      <c r="J20" s="15"/>
      <c r="N20" s="31"/>
      <c r="P20" t="s">
        <v>28</v>
      </c>
      <c r="Q20" t="s">
        <v>79</v>
      </c>
      <c r="S20" s="27"/>
      <c r="T20" s="27"/>
    </row>
    <row r="21" spans="1:20" ht="45.75">
      <c r="A21" s="17">
        <v>110061</v>
      </c>
      <c r="B21" s="18" t="s">
        <v>62</v>
      </c>
      <c r="C21" s="18"/>
      <c r="D21" s="19" t="s">
        <v>63</v>
      </c>
      <c r="E21" s="18" t="s">
        <v>95</v>
      </c>
      <c r="F21" s="18"/>
      <c r="G21" s="20"/>
      <c r="H21" s="18"/>
      <c r="I21" s="21"/>
      <c r="J21" s="16"/>
      <c r="N21" s="31"/>
      <c r="P21" t="s">
        <v>28</v>
      </c>
      <c r="Q21" t="s">
        <v>79</v>
      </c>
      <c r="S21" s="27"/>
      <c r="T21" s="27"/>
    </row>
    <row r="22" spans="1:20" ht="30.75">
      <c r="A22" s="22">
        <v>109164</v>
      </c>
      <c r="B22" s="98" t="s">
        <v>96</v>
      </c>
      <c r="C22" s="98"/>
      <c r="D22" s="98"/>
      <c r="E22" s="98"/>
      <c r="F22" s="23" t="s">
        <v>97</v>
      </c>
      <c r="G22" s="24" t="s">
        <v>98</v>
      </c>
      <c r="H22" s="23" t="s">
        <v>99</v>
      </c>
      <c r="I22" s="25">
        <v>3.33</v>
      </c>
      <c r="J22" s="16"/>
      <c r="N22" s="31"/>
      <c r="P22" t="s">
        <v>28</v>
      </c>
      <c r="Q22" t="s">
        <v>79</v>
      </c>
      <c r="S22" s="27"/>
      <c r="T22" s="27"/>
    </row>
    <row r="23" spans="1:20">
      <c r="G23" s="6"/>
      <c r="P23" s="27"/>
      <c r="Q23" s="27"/>
      <c r="R23" s="27"/>
      <c r="S23" s="27"/>
      <c r="T23" s="27"/>
    </row>
    <row r="24" spans="1:20">
      <c r="G24" s="6"/>
      <c r="P24" s="27"/>
      <c r="Q24" s="27"/>
      <c r="R24" s="27"/>
      <c r="S24" s="27"/>
      <c r="T24" s="27"/>
    </row>
    <row r="25" spans="1:20">
      <c r="G25" s="6"/>
    </row>
  </sheetData>
  <mergeCells count="3">
    <mergeCell ref="B22:E22"/>
    <mergeCell ref="C4:C12"/>
    <mergeCell ref="C13:C20"/>
  </mergeCells>
  <dataValidations count="6">
    <dataValidation allowBlank="1" showInputMessage="1" showErrorMessage="1" sqref="F5 F14" xr:uid="{53972853-1759-4555-900D-591E830BC5FE}"/>
    <dataValidation type="list" allowBlank="1" showInputMessage="1" showErrorMessage="1" sqref="P2:P24" xr:uid="{2838D12A-9165-4E4B-9A07-BC286671AC41}">
      <formula1>"Accelerating just energy transition, Close the gap on energy access, Scale up energy finance"</formula1>
    </dataValidation>
    <dataValidation type="list" allowBlank="1" showInputMessage="1" showErrorMessage="1" sqref="Q2:Q24" xr:uid="{20E4413C-E9D8-4460-A84E-654EC6A04642}">
      <formula1>"Electricity Access, Energy Efficiency, Clean Cooking, Renewable Energy"</formula1>
    </dataValidation>
    <dataValidation type="list" allowBlank="1" showInputMessage="1" showErrorMessage="1" sqref="R2:R24" xr:uid="{EE1DD98A-876C-411B-8BFB-CC6E4ABDA917}">
      <formula1>"AMP, PUDC, Solar4Health, Action Opportunities, Italy UNDP Energy Partnership"</formula1>
    </dataValidation>
    <dataValidation type="list" allowBlank="1" showInputMessage="1" showErrorMessage="1" sqref="S2:S24" xr:uid="{4B3F5314-FBF0-4F9F-B9DF-720EE7498747}">
      <formula1>"NDC Support, National Strategy, Legal Framework,Incentives and Support, Government Capacity-Building, Carbon Pricing and Monitoring, Financing Model, Business Model"</formula1>
    </dataValidation>
    <dataValidation type="list" allowBlank="1" showInputMessage="1" showErrorMessage="1" sqref="T2:T24" xr:uid="{0A2185D1-D784-41F2-8C4B-6C4B086F02DC}">
      <formula1>"Electricity Access, Energy Efficiency, Renewable EnergyEnergy Infrastructure,   Transport, Digital &amp; Data, Clean Cooking, Decarbonization, Hydrogen, Off-Grid, On-Grid"</formula1>
    </dataValidation>
  </dataValidations>
  <hyperlinks>
    <hyperlink ref="D2" r:id="rId1" xr:uid="{F64554FC-8CFC-4BEC-8184-3D5524EF69A7}"/>
    <hyperlink ref="D3" r:id="rId2" xr:uid="{F75339A1-C5CB-4381-8C97-B1409D4B794F}"/>
    <hyperlink ref="D21" r:id="rId3" xr:uid="{C2B95FF2-3D2A-4EB7-8C33-B03D47CC0A9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739DF36-350B-476B-857D-7351AB0020B8}">
          <x14:formula1>
            <xm:f>'Beneficiary Categories'!$A$2:$A$16</xm:f>
          </x14:formula1>
          <xm:sqref>F2:F4 F17:F20 F15 F6:F13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
  <sheetViews>
    <sheetView workbookViewId="0">
      <selection activeCell="J1" sqref="J1"/>
    </sheetView>
  </sheetViews>
  <sheetFormatPr defaultRowHeight="15"/>
  <cols>
    <col min="2" max="2" width="40" customWidth="1"/>
    <col min="3" max="3" width="20.7109375" customWidth="1"/>
    <col min="4" max="4" width="14.140625" customWidth="1"/>
    <col min="5" max="5" width="20.7109375" customWidth="1"/>
    <col min="6" max="6" width="40" customWidth="1"/>
    <col min="7" max="7" width="10.140625" customWidth="1"/>
    <col min="8" max="8" width="13.7109375" customWidth="1"/>
    <col min="9" max="9" width="32.7109375" customWidth="1"/>
  </cols>
  <sheetData>
    <row r="1" spans="1:11">
      <c r="A1" s="1" t="s">
        <v>0</v>
      </c>
      <c r="B1" s="1" t="s">
        <v>1</v>
      </c>
      <c r="C1" s="1" t="s">
        <v>2</v>
      </c>
      <c r="D1" s="1" t="s">
        <v>3</v>
      </c>
      <c r="E1" s="1" t="s">
        <v>5</v>
      </c>
      <c r="F1" s="1" t="s">
        <v>6</v>
      </c>
      <c r="G1" s="1" t="s">
        <v>7</v>
      </c>
      <c r="H1" s="1" t="s">
        <v>8</v>
      </c>
      <c r="I1" s="1" t="s">
        <v>9</v>
      </c>
      <c r="J1" s="27" t="s">
        <v>10</v>
      </c>
    </row>
    <row r="2" spans="1:11">
      <c r="A2">
        <v>144953</v>
      </c>
      <c r="B2" t="s">
        <v>23</v>
      </c>
      <c r="C2" s="2" t="s">
        <v>24</v>
      </c>
      <c r="D2" s="6">
        <v>95000</v>
      </c>
      <c r="E2" s="3"/>
      <c r="F2" s="3"/>
      <c r="G2" s="3"/>
      <c r="H2" s="3"/>
      <c r="I2" s="3"/>
    </row>
    <row r="3" spans="1:11">
      <c r="A3">
        <v>144270</v>
      </c>
      <c r="B3" t="s">
        <v>33</v>
      </c>
      <c r="C3" s="2" t="s">
        <v>34</v>
      </c>
      <c r="D3" s="6" t="s">
        <v>80</v>
      </c>
      <c r="E3" s="6" t="s">
        <v>39</v>
      </c>
    </row>
    <row r="4" spans="1:11" ht="39.75" customHeight="1">
      <c r="A4" s="102">
        <v>144270</v>
      </c>
      <c r="B4" s="101" t="s">
        <v>82</v>
      </c>
      <c r="C4" s="101"/>
      <c r="D4" s="101"/>
      <c r="E4" s="6" t="s">
        <v>39</v>
      </c>
      <c r="F4" s="7" t="s">
        <v>84</v>
      </c>
      <c r="G4" s="9">
        <v>0</v>
      </c>
      <c r="H4" s="10" t="s">
        <v>37</v>
      </c>
    </row>
    <row r="5" spans="1:11" ht="30.75">
      <c r="A5" s="102"/>
      <c r="B5" s="101"/>
      <c r="C5" s="101"/>
      <c r="D5" s="101"/>
      <c r="E5" s="6" t="s">
        <v>83</v>
      </c>
      <c r="F5" s="7" t="s">
        <v>100</v>
      </c>
      <c r="G5" s="9">
        <v>0</v>
      </c>
      <c r="H5" s="11" t="s">
        <v>101</v>
      </c>
    </row>
    <row r="6" spans="1:11">
      <c r="A6" s="102"/>
      <c r="B6" s="101"/>
      <c r="C6" s="101"/>
      <c r="D6" s="101"/>
      <c r="E6" s="6" t="s">
        <v>39</v>
      </c>
      <c r="F6" s="8" t="s">
        <v>40</v>
      </c>
      <c r="G6" s="9">
        <v>0</v>
      </c>
      <c r="H6" s="12" t="s">
        <v>102</v>
      </c>
    </row>
    <row r="7" spans="1:11" ht="40.5" customHeight="1">
      <c r="A7" s="102"/>
      <c r="B7" s="101"/>
      <c r="C7" s="101"/>
      <c r="D7" s="101"/>
      <c r="E7" s="6" t="s">
        <v>41</v>
      </c>
      <c r="F7" s="8" t="s">
        <v>42</v>
      </c>
      <c r="G7" s="9">
        <v>0</v>
      </c>
      <c r="H7" s="12">
        <v>105</v>
      </c>
    </row>
    <row r="8" spans="1:11" ht="24.75" customHeight="1">
      <c r="A8" s="102"/>
      <c r="B8" s="101"/>
      <c r="C8" s="101"/>
      <c r="D8" s="101"/>
      <c r="E8" s="6" t="s">
        <v>41</v>
      </c>
      <c r="F8" s="7" t="s">
        <v>43</v>
      </c>
      <c r="G8" s="9">
        <v>0</v>
      </c>
      <c r="H8" s="13" t="s">
        <v>88</v>
      </c>
    </row>
    <row r="9" spans="1:11" ht="27.75" customHeight="1">
      <c r="A9" s="102"/>
      <c r="B9" s="101"/>
      <c r="C9" s="101"/>
      <c r="D9" s="101"/>
      <c r="E9" s="6" t="s">
        <v>41</v>
      </c>
      <c r="F9" s="7" t="s">
        <v>45</v>
      </c>
      <c r="G9" s="9">
        <v>0</v>
      </c>
      <c r="H9" s="14" t="s">
        <v>89</v>
      </c>
    </row>
    <row r="10" spans="1:11" ht="55.5" customHeight="1">
      <c r="A10" s="102"/>
      <c r="B10" s="101"/>
      <c r="C10" s="101"/>
      <c r="D10" s="101"/>
      <c r="E10" s="6" t="s">
        <v>90</v>
      </c>
      <c r="F10" s="7" t="s">
        <v>47</v>
      </c>
      <c r="G10" s="9">
        <v>0</v>
      </c>
      <c r="H10" s="13" t="s">
        <v>103</v>
      </c>
    </row>
    <row r="11" spans="1:11" ht="41.25" customHeight="1">
      <c r="A11" s="102"/>
      <c r="B11" s="101"/>
      <c r="C11" s="101"/>
      <c r="D11" s="101"/>
      <c r="E11" s="6" t="s">
        <v>90</v>
      </c>
      <c r="F11" s="7" t="s">
        <v>48</v>
      </c>
      <c r="G11" s="9">
        <v>0</v>
      </c>
      <c r="H11" s="13" t="s">
        <v>103</v>
      </c>
    </row>
    <row r="12" spans="1:11" ht="39.75" customHeight="1">
      <c r="A12" s="102"/>
      <c r="B12" s="101"/>
      <c r="C12" s="101"/>
      <c r="D12" s="101"/>
      <c r="E12" s="6" t="s">
        <v>49</v>
      </c>
      <c r="F12" s="7" t="s">
        <v>104</v>
      </c>
      <c r="G12" s="9">
        <v>0</v>
      </c>
      <c r="H12" s="13" t="s">
        <v>105</v>
      </c>
      <c r="K12" s="5"/>
    </row>
    <row r="13" spans="1:11" ht="27.75" customHeight="1">
      <c r="A13" s="102">
        <v>144270</v>
      </c>
      <c r="B13" s="101" t="s">
        <v>106</v>
      </c>
      <c r="C13" s="101"/>
      <c r="D13" s="101"/>
      <c r="E13" s="6" t="s">
        <v>39</v>
      </c>
      <c r="F13" s="7" t="s">
        <v>92</v>
      </c>
      <c r="G13" s="9">
        <v>0</v>
      </c>
      <c r="H13" s="13" t="s">
        <v>93</v>
      </c>
    </row>
    <row r="14" spans="1:11" ht="24.75" customHeight="1">
      <c r="A14" s="102"/>
      <c r="B14" s="101"/>
      <c r="C14" s="101"/>
      <c r="D14" s="101"/>
      <c r="E14" s="6" t="s">
        <v>83</v>
      </c>
      <c r="F14" s="7" t="s">
        <v>100</v>
      </c>
      <c r="G14" s="9">
        <v>0</v>
      </c>
      <c r="H14" s="12" t="s">
        <v>107</v>
      </c>
    </row>
    <row r="15" spans="1:11" ht="20.25" customHeight="1">
      <c r="A15" s="102"/>
      <c r="B15" s="101"/>
      <c r="C15" s="101"/>
      <c r="D15" s="101"/>
      <c r="E15" s="6" t="s">
        <v>39</v>
      </c>
      <c r="F15" s="4" t="s">
        <v>40</v>
      </c>
      <c r="G15" s="9">
        <v>0</v>
      </c>
      <c r="H15" s="13" t="s">
        <v>108</v>
      </c>
    </row>
    <row r="16" spans="1:11" ht="20.25" customHeight="1">
      <c r="A16" s="102"/>
      <c r="B16" s="101"/>
      <c r="C16" s="101"/>
      <c r="D16" s="101"/>
      <c r="E16" s="6" t="s">
        <v>41</v>
      </c>
      <c r="F16" s="4" t="s">
        <v>54</v>
      </c>
      <c r="G16" s="9">
        <v>0</v>
      </c>
      <c r="H16" s="13" t="s">
        <v>55</v>
      </c>
    </row>
    <row r="17" spans="1:9" ht="27">
      <c r="A17" s="102"/>
      <c r="B17" s="101"/>
      <c r="C17" s="101"/>
      <c r="D17" s="101"/>
      <c r="E17" s="6" t="s">
        <v>41</v>
      </c>
      <c r="F17" s="4" t="s">
        <v>57</v>
      </c>
      <c r="G17" s="9">
        <v>0</v>
      </c>
      <c r="H17" s="13">
        <v>650</v>
      </c>
    </row>
    <row r="18" spans="1:9" ht="27">
      <c r="A18" s="102"/>
      <c r="B18" s="101"/>
      <c r="C18" s="101"/>
      <c r="D18" s="101"/>
      <c r="E18" s="6" t="s">
        <v>90</v>
      </c>
      <c r="F18" s="4" t="s">
        <v>58</v>
      </c>
      <c r="G18" s="9">
        <v>0</v>
      </c>
      <c r="H18" s="13" t="s">
        <v>103</v>
      </c>
    </row>
    <row r="19" spans="1:9" ht="27">
      <c r="A19" s="102"/>
      <c r="B19" s="101"/>
      <c r="C19" s="101"/>
      <c r="D19" s="101"/>
      <c r="E19" s="6" t="s">
        <v>90</v>
      </c>
      <c r="F19" s="4" t="s">
        <v>48</v>
      </c>
      <c r="G19" s="9">
        <v>0</v>
      </c>
      <c r="H19" s="13" t="s">
        <v>103</v>
      </c>
    </row>
    <row r="20" spans="1:9" ht="27">
      <c r="A20" s="102"/>
      <c r="B20" s="101"/>
      <c r="C20" s="101"/>
      <c r="D20" s="101"/>
      <c r="E20" s="6" t="s">
        <v>49</v>
      </c>
      <c r="F20" s="4" t="s">
        <v>50</v>
      </c>
      <c r="G20" s="9">
        <v>0</v>
      </c>
      <c r="H20" s="26">
        <v>1000</v>
      </c>
      <c r="I20" s="15"/>
    </row>
    <row r="21" spans="1:9" ht="45.75">
      <c r="A21" s="17">
        <v>110061</v>
      </c>
      <c r="B21" s="18" t="s">
        <v>62</v>
      </c>
      <c r="C21" s="19" t="s">
        <v>63</v>
      </c>
      <c r="D21" s="18" t="s">
        <v>95</v>
      </c>
      <c r="E21" s="18"/>
      <c r="F21" s="20"/>
      <c r="G21" s="18"/>
      <c r="H21" s="21"/>
      <c r="I21" s="16"/>
    </row>
    <row r="22" spans="1:9" ht="30.75">
      <c r="A22" s="22">
        <v>109164</v>
      </c>
      <c r="B22" s="103" t="s">
        <v>96</v>
      </c>
      <c r="C22" s="103"/>
      <c r="D22" s="103"/>
      <c r="E22" s="23" t="s">
        <v>109</v>
      </c>
      <c r="F22" s="24" t="s">
        <v>98</v>
      </c>
      <c r="G22" s="23" t="s">
        <v>99</v>
      </c>
      <c r="H22" s="25" t="s">
        <v>110</v>
      </c>
      <c r="I22" s="16"/>
    </row>
    <row r="23" spans="1:9">
      <c r="F23" s="6"/>
    </row>
    <row r="24" spans="1:9">
      <c r="F24" s="6"/>
    </row>
    <row r="25" spans="1:9">
      <c r="F25" s="6"/>
    </row>
  </sheetData>
  <mergeCells count="5">
    <mergeCell ref="B4:D12"/>
    <mergeCell ref="B13:D20"/>
    <mergeCell ref="A4:A12"/>
    <mergeCell ref="A13:A20"/>
    <mergeCell ref="B22:D22"/>
  </mergeCells>
  <hyperlinks>
    <hyperlink ref="C2" r:id="rId1" xr:uid="{00000000-0004-0000-0000-000000000000}"/>
    <hyperlink ref="C3" r:id="rId2" xr:uid="{88EC9260-25BF-4CBF-8701-599C0995CB6F}"/>
    <hyperlink ref="C21" r:id="rId3" xr:uid="{92DE7D67-AF4A-45BC-9D6D-C87F34F6627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E2:E20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E4" sqref="E4"/>
    </sheetView>
  </sheetViews>
  <sheetFormatPr defaultRowHeight="15"/>
  <cols>
    <col min="1" max="2" width="52.7109375" customWidth="1"/>
  </cols>
  <sheetData>
    <row r="1" spans="1:2">
      <c r="A1" s="47" t="s">
        <v>5</v>
      </c>
      <c r="B1" s="47" t="s">
        <v>6</v>
      </c>
    </row>
    <row r="2" spans="1:2" ht="45.75">
      <c r="A2" s="104" t="s">
        <v>111</v>
      </c>
      <c r="B2" s="48" t="s">
        <v>112</v>
      </c>
    </row>
    <row r="3" spans="1:2">
      <c r="A3" s="104" t="s">
        <v>39</v>
      </c>
      <c r="B3" s="48" t="s">
        <v>113</v>
      </c>
    </row>
    <row r="4" spans="1:2" ht="30.75">
      <c r="A4" s="104" t="s">
        <v>114</v>
      </c>
      <c r="B4" s="48" t="s">
        <v>115</v>
      </c>
    </row>
    <row r="5" spans="1:2" ht="30.75">
      <c r="A5" s="104" t="s">
        <v>116</v>
      </c>
      <c r="B5" s="48" t="s">
        <v>117</v>
      </c>
    </row>
    <row r="6" spans="1:2" ht="91.5">
      <c r="A6" s="104" t="s">
        <v>118</v>
      </c>
      <c r="B6" s="48" t="s">
        <v>119</v>
      </c>
    </row>
    <row r="7" spans="1:2" ht="45.75">
      <c r="A7" s="104" t="s">
        <v>120</v>
      </c>
      <c r="B7" s="48" t="s">
        <v>121</v>
      </c>
    </row>
    <row r="8" spans="1:2" ht="45.75">
      <c r="A8" s="104" t="s">
        <v>122</v>
      </c>
      <c r="B8" s="48" t="s">
        <v>123</v>
      </c>
    </row>
    <row r="9" spans="1:2" ht="45.75">
      <c r="A9" s="104" t="s">
        <v>124</v>
      </c>
      <c r="B9" s="48" t="s">
        <v>125</v>
      </c>
    </row>
    <row r="10" spans="1:2" ht="30.75">
      <c r="A10" s="104" t="s">
        <v>72</v>
      </c>
      <c r="B10" s="105" t="s">
        <v>126</v>
      </c>
    </row>
    <row r="11" spans="1:2" ht="30.75">
      <c r="A11" s="104" t="s">
        <v>35</v>
      </c>
      <c r="B11" s="105" t="s">
        <v>127</v>
      </c>
    </row>
    <row r="12" spans="1:2" ht="45.75">
      <c r="A12" s="104" t="s">
        <v>128</v>
      </c>
      <c r="B12" s="48" t="s">
        <v>129</v>
      </c>
    </row>
    <row r="13" spans="1:2" ht="30.75">
      <c r="A13" s="104" t="s">
        <v>83</v>
      </c>
      <c r="B13" s="105" t="s">
        <v>130</v>
      </c>
    </row>
    <row r="14" spans="1:2">
      <c r="A14" s="104" t="s">
        <v>131</v>
      </c>
      <c r="B14" s="105" t="s">
        <v>132</v>
      </c>
    </row>
    <row r="15" spans="1:2" ht="30.75">
      <c r="A15" s="104" t="s">
        <v>41</v>
      </c>
      <c r="B15" s="105" t="s">
        <v>133</v>
      </c>
    </row>
    <row r="16" spans="1:2" ht="30.75">
      <c r="A16" s="104" t="s">
        <v>134</v>
      </c>
      <c r="B16" s="105" t="s">
        <v>135</v>
      </c>
    </row>
    <row r="17" spans="1:2" ht="30.75">
      <c r="A17" s="104" t="s">
        <v>46</v>
      </c>
      <c r="B17" s="48" t="s">
        <v>136</v>
      </c>
    </row>
    <row r="18" spans="1:2" ht="30.75">
      <c r="A18" s="104" t="s">
        <v>137</v>
      </c>
      <c r="B18" s="105" t="s">
        <v>138</v>
      </c>
    </row>
    <row r="19" spans="1:2" ht="76.5">
      <c r="A19" s="104" t="s">
        <v>20</v>
      </c>
      <c r="B19" s="105" t="s">
        <v>139</v>
      </c>
    </row>
    <row r="20" spans="1:2" ht="30.75">
      <c r="A20" s="104" t="s">
        <v>49</v>
      </c>
      <c r="B20" s="105" t="s">
        <v>140</v>
      </c>
    </row>
    <row r="21" spans="1:2" ht="45.75">
      <c r="A21" s="104" t="s">
        <v>21</v>
      </c>
      <c r="B21" s="106" t="s">
        <v>141</v>
      </c>
    </row>
    <row r="22" spans="1:2" ht="30.75">
      <c r="A22" s="104" t="s">
        <v>56</v>
      </c>
      <c r="B22" s="105" t="s">
        <v>142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61DB48B0-5F5D-4664-9BF2-2988CF8E9CA6}"/>
</file>

<file path=customXml/itemProps2.xml><?xml version="1.0" encoding="utf-8"?>
<ds:datastoreItem xmlns:ds="http://schemas.openxmlformats.org/officeDocument/2006/customXml" ds:itemID="{CD1F45FA-ADB1-42D5-8002-7349D9DEF3AA}"/>
</file>

<file path=customXml/itemProps3.xml><?xml version="1.0" encoding="utf-8"?>
<ds:datastoreItem xmlns:ds="http://schemas.openxmlformats.org/officeDocument/2006/customXml" ds:itemID="{0849318C-6090-4401-8D9F-FDDD7A2B86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2025-01-30T21:40:20Z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