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50" windowWidth="29040" windowHeight="1572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definedName name="_xlnm._FilterDatabase" localSheetId="0" hidden="1">'Projects (3)'!$A$1:$AF$1</definedName>
  </definedNames>
  <calcPr calcId="191028" fullCalcOnLoad="1"/>
</workbook>
</file>

<file path=xl/styles.xml><?xml version="1.0" encoding="utf-8"?>
<styleSheet xmlns="http://schemas.openxmlformats.org/spreadsheetml/2006/main">
  <numFmts count="2">
    <numFmt numFmtId="164" formatCode="_-* #,##0.00_-;\-* #,##0.00_-;_-* &quot;-&quot;??_-;_-@_-"/>
    <numFmt numFmtId="165" formatCode="_-* #,##0_-;\-* #,##0_-;_-* &quot;-&quot;??_-;_-@_-"/>
  </numFmts>
  <fonts count="13">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scheme val="minor"/>
    </font>
    <font>
      <name val="Calibri"/>
      <family val="2"/>
      <color theme="1"/>
      <sz val="11"/>
      <scheme val="minor"/>
    </font>
    <font>
      <name val="Calibri"/>
      <family val="2"/>
      <color rgb="FFED7D31"/>
      <sz val="11"/>
    </font>
    <font>
      <name val="Helvetica Neue"/>
      <charset val="1"/>
      <b val="1"/>
      <color rgb="FFFF0000"/>
      <sz val="10"/>
    </font>
    <font>
      <name val="Calibri"/>
      <color rgb="FF000000"/>
      <sz val="11"/>
      <scheme val="minor"/>
    </font>
    <font>
      <name val="Calibri"/>
      <b val="1"/>
      <color rgb="FF000000"/>
      <sz val="11"/>
      <scheme val="minor"/>
    </font>
    <font>
      <name val="Calibri"/>
      <family val="2"/>
      <color rgb="FFFF0000"/>
      <sz val="11"/>
      <scheme val="minor"/>
    </font>
    <font>
      <name val="Calibri"/>
      <b val="1"/>
      <color theme="1"/>
      <sz val="11"/>
      <scheme val="minor"/>
    </font>
    <font>
      <name val="Calibri"/>
      <family val="2"/>
      <color rgb="FF000000"/>
      <sz val="11"/>
      <scheme val="minor"/>
    </font>
    <font>
      <b val="1"/>
    </font>
  </fonts>
  <fills count="6">
    <fill>
      <patternFill/>
    </fill>
    <fill>
      <patternFill patternType="gray125"/>
    </fill>
    <fill>
      <patternFill patternType="solid">
        <fgColor rgb="FFFFE497"/>
        <bgColor indexed="64"/>
      </patternFill>
    </fill>
    <fill>
      <patternFill patternType="solid">
        <fgColor rgb="FFFFE699"/>
        <bgColor indexed="64"/>
      </patternFill>
    </fill>
    <fill>
      <patternFill patternType="solid">
        <fgColor rgb="FFFFFF00"/>
        <bgColor indexed="64"/>
      </patternFill>
    </fill>
    <fill>
      <patternFill patternType="solid">
        <fgColor rgb="00FFFF00"/>
      </patternFill>
    </fill>
  </fills>
  <borders count="13">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s>
  <cellStyleXfs count="3">
    <xf numFmtId="0" fontId="4" fillId="0" borderId="0"/>
    <xf numFmtId="0" fontId="3" fillId="0" borderId="0"/>
    <xf numFmtId="43" fontId="4" fillId="0" borderId="0"/>
  </cellStyleXfs>
  <cellXfs count="154">
    <xf numFmtId="0" fontId="0" fillId="0" borderId="0" pivotButton="0" quotePrefix="0" xfId="0"/>
    <xf numFmtId="0" fontId="0" fillId="0" borderId="3" applyAlignment="1" pivotButton="0" quotePrefix="0" xfId="0">
      <alignment horizontal="center" vertical="center"/>
    </xf>
    <xf numFmtId="0" fontId="2" fillId="0" borderId="1" applyAlignment="1" pivotButton="0" quotePrefix="0" xfId="0">
      <alignment horizontal="center" vertical="top"/>
    </xf>
    <xf numFmtId="0" fontId="0" fillId="2" borderId="0" applyAlignment="1" pivotButton="0" quotePrefix="0" xfId="0">
      <alignment vertical="top" wrapText="1"/>
    </xf>
    <xf numFmtId="0" fontId="0" fillId="2"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vertical="top"/>
    </xf>
    <xf numFmtId="164" fontId="0" fillId="0" borderId="0" applyAlignment="1" pivotButton="0" quotePrefix="0" xfId="2">
      <alignment vertical="top"/>
    </xf>
    <xf numFmtId="0" fontId="3" fillId="0" borderId="0" applyAlignment="1" pivotButton="0" quotePrefix="0" xfId="1">
      <alignment vertical="top" wrapText="1"/>
    </xf>
    <xf numFmtId="0" fontId="0" fillId="2" borderId="0" applyAlignment="1" pivotButton="0" quotePrefix="0" xfId="0">
      <alignment horizontal="center" vertical="top"/>
    </xf>
    <xf numFmtId="0" fontId="0" fillId="3" borderId="0" applyAlignment="1" pivotButton="0" quotePrefix="0" xfId="0">
      <alignment vertical="top" wrapText="1"/>
    </xf>
    <xf numFmtId="0" fontId="5" fillId="0" borderId="0" pivotButton="0" quotePrefix="0" xfId="0"/>
    <xf numFmtId="0" fontId="2" fillId="0" borderId="0" pivotButton="0" quotePrefix="0" xfId="0"/>
    <xf numFmtId="165" fontId="0" fillId="0" borderId="0" applyAlignment="1" pivotButton="0" quotePrefix="0" xfId="2">
      <alignment vertical="top"/>
    </xf>
    <xf numFmtId="165" fontId="0" fillId="0" borderId="0" applyAlignment="1" pivotButton="0" quotePrefix="0" xfId="2">
      <alignment vertical="top" wrapText="1"/>
    </xf>
    <xf numFmtId="0" fontId="0" fillId="2" borderId="0" applyAlignment="1" pivotButton="0" quotePrefix="0" xfId="0">
      <alignment horizontal="center" vertical="top" wrapText="1"/>
    </xf>
    <xf numFmtId="165" fontId="0" fillId="0" borderId="0" applyAlignment="1" pivotButton="0" quotePrefix="0" xfId="2">
      <alignment vertical="top"/>
    </xf>
    <xf numFmtId="0" fontId="0" fillId="2" borderId="0" applyAlignment="1" pivotButton="0" quotePrefix="0" xfId="0">
      <alignment horizontal="center" vertical="center" wrapText="1"/>
    </xf>
    <xf numFmtId="0" fontId="0" fillId="0" borderId="0" applyAlignment="1" pivotButton="0" quotePrefix="0" xfId="0">
      <alignment vertical="center" wrapText="1"/>
    </xf>
    <xf numFmtId="0" fontId="0" fillId="2" borderId="0" applyAlignment="1" pivotButton="0" quotePrefix="0" xfId="0">
      <alignment horizontal="right" vertical="top" wrapText="1"/>
    </xf>
    <xf numFmtId="0" fontId="0" fillId="0" borderId="0" applyAlignment="1" pivotButton="0" quotePrefix="1" xfId="0">
      <alignment horizontal="center" wrapText="1"/>
    </xf>
    <xf numFmtId="164" fontId="0" fillId="0" borderId="0" applyAlignment="1" pivotButton="0" quotePrefix="0" xfId="2">
      <alignment vertical="top" wrapText="1"/>
    </xf>
    <xf numFmtId="0" fontId="3" fillId="0" borderId="0" applyAlignment="1" pivotButton="0" quotePrefix="0" xfId="1">
      <alignment horizontal="center" vertical="center" wrapText="1"/>
    </xf>
    <xf numFmtId="0" fontId="2" fillId="0" borderId="3" pivotButton="0" quotePrefix="0" xfId="0"/>
    <xf numFmtId="0" fontId="0" fillId="0" borderId="0" applyAlignment="1" pivotButton="0" quotePrefix="0" xfId="0">
      <alignment vertical="center"/>
    </xf>
    <xf numFmtId="0" fontId="6" fillId="0" borderId="0" applyAlignment="1" pivotButton="0" quotePrefix="0" xfId="0">
      <alignment vertical="center"/>
    </xf>
    <xf numFmtId="0" fontId="0" fillId="0" borderId="0" applyAlignment="1" pivotButton="0" quotePrefix="0" xfId="0">
      <alignment wrapText="1"/>
    </xf>
    <xf numFmtId="0" fontId="7" fillId="2" borderId="0" applyAlignment="1" pivotButton="0" quotePrefix="0" xfId="0">
      <alignment vertical="top" wrapText="1"/>
    </xf>
    <xf numFmtId="0" fontId="2" fillId="0" borderId="3" applyAlignment="1" pivotButton="0" quotePrefix="0" xfId="0">
      <alignment horizontal="center" vertical="top"/>
    </xf>
    <xf numFmtId="0" fontId="0" fillId="0" borderId="3" applyAlignment="1" pivotButton="0" quotePrefix="0" xfId="0">
      <alignment vertical="top" wrapText="1"/>
    </xf>
    <xf numFmtId="0" fontId="0" fillId="0" borderId="3" applyAlignment="1" pivotButton="0" quotePrefix="0" xfId="0">
      <alignment vertical="top"/>
    </xf>
    <xf numFmtId="0" fontId="3" fillId="0" borderId="3" applyAlignment="1" pivotButton="0" quotePrefix="0" xfId="1">
      <alignment vertical="top" wrapText="1"/>
    </xf>
    <xf numFmtId="164" fontId="0" fillId="0" borderId="3" applyAlignment="1" pivotButton="0" quotePrefix="0" xfId="2">
      <alignment vertical="top"/>
    </xf>
    <xf numFmtId="0" fontId="0" fillId="0" borderId="3" applyAlignment="1" pivotButton="0" quotePrefix="0" xfId="0">
      <alignment horizontal="center" vertical="top"/>
    </xf>
    <xf numFmtId="0" fontId="0" fillId="0" borderId="3" pivotButton="0" quotePrefix="0" xfId="0"/>
    <xf numFmtId="164" fontId="0" fillId="4" borderId="3" applyAlignment="1" pivotButton="0" quotePrefix="0" xfId="2">
      <alignment vertical="top"/>
    </xf>
    <xf numFmtId="0" fontId="0" fillId="4" borderId="3" applyAlignment="1" pivotButton="0" quotePrefix="0" xfId="0">
      <alignment vertical="top"/>
    </xf>
    <xf numFmtId="0" fontId="0" fillId="4" borderId="3" applyAlignment="1" pivotButton="0" quotePrefix="0" xfId="0">
      <alignment vertical="top" wrapText="1"/>
    </xf>
    <xf numFmtId="0" fontId="0" fillId="4" borderId="3" applyAlignment="1" pivotButton="0" quotePrefix="0" xfId="0">
      <alignment horizontal="center" vertical="top"/>
    </xf>
    <xf numFmtId="0" fontId="0" fillId="0" borderId="3" applyAlignment="1" pivotButton="0" quotePrefix="0" xfId="0">
      <alignment vertical="center"/>
    </xf>
    <xf numFmtId="0" fontId="0" fillId="0" borderId="3" applyAlignment="1" pivotButton="0" quotePrefix="0" xfId="0">
      <alignment vertical="center" wrapText="1"/>
    </xf>
    <xf numFmtId="0" fontId="3" fillId="0" borderId="3" applyAlignment="1" pivotButton="0" quotePrefix="0" xfId="1">
      <alignment vertical="center" wrapText="1"/>
    </xf>
    <xf numFmtId="165" fontId="0" fillId="0" borderId="3" applyAlignment="1" pivotButton="0" quotePrefix="0" xfId="2">
      <alignment vertical="top" wrapText="1"/>
    </xf>
    <xf numFmtId="0" fontId="0" fillId="0" borderId="3" applyAlignment="1" pivotButton="0" quotePrefix="0" xfId="0">
      <alignment horizontal="center" vertical="top" wrapText="1"/>
    </xf>
    <xf numFmtId="165" fontId="0" fillId="0" borderId="3" applyAlignment="1" pivotButton="0" quotePrefix="0" xfId="2">
      <alignment vertical="top"/>
    </xf>
    <xf numFmtId="165" fontId="0" fillId="0" borderId="3" applyAlignment="1" pivotButton="0" quotePrefix="0" xfId="2">
      <alignment vertical="top"/>
    </xf>
    <xf numFmtId="165" fontId="0" fillId="4" borderId="3" applyAlignment="1" pivotButton="0" quotePrefix="0" xfId="2">
      <alignment vertical="top"/>
    </xf>
    <xf numFmtId="0" fontId="0" fillId="4" borderId="3" applyAlignment="1" pivotButton="0" quotePrefix="0" xfId="0">
      <alignment horizontal="center" vertical="top" wrapText="1"/>
    </xf>
    <xf numFmtId="0" fontId="3" fillId="0" borderId="3" applyAlignment="1" pivotButton="0" quotePrefix="0" xfId="1">
      <alignment horizontal="center" vertical="center" wrapText="1"/>
    </xf>
    <xf numFmtId="164" fontId="0" fillId="0" borderId="3" applyAlignment="1" pivotButton="0" quotePrefix="0" xfId="2">
      <alignment vertical="top" wrapText="1"/>
    </xf>
    <xf numFmtId="0" fontId="0" fillId="0" borderId="3" applyAlignment="1" pivotButton="0" quotePrefix="0" xfId="0">
      <alignment horizontal="center" vertical="center" wrapText="1"/>
    </xf>
    <xf numFmtId="0" fontId="2" fillId="0" borderId="3" applyAlignment="1" pivotButton="0" quotePrefix="0" xfId="0">
      <alignment horizontal="center"/>
    </xf>
    <xf numFmtId="0" fontId="9" fillId="0" borderId="3" applyAlignment="1" pivotButton="0" quotePrefix="0" xfId="0">
      <alignment wrapText="1"/>
    </xf>
    <xf numFmtId="0" fontId="0" fillId="0" borderId="3" applyAlignment="1" pivotButton="0" quotePrefix="1" xfId="0">
      <alignment vertical="center"/>
    </xf>
    <xf numFmtId="0" fontId="10" fillId="0" borderId="3" applyAlignment="1" pivotButton="0" quotePrefix="0" xfId="0">
      <alignment horizontal="center" vertical="top" wrapText="1"/>
    </xf>
    <xf numFmtId="0" fontId="7" fillId="0" borderId="3" applyAlignment="1" pivotButton="0" quotePrefix="0" xfId="0">
      <alignment wrapText="1"/>
    </xf>
    <xf numFmtId="0" fontId="0" fillId="0" borderId="5" applyAlignment="1" pivotButton="0" quotePrefix="0" xfId="0">
      <alignment vertical="top" wrapText="1"/>
    </xf>
    <xf numFmtId="0" fontId="0" fillId="0" borderId="6" applyAlignment="1" pivotButton="0" quotePrefix="0" xfId="0">
      <alignment wrapText="1"/>
    </xf>
    <xf numFmtId="0" fontId="0" fillId="0" borderId="6" pivotButton="0" quotePrefix="0" xfId="0"/>
    <xf numFmtId="0" fontId="2" fillId="0" borderId="7" pivotButton="0" quotePrefix="0" xfId="0"/>
    <xf numFmtId="0" fontId="0" fillId="0" borderId="7" pivotButton="0" quotePrefix="1" xfId="0"/>
    <xf numFmtId="0" fontId="0" fillId="0" borderId="9" pivotButton="0" quotePrefix="1" xfId="0"/>
    <xf numFmtId="0" fontId="0" fillId="0" borderId="8" pivotButton="0" quotePrefix="1" xfId="0"/>
    <xf numFmtId="0" fontId="0" fillId="0" borderId="9" applyAlignment="1" pivotButton="0" quotePrefix="1" xfId="0">
      <alignment horizontal="center" wrapText="1"/>
    </xf>
    <xf numFmtId="0" fontId="0" fillId="0" borderId="8" applyAlignment="1" pivotButton="0" quotePrefix="1" xfId="0">
      <alignment vertical="center"/>
    </xf>
    <xf numFmtId="0" fontId="0" fillId="0" borderId="7" pivotButton="0" quotePrefix="0" xfId="0"/>
    <xf numFmtId="0" fontId="0" fillId="0" borderId="8" pivotButton="0" quotePrefix="0" xfId="0"/>
    <xf numFmtId="0" fontId="2" fillId="0" borderId="7" applyAlignment="1" pivotButton="0" quotePrefix="0" xfId="0">
      <alignment horizontal="center"/>
    </xf>
    <xf numFmtId="0" fontId="2" fillId="0" borderId="10" applyAlignment="1" pivotButton="0" quotePrefix="0" xfId="0">
      <alignment horizontal="center"/>
    </xf>
    <xf numFmtId="0" fontId="0" fillId="0" borderId="5" applyAlignment="1" pivotButton="0" quotePrefix="0" xfId="0">
      <alignment horizontal="center" vertical="center"/>
    </xf>
    <xf numFmtId="0" fontId="0" fillId="0" borderId="6" applyAlignment="1" pivotButton="0" quotePrefix="0" xfId="0">
      <alignment horizontal="center" vertical="center" wrapText="1"/>
    </xf>
    <xf numFmtId="164" fontId="0" fillId="0" borderId="0" pivotButton="0" quotePrefix="0" xfId="0"/>
    <xf numFmtId="0" fontId="0" fillId="0" borderId="7" applyAlignment="1" pivotButton="0" quotePrefix="0" xfId="0">
      <alignment vertical="top"/>
    </xf>
    <xf numFmtId="0" fontId="0" fillId="0" borderId="7" applyAlignment="1" pivotButton="0" quotePrefix="0" xfId="0">
      <alignment vertical="top" wrapText="1"/>
    </xf>
    <xf numFmtId="0" fontId="3" fillId="0" borderId="7" applyAlignment="1" pivotButton="0" quotePrefix="0" xfId="1">
      <alignment vertical="top" wrapText="1"/>
    </xf>
    <xf numFmtId="165" fontId="0" fillId="0" borderId="7" applyAlignment="1" pivotButton="0" quotePrefix="0" xfId="2">
      <alignment vertical="top"/>
    </xf>
    <xf numFmtId="0" fontId="0" fillId="0" borderId="7" applyAlignment="1" pivotButton="0" quotePrefix="0" xfId="0">
      <alignment horizontal="right" vertical="top" wrapText="1"/>
    </xf>
    <xf numFmtId="0" fontId="0" fillId="0" borderId="10" applyAlignment="1" pivotButton="0" quotePrefix="0" xfId="0">
      <alignment horizontal="center" vertical="center"/>
    </xf>
    <xf numFmtId="0" fontId="0" fillId="0" borderId="7" applyAlignment="1" pivotButton="0" quotePrefix="0" xfId="0">
      <alignment horizontal="center" vertical="center"/>
    </xf>
    <xf numFmtId="0" fontId="0" fillId="0" borderId="11" applyAlignment="1" pivotButton="0" quotePrefix="0" xfId="0">
      <alignment horizontal="center" vertical="center" wrapText="1"/>
    </xf>
    <xf numFmtId="0" fontId="0" fillId="0" borderId="7" applyAlignment="1" pivotButton="0" quotePrefix="0" xfId="0">
      <alignment vertical="center"/>
    </xf>
    <xf numFmtId="0" fontId="0" fillId="0" borderId="1" applyAlignment="1" pivotButton="0" quotePrefix="0" xfId="0">
      <alignment vertical="top"/>
    </xf>
    <xf numFmtId="0" fontId="0" fillId="0" borderId="1" applyAlignment="1" pivotButton="0" quotePrefix="0" xfId="0">
      <alignment vertical="top" wrapText="1"/>
    </xf>
    <xf numFmtId="0" fontId="3" fillId="0" borderId="1" applyAlignment="1" pivotButton="0" quotePrefix="0" xfId="1">
      <alignment vertical="top" wrapText="1"/>
    </xf>
    <xf numFmtId="0" fontId="0" fillId="0" borderId="1" applyAlignment="1" pivotButton="0" quotePrefix="0" xfId="0">
      <alignment horizontal="right" vertical="top" wrapText="1"/>
    </xf>
    <xf numFmtId="0" fontId="0" fillId="0" borderId="1" pivotButton="0" quotePrefix="0" xfId="0"/>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9" fillId="0" borderId="7" applyAlignment="1" pivotButton="0" quotePrefix="0" xfId="0">
      <alignment wrapText="1"/>
    </xf>
    <xf numFmtId="0" fontId="9" fillId="0" borderId="1" applyAlignment="1" pivotButton="0" quotePrefix="0" xfId="0">
      <alignment wrapText="1"/>
    </xf>
    <xf numFmtId="165" fontId="0" fillId="0" borderId="1" applyAlignment="1" pivotButton="0" quotePrefix="0" xfId="2">
      <alignment vertical="top" wrapText="1"/>
    </xf>
    <xf numFmtId="0" fontId="0" fillId="0" borderId="0" applyAlignment="1" pivotButton="0" quotePrefix="0" xfId="0">
      <alignment horizontal="center" vertical="center"/>
    </xf>
    <xf numFmtId="3" fontId="11" fillId="0" borderId="0" pivotButton="0" quotePrefix="0" xfId="0"/>
    <xf numFmtId="0" fontId="0" fillId="0" borderId="0" applyAlignment="1" pivotButton="0" quotePrefix="0" xfId="0">
      <alignment horizontal="right" vertical="top" wrapText="1"/>
    </xf>
    <xf numFmtId="0" fontId="9" fillId="0" borderId="0" applyAlignment="1" pivotButton="0" quotePrefix="0" xfId="0">
      <alignment wrapText="1"/>
    </xf>
    <xf numFmtId="0" fontId="3" fillId="0" borderId="0" applyAlignment="1" pivotButton="0" quotePrefix="0" xfId="1">
      <alignment vertical="top" wrapText="1"/>
    </xf>
    <xf numFmtId="0" fontId="0" fillId="0" borderId="1" applyAlignment="1" pivotButton="0" quotePrefix="0" xfId="0">
      <alignment horizontal="left" vertical="top" wrapText="1"/>
    </xf>
    <xf numFmtId="0" fontId="0" fillId="0" borderId="7" applyAlignment="1" pivotButton="0" quotePrefix="0" xfId="0">
      <alignment wrapText="1"/>
    </xf>
    <xf numFmtId="0" fontId="0" fillId="0" borderId="3"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3" fillId="0" borderId="0" applyAlignment="1" pivotButton="0" quotePrefix="0" xfId="1">
      <alignment horizontal="center" vertical="center" wrapText="1"/>
    </xf>
    <xf numFmtId="0" fontId="0" fillId="0" borderId="0" applyAlignment="1" pivotButton="0" quotePrefix="1" xfId="0">
      <alignment horizontal="center" vertical="center"/>
    </xf>
    <xf numFmtId="0" fontId="0" fillId="0" borderId="4" applyAlignment="1" pivotButton="0" quotePrefix="0" xfId="0">
      <alignment horizontal="center" vertical="center"/>
    </xf>
    <xf numFmtId="0" fontId="0" fillId="0" borderId="2" applyAlignment="1" pivotButton="0" quotePrefix="0" xfId="0">
      <alignment horizontal="center" vertical="top" wrapText="1"/>
    </xf>
    <xf numFmtId="0" fontId="0" fillId="0" borderId="0" applyAlignment="1" pivotButton="0" quotePrefix="0" xfId="0">
      <alignment horizontal="center" vertical="top" wrapText="1"/>
    </xf>
    <xf numFmtId="0" fontId="0" fillId="0" borderId="2" applyAlignment="1" pivotButton="0" quotePrefix="0" xfId="0">
      <alignment horizontal="center" vertical="top"/>
    </xf>
    <xf numFmtId="0" fontId="0" fillId="0" borderId="0" applyAlignment="1" pivotButton="0" quotePrefix="0" xfId="0">
      <alignment horizontal="center" vertical="top"/>
    </xf>
    <xf numFmtId="0" fontId="3" fillId="0" borderId="2" applyAlignment="1" pivotButton="0" quotePrefix="0" xfId="1">
      <alignment horizontal="center" vertical="top" wrapText="1"/>
    </xf>
    <xf numFmtId="0" fontId="3" fillId="0" borderId="0" applyAlignment="1" pivotButton="0" quotePrefix="0" xfId="1">
      <alignment horizontal="center" vertical="top" wrapText="1"/>
    </xf>
    <xf numFmtId="0" fontId="0" fillId="0" borderId="0" applyAlignment="1" pivotButton="0" quotePrefix="1" xfId="0">
      <alignment horizontal="center"/>
    </xf>
    <xf numFmtId="0" fontId="0" fillId="0" borderId="0" applyAlignment="1" pivotButton="0" quotePrefix="0" xfId="0">
      <alignment horizontal="center"/>
    </xf>
    <xf numFmtId="0" fontId="1" fillId="0" borderId="3" applyAlignment="1" pivotButton="0" quotePrefix="0" xfId="0">
      <alignment horizontal="left" vertical="center" wrapText="1"/>
    </xf>
    <xf numFmtId="0" fontId="1" fillId="0" borderId="3" applyAlignment="1" pivotButton="0" quotePrefix="0" xfId="0">
      <alignment wrapText="1"/>
    </xf>
    <xf numFmtId="0" fontId="1" fillId="0" borderId="3" applyAlignment="1" pivotButton="0" quotePrefix="0" xfId="0">
      <alignment vertical="center" wrapText="1"/>
    </xf>
    <xf numFmtId="164" fontId="0" fillId="5" borderId="3" applyAlignment="1" pivotButton="0" quotePrefix="0" xfId="2">
      <alignment vertical="top"/>
    </xf>
    <xf numFmtId="0" fontId="0" fillId="5" borderId="3" applyAlignment="1" pivotButton="0" quotePrefix="0" xfId="0">
      <alignment horizontal="center" vertical="top"/>
    </xf>
    <xf numFmtId="0" fontId="0" fillId="5" borderId="3" applyAlignment="1" pivotButton="0" quotePrefix="0" xfId="0">
      <alignment vertical="top"/>
    </xf>
    <xf numFmtId="165" fontId="0" fillId="5" borderId="3" applyAlignment="1" pivotButton="0" quotePrefix="0" xfId="2">
      <alignment vertical="top" wrapText="1"/>
    </xf>
    <xf numFmtId="164" fontId="0" fillId="5" borderId="3" applyAlignment="1" pivotButton="0" quotePrefix="0" xfId="2">
      <alignment vertical="top" wrapText="1"/>
    </xf>
    <xf numFmtId="0" fontId="4" fillId="0" borderId="3" applyAlignment="1" pivotButton="0" quotePrefix="0" xfId="0">
      <alignment vertical="top"/>
    </xf>
    <xf numFmtId="0" fontId="4" fillId="0" borderId="3" applyAlignment="1" pivotButton="0" quotePrefix="0" xfId="0">
      <alignment vertical="top" wrapText="1"/>
    </xf>
    <xf numFmtId="164" fontId="4" fillId="0" borderId="3" applyAlignment="1" pivotButton="0" quotePrefix="0" xfId="2">
      <alignment vertical="top"/>
    </xf>
    <xf numFmtId="0" fontId="4" fillId="5" borderId="3" applyAlignment="1" pivotButton="0" quotePrefix="0" xfId="0">
      <alignment vertical="top" wrapText="1"/>
    </xf>
    <xf numFmtId="0" fontId="4" fillId="5" borderId="3" applyAlignment="1" pivotButton="0" quotePrefix="0" xfId="0">
      <alignment vertical="top"/>
    </xf>
    <xf numFmtId="0" fontId="4" fillId="0" borderId="3" applyAlignment="1" pivotButton="0" quotePrefix="0" xfId="0">
      <alignment vertical="center" wrapText="1"/>
    </xf>
    <xf numFmtId="0" fontId="4" fillId="0" borderId="3" pivotButton="0" quotePrefix="0" xfId="0"/>
    <xf numFmtId="0" fontId="4" fillId="0" borderId="3" applyAlignment="1" pivotButton="0" quotePrefix="0" xfId="0">
      <alignment horizontal="center" vertical="center"/>
    </xf>
    <xf numFmtId="0" fontId="4" fillId="0" borderId="6" applyAlignment="1" pivotButton="0" quotePrefix="0" xfId="0">
      <alignment horizontal="center" vertical="center" wrapText="1"/>
    </xf>
    <xf numFmtId="0" fontId="4" fillId="0" borderId="3" applyAlignment="1" pivotButton="0" quotePrefix="0" xfId="0">
      <alignment vertical="center"/>
    </xf>
    <xf numFmtId="0" fontId="4" fillId="0" borderId="0" pivotButton="0" quotePrefix="0" xfId="0"/>
    <xf numFmtId="165" fontId="0" fillId="5" borderId="7" applyAlignment="1" pivotButton="0" quotePrefix="0" xfId="2">
      <alignment vertical="top"/>
    </xf>
    <xf numFmtId="0" fontId="4" fillId="0" borderId="7" applyAlignment="1" pivotButton="0" quotePrefix="0" xfId="0">
      <alignment vertical="top"/>
    </xf>
    <xf numFmtId="0" fontId="4" fillId="0" borderId="7" applyAlignment="1" pivotButton="0" quotePrefix="0" xfId="0">
      <alignment vertical="top" wrapText="1"/>
    </xf>
    <xf numFmtId="165" fontId="4" fillId="0" borderId="7" applyAlignment="1" pivotButton="0" quotePrefix="0" xfId="2">
      <alignment vertical="top"/>
    </xf>
    <xf numFmtId="0" fontId="4" fillId="5" borderId="7" applyAlignment="1" pivotButton="0" quotePrefix="0" xfId="0">
      <alignment vertical="top" wrapText="1"/>
    </xf>
    <xf numFmtId="0" fontId="4" fillId="5" borderId="7" applyAlignment="1" pivotButton="0" quotePrefix="0" xfId="0">
      <alignment horizontal="right" vertical="top" wrapText="1"/>
    </xf>
    <xf numFmtId="0" fontId="4" fillId="0" borderId="7" applyAlignment="1" pivotButton="0" quotePrefix="0" xfId="0">
      <alignment wrapText="1"/>
    </xf>
    <xf numFmtId="0" fontId="4" fillId="0" borderId="7" applyAlignment="1" pivotButton="0" quotePrefix="0" xfId="0">
      <alignment horizontal="center" vertical="center"/>
    </xf>
    <xf numFmtId="0" fontId="4" fillId="0" borderId="11" applyAlignment="1" pivotButton="0" quotePrefix="0" xfId="0">
      <alignment horizontal="center" vertical="center" wrapText="1"/>
    </xf>
    <xf numFmtId="0" fontId="4" fillId="0" borderId="7" applyAlignment="1" pivotButton="0" quotePrefix="0" xfId="0">
      <alignment vertical="center"/>
    </xf>
    <xf numFmtId="0" fontId="4" fillId="0" borderId="7" pivotButton="0" quotePrefix="0" xfId="0"/>
    <xf numFmtId="165" fontId="0" fillId="5" borderId="1" applyAlignment="1" pivotButton="0" quotePrefix="0" xfId="2">
      <alignment vertical="top" wrapText="1"/>
    </xf>
    <xf numFmtId="3" fontId="11" fillId="5" borderId="0" pivotButton="0" quotePrefix="0" xfId="0"/>
    <xf numFmtId="0" fontId="4" fillId="0" borderId="1" applyAlignment="1" pivotButton="0" quotePrefix="0" xfId="0">
      <alignment vertical="top"/>
    </xf>
    <xf numFmtId="0" fontId="4" fillId="0"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0" borderId="1" applyAlignment="1" pivotButton="0" quotePrefix="0" xfId="0">
      <alignment horizontal="center" vertical="center" wrapText="1"/>
    </xf>
    <xf numFmtId="0" fontId="4" fillId="0" borderId="1" applyAlignment="1" pivotButton="0" quotePrefix="0" xfId="0">
      <alignment vertical="center"/>
    </xf>
    <xf numFmtId="0" fontId="4" fillId="0" borderId="1" pivotButton="0" quotePrefix="0" xfId="0"/>
    <xf numFmtId="0" fontId="12" fillId="0" borderId="0" applyAlignment="1" pivotButton="0" quotePrefix="0" xfId="0">
      <alignment vertical="top" wrapText="1"/>
    </xf>
  </cellXfs>
  <cellStyles count="3">
    <cellStyle name="Normal" xfId="0" builtinId="0"/>
    <cellStyle name="Hyperlink" xfId="1"/>
    <cellStyle name="Comma" xfId="2" builtin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 validation update</author>
  </authors>
  <commentList>
    <comment ref="K4" authorId="0" shapeId="0">
      <text>
        <t>[AUTO-ADDED] Project reports access/productive-use beneficiary numbers but no MW value. Please add installed capacity (MW) or confirm not applicable.</t>
      </text>
    </comment>
    <comment ref="L4" authorId="0" shapeId="0">
      <text>
        <t>[AUTO-ADDED] Project reports access/productive-use beneficiary numbers but no MW value. Please add installed capacity (MW) or confirm not applicable.</t>
      </text>
    </comment>
    <comment ref="K15" authorId="0" shapeId="0">
      <text>
        <t>[AUTO-ADDED] Project reports access/productive-use beneficiary numbers but no MW value. Please add installed capacity (MW) or confirm not applicable.</t>
      </text>
    </comment>
    <comment ref="L15" authorId="0" shapeId="0">
      <text>
        <t>[AUTO-ADDED] Project reports access/productive-use beneficiary numbers but no MW value. Please add installed capacity (MW) or confirm not applicable.</t>
      </text>
    </comment>
    <comment ref="K17" authorId="0" shapeId="0">
      <text>
        <t>[AUTO-ADDED] Project reports access/productive-use beneficiary numbers but no MW value. Please add installed capacity (MW) or confirm not applicable.</t>
      </text>
    </comment>
    <comment ref="L17" authorId="0" shapeId="0">
      <text>
        <t>[AUTO-ADDED] Project reports access/productive-use beneficiary numbers but no MW value. Please add installed capacity (MW) or confirm not applicable.</t>
      </text>
    </comment>
    <comment ref="K21" authorId="0" shapeId="0">
      <text>
        <t>[AUTO-ADDED] Project reports access/productive-use beneficiary numbers but no MW value. Please add installed capacity (MW) or confirm not applicable.</t>
      </text>
    </comment>
    <comment ref="L21"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undp.org/moldova/projects/moldova-sustainable-green-cities" TargetMode="External" Id="rId1"/><Relationship Type="http://schemas.openxmlformats.org/officeDocument/2006/relationships/hyperlink" Target="https://www.undp.org/moldova/projects/addressing-impacts-energy-crisis-republic-moldova" TargetMode="External" Id="rId2"/><Relationship Type="http://schemas.openxmlformats.org/officeDocument/2006/relationships/hyperlink" Target="https://www.undp.org/moldova/projects/addressing-impacts-energy-crisis-republic-moldova" TargetMode="External" Id="rId3"/><Relationship Type="http://schemas.openxmlformats.org/officeDocument/2006/relationships/hyperlink" Target="https://www.undp.org/moldova/projects/multidimensional-response-emerging-human-security-challenges-moldova" TargetMode="External" Id="rId4"/><Relationship Type="http://schemas.openxmlformats.org/officeDocument/2006/relationships/hyperlink" Target="https://www.undp.org/moldova/projects/greening-future-advancing-rights-and-stability-spurring-inclusive-and-green-transition-responsive-governance-eastern-neighbourhood" TargetMode="External" Id="rId5"/><Relationship Type="http://schemas.openxmlformats.org/officeDocument/2006/relationships/hyperlink" Target="https://www.undp.org/moldova/projects/resilient-communities-through-women-empowerment-phase-2" TargetMode="External" Id="rId6"/><Relationship Type="http://schemas.openxmlformats.org/officeDocument/2006/relationships/hyperlink" Target="https://open.undp.org/projects/01001335" TargetMode="External" Id="rId7"/><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www.undp.org/moldova/projects/moldova-sustainable-green-cities" TargetMode="External" Id="rId1"/><Relationship Type="http://schemas.openxmlformats.org/officeDocument/2006/relationships/hyperlink" Target="https://www.undp.org/moldova/projects/addressing-impacts-energy-crisis-republic-moldova" TargetMode="External" Id="rId2"/><Relationship Type="http://schemas.openxmlformats.org/officeDocument/2006/relationships/hyperlink" Target="https://www.undp.org/moldova/projects/addressing-impacts-energy-crisis-republic-moldova" TargetMode="External" Id="rId3"/><Relationship Type="http://schemas.openxmlformats.org/officeDocument/2006/relationships/hyperlink" Target="https://www.undp.org/moldova/projects/multidimensional-response-emerging-human-security-challenges-moldova" TargetMode="External" Id="rId4"/><Relationship Type="http://schemas.openxmlformats.org/officeDocument/2006/relationships/hyperlink" Target="https://www.undp.org/moldova/projects/emergency-support-agri-producers-context-socio-economic-climate-and-energy-crisis" TargetMode="External" Id="rId5"/></Relationships>
</file>

<file path=xl/worksheets/_rels/sheet3.xml.rels><Relationships xmlns="http://schemas.openxmlformats.org/package/2006/relationships"><Relationship Type="http://schemas.openxmlformats.org/officeDocument/2006/relationships/hyperlink" Target="https://www.undp.org/moldova/projects/moldova-sustainable-green-cities" TargetMode="External" Id="rId1"/><Relationship Type="http://schemas.openxmlformats.org/officeDocument/2006/relationships/hyperlink" Target="https://www.undp.org/moldova/projects/addressing-impacts-energy-crisis-republic-moldova" TargetMode="External" Id="rId2"/><Relationship Type="http://schemas.openxmlformats.org/officeDocument/2006/relationships/hyperlink" Target="https://www.undp.org/moldova/projects/addressing-impacts-energy-crisis-republic-moldova" TargetMode="External" Id="rId3"/><Relationship Type="http://schemas.openxmlformats.org/officeDocument/2006/relationships/hyperlink" Target="https://www.undp.org/moldova/projects/multidimensional-response-emerging-human-security-challenges-moldova" TargetMode="External" Id="rId4"/><Relationship Type="http://schemas.openxmlformats.org/officeDocument/2006/relationships/hyperlink" Target="https://www.undp.org/moldova/projects/emergency-support-agri-producers-context-socio-economic-climate-and-energy-crisis" TargetMode="External" Id="rId5"/></Relationships>
</file>

<file path=xl/worksheets/sheet1.xml><?xml version="1.0" encoding="utf-8"?>
<worksheet xmlns="http://schemas.openxmlformats.org/spreadsheetml/2006/main">
  <sheetPr>
    <outlinePr summaryBelow="1" summaryRight="1"/>
    <pageSetUpPr/>
  </sheetPr>
  <dimension ref="A1:AI23"/>
  <sheetViews>
    <sheetView tabSelected="1" zoomScale="124" zoomScaleNormal="124" workbookViewId="0">
      <pane ySplit="1" topLeftCell="A16" activePane="bottomLeft" state="frozen"/>
      <selection pane="bottomLeft" activeCell="C17" sqref="C17"/>
      <selection activeCell="H1" sqref="H1"/>
    </sheetView>
  </sheetViews>
  <sheetFormatPr baseColWidth="8" defaultColWidth="8.85546875" defaultRowHeight="15"/>
  <cols>
    <col width="11" customWidth="1" min="1" max="1"/>
    <col width="38.7109375" customWidth="1" min="2" max="2"/>
    <col width="42.85546875" customWidth="1" min="3" max="3"/>
    <col width="39.5703125" customWidth="1" min="4" max="4"/>
    <col width="39.5703125" customWidth="1" min="5" max="5"/>
    <col width="39.5703125" customWidth="1" min="6" max="6"/>
    <col width="39.5703125" customWidth="1" min="7" max="7"/>
    <col width="39.5703125" customWidth="1" min="8" max="8"/>
    <col width="56.140625" customWidth="1" min="9" max="9"/>
    <col width="28.28515625" customWidth="1" min="10" max="10"/>
    <col width="32" customWidth="1" min="11" max="11"/>
    <col width="17.28515625" bestFit="1" customWidth="1" min="12" max="12"/>
    <col width="6" bestFit="1" customWidth="1" min="13" max="13"/>
    <col width="18.7109375" bestFit="1" customWidth="1" min="14" max="14"/>
    <col width="19.28515625" bestFit="1" customWidth="1" min="15" max="15"/>
    <col width="11.42578125" bestFit="1" customWidth="1" min="16" max="16"/>
    <col width="28.28515625" bestFit="1" customWidth="1" min="17" max="17"/>
    <col width="28.28515625" customWidth="1" min="18" max="18"/>
    <col width="15" bestFit="1" customWidth="1" min="19" max="19"/>
    <col width="38.140625" bestFit="1" customWidth="1" min="20" max="20"/>
    <col width="22" bestFit="1" customWidth="1" min="21" max="21"/>
  </cols>
  <sheetData>
    <row r="1" ht="31.5" customHeight="1">
      <c r="A1" s="28" t="inlineStr">
        <is>
          <t>Project ID</t>
        </is>
      </c>
      <c r="B1" s="28" t="inlineStr">
        <is>
          <t>Title</t>
        </is>
      </c>
      <c r="C1" s="28" t="inlineStr">
        <is>
          <t>Link</t>
        </is>
      </c>
      <c r="D1" s="28" t="inlineStr">
        <is>
          <t>Budget</t>
        </is>
      </c>
      <c r="E1" s="28" t="inlineStr">
        <is>
          <t>Start Year</t>
        </is>
      </c>
      <c r="F1" s="28" t="inlineStr">
        <is>
          <t>End Year</t>
        </is>
      </c>
      <c r="G1" s="28" t="inlineStr">
        <is>
          <t>Status</t>
        </is>
      </c>
      <c r="H1" s="28" t="inlineStr">
        <is>
          <t>VF or Non-VF</t>
        </is>
      </c>
      <c r="I1" s="28" t="inlineStr">
        <is>
          <t>Beneficiary Category</t>
        </is>
      </c>
      <c r="J1" s="28" t="inlineStr">
        <is>
          <t>Indicator</t>
        </is>
      </c>
      <c r="K1" s="28" t="inlineStr">
        <is>
          <t>Baseline</t>
        </is>
      </c>
      <c r="L1" s="28" t="inlineStr">
        <is>
          <t>Target</t>
        </is>
      </c>
      <c r="M1" s="28" t="inlineStr">
        <is>
          <t>Notes</t>
        </is>
      </c>
      <c r="N1" s="59" t="inlineStr">
        <is>
          <t>Donors</t>
        </is>
      </c>
      <c r="O1" s="23" t="inlineStr">
        <is>
          <t>Gender (% female)</t>
        </is>
      </c>
      <c r="P1" s="67" t="inlineStr">
        <is>
          <t>Tag</t>
        </is>
      </c>
      <c r="Q1" s="51" t="inlineStr">
        <is>
          <t>SEH Taxonomy</t>
        </is>
      </c>
      <c r="R1" s="51" t="inlineStr">
        <is>
          <t>RISE Taxonomy</t>
        </is>
      </c>
      <c r="S1" s="67" t="inlineStr">
        <is>
          <t>Flagship</t>
        </is>
      </c>
      <c r="T1" s="67" t="inlineStr">
        <is>
          <t>Indirect Category</t>
        </is>
      </c>
      <c r="U1" s="68" t="inlineStr">
        <is>
          <t>Indirect Taxonomy</t>
        </is>
      </c>
      <c r="V1" s="59" t="inlineStr">
        <is>
          <t>Technology</t>
        </is>
      </c>
      <c r="W1" s="68" t="inlineStr">
        <is>
          <t>Policy or Regulatory Framework</t>
        </is>
      </c>
      <c r="X1" s="59" t="inlineStr">
        <is>
          <t>Policy Population</t>
        </is>
      </c>
      <c r="Y1" t="inlineStr">
        <is>
          <t>prodoc</t>
        </is>
      </c>
    </row>
    <row r="2" ht="306" customHeight="1">
      <c r="A2" s="29" t="inlineStr">
        <is>
          <t>5492 / 00101330</t>
        </is>
      </c>
      <c r="B2" s="30" t="inlineStr">
        <is>
          <t>Moldova Green Cities</t>
        </is>
      </c>
      <c r="C2" s="31" t="inlineStr">
        <is>
          <t>https://www.undp.org/moldova/projects/moldova-sustainable-green-cities</t>
        </is>
      </c>
      <c r="D2" s="32" t="n">
        <v>127500</v>
      </c>
      <c r="E2" s="116" t="n"/>
      <c r="F2" s="116" t="n"/>
      <c r="G2" s="116" t="n"/>
      <c r="H2" s="32" t="inlineStr">
        <is>
          <t>Non-VF</t>
        </is>
      </c>
      <c r="I2" s="30" t="inlineStr">
        <is>
          <t>Electricity Access</t>
        </is>
      </c>
      <c r="J2" s="29" t="inlineStr">
        <is>
          <t xml:space="preserve">1. Photovoltaic panels for electricity production to cover the costs for interior lightening and lift use for residents of 421 apartments from a multi-storey building;  
2. Photovoltaic panels to cover at least 80% of the annual electricity needs of the Placement Center for Adults and Older People from Sculeni village, Ungheni district 
3. Photovoltaic panels to cover at least 30% of the annual electricity needs of the district Hospital from Singerei </t>
        </is>
      </c>
      <c r="K2" s="33" t="n"/>
      <c r="L2" s="29" t="inlineStr">
        <is>
          <t>421 HH</t>
        </is>
      </c>
      <c r="M2" s="56" t="inlineStr">
        <is>
          <t xml:space="preserve">Photovoltaic panels were conected to generate energy for  interior lightening and lift use for residents of 421 apartments from a multi-storey building, as well as for the Placement Center for Adults and Older People from Sculeni village, Ungheni district and for the district Hospital from Singerei. 
The direct beneficiaries of project initiatives are: Residential building, 1500 people (421 families), District Hospital (a permanent medical staff of 306 people and approx. 6200 patients), Sculeni centre for elderly people placement (45 elderly people and 20 people as permanent staff). 
In less than one year, the photovoltaic systems installed with the Green City Project support generated more than 83.19 MWh which led to savings of around US $15 thousand taking into consideration the energy tariffs applied in the Republic of Moldova now. </t>
        </is>
      </c>
      <c r="N2" s="60" t="inlineStr">
        <is>
          <t>GEF, UNDP</t>
        </is>
      </c>
      <c r="O2" s="57" t="inlineStr">
        <is>
          <t>Most of the direct and indirect beneficiaries are women. As for example, 72% of people staying or working at the Placement Centre from Sculeni, Ungheni are women, and 38% - men. As for the Singerei Hospital, 64% of workers and patients are women and 36% are men. In the Chisinau multi-story building beneficiary of a photovoltaic system, 65% of the residents are women and 35% are men.</t>
        </is>
      </c>
      <c r="P2" s="99" t="n"/>
      <c r="Q2" s="70" t="inlineStr">
        <is>
          <t>Accelerating just energy transition</t>
        </is>
      </c>
      <c r="R2" s="99" t="n"/>
      <c r="S2" s="99" t="n"/>
      <c r="T2" s="99" t="n"/>
      <c r="U2" s="99" t="n"/>
      <c r="V2" s="39" t="inlineStr">
        <is>
          <t>Solar</t>
        </is>
      </c>
      <c r="W2" s="99" t="n"/>
      <c r="X2" s="39" t="n"/>
      <c r="AB2" s="99" t="inlineStr">
        <is>
          <t>VF</t>
        </is>
      </c>
      <c r="AC2" s="52" t="n"/>
      <c r="AD2" s="29" t="inlineStr">
        <is>
          <t>Non-VF</t>
        </is>
      </c>
      <c r="AE2" s="34" t="n"/>
      <c r="AF2" s="34" t="inlineStr">
        <is>
          <t>Accelerating just energy transition</t>
        </is>
      </c>
      <c r="AG2" s="34" t="inlineStr">
        <is>
          <t>Renewable Energy</t>
        </is>
      </c>
      <c r="AH2" s="99" t="n"/>
    </row>
    <row r="3" ht="252.75" customHeight="1">
      <c r="A3" s="29" t="n"/>
      <c r="B3" s="30" t="n"/>
      <c r="C3" s="31" t="n"/>
      <c r="D3" s="32" t="n"/>
      <c r="E3" s="32" t="n"/>
      <c r="F3" s="32" t="n"/>
      <c r="G3" s="32" t="n"/>
      <c r="H3" s="32" t="n"/>
      <c r="I3" s="30" t="inlineStr">
        <is>
          <t>Electricity Access</t>
        </is>
      </c>
      <c r="J3" s="29" t="inlineStr">
        <is>
          <t>301 apartments from Chisinau and Balti municipalities</t>
        </is>
      </c>
      <c r="K3" s="33" t="n"/>
      <c r="L3" s="29" t="inlineStr">
        <is>
          <t>301 HH</t>
        </is>
      </c>
      <c r="M3" s="56" t="inlineStr">
        <is>
          <t xml:space="preserve">6 multi-storey residential buildings from Chișinău and Bălți municipality (301 apartments) were switched to horizontal system of distribution the thermal energy, that can generate savings up to 30%, and were connected to Domestic Hot Water system 
After the first heating season, 178 apartments had savings of 90,64 Gcal or about 17% from expected consumption with the vertical system (forecast). The energy saving for preparation of hot water were 23,62%. The total savings in Chisinau based on unused energy are more than US $18 thousand. In Balti, the saving of this year compared to saving from previous years varies from 33.64% to 53.79%. The three multi-story buildings from Balti consumed in 2022-2023 season 270 Gcal less compared with 2021-2022 consumption of these buildings, and with 388 Gcal less compared with 2020-2021 consumption. </t>
        </is>
      </c>
      <c r="N3" s="61" t="n"/>
      <c r="O3" s="58" t="n"/>
      <c r="P3" s="99" t="n"/>
      <c r="Q3" s="70" t="inlineStr">
        <is>
          <t>Accelerating just energy transition</t>
        </is>
      </c>
      <c r="R3" s="99" t="n"/>
      <c r="S3" s="99" t="n"/>
      <c r="T3" s="99" t="n"/>
      <c r="U3" s="99" t="n"/>
      <c r="V3" s="39" t="inlineStr">
        <is>
          <t>Solar</t>
        </is>
      </c>
      <c r="W3" s="99" t="n"/>
      <c r="X3" s="39" t="n"/>
      <c r="AC3" s="52" t="n"/>
      <c r="AD3" s="29" t="inlineStr">
        <is>
          <t>Non-VF</t>
        </is>
      </c>
      <c r="AE3" s="34" t="n"/>
      <c r="AF3" s="34" t="inlineStr">
        <is>
          <t>Accelerating just energy transition</t>
        </is>
      </c>
      <c r="AG3" s="34" t="inlineStr">
        <is>
          <t>Renewable Energy</t>
        </is>
      </c>
      <c r="AH3" s="99" t="n"/>
    </row>
    <row r="4" ht="45" customHeight="1">
      <c r="A4" s="29" t="n"/>
      <c r="B4" s="30" t="n"/>
      <c r="C4" s="31" t="n"/>
      <c r="D4" s="32" t="n"/>
      <c r="E4" s="32" t="n"/>
      <c r="F4" s="32" t="n"/>
      <c r="G4" s="32" t="n"/>
      <c r="H4" s="32" t="n"/>
      <c r="I4" s="30" t="inlineStr">
        <is>
          <t>Energy (MW added)</t>
        </is>
      </c>
      <c r="J4" s="29" t="inlineStr">
        <is>
          <t>2 solar trees generating green energy to
charge for free electronic gadgets installed in
Riscani and Ciocana districts</t>
        </is>
      </c>
      <c r="K4" s="117" t="n"/>
      <c r="L4" s="118" t="n"/>
      <c r="M4" s="56" t="inlineStr">
        <is>
          <t>About 5 MWh produced untill now</t>
        </is>
      </c>
      <c r="N4" s="61" t="n"/>
      <c r="O4" s="58" t="n"/>
      <c r="P4" s="99" t="n"/>
      <c r="Q4" s="70" t="inlineStr">
        <is>
          <t>Accelerating just energy transition</t>
        </is>
      </c>
      <c r="R4" s="99" t="n"/>
      <c r="S4" s="99" t="n"/>
      <c r="T4" s="99" t="n"/>
      <c r="U4" s="99" t="n"/>
      <c r="V4" s="39" t="inlineStr">
        <is>
          <t>Solar</t>
        </is>
      </c>
      <c r="W4" s="99" t="n"/>
      <c r="X4" s="39" t="n"/>
      <c r="AC4" s="52" t="n"/>
      <c r="AD4" s="29" t="inlineStr">
        <is>
          <t>Non-VF</t>
        </is>
      </c>
      <c r="AE4" s="34" t="n"/>
      <c r="AF4" s="34" t="inlineStr">
        <is>
          <t>Accelerating just energy transition</t>
        </is>
      </c>
      <c r="AG4" s="34" t="inlineStr">
        <is>
          <t>Renewable Energy</t>
        </is>
      </c>
      <c r="AH4" s="99" t="n"/>
    </row>
    <row r="5" ht="105" customHeight="1">
      <c r="A5" s="29" t="n"/>
      <c r="B5" s="30" t="n"/>
      <c r="C5" s="31" t="n"/>
      <c r="D5" s="32" t="n"/>
      <c r="E5" s="32" t="n"/>
      <c r="F5" s="32" t="n"/>
      <c r="G5" s="32" t="n"/>
      <c r="H5" s="32" t="n"/>
      <c r="I5" s="30" t="inlineStr">
        <is>
          <t>Policy or Regulatory Framework</t>
        </is>
      </c>
      <c r="J5" s="29" t="inlineStr">
        <is>
          <t>1. Feasibility study "Development of the electric
vehicles charging infrastructure"
2. Pre-feasibility and feasibility study for
transforming biomass waste into energy
developed
3. Roadmap for Sustainable energy and climate
action plan for Chisinau Municipality</t>
        </is>
      </c>
      <c r="K5" s="33" t="n"/>
      <c r="L5" s="29" t="n"/>
      <c r="M5" s="56" t="n"/>
      <c r="N5" s="62" t="n"/>
      <c r="O5" s="58" t="n"/>
      <c r="P5" s="99" t="n"/>
      <c r="Q5" s="70" t="inlineStr">
        <is>
          <t>Accelerating just energy transition</t>
        </is>
      </c>
      <c r="R5" s="99" t="inlineStr">
        <is>
          <t>Renewable Energy</t>
        </is>
      </c>
      <c r="S5" s="99" t="n"/>
      <c r="T5" s="99" t="inlineStr">
        <is>
          <t>NDC Support</t>
        </is>
      </c>
      <c r="U5" s="99" t="inlineStr">
        <is>
          <t>Transport</t>
        </is>
      </c>
      <c r="V5" s="39" t="n"/>
      <c r="W5" s="99" t="inlineStr">
        <is>
          <t>City</t>
        </is>
      </c>
      <c r="X5" s="39" t="n">
        <v>487707</v>
      </c>
      <c r="AC5" s="52" t="n"/>
      <c r="AD5" s="29" t="inlineStr">
        <is>
          <t>Non-VF</t>
        </is>
      </c>
      <c r="AE5" s="34" t="n"/>
      <c r="AF5" s="34" t="inlineStr">
        <is>
          <t>Accelerating just energy transition</t>
        </is>
      </c>
      <c r="AG5" s="34" t="inlineStr">
        <is>
          <t>Renewable Energy</t>
        </is>
      </c>
      <c r="AH5" s="99" t="inlineStr">
        <is>
          <t>Tier 2</t>
        </is>
      </c>
    </row>
    <row r="6" ht="45" customHeight="1">
      <c r="A6" s="29" t="n"/>
      <c r="B6" s="30" t="n"/>
      <c r="C6" s="31" t="n"/>
      <c r="D6" s="32" t="n"/>
      <c r="E6" s="32" t="n"/>
      <c r="F6" s="32" t="n"/>
      <c r="G6" s="32" t="n"/>
      <c r="H6" s="32" t="n"/>
      <c r="I6" s="30" t="inlineStr">
        <is>
          <t>Transportation and E-mobility Services</t>
        </is>
      </c>
      <c r="J6" s="29" t="inlineStr">
        <is>
          <t>66 electric vehicles charging stations installed</t>
        </is>
      </c>
      <c r="K6" s="33" t="n"/>
      <c r="L6" s="29" t="inlineStr">
        <is>
          <t>2000 HH</t>
        </is>
      </c>
      <c r="M6" s="29" t="inlineStr">
        <is>
          <t xml:space="preserve">In the Repubic of Moldova are registred about 2000 electric vehicles. </t>
        </is>
      </c>
      <c r="N6" s="63" t="inlineStr">
        <is>
          <t>GEF, UNDP, Government of Moldova</t>
        </is>
      </c>
      <c r="O6" s="34" t="n"/>
      <c r="P6" s="99" t="n"/>
      <c r="Q6" s="70" t="inlineStr">
        <is>
          <t>Accelerating just energy transition</t>
        </is>
      </c>
      <c r="R6" s="99" t="n"/>
      <c r="S6" s="99" t="n"/>
      <c r="T6" s="99" t="n"/>
      <c r="U6" s="99" t="n"/>
      <c r="V6" s="39" t="n"/>
      <c r="W6" s="99" t="n"/>
      <c r="X6" s="39" t="n"/>
      <c r="AC6" s="52" t="n"/>
      <c r="AD6" s="29" t="inlineStr">
        <is>
          <t>Non-VF</t>
        </is>
      </c>
      <c r="AE6" s="34" t="n"/>
      <c r="AF6" s="34" t="inlineStr">
        <is>
          <t>Accelerating just energy transition</t>
        </is>
      </c>
      <c r="AG6" s="34" t="inlineStr">
        <is>
          <t>Electricity Access</t>
        </is>
      </c>
      <c r="AH6" s="99" t="n"/>
    </row>
    <row r="7" ht="45" customHeight="1">
      <c r="A7" s="29" t="n"/>
      <c r="B7" s="30" t="n"/>
      <c r="C7" s="31" t="n"/>
      <c r="D7" s="35" t="n"/>
      <c r="E7" s="35" t="n"/>
      <c r="F7" s="35" t="n"/>
      <c r="G7" s="35" t="n"/>
      <c r="H7" s="35" t="n"/>
      <c r="I7" s="36" t="inlineStr">
        <is>
          <t>Campaign Participant</t>
        </is>
      </c>
      <c r="J7" s="37" t="inlineStr">
        <is>
          <t>4 editions of the electric cars’ marathon</t>
        </is>
      </c>
      <c r="K7" s="38" t="n"/>
      <c r="L7" s="37" t="n"/>
      <c r="M7" s="56" t="n"/>
      <c r="N7" s="65" t="inlineStr">
        <is>
          <t>GEF, UNDP</t>
        </is>
      </c>
      <c r="O7" s="58" t="n"/>
      <c r="P7" s="99" t="n"/>
      <c r="Q7" s="70" t="inlineStr">
        <is>
          <t>Accelerating just energy transition</t>
        </is>
      </c>
      <c r="R7" s="99" t="n"/>
      <c r="S7" s="99" t="n"/>
      <c r="T7" s="99" t="n"/>
      <c r="U7" s="99" t="n"/>
      <c r="V7" s="39" t="n"/>
      <c r="W7" s="99" t="n"/>
      <c r="X7" s="39" t="n"/>
      <c r="AC7" s="52" t="n"/>
      <c r="AD7" s="29" t="inlineStr">
        <is>
          <t>Non-VF</t>
        </is>
      </c>
      <c r="AE7" s="34" t="n"/>
      <c r="AF7" s="34" t="inlineStr">
        <is>
          <t>Accelerating just energy transition</t>
        </is>
      </c>
      <c r="AG7" s="34" t="inlineStr">
        <is>
          <t>Electricity Access</t>
        </is>
      </c>
      <c r="AH7" s="99" t="n"/>
    </row>
    <row r="8" ht="106.5" customHeight="1">
      <c r="A8" s="29" t="n"/>
      <c r="B8" s="30" t="n"/>
      <c r="C8" s="31" t="n"/>
      <c r="D8" s="35" t="n"/>
      <c r="E8" s="35" t="n"/>
      <c r="F8" s="35" t="n"/>
      <c r="G8" s="35" t="n"/>
      <c r="H8" s="35" t="n"/>
      <c r="I8" s="36" t="inlineStr">
        <is>
          <t>Other Energy Services</t>
        </is>
      </c>
      <c r="J8" s="37" t="inlineStr">
        <is>
          <t>An Energy Management Information System
(EMIS) and smart meters were installed in 17 public buildings from
Chisinau</t>
        </is>
      </c>
      <c r="K8" s="38" t="n"/>
      <c r="L8" s="37" t="n"/>
      <c r="M8" s="56" t="inlineStr">
        <is>
          <t>By 30 June 2023, EMIS system are monitoring the consumption data of 4.5 thousand public buildings from Moldova. The system have consumption data from the last three years. The main energy and water suppliers (Premier Energy, Apa-Canal, Termoelectrica, Cet-Nord, Red-Nord, Apa Canal Floresti) automatically transfer data on energy consumption and other resources to EMIS.</t>
        </is>
      </c>
      <c r="N8" s="66" t="n"/>
      <c r="O8" s="58" t="n"/>
      <c r="P8" s="99" t="n"/>
      <c r="Q8" s="70" t="inlineStr">
        <is>
          <t>Accelerating just energy transition</t>
        </is>
      </c>
      <c r="R8" s="99" t="n"/>
      <c r="S8" s="99" t="n"/>
      <c r="T8" s="99" t="n"/>
      <c r="U8" s="99" t="n"/>
      <c r="V8" s="39" t="n"/>
      <c r="W8" s="99" t="n"/>
      <c r="X8" s="39" t="n"/>
      <c r="AC8" s="52" t="n"/>
      <c r="AD8" s="29" t="inlineStr">
        <is>
          <t>Non-VF</t>
        </is>
      </c>
      <c r="AE8" s="34" t="n"/>
      <c r="AF8" s="34" t="inlineStr">
        <is>
          <t>Accelerating just energy transition</t>
        </is>
      </c>
      <c r="AG8" s="34" t="inlineStr">
        <is>
          <t>Electricity Access</t>
        </is>
      </c>
      <c r="AH8" s="99" t="n"/>
    </row>
    <row r="9" ht="303.75" customHeight="1">
      <c r="A9" s="39" t="n">
        <v>130906</v>
      </c>
      <c r="B9" s="40" t="inlineStr">
        <is>
          <t>Addressing the impacts of the energy crisis in the Republic of Moldova: Initiating solutions toward energy security and energy poverty</t>
        </is>
      </c>
      <c r="C9" s="41" t="inlineStr">
        <is>
          <t>https://www.undp.org/moldova/projects/addressing-impacts-energy-crisis-republic-moldova</t>
        </is>
      </c>
      <c r="D9" s="42" t="n">
        <v>649000</v>
      </c>
      <c r="E9" s="119" t="n"/>
      <c r="F9" s="119" t="n"/>
      <c r="G9" s="119" t="n"/>
      <c r="H9" s="42" t="inlineStr">
        <is>
          <t>Non-VF</t>
        </is>
      </c>
      <c r="I9" s="30" t="inlineStr">
        <is>
          <t>Policy or Regulatory Framework</t>
        </is>
      </c>
      <c r="J9" s="29" t="inlineStr">
        <is>
          <t xml:space="preserve">Component 1: Improving policies and regulatory frameworks to enable energy security, as well as energy efficient and clean energy transition of Moldova in an inclusive way:
1. Number of energy legisaltive ( primary and secondary) acts  developed, ammended and /or approved 
2. Number of gender sensitive energy policy documents  finalised and/or approved
The indicator will measure the following:  drafting or ammending a series of primary or secondary legal acts, in line with Moldova's commitments ( e.g. AA Moldova -EU, Energy Community, etc.) and with the view to enhance preparedeness and response to potential energy crises ( e.g. Law on compulsory oil/gas stocks;  update of Action Plans and Regulations on emergencies in the natural gas and electricity sectors, etc.); 
The indicator will measure the following: finalization of the National Energy and Climate Action Plan, updating the National Energy Strategy 2030 in a gender sensitive manner and gender sensitive budgeting 
</t>
        </is>
      </c>
      <c r="K9" s="43" t="n"/>
      <c r="L9" s="29" t="inlineStr">
        <is>
          <t xml:space="preserve">1. 2 drafts/amendments for the energy policy documents are developed ,consulted and presented to relevant authorities for further approval; 
2. at least 10 draft regulatory documents developed, consulted and presented for relevant authorities for approval  </t>
        </is>
      </c>
      <c r="M9" s="29" t="inlineStr">
        <is>
          <t xml:space="preserve">Assisted different Government ministries, agencies and departments in improving their policies and regulatory frameworks. </t>
        </is>
      </c>
      <c r="N9" s="64" t="inlineStr">
        <is>
          <t>European Union $13.5M</t>
        </is>
      </c>
      <c r="O9" s="34" t="n"/>
      <c r="P9" s="99" t="n"/>
      <c r="Q9" s="70" t="inlineStr">
        <is>
          <t>Accelerating just energy transition</t>
        </is>
      </c>
      <c r="R9" s="99" t="inlineStr">
        <is>
          <t>Overall</t>
        </is>
      </c>
      <c r="S9" s="99" t="n"/>
      <c r="T9" s="99" t="inlineStr">
        <is>
          <t>Legal Framework</t>
        </is>
      </c>
      <c r="U9" s="99" t="inlineStr">
        <is>
          <t>Electricity Access</t>
        </is>
      </c>
      <c r="V9" s="39" t="n"/>
      <c r="W9" s="99" t="inlineStr">
        <is>
          <t>National</t>
        </is>
      </c>
      <c r="X9" s="39" t="n"/>
      <c r="AB9" s="34" t="n"/>
      <c r="AC9" s="52" t="n"/>
      <c r="AD9" s="29" t="inlineStr">
        <is>
          <t>Non-VF</t>
        </is>
      </c>
      <c r="AE9" s="34" t="n"/>
      <c r="AF9" s="34" t="inlineStr">
        <is>
          <t>Close the gap on energy access</t>
        </is>
      </c>
      <c r="AG9" s="34" t="inlineStr">
        <is>
          <t>Electricity Access</t>
        </is>
      </c>
      <c r="AH9" s="99" t="inlineStr">
        <is>
          <t>Tier 1</t>
        </is>
      </c>
    </row>
    <row r="10" ht="214.5" customHeight="1">
      <c r="A10" s="39" t="n"/>
      <c r="B10" s="40" t="n"/>
      <c r="C10" s="41" t="n"/>
      <c r="D10" s="45" t="n"/>
      <c r="E10" s="45" t="n"/>
      <c r="F10" s="45" t="n"/>
      <c r="G10" s="45" t="n"/>
      <c r="H10" s="45" t="n"/>
      <c r="I10" s="30" t="inlineStr">
        <is>
          <t>Capacity Building Training</t>
        </is>
      </c>
      <c r="J10" s="29" t="inlineStr">
        <is>
          <t xml:space="preserve">Component 2: Enhancing institutional capacities and coordination mechanisms to address and avert risks entailed in recent and potential future energy crisis
1. Energy coordination mechanim is established and functional
2. Number of institutions in the energy and renewables sectors benefiting from individual, institutional, and technological capacity building 
3. % of staff in the targeted institutions that benefit from trainings in the energy related sector, disaggregated by gender
4. Number of procurement rules and regulations                                         
</t>
        </is>
      </c>
      <c r="K10" s="43" t="n"/>
      <c r="L10" s="29" t="n"/>
      <c r="M10" s="29" t="inlineStr">
        <is>
          <t xml:space="preserve">1. The energy coordination mechamism is in place
2. 12 stakeholders institutions benefit from capacity building actions in the framework of other initiatives (Ministry of Energy, Ministry of Economy, EEA, ISSPNPC, TUM, INS, INM, CMAC, Moldac,  LPAs, Transport and Distribution Operator Systems, Energy auditors)
3. 50% staff in the targeted institutions and legal entities that benefit from trainings in the energy related areas (average value)/disadggregated
4. Procurement procedures in the energy field in place </t>
        </is>
      </c>
      <c r="N10" s="53" t="n"/>
      <c r="O10" s="34" t="n"/>
      <c r="P10" s="99" t="n"/>
      <c r="Q10" s="70" t="inlineStr">
        <is>
          <t>Accelerating just energy transition</t>
        </is>
      </c>
      <c r="R10" s="99" t="n"/>
      <c r="S10" s="99" t="n"/>
      <c r="T10" s="99" t="n"/>
      <c r="U10" s="99" t="n"/>
      <c r="V10" s="39" t="n"/>
      <c r="W10" s="99" t="n"/>
      <c r="X10" s="39" t="n"/>
      <c r="AB10" s="34" t="n"/>
      <c r="AC10" s="52" t="n"/>
      <c r="AD10" s="29" t="inlineStr">
        <is>
          <t>Non-VF</t>
        </is>
      </c>
      <c r="AE10" s="34" t="n"/>
      <c r="AF10" s="34" t="inlineStr">
        <is>
          <t>Accelerating just energy transition</t>
        </is>
      </c>
      <c r="AG10" s="34" t="inlineStr">
        <is>
          <t>Electricity Access</t>
        </is>
      </c>
      <c r="AH10" s="99" t="inlineStr">
        <is>
          <t>Tier 2</t>
        </is>
      </c>
    </row>
    <row r="11" ht="214.5" customHeight="1">
      <c r="A11" s="39" t="n"/>
      <c r="B11" s="40" t="n"/>
      <c r="C11" s="41" t="n"/>
      <c r="D11" s="45" t="n"/>
      <c r="E11" s="45" t="n"/>
      <c r="F11" s="45" t="n"/>
      <c r="G11" s="45" t="n"/>
      <c r="H11" s="45" t="n"/>
      <c r="I11" s="30" t="inlineStr">
        <is>
          <t>Campaign Participant</t>
        </is>
      </c>
      <c r="J11" s="29" t="inlineStr">
        <is>
          <t>Component 3: Awareness raising, information and communication to foster public support for energy transition, increase energy efficiency and to address disinformation in a gender sensitive manner
1. Number of consumers reached through EU-funded awareness raising campaigns on the impact of consumption, disaggregated by sex, sector               
 2. Number of inclusive energy efficiency and energy security  knowledge products and tools developed with support of the EU-funded intervention
3. Increase in inquiries on energy related information 
4. Center of Information under AEE reactivated and operational.</t>
        </is>
      </c>
      <c r="K11" s="43" t="n"/>
      <c r="L11" s="29" t="n">
        <v>200000</v>
      </c>
      <c r="M11" s="29" t="inlineStr">
        <is>
          <t>1. 50% increase 
2. tbd
3. 50% increase
4. The Center of energy information is operational (the legal documents for Information Centre functioning are avalable - Operational manual, Regulation on InfoCentre functioning, Awareness and Communication plan)</t>
        </is>
      </c>
      <c r="N11" s="53" t="n"/>
      <c r="O11" s="34" t="n"/>
      <c r="P11" s="99" t="n"/>
      <c r="Q11" s="70" t="inlineStr">
        <is>
          <t>Accelerating just energy transition</t>
        </is>
      </c>
      <c r="R11" s="99" t="n"/>
      <c r="S11" s="99" t="n"/>
      <c r="T11" s="99" t="n"/>
      <c r="U11" s="99" t="n"/>
      <c r="V11" s="39" t="n"/>
      <c r="W11" s="99" t="n"/>
      <c r="X11" s="39" t="n"/>
      <c r="AB11" s="34" t="n"/>
      <c r="AC11" s="52" t="n"/>
      <c r="AD11" s="29" t="inlineStr">
        <is>
          <t>Non-VF</t>
        </is>
      </c>
      <c r="AE11" s="34" t="n"/>
      <c r="AF11" s="34" t="inlineStr">
        <is>
          <t>Accelerating just energy transition</t>
        </is>
      </c>
      <c r="AG11" s="34" t="inlineStr">
        <is>
          <t>Electricity Access</t>
        </is>
      </c>
      <c r="AH11" s="99" t="n"/>
    </row>
    <row r="12" ht="214.5" customHeight="1">
      <c r="A12" s="39" t="n"/>
      <c r="B12" s="40" t="n"/>
      <c r="C12" s="41" t="n"/>
      <c r="D12" s="46" t="n"/>
      <c r="E12" s="46" t="n"/>
      <c r="F12" s="46" t="n"/>
      <c r="G12" s="46" t="n"/>
      <c r="H12" s="46" t="n"/>
      <c r="I12" s="36" t="inlineStr">
        <is>
          <t>Energy Efficiency Services</t>
        </is>
      </c>
      <c r="J12" s="37" t="inlineStr">
        <is>
          <t>Component 4: Demonstrate/pilots of energy efficiency and renewable measures to increase energy affordability and development of sustainable finance mechanisms with primary focus on vulnerable households and public sector
1. Number of Gender responsive National Programs on energy saving practices and  technologies, disaggregated by type of documents
2. Number of households benefitting from implemented energy efficiency and saving measures, disaggregated by types (rural/urban, women/men lead HHs, etc.) 
3. Energy consumption as a result of implemented energy efficiency and saving measures per target group (HHs, public buildings).</t>
        </is>
      </c>
      <c r="K12" s="47" t="n"/>
      <c r="L12" s="37" t="inlineStr">
        <is>
          <t>700000 HH</t>
        </is>
      </c>
      <c r="M12" s="29" t="inlineStr">
        <is>
          <t>National Programms on Green home and Vouchers on replacing non efficient home appliances  have been drafted and being piloted during 2023-2024</t>
        </is>
      </c>
      <c r="N12" s="53" t="n"/>
      <c r="O12" s="34" t="n"/>
      <c r="P12" s="99" t="n"/>
      <c r="Q12" s="70" t="inlineStr">
        <is>
          <t>Accelerating just energy transition</t>
        </is>
      </c>
      <c r="R12" s="99" t="n"/>
      <c r="S12" s="99" t="n"/>
      <c r="T12" s="99" t="n"/>
      <c r="U12" s="99" t="n"/>
      <c r="V12" s="39" t="n"/>
      <c r="W12" s="99" t="n"/>
      <c r="X12" s="39" t="n"/>
      <c r="AB12" s="34" t="n"/>
      <c r="AC12" s="52" t="n"/>
      <c r="AD12" s="29" t="inlineStr">
        <is>
          <t>Non-VF</t>
        </is>
      </c>
      <c r="AE12" s="34" t="n"/>
      <c r="AF12" s="34" t="inlineStr">
        <is>
          <t>Accelerating just energy transition</t>
        </is>
      </c>
      <c r="AG12" s="34" t="inlineStr">
        <is>
          <t>Energy Efficiency</t>
        </is>
      </c>
      <c r="AH12" s="99" t="n"/>
    </row>
    <row r="13" ht="214.5" customHeight="1">
      <c r="A13" s="30" t="n">
        <v>130906</v>
      </c>
      <c r="B13" s="29" t="inlineStr">
        <is>
          <t xml:space="preserve">Energy Vulnerability Reduction Fund </t>
        </is>
      </c>
      <c r="C13" s="48" t="inlineStr">
        <is>
          <t>https://www.undp.org/moldova/projects/addressing-impacts-energy-crisis-republic-moldova</t>
        </is>
      </c>
      <c r="D13" s="49" t="n">
        <v>16492674</v>
      </c>
      <c r="E13" s="120" t="n"/>
      <c r="F13" s="120" t="n"/>
      <c r="G13" s="120" t="n"/>
      <c r="H13" s="49" t="inlineStr">
        <is>
          <t>Non-VF</t>
        </is>
      </c>
      <c r="I13" s="30" t="inlineStr">
        <is>
          <t>Policy or Regulatory Framework</t>
        </is>
      </c>
      <c r="J13" s="29" t="inlineStr">
        <is>
          <t>Support with defining “energy vulnerable consumer” ​
Support with drafting of the Law on the Fund for Reduction of Energy Vulnerability (Law 241/2022) in Moldova
Support with establishment of the Energy Vulnerability Fund;​
Support in setting up a differentiated, fair and final consumer-oriented on-bill compensation mechanism for households based on their level of energy vulnerability (5 categories of energy vulnerability based on income level, household size, assets owned, and energy expenses);​
Support with SIA (gov platform), registration of approximately 750,000 households on the governmental platform, representing over half of Moldova's households​
81% of households with very high energy vulnerability benefited from compensations​
Mobilization of additional funds from development partners and aid through the Energy Vulnerability Fund;​</t>
        </is>
      </c>
      <c r="K13" s="50" t="n"/>
      <c r="L13" s="30" t="n"/>
      <c r="M13" s="29" t="inlineStr">
        <is>
          <t xml:space="preserve">The law on Energy Vulnerability Fund was drafted;
The concept and implementation mechanism of the Energy Vulnerability Fund was developed;
The Energy Vulnerability Information System was developed;
An information campaign to support registration of beneficiaries on the online platform of the Energy Vulnerability Fund conducted;
2023:
Sweden: 9,826,008 USD
Switzerland: 6,666,666 USD </t>
        </is>
      </c>
      <c r="N13" s="53" t="n"/>
      <c r="O13" s="34" t="n"/>
      <c r="P13" s="99" t="n"/>
      <c r="Q13" s="70" t="inlineStr">
        <is>
          <t>Accelerating just energy transition</t>
        </is>
      </c>
      <c r="R13" s="99" t="inlineStr">
        <is>
          <t>Electricity Access</t>
        </is>
      </c>
      <c r="S13" s="99" t="n"/>
      <c r="T13" s="99" t="inlineStr">
        <is>
          <t>Incentives and Support</t>
        </is>
      </c>
      <c r="U13" s="99" t="inlineStr">
        <is>
          <t>Electricity Access</t>
        </is>
      </c>
      <c r="V13" s="39" t="n"/>
      <c r="W13" s="99" t="inlineStr">
        <is>
          <t>National</t>
        </is>
      </c>
      <c r="X13" s="39" t="n"/>
      <c r="AB13" s="34" t="n"/>
      <c r="AC13" s="52" t="n"/>
      <c r="AD13" s="29" t="inlineStr">
        <is>
          <t>Non-VF</t>
        </is>
      </c>
      <c r="AE13" s="34" t="n"/>
      <c r="AF13" s="34" t="inlineStr">
        <is>
          <t>Accelerating just energy transition</t>
        </is>
      </c>
      <c r="AG13" s="34" t="inlineStr">
        <is>
          <t>Electricity Access</t>
        </is>
      </c>
      <c r="AH13" s="99" t="inlineStr">
        <is>
          <t>Tier 1</t>
        </is>
      </c>
    </row>
    <row r="14" ht="193.5" customHeight="1">
      <c r="A14" s="30" t="n">
        <v>1000378</v>
      </c>
      <c r="B14" s="29" t="inlineStr">
        <is>
          <t>Multidimensional response to emerging human security challenges - "Biomass revitalization"</t>
        </is>
      </c>
      <c r="C14" s="31" t="inlineStr">
        <is>
          <t>https://www.undp.org/moldova/projects/multidimensional-response-emerging-human-security-challenges-moldova</t>
        </is>
      </c>
      <c r="D14" s="32" t="n">
        <v>2298111</v>
      </c>
      <c r="E14" s="116" t="n"/>
      <c r="F14" s="116" t="n"/>
      <c r="G14" s="116" t="n"/>
      <c r="H14" s="32" t="inlineStr">
        <is>
          <t>Non-VF</t>
        </is>
      </c>
      <c r="I14" s="30" t="inlineStr">
        <is>
          <t>Electricity Access</t>
        </is>
      </c>
      <c r="J14" s="29" t="inlineStr">
        <is>
          <t># of beneficiaries</t>
        </is>
      </c>
      <c r="K14" s="29" t="inlineStr">
        <is>
          <t xml:space="preserve">To enhance people’s energy security through access to affordable energy that supports livelihoods and energy-efficient production
</t>
        </is>
      </c>
      <c r="L14" s="30" t="n">
        <v>20000</v>
      </c>
      <c r="M14" s="29" t="inlineStr">
        <is>
          <t xml:space="preserve">Expected results:
- 20,000 people will benefit of reinforced biomass heating activities;
- 10 MSMEs from non-agricultural sectors supported to reduce the environmental impact and improve their efficiency;
- 20 households with economic activities implementing energy-efficient technologies;
</t>
        </is>
      </c>
      <c r="N14" s="40" t="inlineStr">
        <is>
          <t xml:space="preserve">Japan $ 2,2  (2023)
</t>
        </is>
      </c>
      <c r="O14" s="34" t="n"/>
      <c r="P14" s="99" t="n"/>
      <c r="Q14" s="70" t="inlineStr">
        <is>
          <t>Accelerating just energy transition</t>
        </is>
      </c>
      <c r="R14" s="99" t="n"/>
      <c r="S14" s="99" t="n"/>
      <c r="T14" s="99" t="n"/>
      <c r="U14" s="99" t="n"/>
      <c r="V14" s="39" t="inlineStr">
        <is>
          <t>Bioenergy</t>
        </is>
      </c>
      <c r="W14" s="99" t="n"/>
      <c r="X14" s="39" t="n"/>
      <c r="AB14" s="34" t="inlineStr">
        <is>
          <t>Non-VF</t>
        </is>
      </c>
      <c r="AC14" s="52" t="n"/>
      <c r="AD14" s="29" t="inlineStr">
        <is>
          <t>Non-VF</t>
        </is>
      </c>
      <c r="AE14" s="34" t="n"/>
      <c r="AF14" s="34" t="inlineStr">
        <is>
          <t>Accelerating just energy transition</t>
        </is>
      </c>
      <c r="AG14" s="34" t="inlineStr">
        <is>
          <t>Electricity Access</t>
        </is>
      </c>
      <c r="AH14" s="99" t="n"/>
    </row>
    <row r="15" ht="322.5" customHeight="1">
      <c r="A15" s="121" t="n"/>
      <c r="B15" s="122" t="n"/>
      <c r="C15" s="31" t="n"/>
      <c r="D15" s="123" t="n"/>
      <c r="E15" s="123" t="n"/>
      <c r="F15" s="123" t="n"/>
      <c r="G15" s="123" t="n"/>
      <c r="H15" s="123" t="n"/>
      <c r="I15" s="121" t="inlineStr">
        <is>
          <t>Energy (MW added)</t>
        </is>
      </c>
      <c r="J15" s="122" t="inlineStr">
        <is>
          <t>Installed capacity in MW for access/productive-use outputs</t>
        </is>
      </c>
      <c r="K15" s="124" t="n">
        <v>0</v>
      </c>
      <c r="L15" s="125" t="n"/>
      <c r="M15" s="122" t="n"/>
      <c r="N15" s="126" t="n"/>
      <c r="O15" s="127" t="n"/>
      <c r="P15" s="128" t="n"/>
      <c r="Q15" s="129" t="n"/>
      <c r="R15" s="128" t="n"/>
      <c r="S15" s="128" t="n"/>
      <c r="T15" s="128" t="n"/>
      <c r="U15" s="128" t="n"/>
      <c r="V15" s="130" t="n"/>
      <c r="W15" s="128" t="n"/>
      <c r="X15" s="130" t="n"/>
      <c r="Y15" s="131" t="n"/>
      <c r="Z15" s="131" t="n"/>
      <c r="AA15" s="131" t="n"/>
      <c r="AB15" s="127" t="n"/>
      <c r="AC15" s="52" t="n"/>
      <c r="AD15" s="122" t="n"/>
      <c r="AE15" s="127" t="n"/>
      <c r="AF15" s="127" t="n"/>
      <c r="AG15" s="127" t="n"/>
      <c r="AH15" s="128" t="n"/>
      <c r="AI15" s="131" t="n"/>
    </row>
    <row r="16" ht="322.5" customHeight="1">
      <c r="A16" s="72" t="n">
        <v>133573</v>
      </c>
      <c r="B16" s="73" t="inlineStr">
        <is>
          <t xml:space="preserve">Emergency support for agri-producers /energy technologies </t>
        </is>
      </c>
      <c r="C16" s="74" t="inlineStr">
        <is>
          <t>https://www.undp.org/moldova/projects/emergency-support-agri-producers-context-socio-economic-climate-and-energy-crisis</t>
        </is>
      </c>
      <c r="D16" s="75" t="n">
        <v>4150139</v>
      </c>
      <c r="E16" s="132" t="n"/>
      <c r="F16" s="132" t="n"/>
      <c r="G16" s="132" t="n"/>
      <c r="H16" s="75" t="inlineStr">
        <is>
          <t>Non-VF</t>
        </is>
      </c>
      <c r="I16" s="72" t="inlineStr">
        <is>
          <t>Medium Enterprises</t>
        </is>
      </c>
      <c r="J16" s="73" t="inlineStr">
        <is>
          <t>SMEs, vulnerable small farmers (particularly women-led farms and young people) in rural areas</t>
        </is>
      </c>
      <c r="K16" s="73" t="inlineStr">
        <is>
          <t>To enhance women agri-producer's resilience in the context of the socio-economic, climate and energys crisis in Moldova</t>
        </is>
      </c>
      <c r="L16" s="76" t="inlineStr">
        <is>
          <t xml:space="preserve">83
</t>
        </is>
      </c>
      <c r="M16" s="73" t="inlineStr">
        <is>
          <t>47 micro agri-producers and 36 small and medium agri-producers benefit from the implementation of renewable energy and energy-efficient technologies (biomass boilers in greenhouses, photovoltaic, among others).
US$4,150.139 ($1,447.590 managed by UNDP)</t>
        </is>
      </c>
      <c r="N16" s="98" t="inlineStr">
        <is>
          <t>Austria (ADA) $ 455,455.53 (2024)
Switzerland (SDC)$ 986,845.96 (2024)</t>
        </is>
      </c>
      <c r="O16" s="98" t="inlineStr">
        <is>
          <t>The target qroup are 100% women 
agri-producers</t>
        </is>
      </c>
      <c r="P16" s="78" t="n"/>
      <c r="Q16" s="79" t="inlineStr">
        <is>
          <t>Accelerating just energy transition</t>
        </is>
      </c>
      <c r="R16" s="78" t="inlineStr">
        <is>
          <t>Energy Efficiency</t>
        </is>
      </c>
      <c r="S16" s="78" t="n"/>
      <c r="T16" s="78" t="n"/>
      <c r="U16" s="78" t="inlineStr">
        <is>
          <t>Renewable Energy</t>
        </is>
      </c>
      <c r="V16" s="80" t="inlineStr">
        <is>
          <t>Solar</t>
        </is>
      </c>
      <c r="W16" s="78" t="inlineStr">
        <is>
          <t>Community</t>
        </is>
      </c>
      <c r="X16" s="80" t="n"/>
      <c r="AB16" s="80" t="inlineStr">
        <is>
          <t>Non-VF</t>
        </is>
      </c>
      <c r="AC16" s="89" t="n"/>
      <c r="AD16" s="73" t="inlineStr">
        <is>
          <t>Non-VF</t>
        </is>
      </c>
      <c r="AE16" s="65" t="n"/>
      <c r="AF16" s="65" t="inlineStr">
        <is>
          <t>Accelerating just energy transition</t>
        </is>
      </c>
      <c r="AG16" s="65" t="inlineStr">
        <is>
          <t>Renewable Energy</t>
        </is>
      </c>
      <c r="AH16" s="78" t="n"/>
    </row>
    <row r="17" ht="322.5" customHeight="1">
      <c r="A17" s="133" t="n"/>
      <c r="B17" s="134" t="n"/>
      <c r="C17" s="74" t="n"/>
      <c r="D17" s="135" t="n"/>
      <c r="E17" s="135" t="n"/>
      <c r="F17" s="135" t="n"/>
      <c r="G17" s="135" t="n"/>
      <c r="H17" s="135" t="n"/>
      <c r="I17" s="133" t="inlineStr">
        <is>
          <t>Energy (MW added)</t>
        </is>
      </c>
      <c r="J17" s="134" t="inlineStr">
        <is>
          <t>Installed capacity in MW for access/productive-use outputs</t>
        </is>
      </c>
      <c r="K17" s="136" t="n">
        <v>0</v>
      </c>
      <c r="L17" s="137" t="n"/>
      <c r="M17" s="134" t="n"/>
      <c r="N17" s="138" t="n"/>
      <c r="O17" s="138" t="n"/>
      <c r="P17" s="139" t="n"/>
      <c r="Q17" s="140" t="n"/>
      <c r="R17" s="139" t="n"/>
      <c r="S17" s="139" t="n"/>
      <c r="T17" s="139" t="n"/>
      <c r="U17" s="139" t="n"/>
      <c r="V17" s="141" t="n"/>
      <c r="W17" s="139" t="n"/>
      <c r="X17" s="141" t="n"/>
      <c r="Y17" s="131" t="n"/>
      <c r="Z17" s="131" t="n"/>
      <c r="AA17" s="131" t="n"/>
      <c r="AB17" s="141" t="n"/>
      <c r="AC17" s="89" t="n"/>
      <c r="AD17" s="134" t="n"/>
      <c r="AE17" s="142" t="n"/>
      <c r="AF17" s="142" t="n"/>
      <c r="AG17" s="142" t="n"/>
      <c r="AH17" s="139" t="n"/>
      <c r="AI17" s="131" t="n"/>
    </row>
    <row r="18" ht="322.5" customHeight="1">
      <c r="A18" s="81" t="n">
        <v>1001727</v>
      </c>
      <c r="B18" s="82" t="inlineStr">
        <is>
          <t>Greening the future, advancing rights and stability: spurring an inclusive and green transition with responsive governance in the eastern neighbourhood region (Molodva)</t>
        </is>
      </c>
      <c r="C18" s="83" t="inlineStr">
        <is>
          <t>https://www.undp.org/moldova/projects/greening-future-advancing-rights-and-stability-spurring-inclusive-and-green-transition-responsive-governance-eastern-neighbourhood</t>
        </is>
      </c>
      <c r="D18" s="91" t="n">
        <v>4268266</v>
      </c>
      <c r="E18" s="143" t="n"/>
      <c r="F18" s="143" t="n"/>
      <c r="G18" s="143" t="n"/>
      <c r="H18" s="91" t="inlineStr">
        <is>
          <t>Non-VF</t>
        </is>
      </c>
      <c r="I18" s="82" t="inlineStr">
        <is>
          <t>Policy or Regulatory Framework</t>
        </is>
      </c>
      <c r="J18" s="82" t="inlineStr">
        <is>
          <t>4.1.2.Number of co-designed risk-informed regulatory and policy frameworks on climate change, disaster risk reduction, environment and energy
4.2.1. Number of people with access to clean, affordable and sustainable energy
4.2.4. Number of partnerships with private sector to promote and co-design innovative solutions on renewable energy, low emission, climate resilient and green development
4.3.3. Number of non-governmental organizations (NGOs)/CBOs with capacities to engage in the areas of climate resilience, low emission and green development</t>
        </is>
      </c>
      <c r="K18" s="82" t="inlineStr">
        <is>
          <t>4.1.2. Baseline: 4 
4.2.1. Baseline: total 199,030 (Women: 53,738 (27%) Men: 145,291) 
4.2.4. Baseline: 29 
4.3.3. Baseline: 116</t>
        </is>
      </c>
      <c r="L18" s="84" t="inlineStr">
        <is>
          <t>4.1.2. Target: 7
4.2.1.  Target: 215,000 (Women: 64,500/Men: 150,500)
4.2.4. Target: 34
4.3.3.Target: 130</t>
        </is>
      </c>
      <c r="M18" s="82" t="inlineStr">
        <is>
          <t>Expected results:
- National Centre for Sustainable Energy has enhanced proficiency in funding and executing energy efficiency projects in the residential buildings
- National energy related campaigns are complemented by nudging strategies and behavioural change initiatives to encourage energy efficiency practices
- At least 5 energy audit of residential buildings are conducted and at least 2 technical designs completedBroadened access for private companies to green and low-carbon technologies available in the national market;
- A targeted energy audit program for MSMEs to engage in energy-saving and greenhouse gas emission reduction practices is launched
- At least 10 regulatory acts in transportation sector 
- Support provided to certain elements of digitalization process of road transportation sector</t>
        </is>
      </c>
      <c r="N18" s="82" t="inlineStr">
        <is>
          <t>Denmark: 2024	= $1,217,005, 2025 = $1,887,018, 2026 = $910,065, 2027 = $254,178</t>
        </is>
      </c>
      <c r="O18" s="85" t="n"/>
      <c r="P18" s="86" t="n"/>
      <c r="Q18" s="87" t="inlineStr">
        <is>
          <t>Accelerating just energy transition</t>
        </is>
      </c>
      <c r="R18" s="86" t="inlineStr">
        <is>
          <t>Energy Efficiency</t>
        </is>
      </c>
      <c r="S18" s="86" t="n"/>
      <c r="T18" s="86" t="inlineStr">
        <is>
          <t>Legal Framework</t>
        </is>
      </c>
      <c r="U18" s="86" t="inlineStr">
        <is>
          <t>Renewable Energy</t>
        </is>
      </c>
      <c r="V18" s="88" t="n"/>
      <c r="W18" s="86" t="inlineStr">
        <is>
          <t>National</t>
        </is>
      </c>
      <c r="X18" s="88" t="n"/>
      <c r="AB18" s="88" t="n"/>
      <c r="AC18" s="90" t="n"/>
      <c r="AD18" s="82" t="n"/>
      <c r="AE18" s="85" t="n"/>
      <c r="AF18" s="85" t="n"/>
      <c r="AG18" s="85" t="n"/>
      <c r="AH18" s="86" t="n"/>
    </row>
    <row r="19" ht="198" customHeight="1">
      <c r="A19" s="81" t="n">
        <v>1000952</v>
      </c>
      <c r="B19" s="82" t="inlineStr">
        <is>
          <t>Accelerating a Just Transition in the Republic of Moldova Programme</t>
        </is>
      </c>
      <c r="C19" s="83" t="inlineStr">
        <is>
          <t>https://www.undp.org/moldova/projects/accelerating-just-transition-republic-moldova-programme</t>
        </is>
      </c>
      <c r="D19" s="91" t="n">
        <v>20675141</v>
      </c>
      <c r="E19" s="143" t="n"/>
      <c r="F19" s="143" t="n"/>
      <c r="G19" s="143" t="n"/>
      <c r="H19" s="91" t="inlineStr">
        <is>
          <t>Non-VF</t>
        </is>
      </c>
      <c r="I19" s="82" t="inlineStr">
        <is>
          <t>Policy or Regulatory Framework</t>
        </is>
      </c>
      <c r="J19" s="82" t="inlineStr">
        <is>
          <t xml:space="preserve">I1 Number of people reached through public awareness campaign outreach on energy efficiency and differentiated tariff benefits (out of which at least 40% women)
I2 Number of representatives participating in workshops on differentiated tariffs provided with educational materials
I3 Number of households and public sector entities with installed smart metering infrastructure for electricity
I4 Number of households/apartments in multi-apartment buildings (MAB) with installed smart thermal energy metering infrastructure
I5 Number of established unified National Consumer Location ID Register (RNLC)
</t>
        </is>
      </c>
      <c r="K19" s="82" t="n">
        <v>0</v>
      </c>
      <c r="L19" s="97" t="inlineStr">
        <is>
          <t xml:space="preserve">3,000,000 consumers outreach (40% women)
60,000 consumers (households )
4
1
3,000,000 people (40% women)
50 journalists, system operators, institutions, and civil society representatives
60,000 households, prosumers, and public sector entities
1,500 households/apartments in MAB
1 established unified RNLC
</t>
        </is>
      </c>
      <c r="M19" s="82" t="n"/>
      <c r="N19" s="82" t="inlineStr">
        <is>
          <t>Italy: 2024 = $7,813,710, 2025 = $3,151,201
Sweden: 2024 = $9,560,229.01</t>
        </is>
      </c>
      <c r="O19" s="85" t="n"/>
      <c r="P19" s="86" t="n"/>
      <c r="Q19" s="87" t="inlineStr">
        <is>
          <t>Accelerating just energy transition</t>
        </is>
      </c>
      <c r="R19" s="86" t="inlineStr">
        <is>
          <t>Renewable Energy</t>
        </is>
      </c>
      <c r="S19" s="86" t="n"/>
      <c r="T19" s="86" t="inlineStr">
        <is>
          <t>Government Capacity-Building</t>
        </is>
      </c>
      <c r="U19" s="86" t="inlineStr">
        <is>
          <t>Energy Efficiency</t>
        </is>
      </c>
      <c r="V19" s="88" t="n"/>
      <c r="W19" s="86" t="inlineStr">
        <is>
          <t>National</t>
        </is>
      </c>
      <c r="X19" s="88" t="n"/>
      <c r="AB19" s="88" t="n"/>
      <c r="AC19" s="90" t="n"/>
      <c r="AD19" s="82" t="n"/>
      <c r="AE19" s="85" t="n"/>
      <c r="AF19" s="85" t="n"/>
      <c r="AG19" s="85" t="n"/>
      <c r="AH19" s="86" t="n"/>
    </row>
    <row r="20">
      <c r="A20" s="81" t="n">
        <v>1002849</v>
      </c>
      <c r="B20" s="82" t="inlineStr">
        <is>
          <t>Resilient Communities through Women Empowerment, phase II</t>
        </is>
      </c>
      <c r="C20" s="83" t="inlineStr">
        <is>
          <t>https://www.undp.org/moldova/projects/resilient-communities-through-women-empowerment-phase-2</t>
        </is>
      </c>
      <c r="D20" s="93" t="n">
        <v>8461359</v>
      </c>
      <c r="E20" s="144" t="n"/>
      <c r="F20" s="144" t="n"/>
      <c r="G20" s="144" t="n"/>
      <c r="H20" s="93" t="inlineStr">
        <is>
          <t>Non-VF</t>
        </is>
      </c>
      <c r="I20" s="82" t="inlineStr">
        <is>
          <t>Medium Enterprises</t>
        </is>
      </c>
      <c r="J20" s="82" t="inlineStr">
        <is>
          <t>Level of awareness on gender transformative climate change interventions in pilot communities as a result of project interventions
No. of LPAs that developed and apply SECAPs with integrated gender aspects
Number of policy recommendations or other central government actions actively promoted in these fora
Number of business incubators benefiting from capacity building and institutional support on gender &amp; climate
Number of women benefiting from implemented community grants financed by the project 
Number of household women who improved their resilience due to climate change adaptation/mitigation activities</t>
        </is>
      </c>
      <c r="K20" s="82" t="inlineStr">
        <is>
          <t>TBD
68
0
0
0
0</t>
        </is>
      </c>
      <c r="L20" s="97" t="inlineStr">
        <is>
          <t>70% of the target beneficiaries are aware of gender transformative climate change interventions
83 
6
12
30,000
80</t>
        </is>
      </c>
      <c r="M20" s="82" t="n"/>
      <c r="N20" s="82" t="inlineStr">
        <is>
          <t xml:space="preserve">Sweden: 2024 = $182,338.04, 2025 = $1,689,690.26, 2026 = $1,686,532.06, 2027 = $1,137,162.54, 2028 = $299,093.38
Norway: 2024 = $592,708.17, 2025 = $1,063,419.99, 2026 = $747,128,23	 </t>
        </is>
      </c>
      <c r="O20" s="82" t="inlineStr">
        <is>
          <t>Most of the direct and indirect
 beneficiaries are women mainly consisting in provision of dedicated technical and financial assistance for putting in place climate resilient agri-practices</t>
        </is>
      </c>
      <c r="P20" s="86" t="n"/>
      <c r="Q20" s="87" t="inlineStr">
        <is>
          <t>Close the gap on energy access</t>
        </is>
      </c>
      <c r="R20" s="86" t="inlineStr">
        <is>
          <t>Overall</t>
        </is>
      </c>
      <c r="S20" s="86" t="n"/>
      <c r="T20" s="86" t="inlineStr">
        <is>
          <t>Incentives and Support</t>
        </is>
      </c>
      <c r="U20" s="86" t="inlineStr">
        <is>
          <t>Energy Efficiency</t>
        </is>
      </c>
      <c r="V20" s="88" t="n"/>
      <c r="W20" s="86" t="inlineStr">
        <is>
          <t>Community</t>
        </is>
      </c>
      <c r="X20" s="88" t="n"/>
      <c r="AB20" s="88" t="n"/>
      <c r="AC20" s="90" t="n"/>
      <c r="AD20" s="82" t="n"/>
      <c r="AE20" s="85" t="n"/>
      <c r="AF20" s="85" t="n"/>
      <c r="AG20" s="85" t="n"/>
      <c r="AH20" s="86" t="n"/>
    </row>
    <row r="21">
      <c r="A21" s="145" t="n"/>
      <c r="B21" s="146" t="n"/>
      <c r="C21" s="83" t="n"/>
      <c r="D21" s="93" t="n"/>
      <c r="E21" s="93" t="n"/>
      <c r="F21" s="93" t="n"/>
      <c r="G21" s="93" t="n"/>
      <c r="H21" s="93" t="n"/>
      <c r="I21" s="146" t="inlineStr">
        <is>
          <t>Energy (MW added)</t>
        </is>
      </c>
      <c r="J21" s="146" t="inlineStr">
        <is>
          <t>Installed capacity in MW for access/productive-use outputs</t>
        </is>
      </c>
      <c r="K21" s="147" t="n">
        <v>0</v>
      </c>
      <c r="L21" s="148" t="n"/>
      <c r="M21" s="146" t="n"/>
      <c r="N21" s="146" t="n"/>
      <c r="O21" s="146" t="n"/>
      <c r="P21" s="149" t="n"/>
      <c r="Q21" s="150" t="n"/>
      <c r="R21" s="149" t="n"/>
      <c r="S21" s="149" t="n"/>
      <c r="T21" s="149" t="n"/>
      <c r="U21" s="149" t="n"/>
      <c r="V21" s="151" t="n"/>
      <c r="W21" s="149" t="n"/>
      <c r="X21" s="151" t="n"/>
      <c r="Y21" s="131" t="n"/>
      <c r="Z21" s="131" t="n"/>
      <c r="AA21" s="131" t="n"/>
      <c r="AB21" s="151" t="n"/>
      <c r="AC21" s="90" t="n"/>
      <c r="AD21" s="146" t="n"/>
      <c r="AE21" s="152" t="n"/>
      <c r="AF21" s="152" t="n"/>
      <c r="AG21" s="152" t="n"/>
      <c r="AH21" s="149" t="n"/>
      <c r="AI21" s="131" t="n"/>
    </row>
    <row r="22">
      <c r="A22" s="6" t="n">
        <v>1001335</v>
      </c>
      <c r="B22" s="5" t="inlineStr">
        <is>
          <t>Enabling an Inclusive Green Transition in the Republic of Moldova</t>
        </is>
      </c>
      <c r="C22" s="96" t="inlineStr">
        <is>
          <t>https://open.undp.org/projects/01001335</t>
        </is>
      </c>
      <c r="D22" s="93" t="n">
        <v>7894000</v>
      </c>
      <c r="E22" s="144" t="n"/>
      <c r="F22" s="144" t="n"/>
      <c r="G22" s="144" t="n"/>
      <c r="H22" s="93" t="inlineStr">
        <is>
          <t>Non-VF</t>
        </is>
      </c>
      <c r="I22" s="5" t="inlineStr">
        <is>
          <t>Policy or Regulatory Framework</t>
        </is>
      </c>
      <c r="J22" s="5" t="inlineStr">
        <is>
          <t xml:space="preserve">1.3 Private investment attracted to green and eco-innovation projects
1.5 Number of green jobs supported/sustained
1.1.1 Number of public officials who participated in platforms, research and events
1.1.2 Number of civisl society representatives who participated in the platforms and events
1.1.3 Number of other participants of the platforms and events
1.1.7 National Sustainable Mobility Programme and Action Plan developed
2.1.2 Number of people benefiting from capacity building programme on the green transition
3.1.3 Number of green start-ups
</t>
        </is>
      </c>
      <c r="K22" s="5" t="n"/>
      <c r="L22" s="94" t="inlineStr">
        <is>
          <t>1.3 Target: 1,000,000 EUR additional investment
1.5 Target: 150 new jobs
1.1.1 Target: 50, including 40% women
1.1.2 Target: 25, including 30% women
1.1.3 Target: 25
1.1.7 Target: National Sustainable Mobility Programme and Action Plan developed
2.1.2 Target: 100, including 50% women
3.1.3 Target: 3 eco-mobility startups supported</t>
        </is>
      </c>
      <c r="M22" s="5" t="n"/>
      <c r="N22" s="5" t="n"/>
      <c r="P22" s="100" t="n"/>
      <c r="Q22" s="87" t="inlineStr">
        <is>
          <t>Accelerating just energy transition</t>
        </is>
      </c>
      <c r="R22" s="100" t="n"/>
      <c r="S22" s="100" t="n"/>
      <c r="T22" s="100" t="n"/>
      <c r="U22" s="100" t="n"/>
      <c r="V22" s="24" t="n"/>
      <c r="W22" s="100" t="n"/>
      <c r="X22" s="24" t="n"/>
      <c r="AB22" s="24" t="n"/>
      <c r="AC22" s="95" t="n"/>
      <c r="AD22" s="5" t="n"/>
      <c r="AH22" s="100" t="n"/>
      <c r="AI22" t="inlineStr">
        <is>
          <t>Note: project data added by Yevgen on 21 Nov 2024</t>
        </is>
      </c>
    </row>
    <row r="23">
      <c r="D23" s="71" t="n"/>
      <c r="E23" s="71" t="n"/>
      <c r="F23" s="71" t="n"/>
      <c r="G23" s="71" t="n"/>
      <c r="H23" s="71" t="n"/>
    </row>
  </sheetData>
  <autoFilter ref="A1:AF1"/>
  <dataValidations count="12">
    <dataValidation sqref="Q2:Q19"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19" showDropDown="0" showInputMessage="1" showErrorMessage="1" allowBlank="1" type="list">
      <formula1>"AMP, PUDC, Solar4Health, Action Opportunities, Italy UNDP Energy Partnership"</formula1>
    </dataValidation>
    <dataValidation sqref="AD2:AD19" showDropDown="0" showInputMessage="1" showErrorMessage="1" allowBlank="1" type="list">
      <formula1>"Electricity Access, Energy Efficiency, Clean Cooking, Renewable Energy"</formula1>
    </dataValidation>
    <dataValidation sqref="N2:N19 AC2:AC19" showDropDown="0" showInputMessage="1" showErrorMessage="1" allowBlank="1" type="list">
      <formula1>"Accelerating just energy transition, Close the gap on energy access, Scale up energy finance"</formula1>
    </dataValidation>
    <dataValidation sqref="AE2:AE19" showDropDown="0" showInputMessage="1" showErrorMessage="1" allowBlank="1" type="list">
      <formula1>"Tier 1, Tier 2, Tier 3"</formula1>
    </dataValidation>
    <dataValidation sqref="O2:O19" showDropDown="0" showInputMessage="1" showErrorMessage="1" allowBlank="1" type="list">
      <formula1>"Electricity Access, Energy Efficiency, Clean Cooking, Renewable Energy, Overall"</formula1>
    </dataValidation>
    <dataValidation sqref="L2:L19" showDropDown="0" showInputMessage="1" showErrorMessage="1" allowBlank="1" type="list">
      <formula1>"Non-VF, VF"</formula1>
    </dataValidation>
    <dataValidation sqref="M2:M19" showDropDown="0" showInputMessage="1" showErrorMessage="1" allowBlank="1" type="list">
      <formula1>"Finance, Gender, Efficiency, Just, Health"</formula1>
    </dataValidation>
    <dataValidation sqref="T2:T19" showDropDown="0" showInputMessage="1" showErrorMessage="1" allowBlank="1" type="list">
      <formula1>"National, Regional, City, Community"</formula1>
    </dataValidation>
    <dataValidation sqref="R2:R19"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19"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9" r:id="rId2"/>
    <hyperlink xmlns:r="http://schemas.openxmlformats.org/officeDocument/2006/relationships" ref="C13" r:id="rId3"/>
    <hyperlink xmlns:r="http://schemas.openxmlformats.org/officeDocument/2006/relationships" ref="C14" r:id="rId4"/>
    <hyperlink xmlns:r="http://schemas.openxmlformats.org/officeDocument/2006/relationships" ref="C16" r:id="rId5"/>
    <hyperlink xmlns:r="http://schemas.openxmlformats.org/officeDocument/2006/relationships" ref="C18" r:id="rId6"/>
    <hyperlink xmlns:r="http://schemas.openxmlformats.org/officeDocument/2006/relationships" ref="C19" r:id="rId7"/>
  </hyperlink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M18"/>
  <sheetViews>
    <sheetView topLeftCell="C9" workbookViewId="0">
      <selection activeCell="M11" sqref="M11"/>
    </sheetView>
  </sheetViews>
  <sheetFormatPr baseColWidth="8" defaultColWidth="8.85546875" defaultRowHeight="15"/>
  <cols>
    <col width="11" customWidth="1" min="1" max="1"/>
    <col width="38.7109375" customWidth="1" min="2" max="2"/>
    <col width="42.85546875" customWidth="1" min="3" max="3"/>
    <col width="39.5703125" customWidth="1" min="4" max="4"/>
    <col width="28.42578125" customWidth="1" min="5" max="5"/>
    <col width="65.140625" customWidth="1" min="6" max="6"/>
    <col width="46.85546875" customWidth="1" min="7" max="7"/>
    <col width="30.85546875" customWidth="1" min="8" max="8"/>
    <col width="56.140625" customWidth="1" min="9" max="9"/>
    <col width="28.28515625" customWidth="1" min="10" max="10"/>
    <col width="32" customWidth="1" min="11" max="11"/>
  </cols>
  <sheetData>
    <row r="1">
      <c r="A1" s="2" t="inlineStr">
        <is>
          <t>Project ID</t>
        </is>
      </c>
      <c r="B1" s="2" t="inlineStr">
        <is>
          <t>Title</t>
        </is>
      </c>
      <c r="C1" s="2" t="inlineStr">
        <is>
          <t>Link</t>
        </is>
      </c>
      <c r="D1" s="2" t="inlineStr">
        <is>
          <t>Budget</t>
        </is>
      </c>
      <c r="E1" s="2" t="inlineStr">
        <is>
          <t>Beneficiary Category</t>
        </is>
      </c>
      <c r="F1" s="2" t="inlineStr">
        <is>
          <t>Indicator</t>
        </is>
      </c>
      <c r="G1" s="2" t="inlineStr">
        <is>
          <t>Baseline</t>
        </is>
      </c>
      <c r="H1" s="2" t="inlineStr">
        <is>
          <t>Target</t>
        </is>
      </c>
      <c r="I1" s="2" t="inlineStr">
        <is>
          <t>Notes</t>
        </is>
      </c>
      <c r="J1" s="12" t="inlineStr">
        <is>
          <t>Donors</t>
        </is>
      </c>
      <c r="K1" s="23" t="inlineStr">
        <is>
          <t>Gender (% female)</t>
        </is>
      </c>
      <c r="L1" s="23" t="inlineStr">
        <is>
          <t>Category</t>
        </is>
      </c>
      <c r="M1" s="23" t="inlineStr">
        <is>
          <t>Comments</t>
        </is>
      </c>
    </row>
    <row r="2" ht="306" customHeight="1">
      <c r="A2" s="105" t="inlineStr">
        <is>
          <t>5492 / 00101330</t>
        </is>
      </c>
      <c r="B2" s="107" t="inlineStr">
        <is>
          <t>Moldova Green Cities</t>
        </is>
      </c>
      <c r="C2" s="109" t="inlineStr">
        <is>
          <t>https://www.undp.org/moldova/projects/moldova-sustainable-green-cities</t>
        </is>
      </c>
      <c r="D2" s="7" t="n">
        <v>127500</v>
      </c>
      <c r="E2" s="4" t="inlineStr">
        <is>
          <t>Energy (MW added)</t>
        </is>
      </c>
      <c r="F2" s="3" t="inlineStr">
        <is>
          <t xml:space="preserve">1. Photovoltaic panels for electricity production to cover the costs for interior lightening and lift use for residents of 421 apartments from a multi-storey building;  
2. Photovoltaic panels to cover at least 80% of the annual electricity needs of the Placement Center for Adults and Older People from Sculeni village, Ungheni district 
3. Photovoltaic panels to cover at least 30% of the annual electricity needs of the district Hospital from Singerei </t>
        </is>
      </c>
      <c r="G2" s="9" t="inlineStr">
        <is>
          <t>2021-2023</t>
        </is>
      </c>
      <c r="H2" s="3" t="n"/>
      <c r="I2" s="3" t="inlineStr">
        <is>
          <t xml:space="preserve">Photovoltaic panels were conected to generate energy for  interior lightening and lift use for residents of 421 apartments from a multi-storey building, as well as for the Placement Center for Adults and Older People from Sculeni village, Ungheni district and for the district Hospital from Singerei. 
The direct beneficiaries of project initiatives are: Residential building, 1500 people (421 families), District Hospital (a permanent medical staff of 306 people and approx. 6200 patients), Sculeni centre for elderly people placement (45 elderly people and 20 people as permanent staff). 
In less than one year, the photovoltaic systems installed with the Green City Project support generated more than 83.19 MWh which led to savings of around US $15 thousand taking into consideration the energy tariffs applied in the Republic of Moldova now. </t>
        </is>
      </c>
      <c r="J2" s="111" t="inlineStr">
        <is>
          <t>GEF, UNDP</t>
        </is>
      </c>
      <c r="K2" s="26" t="inlineStr">
        <is>
          <t>Most of the direct and indirect beneficiaries are women. As for example, 72% of people staying or working at the Placement Centre from Sculeni, Ungheni are women, and 38% - men. As for the Singerei Hospital, 64% of workers and patients are women and 36% are men. In the Chisinau multi-story building beneficiary of a photovoltaic system, 65% of the residents are women and 35% are men.</t>
        </is>
      </c>
      <c r="L2" s="104" t="inlineStr">
        <is>
          <t>VF</t>
        </is>
      </c>
      <c r="M2" s="25" t="inlineStr">
        <is>
          <t>to the CO: Please estimate number of MW or total benefiricaries</t>
        </is>
      </c>
    </row>
    <row r="3" ht="252.75" customHeight="1">
      <c r="D3" s="7" t="n">
        <v>186950</v>
      </c>
      <c r="E3" s="4" t="inlineStr">
        <is>
          <t>Electricity Access</t>
        </is>
      </c>
      <c r="F3" s="3" t="inlineStr">
        <is>
          <t>301 apartments from Chisinau and Balti municipalities</t>
        </is>
      </c>
      <c r="G3" s="9" t="inlineStr">
        <is>
          <t>2022-2023</t>
        </is>
      </c>
      <c r="H3" s="3" t="inlineStr">
        <is>
          <t>301 HH</t>
        </is>
      </c>
      <c r="I3" s="3" t="inlineStr">
        <is>
          <t xml:space="preserve">6 multi-storey residential buildings from Chișinău and Bălți municipality (301 apartments) were switched to horizontal system of distribution the thermal energy, that can generate savings up to 30%, and were connected to Domestic Hot Water system 
After the first heating season, 178 apartments had savings of 90,64 Gcal or about 17% from expected consumption with the vertical system (forecast). The energy saving for preparation of hot water were 23,62%. The total savings in Chisinau based on unused energy are more than US $18 thousand. In Balti, the saving of this year compared to saving from previous years varies from 33.64% to 53.79%. The three multi-story buildings from Balti consumed in 2022-2023 season 270 Gcal less compared with 2021-2022 consumption of these buildings, and with 388 Gcal less compared with 2020-2021 consumption. </t>
        </is>
      </c>
      <c r="M3" s="25" t="n"/>
    </row>
    <row r="4" ht="45" customHeight="1">
      <c r="D4" s="7" t="n">
        <v>49000</v>
      </c>
      <c r="E4" s="4" t="inlineStr">
        <is>
          <t>Energy (MW added)</t>
        </is>
      </c>
      <c r="F4" s="3" t="inlineStr">
        <is>
          <t>2 solar trees generating green energy to
charge for free electronic gadgets installed in
Riscani and Ciocana districts</t>
        </is>
      </c>
      <c r="G4" s="9" t="n">
        <v>2020</v>
      </c>
      <c r="H4" s="4" t="n"/>
      <c r="I4" s="3" t="inlineStr">
        <is>
          <t>About 5 MWh produced untill now</t>
        </is>
      </c>
      <c r="M4" s="25" t="inlineStr">
        <is>
          <t>to the CO: Please estimate number of MW.</t>
        </is>
      </c>
    </row>
    <row r="5" ht="94.5" customHeight="1">
      <c r="D5" s="7" t="n">
        <v>30000</v>
      </c>
      <c r="E5" s="4" t="inlineStr">
        <is>
          <t>Policy or Regulatory Framework</t>
        </is>
      </c>
      <c r="F5" s="3" t="inlineStr">
        <is>
          <t>1. Feasibility study "Development of the electric
vehicles charging infrastructure"
2. Pre-feasibility and feasibility study for
transforming biomass waste into energy
developed
3. Roadmap for Sustainable energy and climate
action plan for Chisinau Municipality</t>
        </is>
      </c>
      <c r="G5" s="9" t="n">
        <v>2019</v>
      </c>
      <c r="H5" s="3" t="n"/>
      <c r="I5" s="3" t="n"/>
      <c r="M5" s="12" t="n"/>
    </row>
    <row r="6" ht="45" customHeight="1">
      <c r="D6" s="7" t="n">
        <v>122000</v>
      </c>
      <c r="E6" s="4" t="inlineStr">
        <is>
          <t>Transport Services</t>
        </is>
      </c>
      <c r="F6" s="3" t="inlineStr">
        <is>
          <t>66 electric vehicles charging stations installed</t>
        </is>
      </c>
      <c r="G6" s="9" t="inlineStr">
        <is>
          <t>2019-2022</t>
        </is>
      </c>
      <c r="H6" s="3" t="n"/>
      <c r="I6" s="3" t="inlineStr">
        <is>
          <t xml:space="preserve">In the Repubic of Moldova are registred about 2000 electric vehicles. </t>
        </is>
      </c>
      <c r="J6" s="20" t="inlineStr">
        <is>
          <t>GEF, UNDP, Government of Moldova</t>
        </is>
      </c>
      <c r="M6" s="25" t="inlineStr">
        <is>
          <t>to the CO: Please estimate number of beneficiaries.</t>
        </is>
      </c>
    </row>
    <row r="7" ht="45" customHeight="1">
      <c r="D7" s="7" t="n">
        <v>20000</v>
      </c>
      <c r="E7" s="4" t="inlineStr">
        <is>
          <t>Campaign Participant</t>
        </is>
      </c>
      <c r="F7" s="3" t="inlineStr">
        <is>
          <t>4 editions of the electric cars’ marathon</t>
        </is>
      </c>
      <c r="G7" s="9" t="inlineStr">
        <is>
          <t>2018-2021</t>
        </is>
      </c>
      <c r="H7" s="3" t="n"/>
      <c r="I7" s="3" t="n"/>
      <c r="J7" s="112" t="inlineStr">
        <is>
          <t>GEF, UNDP</t>
        </is>
      </c>
      <c r="M7" s="25" t="n"/>
    </row>
    <row r="8" ht="106.5" customHeight="1">
      <c r="D8" s="7" t="n">
        <v>56000</v>
      </c>
      <c r="E8" s="4" t="inlineStr">
        <is>
          <t>Other Energy Services</t>
        </is>
      </c>
      <c r="F8" s="3" t="inlineStr">
        <is>
          <t>An Energy Management Information System
(EMIS) and smart meters were installed in 17 public buildings from
Chisinau</t>
        </is>
      </c>
      <c r="G8" s="9" t="inlineStr">
        <is>
          <t>2020-2023</t>
        </is>
      </c>
      <c r="H8" s="3" t="n"/>
      <c r="I8" s="3" t="inlineStr">
        <is>
          <t>By 30 June 2023, EMIS system are monitoring the consumption data of 4.5 thousand public buildings from Moldova. The system have consumption data from the last three years. The main energy and water suppliers (Premier Energy, Apa-Canal, Termoelectrica, Cet-Nord, Red-Nord, Apa Canal Floresti) automatically transfer data on energy consumption and other resources to EMIS.</t>
        </is>
      </c>
      <c r="M8" s="25" t="inlineStr">
        <is>
          <t>to the CO: Please estimate number of beneficiaries.</t>
        </is>
      </c>
    </row>
    <row r="9" ht="303.75" customHeight="1">
      <c r="A9" s="100" t="n">
        <v>130906</v>
      </c>
      <c r="B9" s="101" t="inlineStr">
        <is>
          <t>Addressing the impacts of the energy crisis in the Republic of Moldova: Initiating solutions toward energy security and energy poverty</t>
        </is>
      </c>
      <c r="C9" s="102" t="inlineStr">
        <is>
          <t>https://www.undp.org/moldova/projects/addressing-impacts-energy-crisis-republic-moldova</t>
        </is>
      </c>
      <c r="D9" s="14" t="n">
        <v>649000</v>
      </c>
      <c r="E9" s="4" t="inlineStr">
        <is>
          <t>Policy or Regulatory Framework</t>
        </is>
      </c>
      <c r="F9" s="3" t="inlineStr">
        <is>
          <t xml:space="preserve">Component 1: Improving policies and regulatory frameworks to enable energy security, as well as energy efficient and clean energy transition of Moldova in an inclusive way:
1. Number of energy legisaltive ( primary and secondary) acts  developed, ammended and /or approved 
2. Number of gender sensitive energy policy documents  finalised and/or approved
The indicator will measure the following:  drafting or ammending a series of primary or secondary legal acts, in line with Moldova's commitments ( e.g. AA Moldova -EU, Energy Community, etc.) and with the view to enhance preparedeness and response to potential energy crises ( e.g. Law on compulsory oil/gas stocks;  update of Action Plans and Regulations on emergencies in the natural gas and electricity sectors, etc.); 
The indicator will measure the following: finalization of the National Energy and Climate Action Plan, updating the National Energy Strategy 2030 in a gender sensitive manner and gender sensitive budgeting 
</t>
        </is>
      </c>
      <c r="G9" s="15" t="n">
        <v>2022</v>
      </c>
      <c r="H9" s="3" t="inlineStr">
        <is>
          <t xml:space="preserve">1. 2 drafts/amendments for the energy policy documents are developed ,consulted and presented to relevant authorities for further approval; 
2. at least 10 draft regulatory documents developed, consulted and presented for relevant authorities for approval  </t>
        </is>
      </c>
      <c r="I9" s="3" t="inlineStr">
        <is>
          <t xml:space="preserve">Assisted different Government ministries, agencies and departments in improving their policies and regulatory frameworks. </t>
        </is>
      </c>
      <c r="J9" s="103" t="inlineStr">
        <is>
          <t>European Union $13.5M</t>
        </is>
      </c>
      <c r="M9" s="12" t="n"/>
    </row>
    <row r="10" ht="214.5" customHeight="1">
      <c r="D10" s="16" t="n">
        <v>730850</v>
      </c>
      <c r="E10" s="4" t="inlineStr">
        <is>
          <t>Policy or Regulatory Framework</t>
        </is>
      </c>
      <c r="F10" s="3" t="inlineStr">
        <is>
          <t xml:space="preserve">Component 2: Enhancing institutional capacities and coordination mechanisms to address and avert risks entailed in recent and potential future energy crisis
1. Energy coordination mechanim is established and functional
2. Number of institutions in the energy and renewables sectors benefiting from individual, institutional, and technological capacity building 
3. % of staff in the targeted institutions that benefit from trainings in the energy related sector, disaggregated by gender
4. Number of procurement rules and regulations                                         
</t>
        </is>
      </c>
      <c r="G10" s="15" t="n">
        <v>2022</v>
      </c>
      <c r="H10" s="3" t="n"/>
      <c r="I10" s="3" t="inlineStr">
        <is>
          <t xml:space="preserve">1. The energy coordination mechamism is in place
2. 12 stakeholders institutions benefit from capacity building actions in the framework of other initiatives (Ministry of Energy, Ministry of Economy, EEA, ISSPNPC, TUM, INS, INM, CMAC, Moldac,  LPAs, Transport and Distribution Operator Systems, Energy auditors)
3. 50% staff in the targeted institutions and legal entities that benefit from trainings in the energy related areas (average value)/disadggregated
4. Procurement procedures in the energy field in place </t>
        </is>
      </c>
      <c r="M10" s="12" t="n"/>
    </row>
    <row r="11" ht="214.5" customHeight="1">
      <c r="D11" s="16" t="n">
        <v>372900</v>
      </c>
      <c r="E11" s="4" t="n"/>
      <c r="F11" s="3" t="inlineStr">
        <is>
          <t>Component 3: Awareness raising, information and communication to foster public support for energy transition, increase energy efficiency and to address disinformation in a gender sensitive manner
1. Number of consumers reached through EU-funded awareness raising campaigns on the impact of consumption, disaggregated by sex, sector               
 2. Number of inclusive energy efficiency and energy security  knowledge products and tools developed with support of the EU-funded intervention
3. Increase in inquiries on energy related information 
4. Center of Information under AEE reactivated and operational.</t>
        </is>
      </c>
      <c r="G11" s="15" t="n">
        <v>2022</v>
      </c>
      <c r="H11" s="3" t="n"/>
      <c r="I11" s="3" t="inlineStr">
        <is>
          <t>1. 50% increase 
2. tbd
3. 50% increase
4. The Center of energy information is operational (the legal documents for Information Centre functioning are avalable - Operational manual, Regulation on InfoCentre functioning, Awareness and Communication plan)</t>
        </is>
      </c>
      <c r="M11" s="25" t="inlineStr">
        <is>
          <t>to the CO: Please estimate number of beneficiaries / participants in the campaign</t>
        </is>
      </c>
    </row>
    <row r="12" ht="214.5" customHeight="1">
      <c r="D12" s="16" t="n">
        <v>9039075</v>
      </c>
      <c r="E12" s="4" t="n"/>
      <c r="F12" s="3" t="inlineStr">
        <is>
          <t>Component 4: Demonstrate/pilots of energy efficiency and renewable measures to increase energy affordability and development of sustainable finance mechanisms with primary focus on vulnerable households and public sector
1. Number of Gender responsive National Programs on energy saving practices and  technologies, disaggregated by type of documents
2. Number of households benefitting from implemented energy efficiency and saving measures, disaggregated by types (rural/urban, women/men lead HHs, etc.) 
3. Energy consumption as a result of implemented energy efficiency and saving measures per target group (HHs, public buildings).</t>
        </is>
      </c>
      <c r="G12" s="15" t="n">
        <v>2022</v>
      </c>
      <c r="H12" s="3" t="n"/>
      <c r="I12" s="3" t="inlineStr">
        <is>
          <t>National Programms on Green home and Vouchers on replacing non efficient home appliances  have been drafted and being piloted during 2023-2024</t>
        </is>
      </c>
      <c r="M12" s="25" t="inlineStr">
        <is>
          <t>to the CO: Please estimate number of beneficiaries.</t>
        </is>
      </c>
    </row>
    <row r="13" ht="214.5" customHeight="1">
      <c r="A13" s="6" t="n">
        <v>130906</v>
      </c>
      <c r="B13" s="5" t="inlineStr">
        <is>
          <t xml:space="preserve">Energy Vulnerability Reduction Fund </t>
        </is>
      </c>
      <c r="C13" s="102" t="inlineStr">
        <is>
          <t>Addressing the impacts of the energy crisis in the Republic of Moldova | United Nations Development Programme (undp.org)</t>
        </is>
      </c>
      <c r="D13" s="21" t="inlineStr">
        <is>
          <t xml:space="preserve">2023:
Sweden: 9,826,008 USD
Switzerland: 6,666,666 USD </t>
        </is>
      </c>
      <c r="E13" s="4" t="inlineStr">
        <is>
          <t>Policy or Regulatory Framework</t>
        </is>
      </c>
      <c r="F13" s="3" t="inlineStr">
        <is>
          <t>Support with defining “energy vulnerable consumer” ​
Support with drafting of the Law on the Fund for Reduction of Energy Vulnerability (Law 241/2022) in Moldova
Support with establishment of the Energy Vulnerability Fund;​
Support in setting up a differentiated, fair and final consumer-oriented on-bill compensation mechanism for households based on their level of energy vulnerability (5 categories of energy vulnerability based on income level, household size, assets owned, and energy expenses);​
Support with SIA (gov platform), registration of approximately 750,000 households on the governmental platform, representing over half of Moldova's households​
81% of households with very high energy vulnerability benefited from compensations​
Mobilization of additional funds from development partners and aid through the Energy Vulnerability Fund;​</t>
        </is>
      </c>
      <c r="G13" s="17" t="n">
        <v>2022</v>
      </c>
      <c r="H13" s="4" t="n"/>
      <c r="I13" s="3" t="inlineStr">
        <is>
          <t>The law on Energy Vulnerability Fund was drafted;
The concept and implementation mechanism of the Energy Vulnerability Fund was developed;
The Energy Vulnerability Information System was developed;
An information campaign to support registration of beneficiaries on the online platform of the Energy Vulnerability Fund conducted;</t>
        </is>
      </c>
      <c r="M13" s="12" t="n"/>
    </row>
    <row r="14" ht="193.5" customHeight="1">
      <c r="A14" s="6" t="n">
        <v>1000378</v>
      </c>
      <c r="B14" s="5" t="inlineStr">
        <is>
          <t>Multidimensional response to emerging human security challenges - "Biomass revitalization"</t>
        </is>
      </c>
      <c r="C14" s="96" t="inlineStr">
        <is>
          <t>https://www.undp.org/moldova/projects/multidimensional-response-emerging-human-security-challenges-moldova</t>
        </is>
      </c>
      <c r="D14" s="7" t="n">
        <v>2298111</v>
      </c>
      <c r="E14" s="4" t="inlineStr">
        <is>
          <t>Other Energy Services</t>
        </is>
      </c>
      <c r="F14" s="3" t="inlineStr">
        <is>
          <t># of beneficiaries</t>
        </is>
      </c>
      <c r="G14" s="3" t="inlineStr">
        <is>
          <t xml:space="preserve">To enhance people’s energy security through access to affordable energy that supports livelihoods and energy-efficient production
</t>
        </is>
      </c>
      <c r="H14" s="4" t="n">
        <v>20000</v>
      </c>
      <c r="I14" s="3" t="inlineStr">
        <is>
          <t xml:space="preserve">Expected results:
- 20,000 people will benefit of reinforced biomass heating activities;
- 10 MSMEs from non-agricultural sectors supported to reduce the environmental impact and improve their efficiency;
- 20 households with economic activities implementing energy-efficient technologies;
</t>
        </is>
      </c>
      <c r="J14" s="18" t="inlineStr">
        <is>
          <t xml:space="preserve">Japan $ 2,2  (2023)
</t>
        </is>
      </c>
      <c r="L14" t="inlineStr">
        <is>
          <t>Non-VF</t>
        </is>
      </c>
      <c r="M14" s="12" t="n"/>
    </row>
    <row r="15" ht="26.25" customHeight="1">
      <c r="A15" s="6" t="n"/>
      <c r="B15" s="5" t="n"/>
      <c r="C15" s="96" t="n"/>
      <c r="D15" s="7" t="n"/>
      <c r="E15" s="4" t="inlineStr">
        <is>
          <t>Medium Enterprises</t>
        </is>
      </c>
      <c r="F15" s="3" t="n"/>
      <c r="G15" s="3" t="n"/>
      <c r="H15" s="4" t="n">
        <v>10</v>
      </c>
      <c r="I15" s="3" t="n"/>
      <c r="J15" s="18" t="n"/>
      <c r="M15" s="12" t="n"/>
    </row>
    <row r="16" ht="322.5" customHeight="1">
      <c r="A16" s="6" t="n">
        <v>133573</v>
      </c>
      <c r="B16" s="5" t="inlineStr">
        <is>
          <t xml:space="preserve">Emergency support for agri-producers /energy technologies </t>
        </is>
      </c>
      <c r="C16" s="96" t="inlineStr">
        <is>
          <t>https://www.undp.org/moldova/projects/emergency-support-agri-producers-context-socio-economic-climate-and-energy-crisis</t>
        </is>
      </c>
      <c r="D16" s="16" t="inlineStr">
        <is>
          <t>US$1,983,621 ($689,308 managed by UNDP)</t>
        </is>
      </c>
      <c r="E16" s="4" t="inlineStr">
        <is>
          <t>Medium Enterprises</t>
        </is>
      </c>
      <c r="F16" s="10" t="inlineStr">
        <is>
          <t>SMEs, vulnerable small farmers (particularly women-led farms and young people) in rural areas</t>
        </is>
      </c>
      <c r="G16" s="3" t="n">
        <v>2022</v>
      </c>
      <c r="H16" s="19" t="inlineStr">
        <is>
          <t xml:space="preserve">30
</t>
        </is>
      </c>
      <c r="I16" s="3" t="inlineStr">
        <is>
          <t>20 micro agri-producers and 10 small and medium agri-producers benefit from the implementation of renewable energy and energy-efficient technologies (biomass boilers in greenhouses, photovoltaic, among others).</t>
        </is>
      </c>
      <c r="J16" t="inlineStr">
        <is>
          <t>Austria (ADA) $670,123 (2024)</t>
        </is>
      </c>
      <c r="L16" s="24" t="inlineStr">
        <is>
          <t>Non-VF</t>
        </is>
      </c>
      <c r="M16" s="12" t="n"/>
    </row>
    <row r="18">
      <c r="A18" s="11" t="n"/>
    </row>
  </sheetData>
  <mergeCells count="10">
    <mergeCell ref="C9:C12"/>
    <mergeCell ref="A9:A12"/>
    <mergeCell ref="B9:B12"/>
    <mergeCell ref="J9:J13"/>
    <mergeCell ref="J2:J5"/>
    <mergeCell ref="A2:A8"/>
    <mergeCell ref="B2:B8"/>
    <mergeCell ref="C2:C8"/>
    <mergeCell ref="J7:J8"/>
    <mergeCell ref="L2:L8"/>
  </mergeCells>
  <dataValidations count="1">
    <dataValidation sqref="E6" showDropDown="0" showInputMessage="1" showErrorMessage="1" allowBlank="1"/>
  </dataValidations>
  <hyperlinks>
    <hyperlink xmlns:r="http://schemas.openxmlformats.org/officeDocument/2006/relationships" ref="C2" r:id="rId1"/>
    <hyperlink xmlns:r="http://schemas.openxmlformats.org/officeDocument/2006/relationships" ref="C9" display="https://www.undp.org/moldova/projects/addressing-impacts-energy-crisis-republic-moldova" r:id="rId2"/>
    <hyperlink xmlns:r="http://schemas.openxmlformats.org/officeDocument/2006/relationships" ref="C13" r:id="rId3"/>
    <hyperlink xmlns:r="http://schemas.openxmlformats.org/officeDocument/2006/relationships" ref="C14" r:id="rId4"/>
    <hyperlink xmlns:r="http://schemas.openxmlformats.org/officeDocument/2006/relationships" ref="C16" r:id="rId5"/>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17"/>
  <sheetViews>
    <sheetView workbookViewId="0">
      <pane ySplit="1" topLeftCell="A17" activePane="bottomLeft" state="frozen"/>
      <selection pane="bottomLeft" activeCell="A17" sqref="A17"/>
    </sheetView>
  </sheetViews>
  <sheetFormatPr baseColWidth="8" defaultColWidth="8.85546875" defaultRowHeight="15"/>
  <cols>
    <col width="11" customWidth="1" min="1" max="1"/>
    <col width="38.7109375" customWidth="1" min="2" max="2"/>
    <col width="42.85546875" customWidth="1" min="3" max="3"/>
    <col width="39.5703125" customWidth="1" min="4" max="4"/>
    <col width="28.42578125" customWidth="1" min="5" max="5"/>
    <col width="65.140625" customWidth="1" min="6" max="6"/>
    <col width="46.85546875" customWidth="1" min="7" max="7"/>
    <col width="30.85546875" customWidth="1" min="8" max="8"/>
    <col width="56.140625" customWidth="1" min="9" max="9"/>
    <col width="28.28515625" customWidth="1" min="10" max="10"/>
  </cols>
  <sheetData>
    <row r="1">
      <c r="A1" s="2" t="inlineStr">
        <is>
          <t>Project ID</t>
        </is>
      </c>
      <c r="B1" s="2" t="inlineStr">
        <is>
          <t>Title</t>
        </is>
      </c>
      <c r="C1" s="2" t="inlineStr">
        <is>
          <t>Link</t>
        </is>
      </c>
      <c r="D1" s="2" t="inlineStr">
        <is>
          <t>Budget</t>
        </is>
      </c>
      <c r="E1" s="2" t="inlineStr">
        <is>
          <t>Beneficiary Category</t>
        </is>
      </c>
      <c r="F1" s="2" t="inlineStr">
        <is>
          <t>Indicator</t>
        </is>
      </c>
      <c r="G1" s="2" t="inlineStr">
        <is>
          <t>Baseline</t>
        </is>
      </c>
      <c r="H1" s="2" t="inlineStr">
        <is>
          <t>Target</t>
        </is>
      </c>
      <c r="I1" s="2" t="inlineStr">
        <is>
          <t>Notes</t>
        </is>
      </c>
      <c r="J1" s="12" t="inlineStr">
        <is>
          <t>Donors</t>
        </is>
      </c>
    </row>
    <row r="2" ht="166.5" customHeight="1">
      <c r="A2" s="105" t="inlineStr">
        <is>
          <t>5492 / 00101330</t>
        </is>
      </c>
      <c r="B2" s="107" t="inlineStr">
        <is>
          <t>Moldova Green Cities</t>
        </is>
      </c>
      <c r="C2" s="109" t="inlineStr">
        <is>
          <t>https://www.undp.org/moldova/projects/moldova-sustainable-green-cities</t>
        </is>
      </c>
      <c r="D2" s="7" t="n">
        <v>127500</v>
      </c>
      <c r="E2" s="4" t="inlineStr">
        <is>
          <t>Energy (MW added)</t>
        </is>
      </c>
      <c r="F2" s="3" t="inlineStr">
        <is>
          <t xml:space="preserve">1. Photovoltaic panels for electricity production to cover the costs for interior lightening and lift use for residents of 421 apartments from a multi-storey building;  
2. Photovoltaic panels to cover at least 80% of the annual electricity needs of the Placement Center for Adults and Older People from Sculeni village, Ungheni district 
3. Photovoltaic panels to cover at least 30% of the annual electricity needs of the district Hospital from Singerei </t>
        </is>
      </c>
      <c r="G2" s="9" t="inlineStr">
        <is>
          <t>2021-2023</t>
        </is>
      </c>
      <c r="H2" s="3" t="inlineStr">
        <is>
          <t xml:space="preserve">1 multi-storey building and 2 social institutions </t>
        </is>
      </c>
      <c r="I2" s="3" t="inlineStr">
        <is>
          <t xml:space="preserve">Photovoltaic panels were conected to generate energy for  interior lightening and lift use for residents of 421 apartments from a multi-storey building, as well as for the Placement Center for Adults and Older People from Sculeni village, Ungheni district and for the district Hospital from Singerei. </t>
        </is>
      </c>
      <c r="J2" s="111" t="inlineStr">
        <is>
          <t>GEF, UNDP</t>
        </is>
      </c>
    </row>
    <row r="3" ht="45" customHeight="1">
      <c r="D3" s="7" t="n">
        <v>186950</v>
      </c>
      <c r="E3" s="4" t="inlineStr">
        <is>
          <t>Electricity Access</t>
        </is>
      </c>
      <c r="F3" s="3" t="inlineStr">
        <is>
          <t>301 apartments from Chisinau and Balti municipalities</t>
        </is>
      </c>
      <c r="G3" s="9" t="inlineStr">
        <is>
          <t>2022-2023</t>
        </is>
      </c>
      <c r="H3" s="3" t="inlineStr">
        <is>
          <t xml:space="preserve">6 multi-storey residential building from 2 cities </t>
        </is>
      </c>
      <c r="I3" s="3" t="inlineStr">
        <is>
          <t xml:space="preserve">6 multi-storey residential buildings from Chișinău and Bălți municipality (301 apartments) were switched to horizontal system of distribution the thermal energy, that can generate savings up to 30%, and were connected to Domestic Hot Water system </t>
        </is>
      </c>
    </row>
    <row r="4" ht="45" customHeight="1">
      <c r="D4" s="7" t="n">
        <v>49000</v>
      </c>
      <c r="E4" s="4" t="inlineStr">
        <is>
          <t>Energy (MW added)</t>
        </is>
      </c>
      <c r="F4" s="3" t="inlineStr">
        <is>
          <t>2 solar trees generating green energy to
charge for free electronic gadgets installed in
Riscani and Ciocana districts</t>
        </is>
      </c>
      <c r="G4" s="9" t="n">
        <v>2020</v>
      </c>
      <c r="H4" s="4" t="inlineStr">
        <is>
          <t>2 solar trees instaled in Chisinau</t>
        </is>
      </c>
      <c r="I4" s="3" t="n"/>
    </row>
    <row r="5" ht="94.5" customHeight="1">
      <c r="D5" s="7" t="n">
        <v>30000</v>
      </c>
      <c r="E5" s="4" t="inlineStr">
        <is>
          <t>Policy or Regulatory Framework</t>
        </is>
      </c>
      <c r="F5" s="3" t="inlineStr">
        <is>
          <t>1. Feasibility study "Development of the electric
vehicles charging infrastructure"
2. Pre-feasibility and feasibility study for
transforming biomass waste into energy
developed
3. Roadmap for Sustainable energy and climate
action plan for Chisinau Municipality</t>
        </is>
      </c>
      <c r="G5" s="9" t="n">
        <v>2019</v>
      </c>
      <c r="H5" s="3" t="inlineStr">
        <is>
          <t xml:space="preserve">At least one strategic document developed for Chisinau municipality </t>
        </is>
      </c>
      <c r="I5" s="3" t="n"/>
    </row>
    <row r="6" ht="45" customHeight="1">
      <c r="D6" s="7" t="n">
        <v>122000</v>
      </c>
      <c r="E6" s="4" t="inlineStr">
        <is>
          <t>Other Energy Services</t>
        </is>
      </c>
      <c r="F6" s="3" t="inlineStr">
        <is>
          <t>66 electric vehicles charging stations installed</t>
        </is>
      </c>
      <c r="G6" s="9" t="inlineStr">
        <is>
          <t>2019-2022</t>
        </is>
      </c>
      <c r="H6" s="3" t="inlineStr">
        <is>
          <t xml:space="preserve">A national network of charges for electric vehicles </t>
        </is>
      </c>
      <c r="I6" s="3" t="n"/>
      <c r="J6" s="20" t="inlineStr">
        <is>
          <t>GEF, UNDP, Government of Moldova</t>
        </is>
      </c>
    </row>
    <row r="7" ht="45" customHeight="1">
      <c r="D7" s="7" t="n">
        <v>20000</v>
      </c>
      <c r="E7" s="4" t="inlineStr">
        <is>
          <t>Campaign Participant</t>
        </is>
      </c>
      <c r="F7" s="3" t="inlineStr">
        <is>
          <t>4 editions of the electric cars’ marathon</t>
        </is>
      </c>
      <c r="G7" s="9" t="inlineStr">
        <is>
          <t>2018-2021</t>
        </is>
      </c>
      <c r="H7" s="3" t="inlineStr">
        <is>
          <t xml:space="preserve">At least 2 big events to promote electric vehicles </t>
        </is>
      </c>
      <c r="I7" s="3" t="n"/>
      <c r="J7" s="112" t="inlineStr">
        <is>
          <t>GEF, UNDP</t>
        </is>
      </c>
    </row>
    <row r="8" ht="61.5" customHeight="1">
      <c r="D8" s="7" t="n">
        <v>56000</v>
      </c>
      <c r="E8" s="4" t="inlineStr">
        <is>
          <t>Other Energy Services</t>
        </is>
      </c>
      <c r="F8" s="3" t="inlineStr">
        <is>
          <t>An Energy Management Information System
(EMIS) and smart meters were installed in 17 public buildings from
Chisinau</t>
        </is>
      </c>
      <c r="G8" s="9" t="inlineStr">
        <is>
          <t>2020-2023</t>
        </is>
      </c>
      <c r="H8" s="3" t="inlineStr">
        <is>
          <t xml:space="preserve">An established MRV system (including EMIS) with open data access </t>
        </is>
      </c>
      <c r="I8" s="3" t="n"/>
    </row>
    <row r="9" ht="303.75" customHeight="1">
      <c r="A9" s="100" t="n">
        <v>130906</v>
      </c>
      <c r="B9" s="101" t="inlineStr">
        <is>
          <t>Addressing the impacts of the energy crisis in the Republic of Moldova: Initiating solutions toward energy security and energy poverty</t>
        </is>
      </c>
      <c r="C9" s="102" t="inlineStr">
        <is>
          <t>https://www.undp.org/moldova/projects/addressing-impacts-energy-crisis-republic-moldova</t>
        </is>
      </c>
      <c r="D9" s="14" t="n">
        <v>649000</v>
      </c>
      <c r="E9" s="4" t="inlineStr">
        <is>
          <t>Policy or Regulatory Framework</t>
        </is>
      </c>
      <c r="F9" s="3" t="inlineStr">
        <is>
          <t xml:space="preserve">Component 1: Improving policies and regulatory frameworks to enable energy security, as well as energy efficient and clean energy transition of Moldova in an inclusive way:
1. Number of energy legisaltive ( primary and secondary) acts  developed, ammended and /or approved 
2. Number of gender sensitive energy policy documents  finalised and/or approved
The indicator will measure the following:  drafting or ammending a series of primary or secondary legal acts, in line with Moldova's commitments ( e.g. AA Moldova -EU, Energy Community, etc.) and with the view to enhance preparedeness and response to potential energy crises ( e.g. Law on compulsory oil/gas stocks;  update of Action Plans and Regulations on emergencies in the natural gas and electricity sectors, etc.); 
The indicator will measure the following: finalization of the National Energy and Climate Action Plan, updating the National Energy Strategy 2030 in a gender sensitive manner and gender sensitive budgeting 
</t>
        </is>
      </c>
      <c r="G9" s="15" t="n">
        <v>2022</v>
      </c>
      <c r="H9" s="3" t="inlineStr">
        <is>
          <t xml:space="preserve">1. 2 drafts/amendments for the energy policy documents are developed ,consulted and presented to relevant authorities for further approval; 
2. at least 10 draft regulatory documents developed, consulted and presented for relevant authorities for approval  </t>
        </is>
      </c>
      <c r="I9" s="3" t="inlineStr">
        <is>
          <t xml:space="preserve">Assisted different Government ministries, agencies and departments in improving their policies and regulatory frameworks. </t>
        </is>
      </c>
      <c r="J9" s="103" t="inlineStr">
        <is>
          <t>European Union $13.5M</t>
        </is>
      </c>
    </row>
    <row r="10" ht="214.5" customHeight="1">
      <c r="D10" s="16" t="n">
        <v>730850</v>
      </c>
      <c r="E10" s="4" t="inlineStr">
        <is>
          <t>Capacity Training</t>
        </is>
      </c>
      <c r="F10" s="3" t="inlineStr">
        <is>
          <t xml:space="preserve">Component 2: Enhancing institutional capacities and coordination mechanisms to address and avert risks entailed in recent and potential future energy crisis
1. Energy coordination mechanim is established and functional
2. Number of institutions in the energy and renewables sectors benefiting from individual, institutional, and technological capacity building 
3. % of staff in the targeted institutions that benefit from trainings in the energy related sector, disaggregated by gender
4. Number of procurement rules and regulations                                         
</t>
        </is>
      </c>
      <c r="G10" s="15" t="n">
        <v>2022</v>
      </c>
      <c r="H10" s="3" t="inlineStr">
        <is>
          <t xml:space="preserve">1. The energy coordination mechamism is in place
2. 12 stakeholders institutions benefit from capacity building actions in the framework of other initiatives (Ministry of Energy, Ministry of Economy, EEA, ISSPNPC, TUM, INS, INM, CMAC, Moldac,  LPAs, Transport and Distribution Operator Systems, Energy auditors)
3. 50% staff in the targeted institutions and legal entities that benefit from trainings in the energy related areas (average value)/disadggregated
4. Procurement procedures in the energy field in place </t>
        </is>
      </c>
      <c r="I10" s="3" t="n"/>
    </row>
    <row r="11" ht="214.5" customHeight="1">
      <c r="D11" s="16" t="n">
        <v>372900</v>
      </c>
      <c r="E11" s="4" t="inlineStr">
        <is>
          <t>Other</t>
        </is>
      </c>
      <c r="F11" s="3" t="inlineStr">
        <is>
          <t>Component 3: Awareness raising, information and communication to foster public support for energy transition, increase energy efficiency and to address disinformation in a gender sensitive manner
1. Number of consumers reached through EU-funded awareness raising campaigns on the impact of consumption, disaggregated by sex, sector               
 2. Number of inclusive energy efficiency and energy security  knowledge products and tools developed with support of the EU-funded intervention
3. Increase in inquiries on energy related information 
4. Center of Information under AEE reactivated and operational.</t>
        </is>
      </c>
      <c r="G11" s="15" t="n">
        <v>2022</v>
      </c>
      <c r="H11" s="3" t="inlineStr">
        <is>
          <t>1. 50% increase 
2. tbd
3. 50% increase
4. The Center of energy information is operational (the legal documents for Information Centre functioning are avalable - Operational manual, Regulation on InfoCentre functioning, Awareness and Communication plan)</t>
        </is>
      </c>
      <c r="I11" s="3" t="inlineStr">
        <is>
          <t>For this component it is hard to estimate the exact number of beneficiaries especially in the case of legislative support or capacity development that aims to positively impact Moldovan citizens.</t>
        </is>
      </c>
    </row>
    <row r="12" ht="214.5" customHeight="1">
      <c r="D12" s="16" t="n">
        <v>9039075</v>
      </c>
      <c r="E12" s="4" t="inlineStr">
        <is>
          <t>Energy (MW added)</t>
        </is>
      </c>
      <c r="F12" s="3" t="inlineStr">
        <is>
          <t>Component 4: Demonstrate/pilots of energy efficiency and renewable measures to increase energy affordability and development of sustainable finance mechanisms with primary focus on vulnerable households and public sector
1. Number of Gender responsive National Programs on energy saving practices and  technologies, disaggregated by type of documents
2. Number of households benefitting from implemented energy efficiency and saving measures, disaggregated by types (rural/urban, women/men lead HHs, etc.) 
3. Energy consumption as a result of implemented energy efficiency and saving measures per target group (HHs, public buildings).</t>
        </is>
      </c>
      <c r="G12" s="15" t="n">
        <v>2022</v>
      </c>
      <c r="H12" s="3" t="inlineStr">
        <is>
          <t xml:space="preserve">1. 0 national programs for households  on energy efficiency and energy security 
2. n/a (to be calculated at the inception stage)
3.% energy consumption for 2021 (based on the report will be developed).
</t>
        </is>
      </c>
      <c r="I12" s="27" t="inlineStr">
        <is>
          <t>National Programms on Green home and Vouchers on replacing non efficient home appliances  have been drafted and being piloted during 2023-2024
Estimation of beneficiaries: Counted around 1800 beneficiaries + 50 000 EcoVoucher Program.</t>
        </is>
      </c>
    </row>
    <row r="13" ht="214.5" customHeight="1">
      <c r="A13" s="6" t="n">
        <v>130906</v>
      </c>
      <c r="B13" s="5" t="inlineStr">
        <is>
          <t xml:space="preserve">Energy Vulnerability Reduction Fund </t>
        </is>
      </c>
      <c r="C13" s="102" t="inlineStr">
        <is>
          <t>Addressing the impacts of the energy crisis in the Republic of Moldova | United Nations Development Programme (undp.org)</t>
        </is>
      </c>
      <c r="D13" s="21" t="inlineStr">
        <is>
          <t xml:space="preserve">2023:
Sweden: 9,826,008 USD
Switzerland: 6,666,666 USD </t>
        </is>
      </c>
      <c r="E13" s="4" t="inlineStr">
        <is>
          <t>Policy or Regulatory Framework</t>
        </is>
      </c>
      <c r="F13" s="3" t="inlineStr">
        <is>
          <t>Support with defining “energy vulnerable consumer” ​
Support with drafting of the Law on the Fund for Reduction of Energy Vulnerability (Law 241/2022) in Moldova
Support with establishment of the Energy Vulnerability Fund;​
Support in setting up a differentiated, fair and final consumer-oriented on-bill compensation mechanism for households based on their level of energy vulnerability (5 categories of energy vulnerability based on income level, household size, assets owned, and energy expenses);​
Support with SIA (gov platform), registration of approximately 750,000 households on the governmental platform, representing over half of Moldova's households​
81% of households with very high energy vulnerability benefited from compensations​
Mobilization of additional funds from development partners and aid through the Energy Vulnerability Fund;​</t>
        </is>
      </c>
      <c r="G13" s="17" t="n">
        <v>2022</v>
      </c>
      <c r="H13" s="4" t="n"/>
      <c r="I13" s="3" t="inlineStr">
        <is>
          <t>The law on Energy Vulnerability Fund was drafted;
The concept and implementation mechanism of the Energy Vulnerability Fund was developed;
The Energy Vulnerability Information System was developed;
An information campaign to support registration of beneficiaries on the online platform of the Energy Vulnerability Fund conducted;</t>
        </is>
      </c>
    </row>
    <row r="14" ht="303" customHeight="1">
      <c r="A14" s="6" t="n">
        <v>1000378</v>
      </c>
      <c r="B14" s="5" t="inlineStr">
        <is>
          <t>Multidimensional response to emerging human security challenges - "Biomass revitalization"</t>
        </is>
      </c>
      <c r="C14" s="96" t="inlineStr">
        <is>
          <t>https://www.undp.org/moldova/projects/multidimensional-response-emerging-human-security-challenges-moldova</t>
        </is>
      </c>
      <c r="D14" s="7" t="n">
        <v>2298111</v>
      </c>
      <c r="E14" s="4" t="inlineStr">
        <is>
          <t>Other Energy Services</t>
        </is>
      </c>
      <c r="F14" s="3" t="inlineStr">
        <is>
          <t>Protect human security and enhance the resilience of the Republic of Moldova, in order to address the multifaceted and interconnected challenges of the current socioeconomic, food and energy shocks.</t>
        </is>
      </c>
      <c r="G14" s="3" t="inlineStr">
        <is>
          <t xml:space="preserve">To enhance people’s energy security through access to affordable energy that supports livelihoods and energy-efficient production
</t>
        </is>
      </c>
      <c r="H14" s="4" t="n">
        <v>500</v>
      </c>
      <c r="I14" s="3" t="inlineStr">
        <is>
          <t xml:space="preserve">Expected results:
- 20,000 people will benefit of reinforced biomass heating activities;
- 10 MSMEs from non-agricultural sectors supported to reduce the environmental impact and improve their efficiency;
- 20 households with economic activities implementing energy-efficient technologies;
</t>
        </is>
      </c>
      <c r="J14" s="18" t="inlineStr">
        <is>
          <t xml:space="preserve">Japan $ 2,2  (2023)
</t>
        </is>
      </c>
    </row>
    <row r="15" ht="322.5" customHeight="1">
      <c r="A15" s="6" t="n">
        <v>133573</v>
      </c>
      <c r="B15" s="5" t="inlineStr">
        <is>
          <t xml:space="preserve">Emergency support for agri-producers /energy technologies </t>
        </is>
      </c>
      <c r="C15" s="96" t="inlineStr">
        <is>
          <t>https://www.undp.org/moldova/projects/emergency-support-agri-producers-context-socio-economic-climate-and-energy-crisis</t>
        </is>
      </c>
      <c r="D15" s="16" t="inlineStr">
        <is>
          <t>US$1,983,621 ($689,308 managed by UNDP)</t>
        </is>
      </c>
      <c r="E15" s="4" t="inlineStr">
        <is>
          <t>Agricultural Services</t>
        </is>
      </c>
      <c r="F15" s="10" t="inlineStr">
        <is>
          <t>SMEs, vulnerable small farmers (particularly women-led farms and young people) in rural areas</t>
        </is>
      </c>
      <c r="G15" s="3" t="n">
        <v>2022</v>
      </c>
      <c r="H15" s="19" t="inlineStr">
        <is>
          <t xml:space="preserve">30
</t>
        </is>
      </c>
      <c r="I15" s="3" t="inlineStr">
        <is>
          <t>20 micro agri-producers and 10 small and medium agri-producers benefit from the implementation of renewable energy and energy-efficient technologies (biomass boilers in greenhouses, photovoltaic, among others).</t>
        </is>
      </c>
      <c r="J15" t="inlineStr">
        <is>
          <t>Austria (ADA) $670,123 (2024)</t>
        </is>
      </c>
    </row>
    <row r="17">
      <c r="A17" s="11" t="n"/>
    </row>
  </sheetData>
  <mergeCells count="9">
    <mergeCell ref="C9:C12"/>
    <mergeCell ref="A9:A12"/>
    <mergeCell ref="B9:B12"/>
    <mergeCell ref="J9:J13"/>
    <mergeCell ref="J2:J5"/>
    <mergeCell ref="A2:A8"/>
    <mergeCell ref="B2:B8"/>
    <mergeCell ref="C2:C8"/>
    <mergeCell ref="J7:J8"/>
  </mergeCells>
  <hyperlinks>
    <hyperlink xmlns:r="http://schemas.openxmlformats.org/officeDocument/2006/relationships" ref="C2" r:id="rId1"/>
    <hyperlink xmlns:r="http://schemas.openxmlformats.org/officeDocument/2006/relationships" ref="C9" display="https://www.undp.org/moldova/projects/addressing-impacts-energy-crisis-republic-moldova" r:id="rId2"/>
    <hyperlink xmlns:r="http://schemas.openxmlformats.org/officeDocument/2006/relationships" ref="C13" r:id="rId3"/>
    <hyperlink xmlns:r="http://schemas.openxmlformats.org/officeDocument/2006/relationships" ref="C14" r:id="rId4"/>
    <hyperlink xmlns:r="http://schemas.openxmlformats.org/officeDocument/2006/relationships" ref="C15" r:id="rId5"/>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topLeftCell="A10" workbookViewId="0">
      <pane ySplit="1" topLeftCell="A2" activePane="bottomLeft" state="frozen"/>
      <selection pane="bottomLeft" activeCell="B19" sqref="B19"/>
    </sheetView>
  </sheetViews>
  <sheetFormatPr baseColWidth="8" defaultColWidth="8.85546875" defaultRowHeight="15"/>
  <cols>
    <col width="36" customWidth="1" min="1" max="2"/>
    <col width="110" customWidth="1" min="2" max="2"/>
  </cols>
  <sheetData>
    <row r="1">
      <c r="A1" s="153" t="inlineStr">
        <is>
          <t>Beneficiary Category</t>
        </is>
      </c>
      <c r="B1" s="153" t="inlineStr">
        <is>
          <t>Indicator</t>
        </is>
      </c>
    </row>
    <row r="2" ht="45" customHeight="1">
      <c r="A2" s="5" t="inlineStr">
        <is>
          <t>Electricity Access</t>
        </is>
      </c>
      <c r="B2" s="5" t="inlineStr">
        <is>
          <t>Number of people, disaggregated by sex, who gain access to clean electricity (direct access to electricity, lighting, cooling, etc.).</t>
        </is>
      </c>
    </row>
    <row r="3">
      <c r="A3" s="5" t="inlineStr">
        <is>
          <t>Energy (MW added)</t>
        </is>
      </c>
      <c r="B3" s="5" t="inlineStr">
        <is>
          <t>Installed renewable or clean-energy power capacity added, in MW.</t>
        </is>
      </c>
    </row>
    <row r="4" ht="45" customHeight="1">
      <c r="A4" s="5" t="inlineStr">
        <is>
          <t>Energy Storage (MW)</t>
        </is>
      </c>
      <c r="B4" s="5" t="inlineStr">
        <is>
          <t>Installed energy storage power capacity added, in MW.</t>
        </is>
      </c>
    </row>
    <row r="5" ht="30" customHeight="1">
      <c r="A5" s="5" t="inlineStr">
        <is>
          <t>Clean Cooking</t>
        </is>
      </c>
      <c r="B5" s="5" t="inlineStr">
        <is>
          <t>Number of people who gain access to clean cooking (direct access to clean cook stoves, clean fuels, biomass, etc.).</t>
        </is>
      </c>
    </row>
    <row r="6" ht="90" customHeight="1">
      <c r="A6" s="5" t="inlineStr">
        <is>
          <t>Clean Heating</t>
        </is>
      </c>
      <c r="B6" s="5" t="inlineStr">
        <is>
          <t>Number of people who gain access to clean heating (direct access to clean electric heaters, clean fuels, etc.).</t>
        </is>
      </c>
    </row>
    <row r="7" ht="45" customHeight="1">
      <c r="A7" s="5" t="inlineStr">
        <is>
          <t>Agriculture and Food System</t>
        </is>
      </c>
      <c r="B7" s="5" t="inlineStr">
        <is>
          <t>Number of people who gain access to clean, affordable, and sustainable energy for agricultural and food-system activities.</t>
        </is>
      </c>
    </row>
    <row r="8" ht="45" customHeight="1">
      <c r="A8" s="5" t="inlineStr">
        <is>
          <t>Health Services</t>
        </is>
      </c>
      <c r="B8" s="5" t="inlineStr">
        <is>
          <t>Number of people who gain access to health care facilities through clean energy systems.</t>
        </is>
      </c>
    </row>
    <row r="9" ht="45" customHeight="1">
      <c r="A9" s="5" t="inlineStr">
        <is>
          <t>Water Services</t>
        </is>
      </c>
      <c r="B9" s="5" t="inlineStr">
        <is>
          <t>Number of people who gain access to water services through clean energy systems.</t>
        </is>
      </c>
    </row>
    <row r="10" ht="45" customHeight="1">
      <c r="A10" s="5" t="inlineStr">
        <is>
          <t>Education Services</t>
        </is>
      </c>
      <c r="B10" s="5" t="inlineStr">
        <is>
          <t>Number of people who gain access to education services through clean energy systems, including students and teachers.</t>
        </is>
      </c>
    </row>
    <row r="11" ht="30" customHeight="1">
      <c r="A11" s="5" t="inlineStr">
        <is>
          <t>Transportation and E-mobility Services</t>
        </is>
      </c>
      <c r="B11" s="5" t="inlineStr">
        <is>
          <t>Number of people served or energy saved from transport and e-mobility interventions, such as electric vehicles or charging stations.</t>
        </is>
      </c>
    </row>
    <row r="12" ht="45" customHeight="1">
      <c r="A12" s="5" t="inlineStr">
        <is>
          <t>Energy Efficiency Services</t>
        </is>
      </c>
      <c r="B12" s="5" t="inlineStr">
        <is>
          <t>Energy saved from energy-efficiency interventions, such as building or industrial efficiency.</t>
        </is>
      </c>
    </row>
    <row r="13" ht="30" customHeight="1">
      <c r="A13" s="5" t="inlineStr">
        <is>
          <t>Energy Infrastructure Services</t>
        </is>
      </c>
      <c r="B13" s="5" t="inlineStr">
        <is>
          <t>Number of people benefiting from energy infrastructure interventions, such as streetlights, transmission, and distribution lines.</t>
        </is>
      </c>
    </row>
    <row r="14">
      <c r="A14" s="5" t="inlineStr">
        <is>
          <t>Other Energy Services</t>
        </is>
      </c>
      <c r="B14" s="5" t="inlineStr">
        <is>
          <t>Access to other energy services not captured by the categories above.</t>
        </is>
      </c>
    </row>
    <row r="15" ht="30" customHeight="1">
      <c r="A15" s="5" t="inlineStr">
        <is>
          <t>Financing support</t>
        </is>
      </c>
      <c r="B15" s="5" t="inlineStr">
        <is>
          <t>Support for the development of the energy market ecosystem.</t>
        </is>
      </c>
    </row>
    <row r="16" ht="30" customHeight="1">
      <c r="A16" s="5" t="inlineStr">
        <is>
          <t>Medium Enterprises</t>
        </is>
      </c>
      <c r="B16" s="5" t="inlineStr">
        <is>
          <t>Support for the development of medium enterprises in the energy transition market.</t>
        </is>
      </c>
    </row>
    <row r="17" ht="30" customHeight="1">
      <c r="A17" s="5" t="inlineStr">
        <is>
          <t>Small Enterprises</t>
        </is>
      </c>
      <c r="B17" s="5" t="inlineStr">
        <is>
          <t>Support for the development of small enterprises in the energy transition market.</t>
        </is>
      </c>
    </row>
    <row r="18" ht="30" customHeight="1">
      <c r="A18" s="5" t="inlineStr">
        <is>
          <t>Capacity Building Training</t>
        </is>
      </c>
      <c r="B18" s="5" t="inlineStr">
        <is>
          <t>Number of people benefiting from training on energy business, energy finance, or related implementation capacity.</t>
        </is>
      </c>
    </row>
    <row r="19" ht="75" customHeight="1">
      <c r="A19" s="5" t="inlineStr">
        <is>
          <t>Entrepreneurship Training</t>
        </is>
      </c>
      <c r="B19" s="5" t="inlineStr">
        <is>
          <t>Training for enterprises on the energy business, assumed to result in direct beneficiaries.</t>
        </is>
      </c>
    </row>
    <row r="20" ht="30" customHeight="1">
      <c r="A20" s="5" t="inlineStr">
        <is>
          <t>Market Intervention</t>
        </is>
      </c>
      <c r="B20" s="5" t="inlineStr">
        <is>
          <t>Volume of investment leveraged or barriers removed for clean, reliable, affordable, and sustainable energy solutions.</t>
        </is>
      </c>
    </row>
    <row r="21" ht="45" customHeight="1">
      <c r="A21" s="5" t="inlineStr">
        <is>
          <t>Campaign Participant</t>
        </is>
      </c>
      <c r="B21" s="5" t="inlineStr">
        <is>
          <t>Individuals who participate in advocacy or awareness campaigns on energy.</t>
        </is>
      </c>
    </row>
    <row r="22" ht="30" customHeight="1">
      <c r="A22" s="5" t="inlineStr">
        <is>
          <t>Policy or Regulatory Framework</t>
        </is>
      </c>
      <c r="B22" s="5" t="inlineStr">
        <is>
          <t>Policies, regulations, strategies, plans, or frameworks developed, approved, implemented, or strengthened.</t>
        </is>
      </c>
    </row>
    <row r="23">
      <c r="A23" s="5" t="inlineStr">
        <is>
          <t>GHG Emissions Reduction</t>
        </is>
      </c>
      <c r="B23" s="5" t="inlineStr">
        <is>
          <t>Greenhouse gas emissions reduced or mitigated, in tCO2e.</t>
        </is>
      </c>
    </row>
    <row r="24">
      <c r="A24" s="5" t="inlineStr">
        <is>
          <t>Other</t>
        </is>
      </c>
      <c r="B24" s="5"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2026-06-10T12:20:16Z</dcterms:modified>
  <cp:lastModifiedBy>Folashade Jaiyeola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