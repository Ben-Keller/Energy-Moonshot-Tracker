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528"/>
  <workbookPr defaultThemeVersion="124226"/>
  <xr:revisionPtr revIDLastSave="308" documentId="11_4FBE06CF6699926653FEF5DF89896572793B1098" xr6:coauthVersionLast="47" xr6:coauthVersionMax="47" xr10:uidLastSave="{7AD8E804-95B9-463F-9770-DA3F79851327}"/>
  <bookViews>
    <workbookView xWindow="240" yWindow="15" windowWidth="16095" windowHeight="9660" xr2:uid="{00000000-000D-0000-FFFF-FFFF00000000}"/>
  </bookViews>
  <sheets>
    <sheet name="Projects (3)" sheetId="4" r:id="rId1"/>
    <sheet name="Projects (2)" sheetId="3" state="hidden" r:id="rId2"/>
    <sheet name="Projects" sheetId="1" state="hidden"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<sst xmlns="http://schemas.openxmlformats.org/spreadsheetml/2006/main" count="305" uniqueCount="115">
  <si>
    <t>Project ID</t>
  </si>
  <si>
    <t>Title</t>
  </si>
  <si>
    <t>Link</t>
  </si>
  <si>
    <t>Budget</t>
  </si>
  <si>
    <t>Beneficiary Category</t>
  </si>
  <si>
    <t>Indicator</t>
  </si>
  <si>
    <t>Baseline</t>
  </si>
  <si>
    <t>Target</t>
  </si>
  <si>
    <t>Notes</t>
  </si>
  <si>
    <t>Indirect Beneficiaries</t>
  </si>
  <si>
    <t>Donors</t>
  </si>
  <si>
    <t>Gender (% female)</t>
  </si>
  <si>
    <t>VF or Non-VF</t>
  </si>
  <si>
    <t>Tag</t>
  </si>
  <si>
    <t>SEH Taxonomy</t>
  </si>
  <si>
    <t>RISE Taxonomy</t>
  </si>
  <si>
    <t>Flagship</t>
  </si>
  <si>
    <t>Indirect Category</t>
  </si>
  <si>
    <t>Indirect Taxonomy</t>
  </si>
  <si>
    <t>Technology</t>
  </si>
  <si>
    <t>Policy or Regulatory Framework</t>
  </si>
  <si>
    <t>Policy Population</t>
  </si>
  <si>
    <t>Comoros national child project - Africa Minigrids Program (AMP)</t>
  </si>
  <si>
    <t>https://co.pims.undp.org/project/view?id=6469</t>
  </si>
  <si>
    <t>Electricity Access</t>
  </si>
  <si>
    <t xml:space="preserve">Nombre de personne bénéficiant d'un accé direct à l'éléctrité </t>
  </si>
  <si>
    <t>Nombre de bénéficiaires en zones residentielles 2990, en moyenne 16 beneficiaires dans les centres sociaux et 36 benéficiaires issus des commerces</t>
  </si>
  <si>
    <t>GEF/PNUD</t>
  </si>
  <si>
    <t>VF</t>
  </si>
  <si>
    <t>Close the gap on energy access</t>
  </si>
  <si>
    <t>Solar</t>
  </si>
  <si>
    <t>Note de l'évaluation des capacités des développeurs et des oppérateurs de mini-reseaux à mettre en oeuvre des modéles commerciaux innovants et integrer des leviers de reduction des couts</t>
  </si>
  <si>
    <t>la capacité des bénéficiaires ciblés est évaluée par sondage à la fin du projet. Sur une échelle de 1 à 5, une note moyenne d'au moins 4 doit etre obtenue.</t>
  </si>
  <si>
    <t>Business Model</t>
  </si>
  <si>
    <t>Grant &amp; Investment</t>
  </si>
  <si>
    <t>Regional</t>
  </si>
  <si>
    <t>in Grande Comore, Moheli, Anjouan</t>
  </si>
  <si>
    <t>Energy (MW added)</t>
  </si>
  <si>
    <t>Capacité (Puissance) solaire photovoltaique installée</t>
  </si>
  <si>
    <t>Le projet prévoit d'installer une capacité de 0,449MW associée à un parc batterie de 1,137MWh</t>
  </si>
  <si>
    <t>Nombre d'instruments politiques de réduction des risques</t>
  </si>
  <si>
    <t>Un proposition de cadre réglementaire approprié pour les mini-réseaux renouvelables finalisée, validée et adoptée par le gouvernement / Une application généralisée de la défiscalisation des équipements d'énergie renouvelable</t>
  </si>
  <si>
    <t>Incentives and Support</t>
  </si>
  <si>
    <t>National</t>
  </si>
  <si>
    <t>Comoros Geothermal</t>
  </si>
  <si>
    <t>https://co.pims.undp.org/project/view?id=5484</t>
  </si>
  <si>
    <t>Nombre de mesures pour le développement des énergies renouvelables et d'instruments de dérisquage financier pour le développement géothermique</t>
  </si>
  <si>
    <t xml:space="preserve">Proposition d'un cadre légal et reglementaire des énergies renouvelables finalisé et validée </t>
  </si>
  <si>
    <t>GEF /PNUD</t>
  </si>
  <si>
    <t>Accelerating just energy transition</t>
  </si>
  <si>
    <t>Renewable Energy</t>
  </si>
  <si>
    <t>Legal Framework</t>
  </si>
  <si>
    <t>Capacité (Puissance) en énergie géothermique instalée</t>
  </si>
  <si>
    <t>le projet prévoit l'instalation d'une central géothermique de  10 MW d'électricité</t>
  </si>
  <si>
    <t>Geothermal</t>
  </si>
  <si>
    <t xml:space="preserve"> Nombre de ménages et d'entreprises bénéficiaires d'un accé à l'élécricité de source renouvelable et prope dans tout le pays</t>
  </si>
  <si>
    <t>358 363</t>
  </si>
  <si>
    <t>le projet prévoit de faire bénéficier l'accés aux services d'électricité avec une source renouvelable et prope a  358 363 personnes une fois que le central geothermique sera operationelle (le projet ne va pas construir le central mais il va mettre en ouvre des activities de derisking pour les investisseurs dans la geothermie).</t>
  </si>
  <si>
    <t xml:space="preserve">Assurer un approvisionnement en eau résilient aux changement climatique aux comores ER2C </t>
  </si>
  <si>
    <t>Pims +</t>
  </si>
  <si>
    <t>Water Services</t>
  </si>
  <si>
    <t xml:space="preserve">Nombre de personnes bénéficiant dans tout le pays d'un approvisionnement en eau assuré par un pompage en énergie renouvelables (Photovoltïque) </t>
  </si>
  <si>
    <t xml:space="preserve">Le projet prévoit d'installer prés de 289 KW de solaire photovoltaïque pour le pompage d'eau pour assurer l'alimentation en eau potable à 35 529 personnes </t>
  </si>
  <si>
    <t>GCF /PNUD</t>
  </si>
  <si>
    <t>Électrification et Croissance en Union des Comores</t>
  </si>
  <si>
    <t>Le projet va installer preès de70 kW de solaire photovoltaique sur des batiments et place publique</t>
  </si>
  <si>
    <t>USAID/ PNUD</t>
  </si>
  <si>
    <t>Non-VF</t>
  </si>
  <si>
    <t>solar</t>
  </si>
  <si>
    <t xml:space="preserve">le projet prévoit d'installer 2 centre de dispashing et construre 6 km de reseau électrique pour facilité le transport et la distribution de près 3 MW d'un centrale solaire, au beneffice de près de 11705 cliants. </t>
  </si>
  <si>
    <t>Non VF</t>
  </si>
  <si>
    <t>PIMS+</t>
  </si>
  <si>
    <t>Entrepreneurship Training</t>
  </si>
  <si>
    <t>0,449MW</t>
  </si>
  <si>
    <t>10 MW</t>
  </si>
  <si>
    <t>592 782 personnes</t>
  </si>
  <si>
    <t>le projet prévoit de faire bénéficier l'accés aux services d'électricité avec une source renouvelable et prope a  592 782 personnes une fois que le central geothermique sera operationelle (le projet ne va pas construir le central mais il va mettre en ouvre des activities de derisking pour les investisseurs dans la geothermie).</t>
  </si>
  <si>
    <t>35 529</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</si>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</sst>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_(* #,##0_);_(* \(#,##0\);_(* &quot;-&quot;??_);_(@_)"/>
  </numFmts>
  <fonts count="10">
    <font>
      <sz val="11"/>
      <color theme="1"/>
      <name val="Calibri"/>
      <family val="2"/>
      <scheme val="minor"/>
    </font>
    <font>
      <sz val="11"/>
      <color theme="1"/>
      <name val="Calibri"/>
      <scheme val="minor"/>
    </font>
    <font>
      <b/>
      <sz val="11"/>
      <color theme="1"/>
      <name val="Calibri"/>
      <family val="2"/>
      <scheme val="minor"/>
    </font>
    <font>
      <sz val="11"/>
      <color rgb="FF212121"/>
      <name val="Calibri"/>
    </font>
    <font>
      <sz val="11"/>
      <color theme="1"/>
      <name val="Calibri"/>
      <family val="2"/>
      <charset val="1"/>
    </font>
    <font>
      <b/>
      <sz val="11"/>
      <color theme="1"/>
      <name val="Calibri"/>
      <scheme val="minor"/>
    </font>
    <font>
      <sz val="11"/>
      <color rgb="FF000000"/>
      <name val="Calibri"/>
      <scheme val="minor"/>
    </font>
    <font>
      <sz val="11"/>
      <color rgb="FF000000"/>
      <name val="Calibri"/>
      <family val="2"/>
    </font>
    <font>
      <sz val="10"/>
      <color theme="1"/>
      <name val="Arial"/>
      <family val="2"/>
      <charset val="1"/>
    </font>
    <font>
      <u/>
      <sz val="11"/>
      <color theme="10"/>
      <name val="Calibri"/>
      <family val="2"/>
      <scheme val="minor"/>
    </font>
  </fonts>
  <fills count="4">
    <fill>
      <patternFill patternType="none"/>
    </fill>
    <fill>
      <patternFill patternType="gray125"/>
    </fill>
    <fill>
      <patternFill patternType="solid">
        <fgColor rgb="FFFFE497"/>
        <bgColor indexed="64"/>
      </patternFill>
    </fill>
    <fill>
      <patternFill patternType="solid">
        <fgColor rgb="FFFFE699"/>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bottom/>
      <diagonal/>
    </border>
  </borders>
  <cellStyleXfs count="2">
    <xf numFmtId="0" fontId="0" fillId="0" borderId="0"/>
    <xf numFmtId="0" fontId="9" fillId="0" borderId="0" applyNumberFormat="0" applyFill="0" applyBorder="0" applyAlignment="0" applyProtection="0"/>
  </cellStyleXfs>
  <cellXfs count="52">
    <xf numFmtId="0" fontId="0" fillId="0" borderId="0" xfId="0"/>
    <xf numFmtId="0" fontId="2" fillId="0" borderId="1" xfId="0" applyFont="1" applyBorder="1" applyAlignment="1">
      <alignment horizontal="center" vertical="center"/>
    </xf>
    <xf numFmtId="0" fontId="0" fillId="0" borderId="0" xfId="0" applyAlignment="1">
      <alignment vertical="center"/>
    </xf>
    <xf numFmtId="0" fontId="0" fillId="0" borderId="1" xfId="0" applyBorder="1" applyAlignment="1">
      <alignment vertical="center"/>
    </xf>
    <xf numFmtId="0" fontId="0" fillId="2" borderId="1" xfId="0" applyFill="1" applyBorder="1" applyAlignment="1">
      <alignment vertical="center"/>
    </xf>
    <xf numFmtId="0" fontId="0" fillId="2" borderId="1" xfId="0" applyFill="1" applyBorder="1" applyAlignment="1">
      <alignment vertical="center" wrapText="1"/>
    </xf>
    <xf numFmtId="0" fontId="0" fillId="3" borderId="1" xfId="0" applyFill="1" applyBorder="1" applyAlignment="1">
      <alignment vertical="center"/>
    </xf>
    <xf numFmtId="0" fontId="0" fillId="3" borderId="1" xfId="0" applyFill="1" applyBorder="1" applyAlignment="1">
      <alignment vertical="center" wrapText="1"/>
    </xf>
    <xf numFmtId="0" fontId="0" fillId="2" borderId="2" xfId="0" applyFill="1" applyBorder="1" applyAlignment="1">
      <alignment vertical="center"/>
    </xf>
    <xf numFmtId="0" fontId="0" fillId="0" borderId="3" xfId="0" applyBorder="1" applyAlignment="1">
      <alignment vertical="center"/>
    </xf>
    <xf numFmtId="0" fontId="0" fillId="3" borderId="4" xfId="0" applyFill="1" applyBorder="1" applyAlignment="1">
      <alignment vertical="center"/>
    </xf>
    <xf numFmtId="0" fontId="0" fillId="3" borderId="3" xfId="0" applyFill="1" applyBorder="1" applyAlignment="1">
      <alignment vertical="center" wrapText="1"/>
    </xf>
    <xf numFmtId="0" fontId="0" fillId="3" borderId="3" xfId="0" applyFill="1" applyBorder="1" applyAlignment="1">
      <alignment vertical="center"/>
    </xf>
    <xf numFmtId="0" fontId="0" fillId="0" borderId="1" xfId="0" applyBorder="1" applyAlignment="1">
      <alignment vertical="center" wrapText="1"/>
    </xf>
    <xf numFmtId="0" fontId="3" fillId="3" borderId="3" xfId="0" applyFont="1" applyFill="1" applyBorder="1" applyAlignment="1">
      <alignment vertical="center" wrapText="1"/>
    </xf>
    <xf numFmtId="0" fontId="4" fillId="0" borderId="0" xfId="0" applyFont="1"/>
    <xf numFmtId="0" fontId="2" fillId="0" borderId="5" xfId="0" applyFont="1" applyBorder="1"/>
    <xf numFmtId="0" fontId="2" fillId="0" borderId="1" xfId="0" applyFont="1" applyBorder="1" applyAlignment="1">
      <alignment horizontal="center" vertical="center" wrapText="1"/>
    </xf>
    <xf numFmtId="0" fontId="2" fillId="0" borderId="1" xfId="0" applyFont="1" applyBorder="1" applyAlignment="1">
      <alignment wrapText="1"/>
    </xf>
    <xf numFmtId="0" fontId="4" fillId="0" borderId="1" xfId="0" applyFont="1" applyBorder="1" applyAlignment="1">
      <alignment wrapText="1"/>
    </xf>
    <xf numFmtId="0" fontId="3" fillId="0" borderId="1" xfId="0" applyFont="1" applyBorder="1" applyAlignment="1">
      <alignment vertical="center" wrapText="1"/>
    </xf>
    <xf numFmtId="0" fontId="0" fillId="0" borderId="1" xfId="0" applyBorder="1" applyAlignment="1">
      <alignment horizontal="center" vertical="center"/>
    </xf>
    <xf numFmtId="0" fontId="2" fillId="0" borderId="1" xfId="0" applyFont="1" applyBorder="1" applyAlignment="1">
      <alignment horizontal="center"/>
    </xf>
    <xf numFmtId="0" fontId="2" fillId="0" borderId="3" xfId="0" applyFont="1" applyBorder="1" applyAlignment="1">
      <alignment horizontal="center"/>
    </xf>
    <xf numFmtId="0" fontId="2" fillId="0" borderId="6" xfId="0" applyFont="1" applyBorder="1" applyAlignment="1">
      <alignment horizontal="center"/>
    </xf>
    <xf numFmtId="0" fontId="2" fillId="0" borderId="1" xfId="0" applyFont="1" applyBorder="1"/>
    <xf numFmtId="0" fontId="0" fillId="0" borderId="1" xfId="0" applyBorder="1" applyAlignment="1">
      <alignment horizontal="center" vertical="center" wrapText="1"/>
    </xf>
    <xf numFmtId="0" fontId="0" fillId="0" borderId="6" xfId="0" applyBorder="1" applyAlignment="1">
      <alignment horizontal="center" vertical="center"/>
    </xf>
    <xf numFmtId="0" fontId="0" fillId="0" borderId="2" xfId="0" applyBorder="1" applyAlignment="1">
      <alignment horizontal="center" vertical="center" wrapText="1"/>
    </xf>
    <xf numFmtId="0" fontId="5" fillId="0" borderId="1" xfId="0" applyFont="1" applyBorder="1" applyAlignment="1">
      <alignment horizontal="center" vertical="top" wrapText="1"/>
    </xf>
    <xf numFmtId="0" fontId="6" fillId="0" borderId="1" xfId="0" applyFont="1" applyBorder="1" applyAlignment="1">
      <alignment wrapText="1"/>
    </xf>
    <xf numFmtId="0" fontId="0" fillId="0" borderId="3" xfId="0" applyBorder="1" applyAlignment="1">
      <alignment vertical="center" wrapText="1"/>
    </xf>
    <xf numFmtId="0" fontId="7" fillId="0" borderId="3" xfId="0" applyFont="1" applyBorder="1" applyAlignment="1">
      <alignment wrapText="1"/>
    </xf>
    <xf numFmtId="0" fontId="0" fillId="0" borderId="3" xfId="0" applyBorder="1" applyAlignment="1">
      <alignment horizontal="center" vertical="center"/>
    </xf>
    <xf numFmtId="0" fontId="0" fillId="0" borderId="7" xfId="0" applyBorder="1" applyAlignment="1">
      <alignment horizontal="center" vertical="center"/>
    </xf>
    <xf numFmtId="0" fontId="8" fillId="0" borderId="1" xfId="0" applyFont="1" applyBorder="1"/>
    <xf numFmtId="0" fontId="0" fillId="0" borderId="7" xfId="0" applyBorder="1" applyAlignment="1">
      <alignment vertical="center" wrapText="1"/>
    </xf>
    <xf numFmtId="0" fontId="0" fillId="0" borderId="8" xfId="0" applyBorder="1" applyAlignment="1">
      <alignment vertical="center" wrapText="1"/>
    </xf>
    <xf numFmtId="0" fontId="0" fillId="0" borderId="2" xfId="0" applyBorder="1" applyAlignment="1">
      <alignment vertical="center" wrapText="1"/>
    </xf>
    <xf numFmtId="0" fontId="8" fillId="0" borderId="3" xfId="0" applyFont="1" applyBorder="1"/>
    <xf numFmtId="0" fontId="0" fillId="0" borderId="6" xfId="0" applyBorder="1" applyAlignment="1">
      <alignment vertical="center" wrapText="1"/>
    </xf>
    <xf numFmtId="0" fontId="9" fillId="0" borderId="1" xfId="1" applyBorder="1" applyAlignment="1">
      <alignment vertical="center" wrapText="1"/>
    </xf>
    <xf numFmtId="165" fontId="2" fillId="0" borderId="1" xfId="0" applyNumberFormat="1" applyFont="1" applyBorder="1" applyAlignment="1">
      <alignment horizontal="center" vertical="center" wrapText="1"/>
    </xf>
    <xf numFmtId="165" fontId="0" fillId="0" borderId="1" xfId="0" applyNumberFormat="1" applyBorder="1" applyAlignment="1">
      <alignment vertical="center" wrapText="1"/>
    </xf>
    <xf numFmtId="165" fontId="7" fillId="0" borderId="3" xfId="0" applyNumberFormat="1" applyFont="1" applyBorder="1" applyAlignment="1">
      <alignment wrapText="1"/>
    </xf>
    <xf numFmtId="165" fontId="8" fillId="0" borderId="1" xfId="0" applyNumberFormat="1" applyFont="1" applyBorder="1"/>
    <xf numFmtId="165" fontId="0" fillId="0" borderId="8" xfId="0" applyNumberFormat="1" applyBorder="1" applyAlignment="1">
      <alignment vertical="center" wrapText="1"/>
    </xf>
    <xf numFmtId="165" fontId="0" fillId="0" borderId="3" xfId="0" applyNumberFormat="1" applyBorder="1" applyAlignment="1">
      <alignment vertical="center" wrapText="1"/>
    </xf>
    <xf numFmtId="165" fontId="0" fillId="0" borderId="0" xfId="0" applyNumberFormat="1" applyAlignment="1">
      <alignment vertical="center"/>
    </xf>
    <xf numFmtId="0" fontId="1" fillId="0" borderId="1" xfId="0" applyFont="1" applyBorder="1" applyAlignment="1">
      <alignment horizontal="left" vertical="center" wrapText="1"/>
    </xf>
    <xf numFmtId="0" fontId="1" fillId="0" borderId="1" xfId="0" applyFont="1" applyBorder="1" applyAlignment="1">
      <alignment wrapText="1"/>
    </xf>
    <xf numFmtId="0" fontId="1" fillId="0" borderId="1" xfId="0" applyFont="1" applyBorder="1" applyAlignment="1">
      <alignment vertical="center" wrapText="1"/>
    </xf>
  </cellXfs>
  <cellStyles count="2">
    <cellStyle name="Hyperlink" xfId="1" xr:uid="{00000000-000B-0000-0000-000008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co.pims.undp.org/project/view?id=6469" TargetMode="External"/><Relationship Id="rId1" Type="http://schemas.openxmlformats.org/officeDocument/2006/relationships/hyperlink" Target="https://co.pims.undp.org/project/view?id=5484"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co.pims.undp.org/project/view?id=6469" TargetMode="External"/><Relationship Id="rId1" Type="http://schemas.openxmlformats.org/officeDocument/2006/relationships/hyperlink" Target="https://co.pims.undp.org/project/view?id=548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E2FB05-F87A-44CC-8838-E2D3EDE8DDA8}">
  <dimension ref="A1:V12"/>
  <sheetViews>
    <sheetView tabSelected="1" workbookViewId="0">
      <pane xSplit="1" ySplit="1" topLeftCell="B9" activePane="bottomRight" state="frozen"/>
      <selection pane="bottomRight" activeCell="D1" sqref="D1:D1048576"/>
      <selection pane="bottomLeft"/>
      <selection pane="topRight"/>
    </sheetView>
  </sheetViews>
  <sheetFormatPr defaultRowHeight="15"/>
  <cols>
    <col min="1" max="1" width="9.140625" style="2"/>
    <col min="2" max="2" width="21.85546875" style="2" customWidth="1"/>
    <col min="3" max="3" width="20.7109375" style="2" customWidth="1"/>
    <col min="4" max="4" width="12.7109375" style="48" bestFit="1" customWidth="1"/>
    <col min="5" max="5" width="21" style="2" customWidth="1"/>
    <col min="6" max="6" width="20.7109375" style="2" customWidth="1"/>
    <col min="7" max="8" width="12.7109375" style="2" customWidth="1"/>
    <col min="9" max="10" width="32.7109375" style="2" customWidth="1"/>
    <col min="11" max="14" width="9.140625" style="2"/>
    <col min="15" max="15" width="12.7109375" style="2" customWidth="1"/>
    <col min="16" max="16" width="17.5703125" style="2" bestFit="1" customWidth="1"/>
    <col min="17" max="17" width="12.42578125" style="2" customWidth="1"/>
    <col min="18" max="18" width="21.5703125" style="2" bestFit="1" customWidth="1"/>
    <col min="19" max="19" width="18.140625" style="2" bestFit="1" customWidth="1"/>
    <col min="20" max="20" width="11.28515625" style="2" bestFit="1" customWidth="1"/>
    <col min="21" max="21" width="30.28515625" style="2" bestFit="1" customWidth="1"/>
    <col min="22" max="22" width="33.28515625" style="2" bestFit="1" customWidth="1"/>
    <col min="23" max="16384" width="9.140625" style="2"/>
  </cols>
  <sheetData>
    <row r="1" spans="1:22" ht="30.75">
      <c r="A1" s="17" t="s">
        <v>0</v>
      </c>
      <c r="B1" s="17" t="s">
        <v>1</v>
      </c>
      <c r="C1" s="17" t="s">
        <v>2</v>
      </c>
      <c r="D1" s="42" t="s">
        <v>3</v>
      </c>
      <c r="E1" s="17" t="s">
        <v>4</v>
      </c>
      <c r="F1" s="17" t="s">
        <v>5</v>
      </c>
      <c r="G1" s="17" t="s">
        <v>6</v>
      </c>
      <c r="H1" s="17" t="s">
        <v>7</v>
      </c>
      <c r="I1" s="17" t="s">
        <v>8</v>
      </c>
      <c r="J1" s="17" t="s">
        <v>9</v>
      </c>
      <c r="K1" s="18" t="s">
        <v>10</v>
      </c>
      <c r="L1" s="1" t="s">
        <v>11</v>
      </c>
      <c r="M1" s="22" t="s">
        <v>12</v>
      </c>
      <c r="N1" s="23" t="s">
        <v>13</v>
      </c>
      <c r="O1" s="22" t="s">
        <v>14</v>
      </c>
      <c r="P1" s="22" t="s">
        <v>15</v>
      </c>
      <c r="Q1" s="22" t="s">
        <v>16</v>
      </c>
      <c r="R1" s="22" t="s">
        <v>17</v>
      </c>
      <c r="S1" s="24" t="s">
        <v>18</v>
      </c>
      <c r="T1" s="25" t="s">
        <v>19</v>
      </c>
      <c r="U1" s="24" t="s">
        <v>20</v>
      </c>
      <c r="V1" s="25" t="s">
        <v>21</v>
      </c>
    </row>
    <row r="2" spans="1:22" ht="75.75" customHeight="1">
      <c r="A2" s="13">
        <v>6469</v>
      </c>
      <c r="B2" s="13" t="s">
        <v>22</v>
      </c>
      <c r="C2" s="41" t="s">
        <v>23</v>
      </c>
      <c r="D2" s="43">
        <v>1269863</v>
      </c>
      <c r="E2" s="13" t="s">
        <v>24</v>
      </c>
      <c r="F2" s="13" t="s">
        <v>25</v>
      </c>
      <c r="G2" s="13">
        <v>0</v>
      </c>
      <c r="H2" s="13">
        <v>3042</v>
      </c>
      <c r="I2" s="13" t="s">
        <v>26</v>
      </c>
      <c r="J2" s="13"/>
      <c r="K2" s="13" t="s">
        <v>27</v>
      </c>
      <c r="L2" s="26"/>
      <c r="M2" s="13" t="s">
        <v>28</v>
      </c>
      <c r="N2" s="21"/>
      <c r="O2" s="28" t="s">
        <v>29</v>
      </c>
      <c r="P2" s="21"/>
      <c r="Q2" s="21"/>
      <c r="R2" s="21"/>
      <c r="S2" s="21"/>
      <c r="T2" s="3" t="s">
        <v>30</v>
      </c>
      <c r="U2" s="27"/>
      <c r="V2" s="3"/>
    </row>
    <row r="3" spans="1:22" ht="84.75" customHeight="1">
      <c r="A3" s="13"/>
      <c r="B3" s="13"/>
      <c r="C3" s="13"/>
      <c r="D3" s="43"/>
      <c r="E3" s="13" t="s">
        <v>20</v>
      </c>
      <c r="F3" s="13" t="s">
        <v>31</v>
      </c>
      <c r="G3" s="13">
        <v>0</v>
      </c>
      <c r="H3" s="13"/>
      <c r="I3" s="13" t="s">
        <v>32</v>
      </c>
      <c r="J3" s="13"/>
      <c r="K3" s="13" t="s">
        <v>27</v>
      </c>
      <c r="L3" s="13"/>
      <c r="M3" s="13" t="s">
        <v>28</v>
      </c>
      <c r="N3" s="13"/>
      <c r="O3" s="28" t="s">
        <v>29</v>
      </c>
      <c r="P3" s="21" t="s">
        <v>24</v>
      </c>
      <c r="Q3" s="21"/>
      <c r="R3" s="21" t="s">
        <v>33</v>
      </c>
      <c r="S3" s="21" t="s">
        <v>34</v>
      </c>
      <c r="T3" s="3"/>
      <c r="U3" s="27" t="s">
        <v>35</v>
      </c>
      <c r="V3" s="3" t="s">
        <v>36</v>
      </c>
    </row>
    <row r="4" spans="1:22" ht="45.75">
      <c r="A4" s="13"/>
      <c r="B4" s="13"/>
      <c r="C4" s="13"/>
      <c r="D4" s="43"/>
      <c r="E4" s="13" t="s">
        <v>37</v>
      </c>
      <c r="F4" s="13" t="s">
        <v>38</v>
      </c>
      <c r="G4" s="13">
        <v>0</v>
      </c>
      <c r="H4" s="13">
        <v>0.44900000000000001</v>
      </c>
      <c r="I4" s="13" t="s">
        <v>39</v>
      </c>
      <c r="J4" s="13"/>
      <c r="K4" s="13" t="s">
        <v>27</v>
      </c>
      <c r="L4" s="13"/>
      <c r="M4" s="13" t="s">
        <v>28</v>
      </c>
      <c r="N4" s="13"/>
      <c r="O4" s="28" t="s">
        <v>29</v>
      </c>
      <c r="P4" s="21"/>
      <c r="Q4" s="21"/>
      <c r="R4" s="21"/>
      <c r="S4" s="21"/>
      <c r="T4" s="3" t="s">
        <v>30</v>
      </c>
      <c r="U4" s="27"/>
      <c r="V4" s="3"/>
    </row>
    <row r="5" spans="1:22" ht="106.5">
      <c r="A5" s="13"/>
      <c r="B5" s="13"/>
      <c r="C5" s="13"/>
      <c r="D5" s="43"/>
      <c r="E5" s="13" t="s">
        <v>20</v>
      </c>
      <c r="F5" s="13" t="s">
        <v>40</v>
      </c>
      <c r="G5" s="13">
        <v>0</v>
      </c>
      <c r="H5" s="13">
        <v>2</v>
      </c>
      <c r="I5" s="13" t="s">
        <v>41</v>
      </c>
      <c r="J5" s="13"/>
      <c r="K5" s="13" t="s">
        <v>27</v>
      </c>
      <c r="L5" s="13"/>
      <c r="M5" s="13" t="s">
        <v>28</v>
      </c>
      <c r="N5" s="13"/>
      <c r="O5" s="28" t="s">
        <v>29</v>
      </c>
      <c r="P5" s="21" t="s">
        <v>24</v>
      </c>
      <c r="Q5" s="21"/>
      <c r="R5" s="21" t="s">
        <v>42</v>
      </c>
      <c r="S5" s="21" t="s">
        <v>24</v>
      </c>
      <c r="T5" s="3"/>
      <c r="U5" s="27" t="s">
        <v>43</v>
      </c>
      <c r="V5" s="3"/>
    </row>
    <row r="6" spans="1:22" ht="152.25">
      <c r="A6" s="13">
        <v>5484</v>
      </c>
      <c r="B6" s="13" t="s">
        <v>44</v>
      </c>
      <c r="C6" s="41" t="s">
        <v>45</v>
      </c>
      <c r="D6" s="43">
        <v>5905662</v>
      </c>
      <c r="E6" s="13" t="s">
        <v>20</v>
      </c>
      <c r="F6" s="13" t="s">
        <v>46</v>
      </c>
      <c r="G6" s="13">
        <v>0</v>
      </c>
      <c r="H6" s="13">
        <v>2</v>
      </c>
      <c r="I6" s="13" t="s">
        <v>47</v>
      </c>
      <c r="J6" s="13"/>
      <c r="K6" s="13" t="s">
        <v>48</v>
      </c>
      <c r="L6" s="13"/>
      <c r="M6" s="13" t="s">
        <v>28</v>
      </c>
      <c r="N6" s="13"/>
      <c r="O6" s="13" t="s">
        <v>49</v>
      </c>
      <c r="P6" s="21" t="s">
        <v>50</v>
      </c>
      <c r="Q6" s="21"/>
      <c r="R6" s="21" t="s">
        <v>51</v>
      </c>
      <c r="S6" s="21" t="s">
        <v>50</v>
      </c>
      <c r="T6" s="3"/>
      <c r="U6" s="27" t="s">
        <v>43</v>
      </c>
      <c r="V6" s="3"/>
    </row>
    <row r="7" spans="1:22" ht="45.75">
      <c r="A7" s="13"/>
      <c r="B7" s="13"/>
      <c r="C7" s="13"/>
      <c r="D7" s="43"/>
      <c r="E7" s="13" t="s">
        <v>37</v>
      </c>
      <c r="F7" s="13" t="s">
        <v>52</v>
      </c>
      <c r="G7" s="13">
        <v>0</v>
      </c>
      <c r="H7" s="13">
        <v>10</v>
      </c>
      <c r="I7" s="13" t="s">
        <v>53</v>
      </c>
      <c r="J7" s="13"/>
      <c r="K7" s="13" t="s">
        <v>48</v>
      </c>
      <c r="L7" s="13"/>
      <c r="M7" s="13" t="s">
        <v>28</v>
      </c>
      <c r="N7" s="13"/>
      <c r="O7" s="13" t="s">
        <v>49</v>
      </c>
      <c r="P7" s="21"/>
      <c r="Q7" s="21"/>
      <c r="R7" s="21"/>
      <c r="S7" s="21"/>
      <c r="T7" s="3" t="s">
        <v>54</v>
      </c>
      <c r="U7" s="27"/>
      <c r="V7" s="3"/>
    </row>
    <row r="8" spans="1:22" ht="152.25">
      <c r="A8" s="13"/>
      <c r="B8" s="13"/>
      <c r="C8" s="13"/>
      <c r="D8" s="43"/>
      <c r="E8" s="13" t="s">
        <v>24</v>
      </c>
      <c r="F8" s="13" t="s">
        <v>55</v>
      </c>
      <c r="G8" s="13">
        <v>0</v>
      </c>
      <c r="H8" s="19" t="s">
        <v>56</v>
      </c>
      <c r="I8" s="20" t="s">
        <v>57</v>
      </c>
      <c r="J8" s="19"/>
      <c r="K8" s="13" t="s">
        <v>48</v>
      </c>
      <c r="L8" s="13"/>
      <c r="M8" s="13" t="s">
        <v>28</v>
      </c>
      <c r="N8" s="13"/>
      <c r="O8" s="13" t="s">
        <v>49</v>
      </c>
      <c r="P8" s="21"/>
      <c r="Q8" s="21"/>
      <c r="R8" s="21"/>
      <c r="S8" s="21"/>
      <c r="T8" s="3" t="s">
        <v>54</v>
      </c>
      <c r="U8" s="27"/>
      <c r="V8" s="3"/>
    </row>
    <row r="9" spans="1:22" ht="123.75" customHeight="1">
      <c r="A9" s="31">
        <v>5740</v>
      </c>
      <c r="B9" s="31" t="s">
        <v>58</v>
      </c>
      <c r="C9" s="31" t="s">
        <v>59</v>
      </c>
      <c r="D9" s="44">
        <v>20345141</v>
      </c>
      <c r="E9" s="31" t="s">
        <v>60</v>
      </c>
      <c r="F9" s="31" t="s">
        <v>61</v>
      </c>
      <c r="G9" s="31">
        <v>0</v>
      </c>
      <c r="H9" s="31">
        <v>35529</v>
      </c>
      <c r="I9" s="31" t="s">
        <v>62</v>
      </c>
      <c r="J9" s="31"/>
      <c r="K9" s="31" t="s">
        <v>63</v>
      </c>
      <c r="L9" s="31"/>
      <c r="M9" s="31" t="s">
        <v>28</v>
      </c>
      <c r="N9" s="31"/>
      <c r="O9" s="31" t="s">
        <v>29</v>
      </c>
      <c r="P9" s="33"/>
      <c r="Q9" s="33"/>
      <c r="R9" s="33"/>
      <c r="S9" s="33"/>
      <c r="T9" s="9" t="s">
        <v>30</v>
      </c>
      <c r="U9" s="34"/>
      <c r="V9" s="9"/>
    </row>
    <row r="10" spans="1:22" ht="45.75">
      <c r="A10" s="31">
        <v>1001412</v>
      </c>
      <c r="B10" s="31" t="s">
        <v>64</v>
      </c>
      <c r="C10" s="36"/>
      <c r="D10" s="45">
        <v>2000000</v>
      </c>
      <c r="E10" s="13" t="s">
        <v>37</v>
      </c>
      <c r="F10" s="13" t="s">
        <v>38</v>
      </c>
      <c r="G10" s="31">
        <v>0</v>
      </c>
      <c r="H10" s="31">
        <v>7.0000000000000007E-2</v>
      </c>
      <c r="I10" s="31" t="s">
        <v>65</v>
      </c>
      <c r="J10" s="3"/>
      <c r="K10" s="3" t="s">
        <v>66</v>
      </c>
      <c r="L10" s="3"/>
      <c r="M10" s="3" t="s">
        <v>67</v>
      </c>
      <c r="N10" s="3"/>
      <c r="O10" s="3"/>
      <c r="P10" s="3"/>
      <c r="Q10" s="3"/>
      <c r="R10" s="3"/>
      <c r="S10" s="3"/>
      <c r="T10" s="3" t="s">
        <v>68</v>
      </c>
      <c r="U10" s="3"/>
      <c r="V10" s="3"/>
    </row>
    <row r="11" spans="1:22" ht="91.5">
      <c r="A11" s="31"/>
      <c r="B11" s="31"/>
      <c r="C11" s="31"/>
      <c r="D11" s="46"/>
      <c r="E11" s="13" t="s">
        <v>24</v>
      </c>
      <c r="F11" s="13" t="s">
        <v>25</v>
      </c>
      <c r="G11" s="31">
        <v>0</v>
      </c>
      <c r="H11" s="31">
        <v>11705</v>
      </c>
      <c r="I11" s="31" t="s">
        <v>69</v>
      </c>
      <c r="J11" s="3"/>
      <c r="K11" s="3"/>
      <c r="L11" s="3"/>
      <c r="M11" s="3"/>
      <c r="N11" s="3"/>
      <c r="O11" s="3"/>
      <c r="P11" s="3"/>
      <c r="Q11" s="3"/>
      <c r="R11" s="3"/>
      <c r="S11" s="3"/>
      <c r="T11" s="3"/>
      <c r="U11" s="3"/>
      <c r="V11" s="3"/>
    </row>
    <row r="12" spans="1:22">
      <c r="A12" s="31"/>
      <c r="B12" s="31"/>
      <c r="C12" s="31"/>
      <c r="D12" s="47"/>
      <c r="E12" s="31"/>
      <c r="F12" s="31"/>
      <c r="G12" s="31"/>
      <c r="H12" s="31"/>
      <c r="I12" s="31"/>
      <c r="J12" s="3"/>
      <c r="K12" s="3"/>
      <c r="L12" s="3"/>
      <c r="M12" s="3"/>
      <c r="N12" s="3"/>
      <c r="O12" s="3"/>
      <c r="P12" s="3"/>
      <c r="Q12" s="3"/>
      <c r="R12" s="3"/>
      <c r="S12" s="3"/>
      <c r="T12" s="3"/>
      <c r="U12" s="3"/>
      <c r="V12" s="3"/>
    </row>
  </sheetData>
  <dataValidations count="8">
    <dataValidation type="list" allowBlank="1" showInputMessage="1" showErrorMessage="1" sqref="S2:S9" xr:uid="{3F565E17-BF4C-4DBE-B4C4-C14948145194}">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T2:T9" xr:uid="{BE17DFE7-912D-4CD7-8063-6953A5BBDD64}">
      <formula1>"Solar, Wind, Bioenergy, Hydro, Geothermal, Waste, Some Sources, Other, Unknown"</formula1>
    </dataValidation>
    <dataValidation type="list" allowBlank="1" showInputMessage="1" showErrorMessage="1" sqref="N2" xr:uid="{847A79D6-7D40-4629-9FAF-E8F5FBB01FF0}">
      <formula1>"Finance, Gender, Efficiency, Just, Health"</formula1>
    </dataValidation>
    <dataValidation type="list" allowBlank="1" showInputMessage="1" showErrorMessage="1" sqref="U2:U9" xr:uid="{57B8D9D5-8720-4EDB-839F-69B85C023163}">
      <formula1>"National, Regional, City, Community"</formula1>
    </dataValidation>
    <dataValidation type="list" allowBlank="1" showInputMessage="1" showErrorMessage="1" sqref="P2:P9" xr:uid="{1BC9250E-4390-4ACB-AB18-F88C9770742B}">
      <formula1>"Electricity Access, Energy Efficiency, Clean Cooking, Renewable Energy, Overall"</formula1>
    </dataValidation>
    <dataValidation type="list" allowBlank="1" showInputMessage="1" showErrorMessage="1" sqref="R2:R9" xr:uid="{FABE9592-EC87-4FED-A890-26D0E311A999}">
      <formula1>"NDC Support, National Strategy, Legal Framework,Incentives and Support, Government Capacity-Building, Carbon Pricing and Monitoring, Financing Model, Business Model"</formula1>
    </dataValidation>
    <dataValidation type="list" allowBlank="1" showInputMessage="1" showErrorMessage="1" sqref="Q2:Q9" xr:uid="{C1EE67C1-7A61-4153-B493-B65FD8F6A663}">
      <formula1>"AMP, PUDC, Solar4Health, Action Opportunities, Italy UNDP Energy Partnership"</formula1>
    </dataValidation>
    <dataValidation type="list" allowBlank="1" showInputMessage="1" showErrorMessage="1" sqref="O2:O9" xr:uid="{B294CFEB-B497-43B0-8BBF-4955441BFC8D}">
      <formula1>"Accelerating just energy transition, Close the gap on energy access, Scale up energy finance"</formula1>
    </dataValidation>
  </dataValidations>
  <hyperlinks>
    <hyperlink ref="C6" r:id="rId1" xr:uid="{CB372615-3433-4949-9A1A-D7C7FEF62FCC}"/>
    <hyperlink ref="C2" r:id="rId2" xr:uid="{15D826EB-4FA2-440A-BDB1-E90A107F8A45}"/>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06A2541-353A-4458-A233-4A46B438E761}">
          <x14:formula1>
            <xm:f>'Beneficiary Categories'!$A$2:$A$22</xm:f>
          </x14:formula1>
          <xm:sqref>E2:E11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AC61B-E414-4DCF-90F2-24753B0E1ABE}">
  <dimension ref="A1:V12"/>
  <sheetViews>
    <sheetView workbookViewId="0">
      <pane xSplit="1" ySplit="1" topLeftCell="C2" activePane="bottomRight" state="frozen"/>
      <selection pane="bottomRight" activeCell="C2" sqref="C2"/>
      <selection pane="bottomLeft"/>
      <selection pane="topRight"/>
    </sheetView>
  </sheetViews>
  <sheetFormatPr defaultRowHeight="15"/>
  <cols>
    <col min="1" max="1" width="9.140625" style="2"/>
    <col min="2" max="2" width="21.85546875" style="2" customWidth="1"/>
    <col min="3" max="3" width="20.7109375" style="2" customWidth="1"/>
    <col min="4" max="4" width="9.140625" style="2"/>
    <col min="5" max="5" width="21" style="2" customWidth="1"/>
    <col min="6" max="6" width="20.7109375" style="2" customWidth="1"/>
    <col min="7" max="8" width="12.7109375" style="2" customWidth="1"/>
    <col min="9" max="10" width="32.7109375" style="2" customWidth="1"/>
    <col min="11" max="14" width="9.140625" style="2"/>
    <col min="15" max="15" width="12.7109375" style="2" customWidth="1"/>
    <col min="16" max="16" width="17.5703125" style="2" bestFit="1" customWidth="1"/>
    <col min="17" max="17" width="12.42578125" style="2" customWidth="1"/>
    <col min="18" max="18" width="21.5703125" style="2" bestFit="1" customWidth="1"/>
    <col min="19" max="19" width="18.140625" style="2" bestFit="1" customWidth="1"/>
    <col min="20" max="20" width="11.28515625" style="2" bestFit="1" customWidth="1"/>
    <col min="21" max="21" width="30.28515625" style="2" bestFit="1" customWidth="1"/>
    <col min="22" max="22" width="33.28515625" style="2" bestFit="1" customWidth="1"/>
    <col min="23" max="16384" width="9.140625" style="2"/>
  </cols>
  <sheetData>
    <row r="1" spans="1:22" ht="45.75">
      <c r="A1" s="17" t="s">
        <v>0</v>
      </c>
      <c r="B1" s="17" t="s">
        <v>1</v>
      </c>
      <c r="C1" s="17" t="s">
        <v>2</v>
      </c>
      <c r="D1" s="17" t="s">
        <v>3</v>
      </c>
      <c r="E1" s="17" t="s">
        <v>4</v>
      </c>
      <c r="F1" s="17" t="s">
        <v>5</v>
      </c>
      <c r="G1" s="17" t="s">
        <v>6</v>
      </c>
      <c r="H1" s="17" t="s">
        <v>7</v>
      </c>
      <c r="I1" s="17" t="s">
        <v>8</v>
      </c>
      <c r="J1" s="17" t="s">
        <v>9</v>
      </c>
      <c r="K1" s="18" t="s">
        <v>10</v>
      </c>
      <c r="L1" s="1" t="s">
        <v>11</v>
      </c>
      <c r="M1" s="22" t="s">
        <v>12</v>
      </c>
      <c r="N1" s="23" t="s">
        <v>13</v>
      </c>
      <c r="O1" s="22" t="s">
        <v>14</v>
      </c>
      <c r="P1" s="22" t="s">
        <v>15</v>
      </c>
      <c r="Q1" s="22" t="s">
        <v>16</v>
      </c>
      <c r="R1" s="22" t="s">
        <v>17</v>
      </c>
      <c r="S1" s="24" t="s">
        <v>18</v>
      </c>
      <c r="T1" s="25" t="s">
        <v>19</v>
      </c>
      <c r="U1" s="24" t="s">
        <v>20</v>
      </c>
      <c r="V1" s="25" t="s">
        <v>21</v>
      </c>
    </row>
    <row r="2" spans="1:22" ht="75.75" customHeight="1">
      <c r="A2" s="13">
        <v>6469</v>
      </c>
      <c r="B2" s="13" t="s">
        <v>22</v>
      </c>
      <c r="C2" s="41" t="s">
        <v>23</v>
      </c>
      <c r="D2" s="13">
        <v>1269863</v>
      </c>
      <c r="E2" s="13" t="s">
        <v>24</v>
      </c>
      <c r="F2" s="13" t="s">
        <v>25</v>
      </c>
      <c r="G2" s="13">
        <v>0</v>
      </c>
      <c r="H2" s="13">
        <v>3042</v>
      </c>
      <c r="I2" s="13" t="s">
        <v>26</v>
      </c>
      <c r="J2" s="13"/>
      <c r="K2" s="13" t="s">
        <v>27</v>
      </c>
      <c r="L2" s="26"/>
      <c r="M2" s="13" t="s">
        <v>28</v>
      </c>
      <c r="N2" s="21"/>
      <c r="O2" s="28" t="s">
        <v>29</v>
      </c>
      <c r="P2" s="21"/>
      <c r="Q2" s="21"/>
      <c r="R2" s="21"/>
      <c r="S2" s="21"/>
      <c r="T2" s="3" t="s">
        <v>30</v>
      </c>
      <c r="U2" s="27"/>
      <c r="V2" s="3"/>
    </row>
    <row r="3" spans="1:22" ht="84.75" customHeight="1">
      <c r="A3" s="13"/>
      <c r="B3" s="13"/>
      <c r="C3" s="13"/>
      <c r="D3" s="13"/>
      <c r="E3" s="13" t="s">
        <v>20</v>
      </c>
      <c r="F3" s="13" t="s">
        <v>31</v>
      </c>
      <c r="G3" s="13">
        <v>0</v>
      </c>
      <c r="H3" s="13"/>
      <c r="I3" s="13" t="s">
        <v>32</v>
      </c>
      <c r="J3" s="13"/>
      <c r="K3" s="13" t="s">
        <v>27</v>
      </c>
      <c r="L3" s="13"/>
      <c r="M3" s="13" t="s">
        <v>28</v>
      </c>
      <c r="N3" s="13"/>
      <c r="O3" s="28" t="s">
        <v>29</v>
      </c>
      <c r="P3" s="21" t="s">
        <v>24</v>
      </c>
      <c r="Q3" s="21"/>
      <c r="R3" s="21" t="s">
        <v>33</v>
      </c>
      <c r="S3" s="21" t="s">
        <v>34</v>
      </c>
      <c r="T3" s="3"/>
      <c r="U3" s="27" t="s">
        <v>35</v>
      </c>
      <c r="V3" s="3" t="s">
        <v>36</v>
      </c>
    </row>
    <row r="4" spans="1:22" ht="45.75">
      <c r="A4" s="13"/>
      <c r="B4" s="13"/>
      <c r="C4" s="13"/>
      <c r="D4" s="13"/>
      <c r="E4" s="13" t="s">
        <v>37</v>
      </c>
      <c r="F4" s="13" t="s">
        <v>38</v>
      </c>
      <c r="G4" s="13">
        <v>0</v>
      </c>
      <c r="H4" s="13">
        <v>0.44900000000000001</v>
      </c>
      <c r="I4" s="13" t="s">
        <v>39</v>
      </c>
      <c r="J4" s="13"/>
      <c r="K4" s="13" t="s">
        <v>27</v>
      </c>
      <c r="L4" s="13"/>
      <c r="M4" s="13" t="s">
        <v>28</v>
      </c>
      <c r="N4" s="13"/>
      <c r="O4" s="28" t="s">
        <v>29</v>
      </c>
      <c r="P4" s="21"/>
      <c r="Q4" s="21"/>
      <c r="R4" s="21"/>
      <c r="S4" s="21"/>
      <c r="T4" s="3" t="s">
        <v>30</v>
      </c>
      <c r="U4" s="27"/>
      <c r="V4" s="3"/>
    </row>
    <row r="5" spans="1:22" ht="106.5">
      <c r="A5" s="13"/>
      <c r="B5" s="13"/>
      <c r="C5" s="13"/>
      <c r="D5" s="13"/>
      <c r="E5" s="13" t="s">
        <v>20</v>
      </c>
      <c r="F5" s="13" t="s">
        <v>40</v>
      </c>
      <c r="G5" s="13">
        <v>0</v>
      </c>
      <c r="H5" s="13">
        <v>2</v>
      </c>
      <c r="I5" s="13" t="s">
        <v>41</v>
      </c>
      <c r="J5" s="13"/>
      <c r="K5" s="13" t="s">
        <v>27</v>
      </c>
      <c r="L5" s="13"/>
      <c r="M5" s="13" t="s">
        <v>28</v>
      </c>
      <c r="N5" s="13"/>
      <c r="O5" s="28" t="s">
        <v>29</v>
      </c>
      <c r="P5" s="21" t="s">
        <v>24</v>
      </c>
      <c r="Q5" s="21"/>
      <c r="R5" s="21" t="s">
        <v>42</v>
      </c>
      <c r="S5" s="21" t="s">
        <v>24</v>
      </c>
      <c r="T5" s="3"/>
      <c r="U5" s="27" t="s">
        <v>43</v>
      </c>
      <c r="V5" s="3"/>
    </row>
    <row r="6" spans="1:22" ht="152.25">
      <c r="A6" s="13">
        <v>5484</v>
      </c>
      <c r="B6" s="13" t="s">
        <v>44</v>
      </c>
      <c r="C6" s="41" t="s">
        <v>45</v>
      </c>
      <c r="D6" s="13">
        <v>5905662</v>
      </c>
      <c r="E6" s="13" t="s">
        <v>20</v>
      </c>
      <c r="F6" s="13" t="s">
        <v>46</v>
      </c>
      <c r="G6" s="13">
        <v>0</v>
      </c>
      <c r="H6" s="13">
        <v>2</v>
      </c>
      <c r="I6" s="13" t="s">
        <v>47</v>
      </c>
      <c r="J6" s="13"/>
      <c r="K6" s="13" t="s">
        <v>48</v>
      </c>
      <c r="L6" s="13"/>
      <c r="M6" s="13" t="s">
        <v>28</v>
      </c>
      <c r="N6" s="13"/>
      <c r="O6" s="13" t="s">
        <v>49</v>
      </c>
      <c r="P6" s="21" t="s">
        <v>50</v>
      </c>
      <c r="Q6" s="21"/>
      <c r="R6" s="21" t="s">
        <v>51</v>
      </c>
      <c r="S6" s="21" t="s">
        <v>50</v>
      </c>
      <c r="T6" s="3"/>
      <c r="U6" s="27" t="s">
        <v>43</v>
      </c>
      <c r="V6" s="3"/>
    </row>
    <row r="7" spans="1:22" ht="45.75">
      <c r="A7" s="13"/>
      <c r="B7" s="13"/>
      <c r="C7" s="13"/>
      <c r="D7" s="13"/>
      <c r="E7" s="13" t="s">
        <v>37</v>
      </c>
      <c r="F7" s="13" t="s">
        <v>52</v>
      </c>
      <c r="G7" s="13">
        <v>0</v>
      </c>
      <c r="H7" s="13">
        <v>10</v>
      </c>
      <c r="I7" s="13" t="s">
        <v>53</v>
      </c>
      <c r="J7" s="13"/>
      <c r="K7" s="13" t="s">
        <v>48</v>
      </c>
      <c r="L7" s="13"/>
      <c r="M7" s="13" t="s">
        <v>28</v>
      </c>
      <c r="N7" s="13"/>
      <c r="O7" s="13" t="s">
        <v>49</v>
      </c>
      <c r="P7" s="21"/>
      <c r="Q7" s="21"/>
      <c r="R7" s="21"/>
      <c r="S7" s="21"/>
      <c r="T7" s="3" t="s">
        <v>54</v>
      </c>
      <c r="U7" s="27"/>
      <c r="V7" s="3"/>
    </row>
    <row r="8" spans="1:22" ht="152.25">
      <c r="A8" s="13"/>
      <c r="B8" s="13"/>
      <c r="C8" s="13"/>
      <c r="D8" s="13"/>
      <c r="E8" s="13" t="s">
        <v>24</v>
      </c>
      <c r="F8" s="13" t="s">
        <v>55</v>
      </c>
      <c r="G8" s="13">
        <v>0</v>
      </c>
      <c r="H8" s="19" t="s">
        <v>56</v>
      </c>
      <c r="I8" s="20" t="s">
        <v>57</v>
      </c>
      <c r="J8" s="19"/>
      <c r="K8" s="13" t="s">
        <v>48</v>
      </c>
      <c r="L8" s="13"/>
      <c r="M8" s="13" t="s">
        <v>28</v>
      </c>
      <c r="N8" s="13"/>
      <c r="O8" s="13" t="s">
        <v>49</v>
      </c>
      <c r="P8" s="21"/>
      <c r="Q8" s="21"/>
      <c r="R8" s="21"/>
      <c r="S8" s="21"/>
      <c r="T8" s="3" t="s">
        <v>54</v>
      </c>
      <c r="U8" s="27"/>
      <c r="V8" s="3"/>
    </row>
    <row r="9" spans="1:22" ht="123.75" customHeight="1">
      <c r="A9" s="31">
        <v>5740</v>
      </c>
      <c r="B9" s="31" t="s">
        <v>58</v>
      </c>
      <c r="C9" s="31" t="s">
        <v>59</v>
      </c>
      <c r="D9" s="32">
        <v>20345141</v>
      </c>
      <c r="E9" s="31" t="s">
        <v>60</v>
      </c>
      <c r="F9" s="31" t="s">
        <v>61</v>
      </c>
      <c r="G9" s="31">
        <v>0</v>
      </c>
      <c r="H9" s="31">
        <v>35529</v>
      </c>
      <c r="I9" s="31" t="s">
        <v>62</v>
      </c>
      <c r="J9" s="31"/>
      <c r="K9" s="31" t="s">
        <v>63</v>
      </c>
      <c r="L9" s="31"/>
      <c r="M9" s="31" t="s">
        <v>28</v>
      </c>
      <c r="N9" s="31"/>
      <c r="O9" s="31" t="s">
        <v>29</v>
      </c>
      <c r="P9" s="33"/>
      <c r="Q9" s="33"/>
      <c r="R9" s="33"/>
      <c r="S9" s="33"/>
      <c r="T9" s="9" t="s">
        <v>30</v>
      </c>
      <c r="U9" s="34"/>
      <c r="V9" s="9"/>
    </row>
    <row r="10" spans="1:22" ht="45.75">
      <c r="A10" s="31">
        <v>1001412</v>
      </c>
      <c r="B10" s="31" t="s">
        <v>64</v>
      </c>
      <c r="C10" s="36"/>
      <c r="D10" s="35">
        <v>2000000</v>
      </c>
      <c r="E10" s="13" t="s">
        <v>37</v>
      </c>
      <c r="F10" s="13" t="s">
        <v>38</v>
      </c>
      <c r="G10" s="31">
        <v>0</v>
      </c>
      <c r="H10" s="31">
        <v>7.0000000000000007E-2</v>
      </c>
      <c r="I10" s="31" t="s">
        <v>65</v>
      </c>
      <c r="J10" s="3"/>
      <c r="K10" s="3" t="s">
        <v>66</v>
      </c>
      <c r="L10" s="3"/>
      <c r="M10" s="3"/>
      <c r="N10" s="3"/>
      <c r="O10" s="3"/>
      <c r="P10" s="3"/>
      <c r="Q10" s="3"/>
      <c r="R10" s="3"/>
      <c r="S10" s="3"/>
      <c r="T10" s="3" t="s">
        <v>68</v>
      </c>
      <c r="U10" s="3"/>
      <c r="V10" s="3"/>
    </row>
    <row r="11" spans="1:22" ht="91.5">
      <c r="A11" s="31"/>
      <c r="B11" s="31"/>
      <c r="C11" s="31"/>
      <c r="D11" s="37"/>
      <c r="E11" s="13" t="s">
        <v>24</v>
      </c>
      <c r="F11" s="13" t="s">
        <v>25</v>
      </c>
      <c r="G11" s="31">
        <v>0</v>
      </c>
      <c r="H11" s="31">
        <v>11705</v>
      </c>
      <c r="I11" s="31" t="s">
        <v>69</v>
      </c>
      <c r="J11" s="3"/>
      <c r="K11" s="3"/>
      <c r="L11" s="3"/>
      <c r="M11" s="3" t="s">
        <v>70</v>
      </c>
      <c r="N11" s="3"/>
      <c r="O11" s="3"/>
      <c r="P11" s="3"/>
      <c r="Q11" s="3"/>
      <c r="R11" s="3"/>
      <c r="S11" s="3"/>
      <c r="T11" s="3"/>
      <c r="U11" s="3"/>
      <c r="V11" s="3"/>
    </row>
    <row r="12" spans="1:22">
      <c r="A12" s="31"/>
      <c r="B12" s="31"/>
      <c r="C12" s="31"/>
      <c r="D12" s="31"/>
      <c r="E12" s="31"/>
      <c r="F12" s="31"/>
      <c r="G12" s="31"/>
      <c r="H12" s="31"/>
      <c r="I12" s="31"/>
      <c r="J12" s="3"/>
      <c r="K12" s="3"/>
      <c r="L12" s="3"/>
      <c r="M12" s="3"/>
      <c r="N12" s="3"/>
      <c r="O12" s="3"/>
      <c r="P12" s="3"/>
      <c r="Q12" s="3"/>
      <c r="R12" s="3"/>
      <c r="S12" s="3"/>
      <c r="T12" s="3"/>
      <c r="U12" s="3"/>
      <c r="V12" s="3"/>
    </row>
  </sheetData>
  <dataValidations count="8">
    <dataValidation type="list" allowBlank="1" showInputMessage="1" showErrorMessage="1" sqref="O2:O9" xr:uid="{187CA916-7BA0-44C4-979E-A436E47FA479}">
      <formula1>"Accelerating just energy transition, Close the gap on energy access, Scale up energy finance"</formula1>
    </dataValidation>
    <dataValidation type="list" allowBlank="1" showInputMessage="1" showErrorMessage="1" sqref="Q2:Q9" xr:uid="{9DCF9F48-C133-4526-8DCA-0AA40A148E20}">
      <formula1>"AMP, PUDC, Solar4Health, Action Opportunities, Italy UNDP Energy Partnership"</formula1>
    </dataValidation>
    <dataValidation type="list" allowBlank="1" showInputMessage="1" showErrorMessage="1" sqref="R2:R9" xr:uid="{8DACD09D-52D2-4183-BDF1-084570097A07}">
      <formula1>"NDC Support, National Strategy, Legal Framework,Incentives and Support, Government Capacity-Building, Carbon Pricing and Monitoring, Financing Model, Business Model"</formula1>
    </dataValidation>
    <dataValidation type="list" allowBlank="1" showInputMessage="1" showErrorMessage="1" sqref="P2:P9" xr:uid="{A50756ED-3475-49D0-83A6-CD741B27BF26}">
      <formula1>"Electricity Access, Energy Efficiency, Clean Cooking, Renewable Energy, Overall"</formula1>
    </dataValidation>
    <dataValidation type="list" allowBlank="1" showInputMessage="1" showErrorMessage="1" sqref="U2:U9" xr:uid="{A0E93563-0219-445F-B6F6-9424E926D8BA}">
      <formula1>"National, Regional, City, Community"</formula1>
    </dataValidation>
    <dataValidation type="list" allowBlank="1" showInputMessage="1" showErrorMessage="1" sqref="N2" xr:uid="{8B355379-73A0-4822-A83C-591B2DAA39C4}">
      <formula1>"Finance, Gender, Efficiency, Just, Health"</formula1>
    </dataValidation>
    <dataValidation type="list" allowBlank="1" showInputMessage="1" showErrorMessage="1" sqref="T2:T9" xr:uid="{7E481400-1A2A-45B3-BADB-126F284FFE99}">
      <formula1>"Solar, Wind, Bioenergy, Hydro, Geothermal, Waste, Some Sources, Other, Unknown"</formula1>
    </dataValidation>
    <dataValidation type="list" allowBlank="1" showInputMessage="1" showErrorMessage="1" sqref="S2:S9" xr:uid="{F607AB48-A656-46C3-805E-34BA1BF0CABA}">
      <formula1>"Electricity Access, Energy Efficiency, Renewable Energy, Infrastructure,  Transport, Digital &amp; Data, Clean Cooking, Decarbonization, Hydrogen, Off-Grid, On-Grid, Research &amp; Innovation, Grant &amp; Investment"</formula1>
    </dataValidation>
  </dataValidations>
  <hyperlinks>
    <hyperlink ref="C6" r:id="rId1" xr:uid="{B8160BE7-4E19-4D59-93FA-920143E826B3}"/>
    <hyperlink ref="C2" r:id="rId2" xr:uid="{0BF32A45-8F42-4419-88E9-0098A8096851}"/>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C8C2A23-14E8-45C9-83F7-622D82098150}">
          <x14:formula1>
            <xm:f>'Beneficiary Categories'!$A$2:$A$22</xm:f>
          </x14:formula1>
          <xm:sqref>E2:E11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1"/>
  <sheetViews>
    <sheetView workbookViewId="0">
      <selection activeCell="D2" sqref="D2"/>
    </sheetView>
  </sheetViews>
  <sheetFormatPr defaultRowHeight="15"/>
  <cols>
    <col min="1" max="1" width="9.140625" style="2"/>
    <col min="2" max="2" width="21.85546875" style="2" customWidth="1"/>
    <col min="3" max="3" width="20.7109375" style="2" customWidth="1"/>
    <col min="4" max="4" width="9.140625" style="2"/>
    <col min="5" max="5" width="29" style="2" customWidth="1"/>
    <col min="6" max="6" width="20.7109375" style="2" customWidth="1"/>
    <col min="7" max="8" width="12.7109375" style="2" customWidth="1"/>
    <col min="9" max="9" width="32.7109375" style="2" customWidth="1"/>
    <col min="10" max="16384" width="9.140625" style="2"/>
  </cols>
  <sheetData>
    <row r="1" spans="1:10">
      <c r="A1" s="1" t="s">
        <v>0</v>
      </c>
      <c r="B1" s="1" t="s">
        <v>1</v>
      </c>
      <c r="C1" s="1" t="s">
        <v>2</v>
      </c>
      <c r="D1" s="1" t="s">
        <v>3</v>
      </c>
      <c r="E1" s="1" t="s">
        <v>4</v>
      </c>
      <c r="F1" s="1" t="s">
        <v>5</v>
      </c>
      <c r="G1" s="1" t="s">
        <v>6</v>
      </c>
      <c r="H1" s="1" t="s">
        <v>7</v>
      </c>
      <c r="I1" s="1" t="s">
        <v>8</v>
      </c>
      <c r="J1" s="16" t="s">
        <v>10</v>
      </c>
    </row>
    <row r="2" spans="1:10" ht="76.5">
      <c r="A2" s="3">
        <v>6469</v>
      </c>
      <c r="B2" s="3" t="s">
        <v>22</v>
      </c>
      <c r="C2" s="3" t="s">
        <v>71</v>
      </c>
      <c r="D2" s="3">
        <v>1269863</v>
      </c>
      <c r="E2" s="4" t="s">
        <v>24</v>
      </c>
      <c r="F2" s="5" t="s">
        <v>25</v>
      </c>
      <c r="G2" s="4">
        <v>0</v>
      </c>
      <c r="H2" s="4">
        <v>3042</v>
      </c>
      <c r="I2" s="5" t="s">
        <v>26</v>
      </c>
    </row>
    <row r="3" spans="1:10" ht="152.25">
      <c r="A3" s="3"/>
      <c r="B3" s="3"/>
      <c r="C3" s="3"/>
      <c r="D3" s="3"/>
      <c r="E3" s="4" t="s">
        <v>72</v>
      </c>
      <c r="F3" s="5" t="s">
        <v>31</v>
      </c>
      <c r="G3" s="4">
        <v>0</v>
      </c>
      <c r="H3" s="4">
        <v>4</v>
      </c>
      <c r="I3" s="5" t="s">
        <v>32</v>
      </c>
    </row>
    <row r="4" spans="1:10" ht="45.75">
      <c r="A4" s="3"/>
      <c r="B4" s="3"/>
      <c r="C4" s="3"/>
      <c r="D4" s="3"/>
      <c r="E4" s="4" t="s">
        <v>37</v>
      </c>
      <c r="F4" s="5" t="s">
        <v>38</v>
      </c>
      <c r="G4" s="4">
        <v>0</v>
      </c>
      <c r="H4" s="4" t="s">
        <v>73</v>
      </c>
      <c r="I4" s="5" t="s">
        <v>39</v>
      </c>
    </row>
    <row r="5" spans="1:10" ht="106.5">
      <c r="A5" s="9"/>
      <c r="B5" s="9"/>
      <c r="C5" s="9"/>
      <c r="D5" s="9"/>
      <c r="E5" s="4" t="s">
        <v>20</v>
      </c>
      <c r="F5" s="5" t="s">
        <v>40</v>
      </c>
      <c r="G5" s="4">
        <v>0</v>
      </c>
      <c r="H5" s="4">
        <v>2</v>
      </c>
      <c r="I5" s="5" t="s">
        <v>41</v>
      </c>
    </row>
    <row r="6" spans="1:10" ht="152.25">
      <c r="A6" s="3">
        <v>5484</v>
      </c>
      <c r="B6" s="3" t="s">
        <v>44</v>
      </c>
      <c r="C6" s="3" t="s">
        <v>71</v>
      </c>
      <c r="D6" s="3">
        <v>5905662</v>
      </c>
      <c r="E6" s="8" t="s">
        <v>20</v>
      </c>
      <c r="F6" s="5" t="s">
        <v>46</v>
      </c>
      <c r="G6" s="4">
        <v>0</v>
      </c>
      <c r="H6" s="4">
        <v>2</v>
      </c>
      <c r="I6" s="5" t="s">
        <v>47</v>
      </c>
    </row>
    <row r="7" spans="1:10" ht="45.75">
      <c r="A7" s="9"/>
      <c r="B7" s="9"/>
      <c r="C7" s="9"/>
      <c r="D7" s="9"/>
      <c r="E7" s="10" t="s">
        <v>37</v>
      </c>
      <c r="F7" s="11" t="s">
        <v>52</v>
      </c>
      <c r="G7" s="12">
        <v>0</v>
      </c>
      <c r="H7" s="12" t="s">
        <v>74</v>
      </c>
      <c r="I7" s="11" t="s">
        <v>53</v>
      </c>
    </row>
    <row r="8" spans="1:10" ht="152.25">
      <c r="A8" s="9"/>
      <c r="B8" s="9"/>
      <c r="C8" s="9"/>
      <c r="D8" s="9"/>
      <c r="E8" s="12" t="s">
        <v>24</v>
      </c>
      <c r="F8" s="11" t="s">
        <v>55</v>
      </c>
      <c r="G8" s="12">
        <v>0</v>
      </c>
      <c r="H8" s="15" t="s">
        <v>75</v>
      </c>
      <c r="I8" s="14" t="s">
        <v>76</v>
      </c>
    </row>
    <row r="9" spans="1:10" ht="123.75" customHeight="1">
      <c r="A9" s="3">
        <v>5740</v>
      </c>
      <c r="B9" s="13" t="s">
        <v>58</v>
      </c>
      <c r="C9" s="3" t="s">
        <v>59</v>
      </c>
      <c r="D9" s="3"/>
      <c r="E9" s="6" t="s">
        <v>60</v>
      </c>
      <c r="F9" s="7" t="s">
        <v>61</v>
      </c>
      <c r="G9" s="6">
        <v>0</v>
      </c>
      <c r="H9" s="6" t="s">
        <v>77</v>
      </c>
      <c r="I9" s="7" t="s">
        <v>62</v>
      </c>
    </row>
    <row r="10" spans="1:10" ht="45.75">
      <c r="A10" s="31">
        <v>1001412</v>
      </c>
      <c r="B10" s="31" t="s">
        <v>64</v>
      </c>
      <c r="C10" s="36"/>
      <c r="D10" s="39">
        <v>2000000</v>
      </c>
      <c r="E10" s="13" t="s">
        <v>37</v>
      </c>
      <c r="F10" s="13" t="s">
        <v>38</v>
      </c>
      <c r="G10" s="31">
        <v>0</v>
      </c>
      <c r="H10" s="31">
        <v>7.0000000000000007E-2</v>
      </c>
      <c r="I10" s="31" t="s">
        <v>65</v>
      </c>
    </row>
    <row r="11" spans="1:10" ht="91.5">
      <c r="A11" s="13"/>
      <c r="B11" s="13"/>
      <c r="C11" s="13"/>
      <c r="D11" s="13"/>
      <c r="E11" s="38" t="s">
        <v>24</v>
      </c>
      <c r="F11" s="40" t="s">
        <v>25</v>
      </c>
      <c r="G11" s="13">
        <v>0</v>
      </c>
      <c r="H11" s="13">
        <v>11705</v>
      </c>
      <c r="I11" s="13" t="s">
        <v>69</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'Beneficiary Categories'!$A$2:$A$16</xm:f>
          </x14:formula1>
          <xm:sqref>E2:E9</xm:sqref>
        </x14:dataValidation>
        <x14:dataValidation type="list" allowBlank="1" showInputMessage="1" showErrorMessage="1" xr:uid="{7A1A2020-86D4-4690-A237-0F7998D5CE2A}">
          <x14:formula1>
            <xm:f>'Beneficiary Categories'!$A$2:$A$22</xm:f>
          </x14:formula1>
          <xm:sqref>E10:E11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heetViews>
  <sheetFormatPr defaultRowHeight="15"/>
  <cols>
    <col min="1" max="2" width="52.7109375" customWidth="1"/>
  </cols>
  <sheetData>
    <row r="1" spans="1:2">
      <c r="A1" s="29" t="s">
        <v>4</v>
      </c>
      <c r="B1" s="29" t="s">
        <v>5</v>
      </c>
    </row>
    <row r="2" spans="1:2" ht="45.75">
      <c r="A2" s="49" t="s">
        <v>24</v>
      </c>
      <c r="B2" s="30" t="s">
        <v>78</v>
      </c>
    </row>
    <row r="3" spans="1:2">
      <c r="A3" s="49" t="s">
        <v>37</v>
      </c>
      <c r="B3" s="30" t="s">
        <v>79</v>
      </c>
    </row>
    <row r="4" spans="1:2" ht="30.75">
      <c r="A4" s="49" t="s">
        <v>80</v>
      </c>
      <c r="B4" s="30" t="s">
        <v>81</v>
      </c>
    </row>
    <row r="5" spans="1:2" ht="30.75">
      <c r="A5" s="49" t="s">
        <v>82</v>
      </c>
      <c r="B5" s="30" t="s">
        <v>83</v>
      </c>
    </row>
    <row r="6" spans="1:2" ht="91.5">
      <c r="A6" s="49" t="s">
        <v>84</v>
      </c>
      <c r="B6" s="30" t="s">
        <v>85</v>
      </c>
    </row>
    <row r="7" spans="1:2" ht="45.75">
      <c r="A7" s="49" t="s">
        <v>86</v>
      </c>
      <c r="B7" s="30" t="s">
        <v>87</v>
      </c>
    </row>
    <row r="8" spans="1:2" ht="45.75">
      <c r="A8" s="49" t="s">
        <v>60</v>
      </c>
      <c r="B8" s="30" t="s">
        <v>88</v>
      </c>
    </row>
    <row r="9" spans="1:2" ht="45.75">
      <c r="A9" s="49" t="s">
        <v>89</v>
      </c>
      <c r="B9" s="30" t="s">
        <v>90</v>
      </c>
    </row>
    <row r="10" spans="1:2" ht="30.75">
      <c r="A10" s="49" t="s">
        <v>91</v>
      </c>
      <c r="B10" s="50" t="s">
        <v>92</v>
      </c>
    </row>
    <row r="11" spans="1:2" ht="30.75">
      <c r="A11" s="49" t="s">
        <v>93</v>
      </c>
      <c r="B11" s="50" t="s">
        <v>94</v>
      </c>
    </row>
    <row r="12" spans="1:2" ht="45.75">
      <c r="A12" s="49" t="s">
        <v>95</v>
      </c>
      <c r="B12" s="30" t="s">
        <v>96</v>
      </c>
    </row>
    <row r="13" spans="1:2" ht="30.75">
      <c r="A13" s="49" t="s">
        <v>97</v>
      </c>
      <c r="B13" s="50" t="s">
        <v>98</v>
      </c>
    </row>
    <row r="14" spans="1:2">
      <c r="A14" s="49" t="s">
        <v>99</v>
      </c>
      <c r="B14" s="50" t="s">
        <v>100</v>
      </c>
    </row>
    <row r="15" spans="1:2" ht="30.75">
      <c r="A15" s="49" t="s">
        <v>101</v>
      </c>
      <c r="B15" s="50" t="s">
        <v>102</v>
      </c>
    </row>
    <row r="16" spans="1:2" ht="30.75">
      <c r="A16" s="49" t="s">
        <v>103</v>
      </c>
      <c r="B16" s="50" t="s">
        <v>104</v>
      </c>
    </row>
    <row r="17" spans="1:2" ht="30.75">
      <c r="A17" s="49" t="s">
        <v>105</v>
      </c>
      <c r="B17" s="30" t="s">
        <v>106</v>
      </c>
    </row>
    <row r="18" spans="1:2" ht="30.75">
      <c r="A18" s="49" t="s">
        <v>72</v>
      </c>
      <c r="B18" s="50" t="s">
        <v>107</v>
      </c>
    </row>
    <row r="19" spans="1:2" ht="76.5">
      <c r="A19" s="49" t="s">
        <v>108</v>
      </c>
      <c r="B19" s="50" t="s">
        <v>109</v>
      </c>
    </row>
    <row r="20" spans="1:2" ht="30.75">
      <c r="A20" s="49" t="s">
        <v>110</v>
      </c>
      <c r="B20" s="50" t="s">
        <v>111</v>
      </c>
    </row>
    <row r="21" spans="1:2" ht="45.75">
      <c r="A21" s="49" t="s">
        <v>20</v>
      </c>
      <c r="B21" s="51" t="s">
        <v>112</v>
      </c>
    </row>
    <row r="22" spans="1:2" ht="30.75">
      <c r="A22" s="49" t="s">
        <v>113</v>
      </c>
      <c r="B22" s="50"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anliyat mze ahmed abdallah</DisplayName>
        <AccountId>1687</AccountId>
        <AccountType/>
      </UserInfo>
      <UserInfo>
        <DisplayName>Saand Youssouf Ahmed Abdallah</DisplayName>
        <AccountId>371</AccountId>
        <AccountType/>
      </UserInfo>
    </SharedWithUser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0263A7E-E7F3-4100-A4B0-5D26086F8A2B}"/>
</file>

<file path=customXml/itemProps2.xml><?xml version="1.0" encoding="utf-8"?>
<ds:datastoreItem xmlns:ds="http://schemas.openxmlformats.org/officeDocument/2006/customXml" ds:itemID="{22AE0572-9434-475D-BE2C-1C7AE0007C3F}"/>
</file>

<file path=customXml/itemProps3.xml><?xml version="1.0" encoding="utf-8"?>
<ds:datastoreItem xmlns:ds="http://schemas.openxmlformats.org/officeDocument/2006/customXml" ds:itemID="{D6543A54-A3CA-4E64-9596-1E69153E7B0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Folashade Jaiyeola</cp:lastModifiedBy>
  <cp:revision/>
  <dcterms:created xsi:type="dcterms:W3CDTF">2023-05-05T09:33:41Z</dcterms:created>
  <dcterms:modified xsi:type="dcterms:W3CDTF">2025-02-03T13:46:27Z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