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3"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0">
    <font>
      <name val="Calibri"/>
      <family val="2"/>
      <color theme="1"/>
      <sz val="11"/>
      <scheme val="minor"/>
    </font>
    <font>
      <name val="Calibri"/>
      <color theme="1"/>
      <sz val="11"/>
      <scheme val="minor"/>
    </font>
    <font>
      <name val="Calibri"/>
      <family val="2"/>
      <b val="1"/>
      <color theme="1"/>
      <sz val="11"/>
      <scheme val="minor"/>
    </font>
    <font>
      <name val="Calibri"/>
      <family val="2"/>
      <color rgb="FF1F4E78"/>
      <sz val="11"/>
      <scheme val="minor"/>
    </font>
    <font>
      <name val="Calibri"/>
      <charset val="1"/>
      <family val="2"/>
      <color theme="1"/>
      <sz val="10"/>
    </font>
    <font>
      <name val="Calibri"/>
      <family val="2"/>
      <color rgb="FF000000"/>
      <sz val="11"/>
    </font>
    <font>
      <name val="Helvetica Neue"/>
      <charset val="1"/>
      <color rgb="FFFF0000"/>
      <sz val="10"/>
    </font>
    <font>
      <name val="Calibri"/>
      <b val="1"/>
      <color theme="1"/>
      <sz val="11"/>
      <scheme val="minor"/>
    </font>
    <font>
      <name val="Calibri"/>
      <color rgb="FF000000"/>
      <sz val="11"/>
      <scheme val="minor"/>
    </font>
    <font>
      <b val="1"/>
    </font>
  </fonts>
  <fills count="4">
    <fill>
      <patternFill/>
    </fill>
    <fill>
      <patternFill patternType="gray125"/>
    </fill>
    <fill>
      <patternFill patternType="solid">
        <fgColor rgb="FFFFFF00"/>
        <bgColor indexed="64"/>
      </patternFill>
    </fill>
    <fill>
      <patternFill patternType="solid">
        <fgColor rgb="00FFFF00"/>
      </patternFill>
    </fill>
  </fills>
  <borders count="12">
    <border>
      <left/>
      <right/>
      <top/>
      <bottom/>
      <diagonal/>
    </border>
    <border>
      <left style="thin">
        <color auto="1"/>
      </left>
      <right style="thin">
        <color auto="1"/>
      </right>
      <top style="thin">
        <color auto="1"/>
      </top>
      <bottom style="thin">
        <color auto="1"/>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s>
  <cellStyleXfs count="1">
    <xf numFmtId="0" fontId="0" fillId="0" borderId="0"/>
  </cellStyleXfs>
  <cellXfs count="56">
    <xf numFmtId="0" fontId="0" fillId="0" borderId="0" pivotButton="0" quotePrefix="0" xfId="0"/>
    <xf numFmtId="0" fontId="2" fillId="0" borderId="1" applyAlignment="1" pivotButton="0" quotePrefix="0" xfId="0">
      <alignment horizontal="center" vertical="top"/>
    </xf>
    <xf numFmtId="0" fontId="2" fillId="0" borderId="0" pivotButton="0" quotePrefix="0" xfId="0"/>
    <xf numFmtId="0" fontId="4" fillId="0"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vertical="top"/>
    </xf>
    <xf numFmtId="0" fontId="4"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3" fontId="5" fillId="0" borderId="0" pivotButton="0" quotePrefix="0" xfId="0"/>
    <xf numFmtId="0" fontId="5" fillId="0" borderId="0" applyAlignment="1" pivotButton="0" quotePrefix="0" xfId="0">
      <alignment wrapText="1"/>
    </xf>
    <xf numFmtId="0" fontId="6" fillId="0" borderId="3" applyAlignment="1" pivotButton="0" quotePrefix="0" xfId="0">
      <alignment vertical="center" wrapText="1"/>
    </xf>
    <xf numFmtId="0" fontId="2" fillId="0" borderId="5" applyAlignment="1" pivotButton="0" quotePrefix="0" xfId="0">
      <alignment horizontal="center" vertical="center" wrapText="1"/>
    </xf>
    <xf numFmtId="0" fontId="2" fillId="0" borderId="3" applyAlignment="1" pivotButton="0" quotePrefix="0" xfId="0">
      <alignment horizontal="center" vertical="center" wrapText="1"/>
    </xf>
    <xf numFmtId="0" fontId="2" fillId="0" borderId="3" applyAlignment="1" pivotButton="0" quotePrefix="0" xfId="0">
      <alignment vertical="center" wrapText="1"/>
    </xf>
    <xf numFmtId="0" fontId="0" fillId="0" borderId="8" applyAlignment="1" pivotButton="0" quotePrefix="0" xfId="0">
      <alignment vertical="center" wrapText="1"/>
    </xf>
    <xf numFmtId="0" fontId="0" fillId="0" borderId="5" applyAlignment="1" pivotButton="0" quotePrefix="0" xfId="0">
      <alignment vertical="center" wrapText="1"/>
    </xf>
    <xf numFmtId="0" fontId="0" fillId="0" borderId="4" applyAlignment="1" pivotButton="0" quotePrefix="0" xfId="0">
      <alignment vertical="center" wrapText="1"/>
    </xf>
    <xf numFmtId="0" fontId="0" fillId="0" borderId="3" applyAlignment="1" pivotButton="0" quotePrefix="0" xfId="0">
      <alignment vertical="center" wrapText="1"/>
    </xf>
    <xf numFmtId="0" fontId="0" fillId="0" borderId="9" applyAlignment="1" pivotButton="0" quotePrefix="0" xfId="0">
      <alignment vertical="center" wrapText="1"/>
    </xf>
    <xf numFmtId="0" fontId="0" fillId="0" borderId="7" applyAlignment="1" pivotButton="0" quotePrefix="0" xfId="0">
      <alignment vertical="center" wrapText="1"/>
    </xf>
    <xf numFmtId="0" fontId="4" fillId="0" borderId="3" applyAlignment="1" pivotButton="0" quotePrefix="0" xfId="0">
      <alignment vertical="center" wrapText="1"/>
    </xf>
    <xf numFmtId="0" fontId="5" fillId="0" borderId="8" applyAlignment="1" pivotButton="0" quotePrefix="0" xfId="0">
      <alignment vertical="center" wrapText="1"/>
    </xf>
    <xf numFmtId="3" fontId="5" fillId="0" borderId="5" applyAlignment="1" pivotButton="0" quotePrefix="0" xfId="0">
      <alignment vertical="center" wrapText="1"/>
    </xf>
    <xf numFmtId="0" fontId="5" fillId="0" borderId="4" applyAlignment="1" pivotButton="0" quotePrefix="0" xfId="0">
      <alignment vertical="center" wrapText="1"/>
    </xf>
    <xf numFmtId="0" fontId="5" fillId="0" borderId="3" applyAlignment="1" pivotButton="0" quotePrefix="0" xfId="0">
      <alignment vertical="center" wrapText="1"/>
    </xf>
    <xf numFmtId="0" fontId="5" fillId="0" borderId="9" applyAlignment="1" pivotButton="0" quotePrefix="0" xfId="0">
      <alignment vertical="center" wrapText="1"/>
    </xf>
    <xf numFmtId="3" fontId="5" fillId="0" borderId="7" applyAlignment="1" pivotButton="0" quotePrefix="0" xfId="0">
      <alignment vertical="center" wrapText="1"/>
    </xf>
    <xf numFmtId="0" fontId="5" fillId="0" borderId="10" applyAlignment="1" pivotButton="0" quotePrefix="0" xfId="0">
      <alignment vertical="center" wrapText="1"/>
    </xf>
    <xf numFmtId="3" fontId="5" fillId="0" borderId="6" applyAlignment="1" pivotButton="0" quotePrefix="0" xfId="0">
      <alignment vertical="center" wrapText="1"/>
    </xf>
    <xf numFmtId="0" fontId="0" fillId="0" borderId="0" applyAlignment="1" pivotButton="0" quotePrefix="0" xfId="0">
      <alignment vertical="center"/>
    </xf>
    <xf numFmtId="0" fontId="0" fillId="2" borderId="4" applyAlignment="1" pivotButton="0" quotePrefix="0" xfId="0">
      <alignment vertical="center" wrapText="1"/>
    </xf>
    <xf numFmtId="0" fontId="4" fillId="2" borderId="3" applyAlignment="1" pivotButton="0" quotePrefix="0" xfId="0">
      <alignment vertical="center" wrapText="1"/>
    </xf>
    <xf numFmtId="0" fontId="0" fillId="2" borderId="3" applyAlignment="1" pivotButton="0" quotePrefix="0" xfId="0">
      <alignment vertical="center" wrapText="1"/>
    </xf>
    <xf numFmtId="10" fontId="0" fillId="0" borderId="3" applyAlignment="1" pivotButton="0" quotePrefix="0" xfId="0">
      <alignment vertical="center" wrapText="1"/>
    </xf>
    <xf numFmtId="0" fontId="0" fillId="0" borderId="3" applyAlignment="1" pivotButton="0" quotePrefix="0" xfId="0">
      <alignment horizontal="center" vertical="center"/>
    </xf>
    <xf numFmtId="0" fontId="7" fillId="0" borderId="3" applyAlignment="1" pivotButton="0" quotePrefix="0" xfId="0">
      <alignment horizontal="center" vertical="top" wrapText="1"/>
    </xf>
    <xf numFmtId="0" fontId="8" fillId="0" borderId="3" applyAlignment="1" pivotButton="0" quotePrefix="0" xfId="0">
      <alignment wrapText="1"/>
    </xf>
    <xf numFmtId="0" fontId="2" fillId="0" borderId="3" applyAlignment="1" pivotButton="0" quotePrefix="0" xfId="0">
      <alignment horizontal="center"/>
    </xf>
    <xf numFmtId="0" fontId="2" fillId="0" borderId="5" applyAlignment="1" pivotButton="0" quotePrefix="0" xfId="0">
      <alignment horizontal="center"/>
    </xf>
    <xf numFmtId="0" fontId="2" fillId="0" borderId="8" applyAlignment="1" pivotButton="0" quotePrefix="0" xfId="0">
      <alignment horizontal="center"/>
    </xf>
    <xf numFmtId="0" fontId="2" fillId="0" borderId="5" pivotButton="0" quotePrefix="0" xfId="0"/>
    <xf numFmtId="0" fontId="0" fillId="0" borderId="11" applyAlignment="1" pivotButton="0" quotePrefix="0" xfId="0">
      <alignment horizontal="center" vertical="center"/>
    </xf>
    <xf numFmtId="0" fontId="0" fillId="0" borderId="4" applyAlignment="1" pivotButton="0" quotePrefix="0" xfId="0">
      <alignment horizontal="center" vertical="center" wrapText="1"/>
    </xf>
    <xf numFmtId="0" fontId="0" fillId="0" borderId="3" applyAlignment="1" pivotButton="0" quotePrefix="0" xfId="0">
      <alignment vertical="center"/>
    </xf>
    <xf numFmtId="9" fontId="0" fillId="0" borderId="3" applyAlignment="1" pivotButton="0" quotePrefix="0" xfId="0">
      <alignment vertical="center" wrapText="1"/>
    </xf>
    <xf numFmtId="0" fontId="3" fillId="0" borderId="2" applyAlignment="1" pivotButton="0" quotePrefix="0" xfId="0">
      <alignment horizontal="center" vertical="center" wrapText="1"/>
    </xf>
    <xf numFmtId="0" fontId="3" fillId="0" borderId="0" applyAlignment="1" pivotButton="0" quotePrefix="0" xfId="0">
      <alignment horizontal="center" vertical="center" wrapText="1"/>
    </xf>
    <xf numFmtId="0" fontId="5" fillId="0" borderId="0" applyAlignment="1" pivotButton="0" quotePrefix="0" xfId="0">
      <alignment horizontal="center" wrapText="1"/>
    </xf>
    <xf numFmtId="0" fontId="1" fillId="0" borderId="3" applyAlignment="1" pivotButton="0" quotePrefix="0" xfId="0">
      <alignment horizontal="left" vertical="center" wrapText="1"/>
    </xf>
    <xf numFmtId="0" fontId="1" fillId="0" borderId="3" applyAlignment="1" pivotButton="0" quotePrefix="0" xfId="0">
      <alignment wrapText="1"/>
    </xf>
    <xf numFmtId="0" fontId="1" fillId="0" borderId="3" applyAlignment="1" pivotButton="0" quotePrefix="0" xfId="0">
      <alignment vertical="center" wrapText="1"/>
    </xf>
    <xf numFmtId="0" fontId="0" fillId="3" borderId="5" applyAlignment="1" pivotButton="0" quotePrefix="0" xfId="0">
      <alignment vertical="center" wrapText="1"/>
    </xf>
    <xf numFmtId="3" fontId="5" fillId="3" borderId="5" applyAlignment="1" pivotButton="0" quotePrefix="0" xfId="0">
      <alignment vertical="center" wrapText="1"/>
    </xf>
    <xf numFmtId="0" fontId="9"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3"/>
  <sheetViews>
    <sheetView topLeftCell="A7" workbookViewId="0">
      <selection activeCell="I4" sqref="I4"/>
    </sheetView>
  </sheetViews>
  <sheetFormatPr baseColWidth="8" defaultRowHeight="15"/>
  <cols>
    <col width="9.140625" customWidth="1" style="31" min="1" max="1"/>
    <col width="16.42578125" customWidth="1" style="31" min="2" max="2"/>
    <col width="19.42578125" customWidth="1" style="31" min="3" max="3"/>
    <col width="9.140625" customWidth="1" style="31" min="4" max="4"/>
    <col width="12" customWidth="1" style="31" min="5" max="5"/>
    <col width="12" customWidth="1" style="31" min="6" max="6"/>
    <col width="12" customWidth="1" style="31" min="7" max="7"/>
    <col width="12" customWidth="1" style="31" min="8" max="8"/>
    <col width="55.28515625" customWidth="1" style="31" min="9" max="9"/>
    <col width="16.42578125" customWidth="1" style="31" min="10" max="13"/>
    <col width="14.42578125" bestFit="1" customWidth="1" style="31" min="14" max="14"/>
    <col width="17.5703125" bestFit="1" customWidth="1" style="31" min="15" max="15"/>
    <col width="12.7109375" customWidth="1" style="31" min="16" max="16"/>
    <col width="16.5703125" bestFit="1" customWidth="1" style="31" min="17" max="17"/>
    <col width="18.140625" bestFit="1" customWidth="1" style="31" min="18" max="18"/>
    <col width="22.140625" customWidth="1" style="31" min="19" max="19"/>
    <col width="14.28515625" customWidth="1" style="31" min="20" max="20"/>
  </cols>
  <sheetData>
    <row r="1" ht="30.75" customHeight="1">
      <c r="A1" s="13" t="inlineStr">
        <is>
          <t>Project ID</t>
        </is>
      </c>
      <c r="B1" s="13" t="inlineStr">
        <is>
          <t>Title</t>
        </is>
      </c>
      <c r="C1" s="13" t="inlineStr">
        <is>
          <t>Link</t>
        </is>
      </c>
      <c r="D1" s="13" t="inlineStr">
        <is>
          <t>Budget</t>
        </is>
      </c>
      <c r="E1" s="13" t="inlineStr">
        <is>
          <t>Start Year</t>
        </is>
      </c>
      <c r="F1" s="13" t="inlineStr">
        <is>
          <t>End Year</t>
        </is>
      </c>
      <c r="G1" s="13" t="inlineStr">
        <is>
          <t>Status</t>
        </is>
      </c>
      <c r="H1" s="13" t="inlineStr">
        <is>
          <t>VF or Non-VF</t>
        </is>
      </c>
      <c r="I1" s="14" t="inlineStr">
        <is>
          <t>Beneficiary Category</t>
        </is>
      </c>
      <c r="J1" s="14" t="inlineStr">
        <is>
          <t>Indicator</t>
        </is>
      </c>
      <c r="K1" s="14" t="inlineStr">
        <is>
          <t>Baseline</t>
        </is>
      </c>
      <c r="L1" s="14" t="inlineStr">
        <is>
          <t>Target</t>
        </is>
      </c>
      <c r="M1" s="14" t="inlineStr">
        <is>
          <t>Notes</t>
        </is>
      </c>
      <c r="N1" s="15" t="inlineStr">
        <is>
          <t>Donors</t>
        </is>
      </c>
      <c r="O1" s="15" t="inlineStr">
        <is>
          <t>Gender (% female)</t>
        </is>
      </c>
      <c r="P1" s="40" t="inlineStr">
        <is>
          <t>Tag</t>
        </is>
      </c>
      <c r="Q1" s="39" t="inlineStr">
        <is>
          <t>SEH Taxonomy</t>
        </is>
      </c>
      <c r="R1" s="39" t="inlineStr">
        <is>
          <t>RISE Taxonomy</t>
        </is>
      </c>
      <c r="S1" s="40" t="inlineStr">
        <is>
          <t>Flagship</t>
        </is>
      </c>
      <c r="T1" s="40" t="inlineStr">
        <is>
          <t>Indirect Category</t>
        </is>
      </c>
      <c r="U1" s="41" t="inlineStr">
        <is>
          <t>Indirect Taxonomy</t>
        </is>
      </c>
      <c r="V1" s="42" t="inlineStr">
        <is>
          <t>Technology</t>
        </is>
      </c>
      <c r="W1" s="41" t="inlineStr">
        <is>
          <t>Policy or Regulatory Framework</t>
        </is>
      </c>
      <c r="X1" s="42" t="inlineStr">
        <is>
          <t>Policy Population</t>
        </is>
      </c>
    </row>
    <row r="2" ht="41.25" customHeight="1">
      <c r="A2" s="16" t="n">
        <v>6542</v>
      </c>
      <c r="B2" s="16" t="inlineStr">
        <is>
          <t>PASBET</t>
        </is>
      </c>
      <c r="C2" s="16" t="inlineStr">
        <is>
          <t>PIMS+</t>
        </is>
      </c>
      <c r="D2" s="17" t="n">
        <v>3439041</v>
      </c>
      <c r="E2" s="53" t="n"/>
      <c r="F2" s="53" t="n"/>
      <c r="G2" s="53" t="n"/>
      <c r="H2" s="17" t="inlineStr">
        <is>
          <t>VF</t>
        </is>
      </c>
      <c r="I2" s="18" t="inlineStr">
        <is>
          <t>Electricity Access</t>
        </is>
      </c>
      <c r="J2" s="19" t="inlineStr">
        <is>
          <t>No. of direct project beneficiaries disaggregated by gender (individual people)</t>
        </is>
      </c>
      <c r="K2" s="19" t="n">
        <v>0</v>
      </c>
      <c r="L2" s="19" t="n">
        <v>267380</v>
      </c>
      <c r="M2" s="19" t="n"/>
      <c r="N2" s="19" t="inlineStr">
        <is>
          <t>GEF</t>
        </is>
      </c>
      <c r="O2" s="46">
        <f>160380/265380</f>
        <v/>
      </c>
      <c r="P2" s="36" t="n"/>
      <c r="Q2" s="44" t="inlineStr">
        <is>
          <t>Close the gap on energy access</t>
        </is>
      </c>
      <c r="R2" s="36" t="n"/>
      <c r="S2" s="36" t="n"/>
      <c r="T2" s="36" t="n"/>
      <c r="U2" s="36" t="n"/>
      <c r="V2" s="45" t="n"/>
      <c r="W2" s="36" t="n"/>
      <c r="X2" s="45" t="n"/>
    </row>
    <row r="3" ht="43.5" customFormat="1" customHeight="1" s="5">
      <c r="A3" s="20" t="n"/>
      <c r="B3" s="20" t="n"/>
      <c r="C3" s="20" t="n"/>
      <c r="D3" s="21" t="n"/>
      <c r="E3" s="21" t="n"/>
      <c r="F3" s="21" t="n"/>
      <c r="G3" s="21" t="n"/>
      <c r="H3" s="21" t="n"/>
      <c r="I3" s="32" t="n"/>
      <c r="J3" s="33" t="inlineStr">
        <is>
          <t>No. of established and commercially operated sustainable woody biomass production facilities.</t>
        </is>
      </c>
      <c r="K3" s="34" t="n">
        <v>0</v>
      </c>
      <c r="L3" s="34" t="n">
        <v>3</v>
      </c>
      <c r="M3" s="34" t="inlineStr">
        <is>
          <t>In total there are 3 new sustainable woody biomass production facilities expected to be completed by the end of the project, one in each province of Punjab, Sindh and Balochistan)</t>
        </is>
      </c>
      <c r="N3" s="19" t="inlineStr">
        <is>
          <t>GEF</t>
        </is>
      </c>
      <c r="O3" s="19" t="n"/>
      <c r="P3" s="36" t="n"/>
      <c r="Q3" s="44" t="inlineStr">
        <is>
          <t>Close the gap on energy access</t>
        </is>
      </c>
      <c r="R3" s="36" t="n"/>
      <c r="S3" s="36" t="n"/>
      <c r="T3" s="36" t="n"/>
      <c r="U3" s="36" t="n"/>
      <c r="V3" s="45" t="n"/>
      <c r="W3" s="36" t="n"/>
      <c r="X3" s="45" t="n"/>
    </row>
    <row r="4" ht="126.75" customFormat="1" customHeight="1" s="5">
      <c r="A4" s="20" t="n"/>
      <c r="B4" s="20" t="n"/>
      <c r="C4" s="20" t="n"/>
      <c r="D4" s="21" t="n"/>
      <c r="E4" s="21" t="n"/>
      <c r="F4" s="21" t="n"/>
      <c r="G4" s="21" t="n"/>
      <c r="H4" s="21" t="n"/>
      <c r="I4" s="18" t="inlineStr">
        <is>
          <t>Energy (MW added)</t>
        </is>
      </c>
      <c r="J4" s="22" t="inlineStr">
        <is>
          <t>MW</t>
        </is>
      </c>
      <c r="K4" s="19" t="n">
        <v>0</v>
      </c>
      <c r="L4" s="19" t="n">
        <v>5.4</v>
      </c>
      <c r="M4" s="19" t="inlineStr">
        <is>
          <t>This involves the installation of a collective total woody biomass-based power generation capacity of 5.4 MW in the 4 provinces to supply of electricity to supply unelectrified rural villages. If 5.4 MW is generated using fossil fuel (e.g., NG based genset) it will require fossil fuel energy equivalent of 3.8 ktoe. Similar energy can be displaced by sustainable woody biomass fuels. By mid-term it is estimated that 40% of the total will be completed.</t>
        </is>
      </c>
      <c r="N4" s="19" t="inlineStr">
        <is>
          <t>GEF</t>
        </is>
      </c>
      <c r="O4" s="19" t="n"/>
      <c r="P4" s="36" t="n"/>
      <c r="Q4" s="44" t="inlineStr">
        <is>
          <t>Close the gap on energy access</t>
        </is>
      </c>
      <c r="R4" s="36" t="n"/>
      <c r="S4" s="36" t="n"/>
      <c r="T4" s="36" t="n"/>
      <c r="U4" s="36" t="n"/>
      <c r="V4" s="45" t="n"/>
      <c r="W4" s="36" t="n"/>
      <c r="X4" s="45" t="n"/>
    </row>
    <row r="5" ht="76.5" customFormat="1" customHeight="1" s="5">
      <c r="A5" s="20" t="n"/>
      <c r="B5" s="20" t="n"/>
      <c r="C5" s="20" t="n"/>
      <c r="D5" s="21" t="n"/>
      <c r="E5" s="21" t="n"/>
      <c r="F5" s="21" t="n"/>
      <c r="G5" s="21" t="n"/>
      <c r="H5" s="21" t="n"/>
      <c r="I5" s="18" t="n"/>
      <c r="J5" s="22" t="inlineStr">
        <is>
          <t>Cumulative number of new jobs created in the application of sustainable biomass energy technologies and techniques in the rural areas.</t>
        </is>
      </c>
      <c r="K5" s="19" t="n">
        <v>0</v>
      </c>
      <c r="L5" s="19" t="n">
        <v>7110</v>
      </c>
      <c r="M5" s="19" t="inlineStr">
        <is>
          <t>No. of people with jobs in rural areas. Refined activity participation rates in rural areas: 47.1% (Male 68.4%, female 25.6%). Govt of Pakistan Labour Force Survey 2017/18</t>
        </is>
      </c>
      <c r="N5" s="19" t="inlineStr">
        <is>
          <t>GEF</t>
        </is>
      </c>
      <c r="O5" s="19" t="n"/>
      <c r="P5" s="36" t="n"/>
      <c r="Q5" s="44" t="inlineStr">
        <is>
          <t>Close the gap on energy access</t>
        </is>
      </c>
      <c r="R5" s="36" t="n"/>
      <c r="S5" s="36" t="n"/>
      <c r="T5" s="36" t="n"/>
      <c r="U5" s="36" t="n"/>
      <c r="V5" s="45" t="n"/>
      <c r="W5" s="36" t="n"/>
      <c r="X5" s="45" t="n"/>
    </row>
    <row r="6" ht="93" customFormat="1" customHeight="1" s="5">
      <c r="A6" s="20" t="n"/>
      <c r="B6" s="20" t="n"/>
      <c r="C6" s="20" t="n"/>
      <c r="D6" s="21" t="n"/>
      <c r="E6" s="21" t="n"/>
      <c r="F6" s="21" t="n"/>
      <c r="G6" s="21" t="n"/>
      <c r="H6" s="21" t="n"/>
      <c r="I6" s="32" t="n"/>
      <c r="J6" s="33" t="inlineStr">
        <is>
          <t>Cumulative number of sustainable biomass energy projects in rural areas that are facilitated by approved and effectively enforced policies and laws/regulations that promote the commercial production and use of sustainable biomass-based energy.</t>
        </is>
      </c>
      <c r="K6" s="34" t="n">
        <v>0</v>
      </c>
      <c r="L6" s="34" t="n">
        <v>32</v>
      </c>
      <c r="M6" s="33" t="inlineStr">
        <is>
          <t>No. of people with jobs in rural areas. Refined activity participation rates in rural areas: 47.1% (Male 68.4%, female 25.6%). Govt of Pakistan Labour Force Survey 2017/18</t>
        </is>
      </c>
      <c r="N6" s="19" t="inlineStr">
        <is>
          <t>GEF</t>
        </is>
      </c>
      <c r="O6" s="35" t="n">
        <v>0.256</v>
      </c>
      <c r="P6" s="36" t="n"/>
      <c r="Q6" s="44" t="inlineStr">
        <is>
          <t>Close the gap on energy access</t>
        </is>
      </c>
      <c r="R6" s="36" t="n"/>
      <c r="S6" s="36" t="n"/>
      <c r="T6" s="36" t="n"/>
      <c r="U6" s="36" t="n"/>
      <c r="V6" s="45" t="n"/>
      <c r="W6" s="36" t="n"/>
      <c r="X6" s="45" t="n"/>
    </row>
    <row r="7" ht="77.25" customFormat="1" customHeight="1" s="5">
      <c r="A7" s="20" t="n"/>
      <c r="B7" s="20" t="n"/>
      <c r="C7" s="20" t="n"/>
      <c r="D7" s="21" t="n"/>
      <c r="E7" s="21" t="n"/>
      <c r="F7" s="21" t="n"/>
      <c r="G7" s="21" t="n"/>
      <c r="H7" s="21" t="n"/>
      <c r="I7" s="32" t="n"/>
      <c r="J7" s="33" t="inlineStr">
        <is>
          <t>Cumulative number of rural villages that develop and implement energy-integrated development plans that include the commercial production and utilization of sustainable woody biomass.</t>
        </is>
      </c>
      <c r="K7" s="34" t="n">
        <v>0</v>
      </c>
      <c r="L7" s="34" t="n">
        <v>40</v>
      </c>
      <c r="M7" s="33" t="inlineStr">
        <is>
          <t>This is 10 villages in each 4 provinces</t>
        </is>
      </c>
      <c r="N7" s="19" t="inlineStr">
        <is>
          <t>GEF</t>
        </is>
      </c>
      <c r="O7" s="19" t="n"/>
      <c r="P7" s="36" t="n"/>
      <c r="Q7" s="44" t="inlineStr">
        <is>
          <t>Close the gap on energy access</t>
        </is>
      </c>
      <c r="R7" s="36" t="n"/>
      <c r="S7" s="36" t="n"/>
      <c r="T7" s="36" t="n"/>
      <c r="U7" s="36" t="n"/>
      <c r="V7" s="45" t="n"/>
      <c r="W7" s="36" t="n"/>
      <c r="X7" s="45" t="n"/>
    </row>
    <row r="8" ht="67.5" customFormat="1" customHeight="1" s="5">
      <c r="A8" s="20" t="n"/>
      <c r="B8" s="20" t="n"/>
      <c r="C8" s="20" t="n"/>
      <c r="D8" s="21" t="n"/>
      <c r="E8" s="21" t="n"/>
      <c r="F8" s="21" t="n"/>
      <c r="G8" s="21" t="n"/>
      <c r="H8" s="21" t="n"/>
      <c r="I8" s="18" t="inlineStr">
        <is>
          <t>Policy or Regulatory Framework</t>
        </is>
      </c>
      <c r="J8" s="22" t="inlineStr">
        <is>
          <t>No. of developed, approved, enforced, and implemented concrete regulations and policy instruments as part of the RE law to include market-based targets of biomass-based energy, particularly woody biomass</t>
        </is>
      </c>
      <c r="K8" s="19" t="n">
        <v>0</v>
      </c>
      <c r="L8" s="19" t="n">
        <v>5</v>
      </c>
      <c r="M8" s="19" t="inlineStr">
        <is>
          <t>All five (5) policies that are approved, implemented, and enforced in line with the targets of Biomass based power generation included in the National RE Policy.</t>
        </is>
      </c>
      <c r="N8" s="19" t="inlineStr">
        <is>
          <t>GEF</t>
        </is>
      </c>
      <c r="O8" s="19" t="n"/>
      <c r="P8" s="36" t="n"/>
      <c r="Q8" s="44" t="inlineStr">
        <is>
          <t>Close the gap on energy access</t>
        </is>
      </c>
      <c r="R8" s="36" t="inlineStr">
        <is>
          <t>Renewable Energy</t>
        </is>
      </c>
      <c r="S8" s="36" t="n"/>
      <c r="T8" s="36" t="inlineStr">
        <is>
          <t>Legal Framework</t>
        </is>
      </c>
      <c r="U8" s="36" t="inlineStr">
        <is>
          <t>Renewable Energy</t>
        </is>
      </c>
      <c r="V8" s="45" t="n"/>
      <c r="W8" s="36" t="inlineStr">
        <is>
          <t>National</t>
        </is>
      </c>
      <c r="X8" s="45" t="n"/>
    </row>
    <row r="9" ht="45.75" customFormat="1" customHeight="1" s="5">
      <c r="A9" s="20" t="n"/>
      <c r="B9" s="20" t="n"/>
      <c r="C9" s="20" t="n"/>
      <c r="D9" s="21" t="n"/>
      <c r="E9" s="21" t="n"/>
      <c r="F9" s="21" t="n"/>
      <c r="G9" s="21" t="n"/>
      <c r="H9" s="21" t="n"/>
      <c r="I9" s="18" t="n"/>
      <c r="J9" s="22" t="inlineStr">
        <is>
          <t>Cumulative no. of standards for equipment to use woody biomass for energy generation and EE utilization established and enforced</t>
        </is>
      </c>
      <c r="K9" s="19" t="n">
        <v>0</v>
      </c>
      <c r="L9" s="19" t="n">
        <v>4</v>
      </c>
      <c r="M9" s="22" t="inlineStr">
        <is>
          <t>Standards opted by relevant authorities and provincial authorities as part of the procurement</t>
        </is>
      </c>
      <c r="N9" s="19" t="inlineStr">
        <is>
          <t>GEF</t>
        </is>
      </c>
      <c r="O9" s="19" t="n"/>
      <c r="P9" s="36" t="n"/>
      <c r="Q9" s="44" t="inlineStr">
        <is>
          <t>Close the gap on energy access</t>
        </is>
      </c>
      <c r="R9" s="36" t="n"/>
      <c r="S9" s="36" t="n"/>
      <c r="T9" s="36" t="n"/>
      <c r="U9" s="36" t="n"/>
      <c r="V9" s="45" t="n"/>
      <c r="W9" s="36" t="n"/>
      <c r="X9" s="45" t="n"/>
    </row>
    <row r="10" ht="45.75" customFormat="1" customHeight="1" s="5">
      <c r="A10" s="23" t="n">
        <v>134230</v>
      </c>
      <c r="B10" s="23" t="inlineStr">
        <is>
          <t xml:space="preserve">Climate Promise-II </t>
        </is>
      </c>
      <c r="C10" s="23" t="n"/>
      <c r="D10" s="24" t="n">
        <v>540000</v>
      </c>
      <c r="E10" s="54" t="n"/>
      <c r="F10" s="54" t="n"/>
      <c r="G10" s="54" t="n"/>
      <c r="H10" s="24" t="inlineStr">
        <is>
          <t>Non-VF</t>
        </is>
      </c>
      <c r="I10" s="25" t="inlineStr">
        <is>
          <t>Policy or Regulatory Framework</t>
        </is>
      </c>
      <c r="J10" s="26" t="inlineStr">
        <is>
          <t>Develop Electric Vehicle Regulatory Framwork</t>
        </is>
      </c>
      <c r="K10" s="26" t="n">
        <v>0</v>
      </c>
      <c r="L10" s="26" t="n">
        <v>1</v>
      </c>
      <c r="M10" s="26" t="inlineStr">
        <is>
          <t xml:space="preserve">Electric Vehicle Regulatory Framework to be formulated and approved by 2023 </t>
        </is>
      </c>
      <c r="N10" s="26" t="inlineStr">
        <is>
          <t xml:space="preserve">Climate Promise </t>
        </is>
      </c>
      <c r="O10" s="26" t="n"/>
      <c r="P10" s="36" t="n"/>
      <c r="Q10" s="44" t="inlineStr">
        <is>
          <t>Accelerating just energy transition</t>
        </is>
      </c>
      <c r="R10" s="36" t="inlineStr">
        <is>
          <t>Renewable Energy</t>
        </is>
      </c>
      <c r="S10" s="36" t="n"/>
      <c r="T10" s="36" t="inlineStr">
        <is>
          <t>NDC Support</t>
        </is>
      </c>
      <c r="U10" s="36" t="inlineStr">
        <is>
          <t>Transport</t>
        </is>
      </c>
      <c r="V10" s="45" t="n"/>
      <c r="W10" s="36" t="inlineStr">
        <is>
          <t>National</t>
        </is>
      </c>
      <c r="X10" s="45" t="n"/>
    </row>
    <row r="11" ht="45.75" customFormat="1" customHeight="1" s="5">
      <c r="A11" s="27" t="n"/>
      <c r="B11" s="27" t="n"/>
      <c r="C11" s="27" t="n"/>
      <c r="D11" s="28" t="n"/>
      <c r="E11" s="28" t="n"/>
      <c r="F11" s="28" t="n"/>
      <c r="G11" s="28" t="n"/>
      <c r="H11" s="28" t="n"/>
      <c r="I11" s="25" t="inlineStr">
        <is>
          <t>Policy or Regulatory Framework</t>
        </is>
      </c>
      <c r="J11" s="26" t="inlineStr">
        <is>
          <t xml:space="preserve">Develop/Revise Building Energy Codes for Pakistan </t>
        </is>
      </c>
      <c r="K11" s="26" t="n">
        <v>0</v>
      </c>
      <c r="L11" s="26" t="n">
        <v>1</v>
      </c>
      <c r="M11" s="26" t="inlineStr">
        <is>
          <t>Building Energy Codes to be formulated/revised  and approved by 2023</t>
        </is>
      </c>
      <c r="N11" s="26" t="inlineStr">
        <is>
          <t xml:space="preserve">Climate Promise </t>
        </is>
      </c>
      <c r="O11" s="26" t="n"/>
      <c r="P11" s="36" t="n"/>
      <c r="Q11" s="44" t="inlineStr">
        <is>
          <t>Accelerating just energy transition</t>
        </is>
      </c>
      <c r="R11" s="36" t="inlineStr">
        <is>
          <t>Renewable Energy</t>
        </is>
      </c>
      <c r="S11" s="36" t="n"/>
      <c r="T11" s="36" t="inlineStr">
        <is>
          <t>NDC Support</t>
        </is>
      </c>
      <c r="U11" s="36" t="inlineStr">
        <is>
          <t>Infrastructure</t>
        </is>
      </c>
      <c r="V11" s="45" t="n"/>
      <c r="W11" s="36" t="inlineStr">
        <is>
          <t>National</t>
        </is>
      </c>
      <c r="X11" s="45" t="n"/>
    </row>
    <row r="12" ht="45.75" customHeight="1">
      <c r="A12" s="27" t="n"/>
      <c r="B12" s="27" t="n"/>
      <c r="C12" s="27" t="n"/>
      <c r="D12" s="28" t="n"/>
      <c r="E12" s="28" t="n"/>
      <c r="F12" s="28" t="n"/>
      <c r="G12" s="28" t="n"/>
      <c r="H12" s="28" t="n"/>
      <c r="I12" s="25" t="inlineStr">
        <is>
          <t>Policy or Regulatory Framework</t>
        </is>
      </c>
      <c r="J12" s="26" t="inlineStr">
        <is>
          <t>Develop National Green Hydrogen Strategy</t>
        </is>
      </c>
      <c r="K12" s="26" t="n">
        <v>0</v>
      </c>
      <c r="L12" s="26" t="n">
        <v>1</v>
      </c>
      <c r="M12" s="26" t="inlineStr">
        <is>
          <t>To be formulated in 2023-2024</t>
        </is>
      </c>
      <c r="N12" s="26" t="inlineStr">
        <is>
          <t xml:space="preserve">Climate Promise </t>
        </is>
      </c>
      <c r="O12" s="26" t="n"/>
      <c r="P12" s="36" t="n"/>
      <c r="Q12" s="44" t="inlineStr">
        <is>
          <t>Accelerating just energy transition</t>
        </is>
      </c>
      <c r="R12" s="36" t="inlineStr">
        <is>
          <t>Renewable Energy</t>
        </is>
      </c>
      <c r="S12" s="36" t="n"/>
      <c r="T12" s="36" t="inlineStr">
        <is>
          <t>NDC Support</t>
        </is>
      </c>
      <c r="U12" s="36" t="inlineStr">
        <is>
          <t>Renewable Energy</t>
        </is>
      </c>
      <c r="V12" s="45" t="n"/>
      <c r="W12" s="36" t="inlineStr">
        <is>
          <t>National</t>
        </is>
      </c>
      <c r="X12" s="45" t="n"/>
    </row>
    <row r="13" ht="45.75" customHeight="1">
      <c r="A13" s="29" t="n"/>
      <c r="B13" s="29" t="n"/>
      <c r="C13" s="29" t="n"/>
      <c r="D13" s="30" t="n"/>
      <c r="E13" s="30" t="n"/>
      <c r="F13" s="30" t="n"/>
      <c r="G13" s="30" t="n"/>
      <c r="H13" s="30" t="n"/>
      <c r="I13" s="25" t="inlineStr">
        <is>
          <t>Policy or Regulatory Framework</t>
        </is>
      </c>
      <c r="J13" s="26" t="inlineStr">
        <is>
          <t xml:space="preserve">Identify energy specific priority actions at provincial level </t>
        </is>
      </c>
      <c r="K13" s="26" t="n">
        <v>0</v>
      </c>
      <c r="L13" s="26" t="n">
        <v>38</v>
      </c>
      <c r="M13" s="26" t="inlineStr">
        <is>
          <t xml:space="preserve">Energy specific priority actions are identified in NDC Implementation Plan-currently under endorsement process </t>
        </is>
      </c>
      <c r="N13" s="26" t="inlineStr">
        <is>
          <t xml:space="preserve">Climate Promise </t>
        </is>
      </c>
      <c r="O13" s="26" t="n"/>
      <c r="P13" s="36" t="n"/>
      <c r="Q13" s="44" t="inlineStr">
        <is>
          <t>Accelerating just energy transition</t>
        </is>
      </c>
      <c r="R13" s="36" t="inlineStr">
        <is>
          <t>Renewable Energy</t>
        </is>
      </c>
      <c r="S13" s="36" t="n"/>
      <c r="T13" s="36" t="inlineStr">
        <is>
          <t>NDC Support</t>
        </is>
      </c>
      <c r="U13" s="36" t="inlineStr">
        <is>
          <t>Renewable Energy</t>
        </is>
      </c>
      <c r="V13" s="45" t="n"/>
      <c r="W13" s="36" t="inlineStr">
        <is>
          <t>National</t>
        </is>
      </c>
      <c r="X13" s="45" t="n"/>
    </row>
  </sheetData>
  <dataValidations count="12">
    <dataValidation sqref="Q2:Q13"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13" showDropDown="0" showInputMessage="1" showErrorMessage="1" allowBlank="1" type="list">
      <formula1>"AMP, PUDC, Solar4Health, Action Opportunities, Italy UNDP Energy Partnership"</formula1>
    </dataValidation>
    <dataValidation sqref="N2:N13" showDropDown="0" showInputMessage="1" showErrorMessage="1" allowBlank="1" type="list">
      <formula1>"Accelerating just energy transition, Close the gap on energy access, Scale up energy finance"</formula1>
    </dataValidation>
    <dataValidation sqref="O2:O13" showDropDown="0" showInputMessage="1" showErrorMessage="1" allowBlank="1" type="list">
      <formula1>"Electricity Access, Energy Efficiency, Clean Cooking, Renewable Energy, Overall"</formula1>
    </dataValidation>
    <dataValidation sqref="M2:M13" showDropDown="0" showInputMessage="1" showErrorMessage="1" allowBlank="1" type="list">
      <formula1>"Finance, Gender, Efficiency, Just, Health"</formula1>
    </dataValidation>
    <dataValidation sqref="T2:T13" showDropDown="0" showInputMessage="1" showErrorMessage="1" allowBlank="1" type="list">
      <formula1>"National, Regional, City, Community"</formula1>
    </dataValidation>
    <dataValidation sqref="L2:L13" showDropDown="0" showInputMessage="1" showErrorMessage="1" allowBlank="1" type="list">
      <formula1>"Non-VF, VF"</formula1>
    </dataValidation>
    <dataValidation sqref="R2:R13"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13"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S13"/>
  <sheetViews>
    <sheetView workbookViewId="0">
      <selection activeCell="E6" sqref="E6"/>
    </sheetView>
  </sheetViews>
  <sheetFormatPr baseColWidth="8" defaultRowHeight="15"/>
  <cols>
    <col width="9.140625" customWidth="1" style="31" min="1" max="1"/>
    <col width="16.42578125" customWidth="1" style="31" min="2" max="2"/>
    <col width="19.42578125" customWidth="1" style="31" min="3" max="3"/>
    <col width="9.140625" customWidth="1" style="31" min="4" max="4"/>
    <col width="34.140625" customWidth="1" style="31" min="5" max="5"/>
    <col width="37.85546875" customWidth="1" style="31" min="6" max="6"/>
    <col width="10.28515625" customWidth="1" style="31" min="7" max="7"/>
    <col width="12.7109375" customWidth="1" style="31" min="8" max="8"/>
    <col width="55.28515625" customWidth="1" style="31" min="9" max="9"/>
    <col width="16.42578125" customWidth="1" style="31" min="10" max="13"/>
    <col width="9.140625" customWidth="1" style="31" min="14" max="14"/>
    <col width="16.140625" customWidth="1" style="31" min="15" max="15"/>
    <col width="12.7109375" customWidth="1" style="31" min="16" max="16"/>
    <col width="9.140625" customWidth="1" style="31" min="17" max="17"/>
    <col width="22.140625" customWidth="1" style="31" min="18" max="18"/>
    <col width="14.28515625" customWidth="1" style="31" min="19" max="19"/>
  </cols>
  <sheetData>
    <row r="1" ht="30.75" customHeight="1">
      <c r="A1" s="13" t="inlineStr">
        <is>
          <t>Project ID</t>
        </is>
      </c>
      <c r="B1" s="13" t="inlineStr">
        <is>
          <t>Title</t>
        </is>
      </c>
      <c r="C1" s="13" t="inlineStr">
        <is>
          <t>Link</t>
        </is>
      </c>
      <c r="D1" s="13" t="inlineStr">
        <is>
          <t>Budget</t>
        </is>
      </c>
      <c r="E1" s="14" t="inlineStr">
        <is>
          <t>Beneficiary Category</t>
        </is>
      </c>
      <c r="F1" s="14" t="inlineStr">
        <is>
          <t>Indicator</t>
        </is>
      </c>
      <c r="G1" s="14" t="inlineStr">
        <is>
          <t>Baseline</t>
        </is>
      </c>
      <c r="H1" s="14" t="inlineStr">
        <is>
          <t>Target</t>
        </is>
      </c>
      <c r="I1" s="14" t="inlineStr">
        <is>
          <t>Notes</t>
        </is>
      </c>
      <c r="J1" s="15" t="inlineStr">
        <is>
          <t>Donors</t>
        </is>
      </c>
      <c r="K1" s="15" t="inlineStr">
        <is>
          <t>Gender (% female)</t>
        </is>
      </c>
      <c r="L1" s="15" t="inlineStr">
        <is>
          <t>Category</t>
        </is>
      </c>
      <c r="M1" s="15" t="inlineStr">
        <is>
          <t>Comments</t>
        </is>
      </c>
      <c r="N1" s="15" t="inlineStr">
        <is>
          <t>Tag</t>
        </is>
      </c>
      <c r="O1" s="15" t="inlineStr">
        <is>
          <t>SEH Taxonomy</t>
        </is>
      </c>
      <c r="P1" s="15" t="inlineStr">
        <is>
          <t>RISE Taxonomy</t>
        </is>
      </c>
      <c r="Q1" s="15" t="inlineStr">
        <is>
          <t>Flagship</t>
        </is>
      </c>
      <c r="R1" s="15" t="inlineStr">
        <is>
          <t>Indirect Category</t>
        </is>
      </c>
      <c r="S1" s="15" t="inlineStr">
        <is>
          <t>Indirect Taxonomy</t>
        </is>
      </c>
    </row>
    <row r="2" ht="41.25" customHeight="1">
      <c r="A2" s="16" t="n">
        <v>6542</v>
      </c>
      <c r="B2" s="16" t="inlineStr">
        <is>
          <t>PASBET</t>
        </is>
      </c>
      <c r="C2" s="16" t="inlineStr">
        <is>
          <t>PIMS+</t>
        </is>
      </c>
      <c r="D2" s="17" t="n">
        <v>3439041</v>
      </c>
      <c r="E2" s="18" t="inlineStr">
        <is>
          <t>Electricity Access</t>
        </is>
      </c>
      <c r="F2" s="19" t="inlineStr">
        <is>
          <t>No. of direct project beneficiaries disaggregated by gender (individual people)</t>
        </is>
      </c>
      <c r="G2" s="19" t="n">
        <v>0</v>
      </c>
      <c r="H2" s="19" t="n">
        <v>267380</v>
      </c>
      <c r="I2" s="19" t="n"/>
      <c r="J2" s="19" t="inlineStr">
        <is>
          <t>GEF</t>
        </is>
      </c>
      <c r="K2" s="19" t="n"/>
      <c r="L2" s="19" t="inlineStr">
        <is>
          <t>VF</t>
        </is>
      </c>
      <c r="M2" s="19" t="n"/>
      <c r="N2" s="19" t="n"/>
      <c r="O2" s="19" t="inlineStr">
        <is>
          <t>Accelerating just energy transition</t>
        </is>
      </c>
      <c r="P2" s="19" t="inlineStr">
        <is>
          <t>Electricity Access</t>
        </is>
      </c>
      <c r="Q2" s="19" t="n"/>
      <c r="R2" s="19" t="n"/>
      <c r="S2" s="19" t="n"/>
    </row>
    <row r="3" ht="43.5" customFormat="1" customHeight="1" s="5">
      <c r="A3" s="20" t="n"/>
      <c r="B3" s="20" t="n"/>
      <c r="C3" s="20" t="n"/>
      <c r="D3" s="21" t="n"/>
      <c r="E3" s="18" t="inlineStr">
        <is>
          <t>Electricity Access</t>
        </is>
      </c>
      <c r="F3" s="22" t="inlineStr">
        <is>
          <t>No. of established and commercially operated sustainable woody biomass production facilities.</t>
        </is>
      </c>
      <c r="G3" s="19" t="n">
        <v>0</v>
      </c>
      <c r="H3" s="19" t="n">
        <v>3</v>
      </c>
      <c r="I3" s="19" t="inlineStr">
        <is>
          <t>In total there are 3 new sustainable woody biomass production facilities are expected to be completed by the end of the project, one in each province of Punjab, Sindh and Balochistan)</t>
        </is>
      </c>
      <c r="J3" s="19" t="inlineStr">
        <is>
          <t>GEF</t>
        </is>
      </c>
      <c r="K3" s="19" t="n"/>
      <c r="L3" s="19" t="inlineStr">
        <is>
          <t>VF</t>
        </is>
      </c>
      <c r="M3" s="12" t="n"/>
      <c r="N3" s="19" t="n"/>
      <c r="O3" s="19" t="inlineStr">
        <is>
          <t>Accelerating just energy transition</t>
        </is>
      </c>
      <c r="P3" s="19" t="inlineStr">
        <is>
          <t>Renewable Energy</t>
        </is>
      </c>
      <c r="Q3" s="19" t="n"/>
      <c r="R3" s="19" t="n"/>
      <c r="S3" s="19" t="n"/>
    </row>
    <row r="4" ht="126.75" customFormat="1" customHeight="1" s="5">
      <c r="A4" s="20" t="n"/>
      <c r="B4" s="20" t="n"/>
      <c r="C4" s="20" t="n"/>
      <c r="D4" s="21" t="n"/>
      <c r="E4" s="18" t="inlineStr">
        <is>
          <t>Energy (MW added)</t>
        </is>
      </c>
      <c r="F4" s="22" t="inlineStr">
        <is>
          <t>MW</t>
        </is>
      </c>
      <c r="G4" s="19" t="n">
        <v>0</v>
      </c>
      <c r="H4" s="19" t="n">
        <v>5.4</v>
      </c>
      <c r="I4" s="19" t="inlineStr">
        <is>
          <t>This involves the installation of a collective total woody biomass-based power generation capacity of 5.4 MW in the 4 provinces to supply of electricity to supply unelectrified rural villages. If 5.4 MW is generated using fossil fuel (e.g., NG based genset) it will require fossil fuel energy equivalent of 3.8 ktoe. Similar energy can be displaced by sustainable woody biomass fuels. By mid-term it is estimated that 40% of the total will be completed.</t>
        </is>
      </c>
      <c r="J4" s="19" t="inlineStr">
        <is>
          <t>GEF</t>
        </is>
      </c>
      <c r="K4" s="19" t="n"/>
      <c r="L4" s="19" t="inlineStr">
        <is>
          <t>VF</t>
        </is>
      </c>
      <c r="M4" s="19" t="n"/>
      <c r="N4" s="19" t="n"/>
      <c r="O4" s="19" t="inlineStr">
        <is>
          <t>Close the gap on energy access</t>
        </is>
      </c>
      <c r="P4" s="19" t="inlineStr">
        <is>
          <t>Renewable Energy</t>
        </is>
      </c>
      <c r="Q4" s="19" t="n"/>
      <c r="R4" s="19" t="n"/>
      <c r="S4" s="19" t="n"/>
    </row>
    <row r="5" ht="76.5" customFormat="1" customHeight="1" s="5">
      <c r="A5" s="20" t="n"/>
      <c r="B5" s="20" t="n"/>
      <c r="C5" s="20" t="n"/>
      <c r="D5" s="21" t="n"/>
      <c r="E5" s="18" t="inlineStr">
        <is>
          <t>Entrepreneurship Training</t>
        </is>
      </c>
      <c r="F5" s="22" t="inlineStr">
        <is>
          <t>Cumulative number of new jobs created in the application of sustainable biomass energy technologies and techniques in the rural areas.</t>
        </is>
      </c>
      <c r="G5" s="19" t="n">
        <v>0</v>
      </c>
      <c r="H5" s="19" t="n">
        <v>7110</v>
      </c>
      <c r="I5" s="19" t="inlineStr">
        <is>
          <t>No. of people with jobs in rural areas. Refined activity participation rates in rural areas: 47.1% (Male 68.4%, female 25.6%). Govt of Pakistan Labour Force Survey 2017/18</t>
        </is>
      </c>
      <c r="J5" s="19" t="inlineStr">
        <is>
          <t>GEF</t>
        </is>
      </c>
      <c r="K5" s="19" t="n"/>
      <c r="L5" s="19" t="inlineStr">
        <is>
          <t>VF</t>
        </is>
      </c>
      <c r="M5" s="19" t="n"/>
      <c r="N5" s="19" t="n"/>
      <c r="O5" s="19" t="inlineStr">
        <is>
          <t>Accelerating just energy transition</t>
        </is>
      </c>
      <c r="P5" s="19" t="inlineStr">
        <is>
          <t>Renewable Energy</t>
        </is>
      </c>
      <c r="Q5" s="19" t="n"/>
      <c r="R5" s="19" t="n"/>
      <c r="S5" s="19" t="n"/>
    </row>
    <row r="6" ht="93" customFormat="1" customHeight="1" s="5">
      <c r="A6" s="20" t="n"/>
      <c r="B6" s="20" t="n"/>
      <c r="C6" s="20" t="n"/>
      <c r="D6" s="21" t="n"/>
      <c r="E6" s="18" t="inlineStr">
        <is>
          <t>Policy or Regulatory Framework</t>
        </is>
      </c>
      <c r="F6" s="22" t="inlineStr">
        <is>
          <t>Cumulative number of sustainable biomass energy projects in rural areas that are facilitated by approved and effectively enforced policies and laws/regulations that promote the commercial production and use of sustainable biomass-based energy.</t>
        </is>
      </c>
      <c r="G6" s="19" t="n">
        <v>0</v>
      </c>
      <c r="H6" s="19" t="n">
        <v>32</v>
      </c>
      <c r="I6" s="22" t="inlineStr">
        <is>
          <t>No. of people with jobs in rural areas. Refined activity participation rates in rural areas: 47.1% (Male 68.4%, female 25.6%). Govt of Pakistan Labour Force Survey 2017/18</t>
        </is>
      </c>
      <c r="J6" s="19" t="inlineStr">
        <is>
          <t>GEF</t>
        </is>
      </c>
      <c r="K6" s="19" t="n"/>
      <c r="L6" s="19" t="inlineStr">
        <is>
          <t>VF</t>
        </is>
      </c>
      <c r="M6" s="19" t="n"/>
      <c r="N6" s="19" t="n"/>
      <c r="O6" s="19" t="inlineStr">
        <is>
          <t>Accelerating just energy transition</t>
        </is>
      </c>
      <c r="P6" s="19" t="inlineStr">
        <is>
          <t>Renewable Energy</t>
        </is>
      </c>
      <c r="Q6" s="19" t="n"/>
      <c r="R6" s="19" t="inlineStr">
        <is>
          <t>Incentives and Support</t>
        </is>
      </c>
      <c r="S6" s="19" t="inlineStr">
        <is>
          <t>Renewable EnergyEnergy Infrastructure</t>
        </is>
      </c>
    </row>
    <row r="7" ht="77.25" customFormat="1" customHeight="1" s="5">
      <c r="A7" s="20" t="n"/>
      <c r="B7" s="20" t="n"/>
      <c r="C7" s="20" t="n"/>
      <c r="D7" s="21" t="n"/>
      <c r="E7" s="18" t="inlineStr">
        <is>
          <t>Policy or Regulatory Framework</t>
        </is>
      </c>
      <c r="F7" s="22" t="inlineStr">
        <is>
          <t>Cumulative number of rural villages that develop and implement energy-integrated development plans that include the commercial production and utilization of sustainable woody biomass.</t>
        </is>
      </c>
      <c r="G7" s="19" t="n">
        <v>0</v>
      </c>
      <c r="H7" s="19" t="n">
        <v>40</v>
      </c>
      <c r="I7" s="22" t="inlineStr">
        <is>
          <t>This is 10 villages in each 4 provinces</t>
        </is>
      </c>
      <c r="J7" s="19" t="inlineStr">
        <is>
          <t>GEF</t>
        </is>
      </c>
      <c r="K7" s="19" t="n"/>
      <c r="L7" s="19" t="inlineStr">
        <is>
          <t>VF</t>
        </is>
      </c>
      <c r="M7" s="19" t="n"/>
      <c r="N7" s="19" t="n"/>
      <c r="O7" s="19" t="inlineStr">
        <is>
          <t>Accelerating just energy transition</t>
        </is>
      </c>
      <c r="P7" s="19" t="inlineStr">
        <is>
          <t>Renewable Energy</t>
        </is>
      </c>
      <c r="Q7" s="19" t="n"/>
      <c r="R7" s="19" t="inlineStr">
        <is>
          <t>Incentives and Support</t>
        </is>
      </c>
      <c r="S7" s="19" t="inlineStr">
        <is>
          <t>Renewable EnergyEnergy Infrastructure</t>
        </is>
      </c>
    </row>
    <row r="8" ht="67.5" customFormat="1" customHeight="1" s="5">
      <c r="A8" s="20" t="n"/>
      <c r="B8" s="20" t="n"/>
      <c r="C8" s="20" t="n"/>
      <c r="D8" s="21" t="n"/>
      <c r="E8" s="18" t="inlineStr">
        <is>
          <t>Policy or Regulatory Framework</t>
        </is>
      </c>
      <c r="F8" s="22" t="inlineStr">
        <is>
          <t>No. of developed, approved, enforced, and implemented concrete regulations and policy instruments as part of the RE law to include market-based targets of biomass-based energy, particularly woody biomass</t>
        </is>
      </c>
      <c r="G8" s="19" t="n">
        <v>0</v>
      </c>
      <c r="H8" s="19" t="n">
        <v>5</v>
      </c>
      <c r="I8" s="19" t="inlineStr">
        <is>
          <t>All five (5) policies that are approved, implemented, and enforced in line with the targets of Biomass based power generation included in the National RE Policy.</t>
        </is>
      </c>
      <c r="J8" s="19" t="inlineStr">
        <is>
          <t>GEF</t>
        </is>
      </c>
      <c r="K8" s="19" t="n"/>
      <c r="L8" s="19" t="inlineStr">
        <is>
          <t>VF</t>
        </is>
      </c>
      <c r="M8" s="19" t="n"/>
      <c r="N8" s="19" t="n"/>
      <c r="O8" s="19" t="inlineStr">
        <is>
          <t>Accelerating just energy transition</t>
        </is>
      </c>
      <c r="P8" s="19" t="inlineStr">
        <is>
          <t>Renewable Energy</t>
        </is>
      </c>
      <c r="Q8" s="19" t="n"/>
      <c r="R8" s="19" t="inlineStr">
        <is>
          <t>Incentives and Support</t>
        </is>
      </c>
      <c r="S8" s="19" t="inlineStr">
        <is>
          <t>Renewable EnergyEnergy Infrastructure</t>
        </is>
      </c>
    </row>
    <row r="9" ht="45.75" customFormat="1" customHeight="1" s="5">
      <c r="A9" s="20" t="n"/>
      <c r="B9" s="20" t="n"/>
      <c r="C9" s="20" t="n"/>
      <c r="D9" s="21" t="n"/>
      <c r="E9" s="18" t="inlineStr">
        <is>
          <t>Policy or Regulatory Framework</t>
        </is>
      </c>
      <c r="F9" s="22" t="inlineStr">
        <is>
          <t>Cumulative no. of standards for equipment to use woody biomass for energy generation and EE utilization established and enforced</t>
        </is>
      </c>
      <c r="G9" s="19" t="n">
        <v>0</v>
      </c>
      <c r="H9" s="19" t="n">
        <v>4</v>
      </c>
      <c r="I9" s="22" t="inlineStr">
        <is>
          <t>Standards opted by relevant authorities and provincial authorities as part of the procurement</t>
        </is>
      </c>
      <c r="J9" s="19" t="inlineStr">
        <is>
          <t>GEF</t>
        </is>
      </c>
      <c r="K9" s="19" t="n"/>
      <c r="L9" s="19" t="inlineStr">
        <is>
          <t>VF</t>
        </is>
      </c>
      <c r="M9" s="19" t="n"/>
      <c r="N9" s="19" t="n"/>
      <c r="O9" s="19" t="inlineStr">
        <is>
          <t>Accelerating just energy transition</t>
        </is>
      </c>
      <c r="P9" s="19" t="inlineStr">
        <is>
          <t>Energy Efficiency</t>
        </is>
      </c>
      <c r="Q9" s="19" t="n"/>
      <c r="R9" s="19" t="inlineStr">
        <is>
          <t>Incentives and Support</t>
        </is>
      </c>
      <c r="S9" s="19" t="inlineStr">
        <is>
          <t>Energy Efficiency</t>
        </is>
      </c>
    </row>
    <row r="10" ht="45.75" customFormat="1" customHeight="1" s="5">
      <c r="A10" s="23" t="n">
        <v>134230</v>
      </c>
      <c r="B10" s="23" t="inlineStr">
        <is>
          <t xml:space="preserve">Climate Promise-II </t>
        </is>
      </c>
      <c r="C10" s="23" t="n"/>
      <c r="D10" s="24" t="n">
        <v>540000</v>
      </c>
      <c r="E10" s="25" t="inlineStr">
        <is>
          <t>Policy or Regulatory Framework</t>
        </is>
      </c>
      <c r="F10" s="26" t="inlineStr">
        <is>
          <t>Develop Electric Vehicle Regulatory Framwork</t>
        </is>
      </c>
      <c r="G10" s="26" t="n">
        <v>0</v>
      </c>
      <c r="H10" s="26" t="n">
        <v>1</v>
      </c>
      <c r="I10" s="26" t="inlineStr">
        <is>
          <t xml:space="preserve">Electric Vehicle Regulatory Framework to be formulated and approved by 2023 </t>
        </is>
      </c>
      <c r="J10" s="26" t="inlineStr">
        <is>
          <t xml:space="preserve">Climate Promise </t>
        </is>
      </c>
      <c r="K10" s="26" t="n"/>
      <c r="L10" s="26" t="inlineStr">
        <is>
          <t>Non-VF</t>
        </is>
      </c>
      <c r="M10" s="26" t="n"/>
      <c r="N10" s="19" t="n"/>
      <c r="O10" s="19" t="inlineStr">
        <is>
          <t>Accelerating just energy transition</t>
        </is>
      </c>
      <c r="P10" s="19" t="inlineStr">
        <is>
          <t>Energy Efficiency</t>
        </is>
      </c>
      <c r="Q10" s="19" t="n"/>
      <c r="R10" s="19" t="inlineStr">
        <is>
          <t>Incentives and Support</t>
        </is>
      </c>
      <c r="S10" s="19" t="inlineStr">
        <is>
          <t>Energy Efficiency</t>
        </is>
      </c>
    </row>
    <row r="11" ht="45.75" customFormat="1" customHeight="1" s="5">
      <c r="A11" s="27" t="n"/>
      <c r="B11" s="27" t="n"/>
      <c r="C11" s="27" t="n"/>
      <c r="D11" s="28" t="n"/>
      <c r="E11" s="25" t="inlineStr">
        <is>
          <t>Policy or Regulatory Framework</t>
        </is>
      </c>
      <c r="F11" s="26" t="inlineStr">
        <is>
          <t xml:space="preserve">Develop/Revise Building Energy Codes for Pakistan </t>
        </is>
      </c>
      <c r="G11" s="26" t="n">
        <v>0</v>
      </c>
      <c r="H11" s="26" t="n">
        <v>1</v>
      </c>
      <c r="I11" s="26" t="inlineStr">
        <is>
          <t>Building Energy Codes to be formulated/revised  and approved by 2023</t>
        </is>
      </c>
      <c r="J11" s="26" t="inlineStr">
        <is>
          <t xml:space="preserve">Climate Promise </t>
        </is>
      </c>
      <c r="K11" s="26" t="n"/>
      <c r="L11" s="26" t="inlineStr">
        <is>
          <t>Non-VF</t>
        </is>
      </c>
      <c r="M11" s="26" t="n"/>
      <c r="N11" s="19" t="n"/>
      <c r="O11" s="19" t="inlineStr">
        <is>
          <t>Accelerating just energy transition</t>
        </is>
      </c>
      <c r="P11" s="19" t="inlineStr">
        <is>
          <t>Energy Efficiency</t>
        </is>
      </c>
      <c r="Q11" s="19" t="n"/>
      <c r="R11" s="19" t="inlineStr">
        <is>
          <t>Incentives and Support</t>
        </is>
      </c>
      <c r="S11" s="19" t="inlineStr">
        <is>
          <t>Energy Efficiency</t>
        </is>
      </c>
    </row>
    <row r="12" ht="45.75" customHeight="1">
      <c r="A12" s="27" t="n"/>
      <c r="B12" s="27" t="n"/>
      <c r="C12" s="27" t="n"/>
      <c r="D12" s="28" t="n"/>
      <c r="E12" s="25" t="inlineStr">
        <is>
          <t>Policy or Regulatory Framework</t>
        </is>
      </c>
      <c r="F12" s="26" t="inlineStr">
        <is>
          <t>Develop National Green Hydrogen Strategy</t>
        </is>
      </c>
      <c r="G12" s="26" t="n">
        <v>0</v>
      </c>
      <c r="H12" s="26" t="n">
        <v>1</v>
      </c>
      <c r="I12" s="26" t="inlineStr">
        <is>
          <t>To be formulated in 2023-2024</t>
        </is>
      </c>
      <c r="J12" s="26" t="inlineStr">
        <is>
          <t xml:space="preserve">Climate Promise </t>
        </is>
      </c>
      <c r="K12" s="26" t="n"/>
      <c r="L12" s="26" t="inlineStr">
        <is>
          <t>Non-VF</t>
        </is>
      </c>
      <c r="M12" s="26" t="n"/>
      <c r="N12" s="19" t="n"/>
      <c r="O12" s="19" t="inlineStr">
        <is>
          <t>Accelerating just energy transition</t>
        </is>
      </c>
      <c r="P12" s="19" t="inlineStr">
        <is>
          <t>Renewable Energy</t>
        </is>
      </c>
      <c r="Q12" s="19" t="n"/>
      <c r="R12" s="19" t="inlineStr">
        <is>
          <t>Incentives and Support</t>
        </is>
      </c>
      <c r="S12" s="19" t="inlineStr">
        <is>
          <t>Renewable EnergyEnergy Infrastructure</t>
        </is>
      </c>
    </row>
    <row r="13" ht="45.75" customHeight="1">
      <c r="A13" s="29" t="n"/>
      <c r="B13" s="29" t="n"/>
      <c r="C13" s="29" t="n"/>
      <c r="D13" s="30" t="n"/>
      <c r="E13" s="25" t="inlineStr">
        <is>
          <t>Policy or Regulatory Framework</t>
        </is>
      </c>
      <c r="F13" s="26" t="inlineStr">
        <is>
          <t xml:space="preserve">Identify energy specific priority actions at provincial level </t>
        </is>
      </c>
      <c r="G13" s="26" t="n">
        <v>0</v>
      </c>
      <c r="H13" s="26" t="n">
        <v>38</v>
      </c>
      <c r="I13" s="26" t="inlineStr">
        <is>
          <t xml:space="preserve">Energy specific priority actions are identified in NDC Implementation Plan-currently under endorsement process </t>
        </is>
      </c>
      <c r="J13" s="26" t="inlineStr">
        <is>
          <t xml:space="preserve">Climate Promise </t>
        </is>
      </c>
      <c r="K13" s="26" t="n"/>
      <c r="L13" s="26" t="inlineStr">
        <is>
          <t>Non-VF</t>
        </is>
      </c>
      <c r="M13" s="26" t="n"/>
      <c r="N13" s="19" t="n"/>
      <c r="O13" s="19" t="inlineStr">
        <is>
          <t>Accelerating just energy transition</t>
        </is>
      </c>
      <c r="P13" s="19" t="inlineStr">
        <is>
          <t>Energy Efficiency</t>
        </is>
      </c>
      <c r="Q13" s="19" t="n"/>
      <c r="R13" s="19" t="inlineStr">
        <is>
          <t>NDC Support</t>
        </is>
      </c>
      <c r="S13" s="19" t="inlineStr">
        <is>
          <t>Energy Efficiency</t>
        </is>
      </c>
    </row>
  </sheetData>
  <dataValidations count="5">
    <dataValidation sqref="O2:O13" showDropDown="0" showInputMessage="1" showErrorMessage="1" allowBlank="1" type="list">
      <formula1>"Accelerating just energy transition, Close the gap on energy access, Scale up energy finance"</formula1>
    </dataValidation>
    <dataValidation sqref="P2:P13" showDropDown="0" showInputMessage="1" showErrorMessage="1" allowBlank="1" type="list">
      <formula1>"Electricity Access, Energy Efficiency, Clean Cooking, Renewable Energy"</formula1>
    </dataValidation>
    <dataValidation sqref="Q2:Q13" showDropDown="0" showInputMessage="1" showErrorMessage="1" allowBlank="1" type="list">
      <formula1>"AMP, PUDC, Solar4Health, Action Opportunities, Italy UNDP Energy Partnership"</formula1>
    </dataValidation>
    <dataValidation sqref="R2:R13"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S2:S13" showDropDown="0" showInputMessage="1" showErrorMessage="1" allowBlank="1" type="list">
      <formula1>"Electricity Access, Energy Efficiency, Renewable EnergyEnergy Infrastructure,   Transport, Digital &amp; Data, Clean Cooking, Decarbonization, Hydrogen, Off-Grid, On-Grid"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3"/>
  <sheetViews>
    <sheetView topLeftCell="F1" workbookViewId="0">
      <selection activeCell="K2" sqref="K2:K9"/>
    </sheetView>
  </sheetViews>
  <sheetFormatPr baseColWidth="8" defaultRowHeight="15"/>
  <cols>
    <col width="16.42578125" customWidth="1" min="2" max="2"/>
    <col width="19.42578125" customWidth="1" min="3" max="3"/>
    <col width="34.140625" customWidth="1" min="5" max="5"/>
    <col width="37.85546875" customWidth="1" min="6" max="6"/>
    <col width="10.28515625" customWidth="1" min="7" max="7"/>
    <col width="12.7109375" customWidth="1" min="8" max="8"/>
    <col width="55.28515625" customWidth="1" min="9" max="9"/>
    <col width="16.42578125" customWidth="1" min="10" max="10"/>
    <col width="68" customWidth="1" min="11" max="11"/>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2" t="inlineStr">
        <is>
          <t>Donors</t>
        </is>
      </c>
      <c r="K1" s="2" t="inlineStr">
        <is>
          <t>Comments</t>
        </is>
      </c>
    </row>
    <row r="2" ht="41.25" customHeight="1">
      <c r="A2" t="n">
        <v>6542</v>
      </c>
      <c r="B2" t="inlineStr">
        <is>
          <t>PASBET</t>
        </is>
      </c>
      <c r="C2" t="inlineStr">
        <is>
          <t>PIMS+</t>
        </is>
      </c>
      <c r="D2" t="n">
        <v>3439041</v>
      </c>
      <c r="E2" t="inlineStr">
        <is>
          <t>Electricity Access</t>
        </is>
      </c>
      <c r="F2" s="4" t="inlineStr">
        <is>
          <t>No. of direct project beneficiaries disaggregated by gender (individual people)</t>
        </is>
      </c>
      <c r="G2" t="n">
        <v>0</v>
      </c>
      <c r="H2" t="n">
        <v>267380</v>
      </c>
      <c r="J2" t="inlineStr">
        <is>
          <t>GEF</t>
        </is>
      </c>
      <c r="K2" s="47" t="inlineStr">
        <is>
          <t xml:space="preserve">The number of beneficiaries is to be reached under the project as the project document is to be signed in June after the finalization of ESMF and Updating SESP documents. </t>
        </is>
      </c>
    </row>
    <row r="3" ht="43.5" customFormat="1" customHeight="1" s="5">
      <c r="E3" s="5" t="inlineStr">
        <is>
          <t>Energy (MW added)</t>
        </is>
      </c>
      <c r="F3" s="6" t="inlineStr">
        <is>
          <t>No. of established and commercially operated sustainable woody biomass production facilities.</t>
        </is>
      </c>
      <c r="G3" s="5" t="n">
        <v>0</v>
      </c>
      <c r="H3" s="5" t="n">
        <v>3</v>
      </c>
      <c r="I3" s="7" t="inlineStr">
        <is>
          <t>In total there are 3 new sustainable woody biomass production facilities are expected to be completed by the end of the project, one in each province of Punjab, Sindh and Balochistan)</t>
        </is>
      </c>
      <c r="J3" s="5" t="inlineStr">
        <is>
          <t>GEF</t>
        </is>
      </c>
    </row>
    <row r="4" ht="43.5" customFormat="1" customHeight="1" s="5">
      <c r="E4" s="5" t="inlineStr">
        <is>
          <t>Energy (MW added)</t>
        </is>
      </c>
      <c r="F4" s="6" t="inlineStr">
        <is>
          <t>Cumulative Biomass-based electricity in rural areas in Pakistan, GWh</t>
        </is>
      </c>
      <c r="G4" s="5" t="n">
        <v>0</v>
      </c>
      <c r="H4" s="5" t="inlineStr">
        <is>
          <t>98.2ktoe</t>
        </is>
      </c>
      <c r="I4" s="7" t="inlineStr">
        <is>
          <t>This involves the installation of a collective total woody biomass-based power generation capacity of 5.4 MW in the 4 provinces to supply of electricity to supply unelectrified rural villages. If 5.4 MW is generated using fossil fuel (e.g., NG based genset) it will require fossil fuel energy equivalent of 3.8 ktoe. Similar energy can be displaced by sustainable woody biomass fuels. By mid-term it is estimated that 40% of the total will be completed.</t>
        </is>
      </c>
      <c r="J4" s="5" t="inlineStr">
        <is>
          <t>GEF</t>
        </is>
      </c>
    </row>
    <row r="5" ht="43.5" customFormat="1" customHeight="1" s="5">
      <c r="E5" s="5" t="inlineStr">
        <is>
          <t>Other</t>
        </is>
      </c>
      <c r="F5" s="3" t="inlineStr">
        <is>
          <t>Cumulative number of new jobs created in the application of sustainable biomass energy technologies and techniques in the rural areas.</t>
        </is>
      </c>
      <c r="G5" s="5" t="n">
        <v>0</v>
      </c>
      <c r="H5" s="5" t="n">
        <v>7110</v>
      </c>
      <c r="I5" s="7" t="inlineStr">
        <is>
          <t>No. of people with jobs in rural areas. Refined activity participation rates in rural areas: 47.1% (Male 68.4%, female 25.6%). Govt of Pakistan Labour Force Survey 2017/18</t>
        </is>
      </c>
      <c r="J5" s="5" t="inlineStr">
        <is>
          <t>GEF</t>
        </is>
      </c>
    </row>
    <row r="6" ht="93" customFormat="1" customHeight="1" s="5">
      <c r="E6" s="5" t="inlineStr">
        <is>
          <t>Policy or Regulatory Framework</t>
        </is>
      </c>
      <c r="F6" s="6" t="inlineStr">
        <is>
          <t>Cumulative number of sustainable biomass energy projects in rural areas that are facilitated by approved and effectively enforced policies and laws/regulations that promote the commercial production and use of sustainable biomass-based energy.</t>
        </is>
      </c>
      <c r="G6" s="5" t="n">
        <v>0</v>
      </c>
      <c r="H6" s="5" t="n">
        <v>32</v>
      </c>
      <c r="I6" s="6" t="inlineStr">
        <is>
          <t>No. of people with jobs in rural areas. Refined activity participation rates in rural areas: 47.1% (Male 68.4%, female 25.6%). Govt of Pakistan Labour Force Survey 2017/18</t>
        </is>
      </c>
      <c r="J6" s="5" t="inlineStr">
        <is>
          <t>GEF</t>
        </is>
      </c>
    </row>
    <row r="7" ht="53.25" customFormat="1" customHeight="1" s="5">
      <c r="E7" s="5" t="inlineStr">
        <is>
          <t>Policy or Regulatory Framework</t>
        </is>
      </c>
      <c r="F7" s="6" t="inlineStr">
        <is>
          <t>Cumulative number of rural villages that develop and implement energy-integrated development plans that include the commercial production and utilization of sustainable woody biomass.</t>
        </is>
      </c>
      <c r="G7" s="5" t="n">
        <v>0</v>
      </c>
      <c r="H7" s="5" t="n">
        <v>40</v>
      </c>
      <c r="I7" s="8" t="inlineStr">
        <is>
          <t>This is 10 villages in each 4 provinces</t>
        </is>
      </c>
      <c r="J7" s="5" t="inlineStr">
        <is>
          <t>GEF</t>
        </is>
      </c>
    </row>
    <row r="8" ht="67.5" customFormat="1" customHeight="1" s="5">
      <c r="E8" s="5" t="inlineStr">
        <is>
          <t>Policy or Regulatory Framework</t>
        </is>
      </c>
      <c r="F8" s="6" t="inlineStr">
        <is>
          <t>No. of developed, approved, enforced, and implemented concrete regulations and policy instruments as part of the RE law to include market-based targets of biomass-based energy, particularly woody biomass</t>
        </is>
      </c>
      <c r="G8" s="5" t="n">
        <v>0</v>
      </c>
      <c r="H8" s="5" t="n">
        <v>5</v>
      </c>
      <c r="I8" s="7" t="inlineStr">
        <is>
          <t>All five (5) policies that are approved, implemented, and enforced in line with the targets of Biomass based power generation included in the National RE Policy.</t>
        </is>
      </c>
      <c r="J8" s="5" t="inlineStr">
        <is>
          <t>GEF</t>
        </is>
      </c>
    </row>
    <row r="9" ht="40.5" customFormat="1" customHeight="1" s="5">
      <c r="E9" s="5" t="inlineStr">
        <is>
          <t>Policy or Regulatory Framework</t>
        </is>
      </c>
      <c r="F9" s="6" t="inlineStr">
        <is>
          <t>Cumulative no. of standards for equipment to use woody biomass for energy generation and EE utilization established and enforced</t>
        </is>
      </c>
      <c r="G9" s="5" t="n">
        <v>0</v>
      </c>
      <c r="H9" s="5" t="n">
        <v>4</v>
      </c>
      <c r="I9" s="6" t="inlineStr">
        <is>
          <t>Standards opted by relevant authorities and provincial authorities as part of the procurement</t>
        </is>
      </c>
      <c r="J9" s="5" t="inlineStr">
        <is>
          <t>GEF</t>
        </is>
      </c>
    </row>
    <row r="10" customFormat="1" s="5">
      <c r="A10" s="9" t="n">
        <v>134230</v>
      </c>
      <c r="B10" s="9" t="inlineStr">
        <is>
          <t xml:space="preserve">Climate Promise-II </t>
        </is>
      </c>
      <c r="C10" s="9" t="n"/>
      <c r="D10" s="10" t="n">
        <v>540000</v>
      </c>
      <c r="E10" s="9" t="inlineStr">
        <is>
          <t>Policy or Regulatory Framework</t>
        </is>
      </c>
      <c r="F10" s="9" t="inlineStr">
        <is>
          <t>Develop Electric Vehicle Regulatory Framwork</t>
        </is>
      </c>
      <c r="G10" s="9" t="n">
        <v>0</v>
      </c>
      <c r="H10" s="9" t="n">
        <v>1</v>
      </c>
      <c r="I10" s="9" t="inlineStr">
        <is>
          <t xml:space="preserve">Electric Vehicle Regulatory Framework to be formulated and approved by 2023 </t>
        </is>
      </c>
      <c r="J10" s="11" t="inlineStr">
        <is>
          <t xml:space="preserve">Climate Promise </t>
        </is>
      </c>
      <c r="K10" s="49" t="inlineStr">
        <is>
          <t>Project Implementation Ongoing</t>
        </is>
      </c>
    </row>
    <row r="11" ht="30.75" customFormat="1" customHeight="1" s="5">
      <c r="A11" s="9" t="n"/>
      <c r="B11" s="9" t="n"/>
      <c r="C11" s="9" t="n"/>
      <c r="D11" s="10" t="n"/>
      <c r="E11" s="9" t="inlineStr">
        <is>
          <t>Policy or Regulatory Framework</t>
        </is>
      </c>
      <c r="F11" s="11" t="inlineStr">
        <is>
          <t xml:space="preserve">Develop/Revise Building Energy Codes for Pakistan </t>
        </is>
      </c>
      <c r="G11" s="9" t="n">
        <v>0</v>
      </c>
      <c r="H11" s="9" t="n">
        <v>1</v>
      </c>
      <c r="I11" s="9" t="inlineStr">
        <is>
          <t>Building Energy Codes to be formulated/revised  and approved by 2023</t>
        </is>
      </c>
      <c r="J11" s="11" t="inlineStr">
        <is>
          <t xml:space="preserve">Climate Promise </t>
        </is>
      </c>
    </row>
    <row r="12">
      <c r="A12" s="9" t="n"/>
      <c r="B12" s="9" t="n"/>
      <c r="C12" s="9" t="n"/>
      <c r="D12" s="10" t="n"/>
      <c r="E12" s="9" t="inlineStr">
        <is>
          <t>Policy or Regulatory Framework</t>
        </is>
      </c>
      <c r="F12" s="9" t="inlineStr">
        <is>
          <t>Develop National Green Hydrogen Strategy</t>
        </is>
      </c>
      <c r="G12" s="9" t="n">
        <v>0</v>
      </c>
      <c r="H12" s="9" t="n">
        <v>1</v>
      </c>
      <c r="I12" s="9" t="inlineStr">
        <is>
          <t>To be formulated in 2023-2024</t>
        </is>
      </c>
      <c r="J12" s="11" t="inlineStr">
        <is>
          <t xml:space="preserve">Climate Promise </t>
        </is>
      </c>
    </row>
    <row r="13" ht="30.75" customHeight="1">
      <c r="A13" s="9" t="n"/>
      <c r="B13" s="9" t="n"/>
      <c r="C13" s="9" t="n"/>
      <c r="D13" s="10" t="n"/>
      <c r="E13" s="9" t="inlineStr">
        <is>
          <t>Other Energy Services</t>
        </is>
      </c>
      <c r="F13" s="11" t="inlineStr">
        <is>
          <t xml:space="preserve">Identify energy specific priority actions at provincial level </t>
        </is>
      </c>
      <c r="G13" s="9" t="n">
        <v>0</v>
      </c>
      <c r="H13" s="9" t="n">
        <v>38</v>
      </c>
      <c r="I13" s="11" t="inlineStr">
        <is>
          <t xml:space="preserve">Energy specific priority actions are identified in NDC Implementation Plan-currently under endorsement process </t>
        </is>
      </c>
      <c r="J13" s="11" t="inlineStr">
        <is>
          <t xml:space="preserve">Climate Promise </t>
        </is>
      </c>
    </row>
  </sheetData>
  <mergeCells count="2">
    <mergeCell ref="K10:K13"/>
    <mergeCell ref="K2:K9"/>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abSelected="1" workbookViewId="0">
      <pane ySplit="1" topLeftCell="A2" activePane="bottomLeft" state="frozen"/>
      <selection pane="bottomLeft" activeCell="A1" sqref="A1"/>
    </sheetView>
  </sheetViews>
  <sheetFormatPr baseColWidth="8" defaultRowHeight="15"/>
  <cols>
    <col width="36" customWidth="1" min="1" max="2"/>
    <col width="110" customWidth="1" min="2" max="2"/>
  </cols>
  <sheetData>
    <row r="1">
      <c r="A1" s="55" t="inlineStr">
        <is>
          <t>Beneficiary Category</t>
        </is>
      </c>
      <c r="B1" s="55" t="inlineStr">
        <is>
          <t>Indicator</t>
        </is>
      </c>
    </row>
    <row r="2" ht="45.75" customHeight="1">
      <c r="A2" s="7" t="inlineStr">
        <is>
          <t>Electricity Access</t>
        </is>
      </c>
      <c r="B2" s="7" t="inlineStr">
        <is>
          <t>Number of people, disaggregated by sex, who gain access to clean electricity (direct access to electricity, lighting, cooling, etc.).</t>
        </is>
      </c>
    </row>
    <row r="3">
      <c r="A3" s="7" t="inlineStr">
        <is>
          <t>Energy (MW added)</t>
        </is>
      </c>
      <c r="B3" s="7" t="inlineStr">
        <is>
          <t>Installed renewable or clean-energy power capacity added, in MW.</t>
        </is>
      </c>
    </row>
    <row r="4" ht="30.75" customHeight="1">
      <c r="A4" s="7" t="inlineStr">
        <is>
          <t>Energy Storage (MW)</t>
        </is>
      </c>
      <c r="B4" s="7" t="inlineStr">
        <is>
          <t>Installed energy storage power capacity added, in MW.</t>
        </is>
      </c>
    </row>
    <row r="5" ht="30.75" customHeight="1">
      <c r="A5" s="7" t="inlineStr">
        <is>
          <t>Clean Cooking</t>
        </is>
      </c>
      <c r="B5" s="7" t="inlineStr">
        <is>
          <t>Number of people who gain access to clean cooking (direct access to clean cook stoves, clean fuels, biomass, etc.).</t>
        </is>
      </c>
    </row>
    <row r="6" ht="91.5" customHeight="1">
      <c r="A6" s="7" t="inlineStr">
        <is>
          <t>Clean Heating</t>
        </is>
      </c>
      <c r="B6" s="7" t="inlineStr">
        <is>
          <t>Number of people who gain access to clean heating (direct access to clean electric heaters, clean fuels, etc.).</t>
        </is>
      </c>
    </row>
    <row r="7" ht="45.75" customHeight="1">
      <c r="A7" s="7" t="inlineStr">
        <is>
          <t>Agriculture and Food System</t>
        </is>
      </c>
      <c r="B7" s="7" t="inlineStr">
        <is>
          <t>Number of people who gain access to clean, affordable, and sustainable energy for agricultural and food-system activities.</t>
        </is>
      </c>
    </row>
    <row r="8" ht="45.75" customHeight="1">
      <c r="A8" s="7" t="inlineStr">
        <is>
          <t>Health Services</t>
        </is>
      </c>
      <c r="B8" s="7" t="inlineStr">
        <is>
          <t>Number of people who gain access to health care facilities through clean energy systems.</t>
        </is>
      </c>
    </row>
    <row r="9" ht="45.75" customHeight="1">
      <c r="A9" s="7" t="inlineStr">
        <is>
          <t>Water Services</t>
        </is>
      </c>
      <c r="B9" s="7" t="inlineStr">
        <is>
          <t>Number of people who gain access to water services through clean energy systems.</t>
        </is>
      </c>
    </row>
    <row r="10" ht="30.75" customHeight="1">
      <c r="A10" s="7" t="inlineStr">
        <is>
          <t>Education Services</t>
        </is>
      </c>
      <c r="B10" s="7" t="inlineStr">
        <is>
          <t>Number of people who gain access to education services through clean energy systems, including students and teachers.</t>
        </is>
      </c>
    </row>
    <row r="11" ht="30.75" customHeight="1">
      <c r="A11" s="7" t="inlineStr">
        <is>
          <t>Transportation and E-mobility Services</t>
        </is>
      </c>
      <c r="B11" s="7" t="inlineStr">
        <is>
          <t>Number of people served or energy saved from transport and e-mobility interventions, such as electric vehicles or charging stations.</t>
        </is>
      </c>
    </row>
    <row r="12" ht="45.75" customHeight="1">
      <c r="A12" s="7" t="inlineStr">
        <is>
          <t>Energy Efficiency Services</t>
        </is>
      </c>
      <c r="B12" s="7" t="inlineStr">
        <is>
          <t>Energy saved from energy-efficiency interventions, such as building or industrial efficiency.</t>
        </is>
      </c>
    </row>
    <row r="13" ht="30.75" customHeight="1">
      <c r="A13" s="7" t="inlineStr">
        <is>
          <t>Energy Infrastructure Services</t>
        </is>
      </c>
      <c r="B13" s="7" t="inlineStr">
        <is>
          <t>Number of people benefiting from energy infrastructure interventions, such as streetlights, transmission, and distribution lines.</t>
        </is>
      </c>
    </row>
    <row r="14">
      <c r="A14" s="7" t="inlineStr">
        <is>
          <t>Other Energy Services</t>
        </is>
      </c>
      <c r="B14" s="7" t="inlineStr">
        <is>
          <t>Access to other energy services not captured by the categories above.</t>
        </is>
      </c>
    </row>
    <row r="15" ht="30.75" customHeight="1">
      <c r="A15" s="7" t="inlineStr">
        <is>
          <t>Financing support</t>
        </is>
      </c>
      <c r="B15" s="7" t="inlineStr">
        <is>
          <t>Support for the development of the energy market ecosystem.</t>
        </is>
      </c>
    </row>
    <row r="16" ht="30.75" customHeight="1">
      <c r="A16" s="7" t="inlineStr">
        <is>
          <t>Medium Enterprises</t>
        </is>
      </c>
      <c r="B16" s="7" t="inlineStr">
        <is>
          <t>Support for the development of medium enterprises in the energy transition market.</t>
        </is>
      </c>
    </row>
    <row r="17" ht="30.75" customHeight="1">
      <c r="A17" s="7" t="inlineStr">
        <is>
          <t>Small Enterprises</t>
        </is>
      </c>
      <c r="B17" s="7" t="inlineStr">
        <is>
          <t>Support for the development of small enterprises in the energy transition market.</t>
        </is>
      </c>
    </row>
    <row r="18" ht="30.75" customHeight="1">
      <c r="A18" s="7" t="inlineStr">
        <is>
          <t>Capacity Building Training</t>
        </is>
      </c>
      <c r="B18" s="7" t="inlineStr">
        <is>
          <t>Number of people benefiting from training on energy business, energy finance, or related implementation capacity.</t>
        </is>
      </c>
    </row>
    <row r="19" ht="76.5" customHeight="1">
      <c r="A19" s="7" t="inlineStr">
        <is>
          <t>Entrepreneurship Training</t>
        </is>
      </c>
      <c r="B19" s="7" t="inlineStr">
        <is>
          <t>Training for enterprises on the energy business, assumed to result in direct beneficiaries.</t>
        </is>
      </c>
    </row>
    <row r="20" ht="30.75" customHeight="1">
      <c r="A20" s="7" t="inlineStr">
        <is>
          <t>Market Intervention</t>
        </is>
      </c>
      <c r="B20" s="7" t="inlineStr">
        <is>
          <t>Volume of investment leveraged or barriers removed for clean, reliable, affordable, and sustainable energy solutions.</t>
        </is>
      </c>
    </row>
    <row r="21" ht="45.75" customHeight="1">
      <c r="A21" s="7" t="inlineStr">
        <is>
          <t>Campaign Participant</t>
        </is>
      </c>
      <c r="B21" s="7" t="inlineStr">
        <is>
          <t>Individuals who participate in advocacy or awareness campaigns on energy.</t>
        </is>
      </c>
    </row>
    <row r="22" ht="30.75" customHeight="1">
      <c r="A22" s="7" t="inlineStr">
        <is>
          <t>Policy or Regulatory Framework</t>
        </is>
      </c>
      <c r="B22" s="7" t="inlineStr">
        <is>
          <t>Policies, regulations, strategies, plans, or frameworks developed, approved, implemented, or strengthened.</t>
        </is>
      </c>
    </row>
    <row r="23">
      <c r="A23" s="7" t="inlineStr">
        <is>
          <t>GHG Emissions Reduction</t>
        </is>
      </c>
      <c r="B23" s="7" t="inlineStr">
        <is>
          <t>Greenhouse gas emissions reduced or mitigated, in tCO2e.</t>
        </is>
      </c>
    </row>
    <row r="24">
      <c r="A24" s="7" t="inlineStr">
        <is>
          <t>Other</t>
        </is>
      </c>
      <c r="B24" s="7"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2026-06-08T15:49:47Z</dcterms:modified>
  <cp:lastModifiedBy>Vaidehi Kad</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