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2" borderId="2" applyAlignment="1" pivotButton="0" quotePrefix="0" xfId="0">
      <alignment wrapText="1"/>
    </xf>
    <xf numFmtId="3" fontId="0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wrapText="1"/>
    </xf>
    <xf numFmtId="3" fontId="0" fillId="0" borderId="2" pivotButton="0" quotePrefix="0" xfId="0"/>
    <xf numFmtId="9" fontId="0" fillId="0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2" applyAlignment="1" pivotButton="0" quotePrefix="0" xfId="0">
      <alignment wrapText="1"/>
    </xf>
    <xf numFmtId="3" fontId="3" fillId="0" borderId="2" pivotButton="0" quotePrefix="0" xfId="0"/>
    <xf numFmtId="0" fontId="2" fillId="0" borderId="10" pivotButton="0" quotePrefix="0" xfId="0"/>
    <xf numFmtId="0" fontId="0" fillId="0" borderId="10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4" applyAlignment="1" pivotButton="0" quotePrefix="0" xfId="0">
      <alignment horizontal="center" vertical="top"/>
    </xf>
    <xf numFmtId="0" fontId="2" fillId="0" borderId="4" pivotButton="0" quotePrefix="0" xfId="0"/>
    <xf numFmtId="0" fontId="0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wrapText="1"/>
    </xf>
    <xf numFmtId="9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center" wrapText="1"/>
    </xf>
    <xf numFmtId="0" fontId="0" fillId="0" borderId="11" applyAlignment="1" pivotButton="0" quotePrefix="0" xfId="0">
      <alignment horizontal="center" wrapText="1"/>
    </xf>
    <xf numFmtId="0" fontId="0" fillId="0" borderId="11" applyAlignment="1" pivotButton="0" quotePrefix="0" xfId="0">
      <alignment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0" fillId="3" borderId="2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11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topLeftCell="F1" workbookViewId="0">
      <selection activeCell="V1" sqref="V1"/>
    </sheetView>
  </sheetViews>
  <sheetFormatPr baseColWidth="8" defaultRowHeight="15"/>
  <cols>
    <col width="20.7109375" customWidth="1" min="2" max="3"/>
    <col width="9.85546875" bestFit="1" customWidth="1" min="4" max="4"/>
    <col width="12" customWidth="1" min="5" max="5"/>
    <col width="12" customWidth="1" min="6" max="6"/>
    <col width="12" customWidth="1" min="7" max="7"/>
    <col width="12" customWidth="1" min="8" max="8"/>
    <col width="34.140625" customWidth="1" min="9" max="9"/>
    <col width="22.140625" customWidth="1" min="10" max="10"/>
    <col width="12.85546875" bestFit="1" customWidth="1" min="13" max="13"/>
    <col width="4.28515625" bestFit="1" customWidth="1" min="14" max="14"/>
    <col width="14.42578125" bestFit="1" customWidth="1" min="15" max="15"/>
    <col width="14.85546875" bestFit="1" customWidth="1" min="16" max="16"/>
    <col width="10.5703125" customWidth="1" min="17" max="17"/>
    <col width="16.5703125" bestFit="1" customWidth="1" min="18" max="18"/>
    <col width="18.140625" bestFit="1" customWidth="1" min="19" max="19"/>
    <col width="11.28515625" bestFit="1" customWidth="1" min="20" max="20"/>
    <col width="30.28515625" bestFit="1" customWidth="1" min="21" max="21"/>
    <col width="19.5703125" bestFit="1" customWidth="1" min="22" max="22"/>
    <col width="16.7109375" bestFit="1" customWidth="1" min="23" max="23"/>
  </cols>
  <sheetData>
    <row r="1">
      <c r="A1" s="26" t="inlineStr">
        <is>
          <t>Project ID</t>
        </is>
      </c>
      <c r="B1" s="26" t="inlineStr">
        <is>
          <t>Title</t>
        </is>
      </c>
      <c r="C1" s="26" t="inlineStr">
        <is>
          <t>Link</t>
        </is>
      </c>
      <c r="D1" s="26" t="inlineStr">
        <is>
          <t>Budget</t>
        </is>
      </c>
      <c r="E1" s="26" t="inlineStr">
        <is>
          <t>Start Year</t>
        </is>
      </c>
      <c r="F1" s="26" t="inlineStr">
        <is>
          <t>End Year</t>
        </is>
      </c>
      <c r="G1" s="26" t="inlineStr">
        <is>
          <t>Status</t>
        </is>
      </c>
      <c r="H1" s="26" t="inlineStr">
        <is>
          <t>VF or Non-VF</t>
        </is>
      </c>
      <c r="I1" s="26" t="inlineStr">
        <is>
          <t>Beneficiary Category</t>
        </is>
      </c>
      <c r="J1" s="26" t="inlineStr">
        <is>
          <t>Indicator</t>
        </is>
      </c>
      <c r="K1" s="26" t="inlineStr">
        <is>
          <t>Baseline</t>
        </is>
      </c>
      <c r="L1" s="26" t="inlineStr">
        <is>
          <t>Target</t>
        </is>
      </c>
      <c r="M1" s="26" t="inlineStr">
        <is>
          <t>Notes</t>
        </is>
      </c>
      <c r="N1" s="27" t="inlineStr">
        <is>
          <t>Indirect Beneficiaries</t>
        </is>
      </c>
      <c r="O1" s="27" t="inlineStr">
        <is>
          <t>Donors</t>
        </is>
      </c>
      <c r="P1" s="27" t="inlineStr">
        <is>
          <t>Gender (% female)</t>
        </is>
      </c>
      <c r="Q1" s="43" t="inlineStr">
        <is>
          <t>Tag</t>
        </is>
      </c>
      <c r="R1" s="42" t="inlineStr">
        <is>
          <t>SEH Taxonomy</t>
        </is>
      </c>
      <c r="S1" s="42" t="inlineStr">
        <is>
          <t>RISE Taxonomy</t>
        </is>
      </c>
      <c r="T1" s="43" t="inlineStr">
        <is>
          <t>Flagship</t>
        </is>
      </c>
      <c r="U1" s="43" t="inlineStr">
        <is>
          <t>Indirect Category</t>
        </is>
      </c>
      <c r="V1" s="44" t="inlineStr">
        <is>
          <t>Indirect Taxonomy</t>
        </is>
      </c>
      <c r="W1" s="27" t="inlineStr">
        <is>
          <t>Technology</t>
        </is>
      </c>
      <c r="X1" s="44" t="inlineStr">
        <is>
          <t>Policy or Regulatory Framework</t>
        </is>
      </c>
      <c r="Y1" s="44" t="inlineStr">
        <is>
          <t>Market Intervention</t>
        </is>
      </c>
      <c r="Z1" s="27" t="inlineStr">
        <is>
          <t>Policy Population</t>
        </is>
      </c>
    </row>
    <row r="2" ht="45.75" customHeight="1">
      <c r="A2" s="38" t="n">
        <v>6403</v>
      </c>
      <c r="B2" s="38" t="inlineStr">
        <is>
          <t>Electric Mobility Jamaica</t>
        </is>
      </c>
      <c r="C2" s="28" t="inlineStr">
        <is>
          <t>PIMS+</t>
        </is>
      </c>
      <c r="D2" s="32" t="n">
        <v>1784862</v>
      </c>
      <c r="E2" s="59" t="n"/>
      <c r="F2" s="59" t="n"/>
      <c r="G2" s="59" t="n"/>
      <c r="H2" s="32" t="inlineStr">
        <is>
          <t>VF</t>
        </is>
      </c>
      <c r="I2" s="15" t="inlineStr">
        <is>
          <t>Transportation and E-mobility Services</t>
        </is>
      </c>
      <c r="J2" s="15" t="inlineStr">
        <is>
          <t xml:space="preserve">Number of beneficaries </t>
        </is>
      </c>
      <c r="K2" s="15" t="n">
        <v>0</v>
      </c>
      <c r="L2" s="20" t="n">
        <v>20000</v>
      </c>
      <c r="M2" s="15" t="inlineStr">
        <is>
          <t xml:space="preserve">beneficiaries from e-mobility services </t>
        </is>
      </c>
      <c r="N2" s="29" t="n">
        <v>273000</v>
      </c>
      <c r="O2" s="28" t="inlineStr">
        <is>
          <t>GEF</t>
        </is>
      </c>
      <c r="P2" s="30" t="n">
        <v>0.7</v>
      </c>
      <c r="Q2" s="39" t="n"/>
      <c r="R2" s="46" t="inlineStr">
        <is>
          <t>Close the gap on energy access</t>
        </is>
      </c>
      <c r="S2" s="39" t="n"/>
      <c r="T2" s="39" t="n"/>
      <c r="U2" s="39" t="n"/>
      <c r="V2" s="39" t="n"/>
      <c r="W2" s="14" t="n"/>
      <c r="X2" s="39" t="n"/>
      <c r="Y2" s="39" t="n"/>
      <c r="Z2" s="14" t="n"/>
    </row>
    <row r="3" ht="45.75" customHeight="1">
      <c r="A3" s="36" t="n"/>
      <c r="B3" s="36" t="n"/>
      <c r="C3" s="34" t="n"/>
      <c r="D3" s="32" t="n"/>
      <c r="E3" s="32" t="n"/>
      <c r="F3" s="32" t="n"/>
      <c r="G3" s="32" t="n"/>
      <c r="H3" s="32" t="n"/>
      <c r="I3" s="15" t="inlineStr">
        <is>
          <t>Energy (MW added)</t>
        </is>
      </c>
      <c r="J3" s="15" t="inlineStr">
        <is>
          <t>Installed RE Capacity MW nameplate</t>
        </is>
      </c>
      <c r="K3" s="15" t="n">
        <v>0</v>
      </c>
      <c r="L3" s="15" t="n">
        <v>0.01</v>
      </c>
      <c r="M3" s="15" t="inlineStr">
        <is>
          <t xml:space="preserve">Installed capacity by technology type </t>
        </is>
      </c>
      <c r="N3" s="15" t="n"/>
      <c r="O3" s="28" t="n"/>
      <c r="P3" s="15" t="n"/>
      <c r="Q3" s="39" t="n"/>
      <c r="R3" s="46" t="inlineStr">
        <is>
          <t>Close the gap on energy access</t>
        </is>
      </c>
      <c r="S3" s="39" t="n"/>
      <c r="T3" s="39" t="n"/>
      <c r="U3" s="39" t="n"/>
      <c r="V3" s="39" t="n"/>
      <c r="W3" s="14" t="n"/>
      <c r="X3" s="39" t="n"/>
      <c r="Y3" s="39" t="n"/>
      <c r="Z3" s="14" t="n"/>
    </row>
    <row r="4" ht="45.75" customHeight="1">
      <c r="A4" s="36" t="n"/>
      <c r="B4" s="36" t="n"/>
      <c r="C4" s="34" t="n"/>
      <c r="D4" s="32" t="n"/>
      <c r="E4" s="32" t="n"/>
      <c r="F4" s="32" t="n"/>
      <c r="G4" s="32" t="n"/>
      <c r="H4" s="32" t="n"/>
      <c r="I4" s="15" t="inlineStr">
        <is>
          <t>GHG Emissions Reduction</t>
        </is>
      </c>
      <c r="J4" s="15" t="inlineStr">
        <is>
          <t>GHG emissions mitigated tCO2eq/yr direct</t>
        </is>
      </c>
      <c r="K4" s="15" t="n">
        <v>0</v>
      </c>
      <c r="L4" s="20" t="n">
        <v>76.2</v>
      </c>
      <c r="M4" s="15" t="n"/>
      <c r="N4" s="29" t="n">
        <v>19900</v>
      </c>
      <c r="O4" s="28" t="n"/>
      <c r="P4" s="15" t="n"/>
      <c r="Q4" s="39" t="n"/>
      <c r="R4" s="46" t="inlineStr">
        <is>
          <t>Close the gap on energy access</t>
        </is>
      </c>
      <c r="S4" s="39" t="n"/>
      <c r="T4" s="39" t="n"/>
      <c r="U4" s="39" t="n"/>
      <c r="V4" s="39" t="n"/>
      <c r="W4" s="14" t="n"/>
      <c r="X4" s="39" t="n"/>
      <c r="Y4" s="39" t="n"/>
      <c r="Z4" s="14" t="n"/>
    </row>
    <row r="5" ht="76.5" customHeight="1">
      <c r="A5" s="36" t="n"/>
      <c r="B5" s="36" t="n"/>
      <c r="C5" s="34" t="n"/>
      <c r="D5" s="47" t="n"/>
      <c r="E5" s="47" t="n"/>
      <c r="F5" s="47" t="n"/>
      <c r="G5" s="47" t="n"/>
      <c r="H5" s="47" t="n"/>
      <c r="I5" s="48" t="inlineStr">
        <is>
          <t>Market Intervention</t>
        </is>
      </c>
      <c r="J5" s="49" t="inlineStr">
        <is>
          <t>US$ value of new low-carbon electric mobility project concepts/proposals (with letters of intent from the financiers</t>
        </is>
      </c>
      <c r="K5" s="48" t="n">
        <v>0</v>
      </c>
      <c r="L5" s="48" t="n">
        <v>15000000</v>
      </c>
      <c r="M5" s="15" t="n"/>
      <c r="N5" s="15" t="n"/>
      <c r="O5" s="28" t="n"/>
      <c r="P5" s="15" t="n"/>
      <c r="Q5" s="39" t="n"/>
      <c r="R5" s="46" t="inlineStr">
        <is>
          <t>Close the gap on energy access</t>
        </is>
      </c>
      <c r="S5" s="39" t="n"/>
      <c r="T5" s="39" t="n"/>
      <c r="U5" s="39" t="n"/>
      <c r="V5" s="39" t="n"/>
      <c r="W5" s="14" t="n"/>
      <c r="X5" s="39" t="n"/>
      <c r="Y5" s="39" t="inlineStr">
        <is>
          <t>Business Model</t>
        </is>
      </c>
      <c r="Z5" s="14" t="n"/>
    </row>
    <row r="6" ht="76.5" customHeight="1">
      <c r="A6" s="36" t="n"/>
      <c r="B6" s="36" t="n"/>
      <c r="C6" s="34" t="n"/>
      <c r="D6" s="33" t="n"/>
      <c r="E6" s="33" t="n"/>
      <c r="F6" s="33" t="n"/>
      <c r="G6" s="33" t="n"/>
      <c r="H6" s="33" t="n"/>
      <c r="I6" s="31" t="inlineStr">
        <is>
          <t>Capacity Building Training</t>
        </is>
      </c>
      <c r="J6" s="15" t="inlineStr">
        <is>
          <t>Number of sector professionals and students who have successfully completed training and/or academic courses or study projects</t>
        </is>
      </c>
      <c r="K6" s="15" t="n">
        <v>0</v>
      </c>
      <c r="L6" s="15" t="n">
        <v>40</v>
      </c>
      <c r="M6" s="15" t="inlineStr">
        <is>
          <t xml:space="preserve">20 males; 20 females </t>
        </is>
      </c>
      <c r="N6" s="15" t="n"/>
      <c r="O6" s="28" t="n"/>
      <c r="P6" s="30" t="n">
        <v>0.5</v>
      </c>
      <c r="Q6" s="39" t="n"/>
      <c r="R6" s="46" t="inlineStr">
        <is>
          <t>Close the gap on energy access</t>
        </is>
      </c>
      <c r="S6" s="39" t="n"/>
      <c r="T6" s="39" t="n"/>
      <c r="U6" s="39" t="n"/>
      <c r="V6" s="39" t="n"/>
      <c r="W6" s="14" t="n"/>
      <c r="X6" s="39" t="n"/>
      <c r="Y6" s="39" t="n"/>
      <c r="Z6" s="14" t="n"/>
    </row>
    <row r="7" ht="45.75" customHeight="1">
      <c r="A7" s="37" t="n"/>
      <c r="B7" s="37" t="n"/>
      <c r="C7" s="35" t="n"/>
      <c r="D7" s="33" t="n"/>
      <c r="E7" s="33" t="n"/>
      <c r="F7" s="33" t="n"/>
      <c r="G7" s="33" t="n"/>
      <c r="H7" s="33" t="n"/>
      <c r="I7" s="15" t="inlineStr">
        <is>
          <t>Transportation and E-mobility Services</t>
        </is>
      </c>
      <c r="J7" s="15" t="inlineStr">
        <is>
          <t>Number of users of eMobility services and vehicles under the pilot</t>
        </is>
      </c>
      <c r="K7" s="15" t="n">
        <v>0</v>
      </c>
      <c r="L7" s="20" t="n">
        <v>5000</v>
      </c>
      <c r="M7" s="15" t="n"/>
      <c r="N7" s="15" t="n"/>
      <c r="O7" s="28" t="n"/>
      <c r="P7" s="15" t="n"/>
      <c r="Q7" s="39" t="n"/>
      <c r="R7" s="46" t="inlineStr">
        <is>
          <t>Close the gap on energy access</t>
        </is>
      </c>
      <c r="S7" s="39" t="n"/>
      <c r="T7" s="39" t="n"/>
      <c r="U7" s="39" t="n"/>
      <c r="V7" s="39" t="n"/>
      <c r="W7" s="14" t="n"/>
      <c r="X7" s="39" t="n"/>
      <c r="Y7" s="39" t="n"/>
      <c r="Z7" s="14" t="n"/>
    </row>
  </sheetData>
  <dataValidations count="11">
    <dataValidation sqref="R2:R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Q2:Q7" showDropDown="0" showInputMessage="1" showErrorMessage="1" allowBlank="1" type="list">
      <formula1>"AMP, PUDC, Solar4Health, Action Opportunities, Italy UNDP Energy Partnership"</formula1>
    </dataValidation>
    <dataValidation sqref="O2:O7" showDropDown="0" showInputMessage="1" showErrorMessage="1" allowBlank="1" type="list">
      <formula1>"Accelerating just energy transition, Close the gap on energy access, Scale up energy finance"</formula1>
    </dataValidation>
    <dataValidation sqref="P2:P7" showDropDown="0" showInputMessage="1" showErrorMessage="1" allowBlank="1" type="list">
      <formula1>"Electricity Access, Energy Efficiency, Clean Cooking, Renewable Energy, Overall"</formula1>
    </dataValidation>
    <dataValidation sqref="M2:M7" showDropDown="0" showInputMessage="1" showErrorMessage="1" allowBlank="1" type="list">
      <formula1>"Non-VF, VF"</formula1>
    </dataValidation>
    <dataValidation sqref="N2:N7" showDropDown="0" showInputMessage="1" showErrorMessage="1" allowBlank="1" type="list">
      <formula1>"Finance, Gender, Efficiency, Just, Health"</formula1>
    </dataValidation>
    <dataValidation sqref="U2:U7" showDropDown="0" showInputMessage="1" showErrorMessage="1" allowBlank="1" type="list">
      <formula1>"National, Regional, City, Community"</formula1>
    </dataValidation>
    <dataValidation sqref="S2:S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7" showDropDown="0" showInputMessage="1" showErrorMessage="1" allowBlank="1" type="list">
      <formula1>"Solar, Wind, Bioenergy, Hydro, Geothermal, Waste, Some Sources, Other, Unknown"</formula1>
    </dataValidation>
    <dataValidation sqref="V2:V7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topLeftCell="L1" workbookViewId="0">
      <selection activeCell="Q28" sqref="P28:Q32"/>
    </sheetView>
  </sheetViews>
  <sheetFormatPr baseColWidth="8" defaultRowHeight="15"/>
  <cols>
    <col width="20.7109375" customWidth="1" min="2" max="3"/>
    <col width="9.85546875" bestFit="1" customWidth="1" min="4" max="4"/>
    <col width="20.7109375" customWidth="1" min="5" max="5"/>
    <col width="28.42578125" customWidth="1" min="6" max="6"/>
    <col width="12.7109375" customWidth="1" min="7" max="7"/>
    <col width="26.5703125" customWidth="1" min="8" max="8"/>
    <col width="34.140625" customWidth="1" min="9" max="9"/>
    <col width="47.42578125" customWidth="1" min="13" max="13"/>
    <col width="28.5703125" customWidth="1" min="15" max="15"/>
    <col width="22.140625" customWidth="1" min="20" max="20"/>
  </cols>
  <sheetData>
    <row r="1">
      <c r="A1" s="11" t="inlineStr">
        <is>
          <t>Project ID</t>
        </is>
      </c>
      <c r="B1" s="11" t="inlineStr">
        <is>
          <t>Title</t>
        </is>
      </c>
      <c r="C1" s="11" t="inlineStr">
        <is>
          <t>Link</t>
        </is>
      </c>
      <c r="D1" s="11" t="inlineStr">
        <is>
          <t>Budget</t>
        </is>
      </c>
      <c r="E1" s="11" t="inlineStr">
        <is>
          <t>Beneficiary Category</t>
        </is>
      </c>
      <c r="F1" s="11" t="inlineStr">
        <is>
          <t>Indicator</t>
        </is>
      </c>
      <c r="G1" s="11" t="inlineStr">
        <is>
          <t>Baseline</t>
        </is>
      </c>
      <c r="H1" s="11" t="inlineStr">
        <is>
          <t>Target</t>
        </is>
      </c>
      <c r="I1" s="11" t="inlineStr">
        <is>
          <t>Notes</t>
        </is>
      </c>
      <c r="J1" s="10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22" t="inlineStr">
        <is>
          <t>Comments</t>
        </is>
      </c>
      <c r="N1" s="10" t="inlineStr">
        <is>
          <t>Tag</t>
        </is>
      </c>
      <c r="O1" s="24" t="inlineStr">
        <is>
          <t>SEH Taxonomy</t>
        </is>
      </c>
      <c r="P1" s="10" t="inlineStr">
        <is>
          <t>RISE Taxonomy</t>
        </is>
      </c>
      <c r="Q1" s="10" t="inlineStr">
        <is>
          <t>Flagship</t>
        </is>
      </c>
      <c r="R1" s="10" t="inlineStr">
        <is>
          <t>Indirect Category</t>
        </is>
      </c>
      <c r="S1" s="10" t="inlineStr">
        <is>
          <t>Indirect Taxonomy</t>
        </is>
      </c>
      <c r="T1" s="10" t="inlineStr">
        <is>
          <t>Indirect Beneficiaries</t>
        </is>
      </c>
    </row>
    <row r="2">
      <c r="A2" s="39" t="n">
        <v>6403</v>
      </c>
      <c r="B2" s="39" t="inlineStr">
        <is>
          <t>Electric Mobility Jamaica</t>
        </is>
      </c>
      <c r="C2" s="39" t="inlineStr">
        <is>
          <t>PIMS+</t>
        </is>
      </c>
      <c r="D2" s="60" t="n">
        <v>1784862</v>
      </c>
      <c r="E2" t="inlineStr">
        <is>
          <t>Transport Services</t>
        </is>
      </c>
      <c r="F2" s="12" t="inlineStr">
        <is>
          <t xml:space="preserve">Number of beneficaries </t>
        </is>
      </c>
      <c r="G2" s="12" t="n">
        <v>0</v>
      </c>
      <c r="H2" s="20" t="n">
        <v>20000</v>
      </c>
      <c r="I2" s="12" t="inlineStr">
        <is>
          <t xml:space="preserve">beneficiaries from e-mobility services </t>
        </is>
      </c>
      <c r="J2" s="39" t="inlineStr">
        <is>
          <t>GEF</t>
        </is>
      </c>
      <c r="K2" s="17" t="n">
        <v>0.7</v>
      </c>
      <c r="L2" s="39" t="inlineStr">
        <is>
          <t>VF</t>
        </is>
      </c>
      <c r="M2" s="23" t="n"/>
      <c r="N2" s="12" t="n"/>
      <c r="O2" s="25" t="n"/>
      <c r="P2" s="12" t="n"/>
      <c r="Q2" s="12" t="n"/>
      <c r="R2" s="12" t="n"/>
      <c r="S2" s="12" t="n"/>
      <c r="T2" s="21" t="n">
        <v>273000</v>
      </c>
    </row>
    <row r="3">
      <c r="A3" s="61" t="n"/>
      <c r="B3" s="61" t="n"/>
      <c r="C3" s="61" t="n"/>
      <c r="D3" s="61" t="n"/>
      <c r="E3" s="12" t="inlineStr">
        <is>
          <t>Energy (MW added)</t>
        </is>
      </c>
      <c r="F3" s="12" t="inlineStr">
        <is>
          <t>Installed RE Capacity MW nameplate</t>
        </is>
      </c>
      <c r="G3" s="12" t="n">
        <v>0</v>
      </c>
      <c r="H3" s="12" t="n">
        <v>0.01</v>
      </c>
      <c r="I3" s="12" t="inlineStr">
        <is>
          <t xml:space="preserve">Installed capacity by technology type </t>
        </is>
      </c>
      <c r="J3" s="61" t="n"/>
      <c r="K3" s="12" t="n"/>
      <c r="L3" s="61" t="n"/>
      <c r="M3" s="23" t="n"/>
      <c r="N3" s="12" t="n"/>
      <c r="O3" s="25" t="inlineStr">
        <is>
          <t>Close the gap on energy access</t>
        </is>
      </c>
      <c r="P3" s="12" t="inlineStr">
        <is>
          <t>Renewable Energy</t>
        </is>
      </c>
      <c r="Q3" s="12" t="n"/>
      <c r="R3" s="12" t="n"/>
      <c r="S3" s="12" t="n"/>
      <c r="T3" s="12" t="n"/>
    </row>
    <row r="4">
      <c r="A4" s="61" t="n"/>
      <c r="B4" s="61" t="n"/>
      <c r="C4" s="61" t="n"/>
      <c r="D4" s="62" t="n"/>
      <c r="E4" s="12" t="inlineStr">
        <is>
          <t>GHG Emissions Reduction</t>
        </is>
      </c>
      <c r="F4" s="12" t="inlineStr">
        <is>
          <t>GHG emissions mitigated tCO2eq/yr direct</t>
        </is>
      </c>
      <c r="G4" s="12" t="n">
        <v>0</v>
      </c>
      <c r="H4" s="16" t="n">
        <v>76.2</v>
      </c>
      <c r="I4" s="12" t="n"/>
      <c r="J4" s="61" t="n"/>
      <c r="K4" s="12" t="n"/>
      <c r="L4" s="61" t="n"/>
      <c r="M4" s="23" t="n"/>
      <c r="N4" s="12" t="n"/>
      <c r="O4" s="25" t="n"/>
      <c r="P4" s="12" t="n"/>
      <c r="Q4" s="12" t="n"/>
      <c r="R4" s="12" t="n"/>
      <c r="S4" s="12" t="n"/>
      <c r="T4" s="21" t="n">
        <v>19900</v>
      </c>
    </row>
    <row r="5" ht="76.5" customHeight="1">
      <c r="A5" s="61" t="n"/>
      <c r="B5" s="61" t="n"/>
      <c r="C5" s="61" t="n"/>
      <c r="D5" s="18" t="n">
        <v>15000000</v>
      </c>
      <c r="E5" s="12" t="inlineStr">
        <is>
          <t>Policy or Regulatory Framwork</t>
        </is>
      </c>
      <c r="F5" s="13" t="inlineStr">
        <is>
          <t>US$ value of new low-carbon electric mobility project concepts/proposals (with letters of intent from the financiers</t>
        </is>
      </c>
      <c r="G5" s="12" t="n">
        <v>0</v>
      </c>
      <c r="H5" s="12" t="inlineStr">
        <is>
          <t>15M</t>
        </is>
      </c>
      <c r="I5" s="12" t="n"/>
      <c r="J5" s="61" t="n"/>
      <c r="K5" s="12" t="n"/>
      <c r="L5" s="61" t="n"/>
      <c r="M5" s="19" t="n"/>
      <c r="N5" s="12" t="n"/>
      <c r="O5" s="25" t="n"/>
      <c r="P5" s="12" t="n"/>
      <c r="Q5" s="12" t="n"/>
      <c r="R5" s="12" t="n"/>
      <c r="S5" s="12" t="n"/>
      <c r="T5" s="12" t="n"/>
    </row>
    <row r="6" ht="76.5" customHeight="1">
      <c r="A6" s="61" t="n"/>
      <c r="B6" s="61" t="n"/>
      <c r="C6" s="61" t="n"/>
      <c r="D6" s="12" t="n"/>
      <c r="E6" s="14" t="inlineStr">
        <is>
          <t xml:space="preserve">Capacity Training </t>
        </is>
      </c>
      <c r="F6" s="15" t="inlineStr">
        <is>
          <t>Number of sector professionals and students who have successfully completed training and/or academic courses or study projects</t>
        </is>
      </c>
      <c r="G6" s="12" t="n">
        <v>0</v>
      </c>
      <c r="H6" s="12" t="n">
        <v>40</v>
      </c>
      <c r="I6" s="12" t="inlineStr">
        <is>
          <t xml:space="preserve">20 males; 20 females </t>
        </is>
      </c>
      <c r="J6" s="61" t="n"/>
      <c r="K6" s="17" t="n">
        <v>0.5</v>
      </c>
      <c r="L6" s="61" t="n"/>
      <c r="M6" s="23" t="n"/>
      <c r="N6" s="12" t="n"/>
      <c r="O6" s="25" t="n"/>
      <c r="P6" s="12" t="n"/>
      <c r="Q6" s="12" t="n"/>
      <c r="R6" s="12" t="n"/>
      <c r="S6" s="12" t="n"/>
      <c r="T6" s="12" t="n"/>
    </row>
    <row r="7" ht="45.75" customHeight="1">
      <c r="A7" s="62" t="n"/>
      <c r="B7" s="62" t="n"/>
      <c r="C7" s="62" t="n"/>
      <c r="D7" s="12" t="n"/>
      <c r="E7" s="12" t="inlineStr">
        <is>
          <t>Transport Services</t>
        </is>
      </c>
      <c r="F7" s="15" t="inlineStr">
        <is>
          <t>Number of users of eMobility services and vehicles under the pilot</t>
        </is>
      </c>
      <c r="G7" s="12" t="n">
        <v>0</v>
      </c>
      <c r="H7" s="16" t="n">
        <v>5000</v>
      </c>
      <c r="I7" s="12" t="n"/>
      <c r="J7" s="62" t="n"/>
      <c r="K7" s="12" t="n"/>
      <c r="L7" s="62" t="n"/>
      <c r="M7" s="23" t="n"/>
      <c r="N7" s="12" t="n"/>
      <c r="O7" s="25" t="n"/>
      <c r="P7" s="12" t="n"/>
      <c r="Q7" s="12" t="n"/>
      <c r="R7" s="12" t="n"/>
      <c r="S7" s="12" t="n"/>
      <c r="T7" s="12" t="n"/>
    </row>
  </sheetData>
  <mergeCells count="6">
    <mergeCell ref="L2:L7"/>
    <mergeCell ref="A2:A7"/>
    <mergeCell ref="B2:B7"/>
    <mergeCell ref="C2:C7"/>
    <mergeCell ref="J2:J7"/>
    <mergeCell ref="D2:D4"/>
  </mergeCells>
  <dataValidations count="5">
    <dataValidation sqref="O2:O7" showDropDown="0" showInputMessage="1" showErrorMessage="1" allowBlank="1" type="list">
      <formula1>"Accelerating just energy transition, Close the gap on energy access, Scale up energy finance"</formula1>
    </dataValidation>
    <dataValidation sqref="P2:P7" showDropDown="0" showInputMessage="1" showErrorMessage="1" allowBlank="1" type="list">
      <formula1>"Electricity Access, Energy Efficiency, Clean Cooking, Renewable Energy"</formula1>
    </dataValidation>
    <dataValidation sqref="Q2:Q7" showDropDown="0" showInputMessage="1" showErrorMessage="1" allowBlank="1" type="list">
      <formula1>"AMP, PUDC, Solar4Health, Action Opportunities, Italy UNDP Energy Partnership"</formula1>
    </dataValidation>
    <dataValidation sqref="R2:R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7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E2" sqref="E2"/>
    </sheetView>
  </sheetViews>
  <sheetFormatPr baseColWidth="8" defaultRowHeight="15"/>
  <cols>
    <col width="20.7109375" customWidth="1" min="2" max="3"/>
    <col width="20.7109375" customWidth="1" min="5" max="5"/>
    <col width="28.42578125" customWidth="1" min="6" max="6"/>
    <col width="12.7109375" customWidth="1" min="7" max="7"/>
    <col width="26.5703125" customWidth="1" min="8" max="8"/>
    <col width="34.14062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4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 ht="30.75" customHeight="1">
      <c r="A2" t="n">
        <v>6403</v>
      </c>
      <c r="B2" t="inlineStr">
        <is>
          <t>Electric Mobility Jamaica</t>
        </is>
      </c>
      <c r="C2" t="inlineStr">
        <is>
          <t>PIMS+</t>
        </is>
      </c>
      <c r="D2" t="n">
        <v>1784862</v>
      </c>
      <c r="E2" s="2" t="inlineStr">
        <is>
          <t>Other Energy Services</t>
        </is>
      </c>
      <c r="F2" s="2" t="inlineStr">
        <is>
          <t xml:space="preserve">Number of beneficaries </t>
        </is>
      </c>
      <c r="G2" s="2" t="n">
        <v>0</v>
      </c>
      <c r="H2" s="8" t="inlineStr">
        <is>
          <t>20,000 direct (30% males; 70% females)</t>
        </is>
      </c>
      <c r="I2" s="2" t="inlineStr">
        <is>
          <t xml:space="preserve">beneficiaries from e-mobility services </t>
        </is>
      </c>
      <c r="J2" t="inlineStr">
        <is>
          <t>GEF</t>
        </is>
      </c>
    </row>
    <row r="3">
      <c r="H3" t="inlineStr">
        <is>
          <t>273,000 indirect</t>
        </is>
      </c>
    </row>
    <row r="4">
      <c r="E4" t="inlineStr">
        <is>
          <t>Other Energy Services</t>
        </is>
      </c>
      <c r="F4" t="inlineStr">
        <is>
          <t xml:space="preserve">Installed RE Capacity </t>
        </is>
      </c>
      <c r="G4" t="n">
        <v>0</v>
      </c>
      <c r="H4" t="inlineStr">
        <is>
          <t>10 KWp</t>
        </is>
      </c>
      <c r="I4" t="inlineStr">
        <is>
          <t xml:space="preserve">Installed capacity by technology type </t>
        </is>
      </c>
    </row>
    <row r="6">
      <c r="E6" t="inlineStr">
        <is>
          <t>Other Energy Services</t>
        </is>
      </c>
      <c r="F6" t="inlineStr">
        <is>
          <t>GHG emissions mitigated</t>
        </is>
      </c>
      <c r="G6" t="n">
        <v>0</v>
      </c>
      <c r="H6" t="inlineStr">
        <is>
          <t>76.2 tCO2eq/yr direct</t>
        </is>
      </c>
    </row>
    <row r="7">
      <c r="H7" t="inlineStr">
        <is>
          <t>19,900 tCO2eq/yr indiirect</t>
        </is>
      </c>
    </row>
    <row r="8" ht="76.5" customHeight="1">
      <c r="F8" s="6" t="inlineStr">
        <is>
          <t>US$ value of new low-carbon electric mobility project concepts/proposals (with letters of intent from the financiers</t>
        </is>
      </c>
      <c r="G8" t="n">
        <v>0</v>
      </c>
      <c r="H8" t="inlineStr">
        <is>
          <t>US$ 15 M</t>
        </is>
      </c>
    </row>
    <row r="10" ht="76.5" customHeight="1">
      <c r="E10" s="7" t="inlineStr">
        <is>
          <t xml:space="preserve">Capacity Training </t>
        </is>
      </c>
      <c r="F10" s="5" t="inlineStr">
        <is>
          <t>Number of sector professionals and students who have successfully completed training and/or academic courses or study projects</t>
        </is>
      </c>
      <c r="G10" t="n">
        <v>0</v>
      </c>
      <c r="H10" t="n">
        <v>40</v>
      </c>
      <c r="I10" t="inlineStr">
        <is>
          <t xml:space="preserve">20 males; 20 females </t>
        </is>
      </c>
    </row>
    <row r="12" ht="45.75" customHeight="1">
      <c r="E12" t="inlineStr">
        <is>
          <t>Other Energy Services</t>
        </is>
      </c>
      <c r="F12" s="5" t="inlineStr">
        <is>
          <t>Number of users of eMobility services and vehicles under the pilot</t>
        </is>
      </c>
      <c r="G12" t="n">
        <v>0</v>
      </c>
      <c r="H12" s="9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:A1048576"/>
    </sheetView>
  </sheetViews>
  <sheetFormatPr baseColWidth="8" defaultRowHeight="15"/>
  <cols>
    <col width="36" customWidth="1" min="1" max="2"/>
    <col width="110" customWidth="1" min="2" max="2"/>
  </cols>
  <sheetData>
    <row r="1">
      <c r="A1" s="63" t="inlineStr">
        <is>
          <t>Beneficiary Category</t>
        </is>
      </c>
      <c r="B1" s="63" t="inlineStr">
        <is>
          <t>Indicator</t>
        </is>
      </c>
    </row>
    <row r="2" ht="20.25" customHeight="1">
      <c r="A2" s="6" t="inlineStr">
        <is>
          <t>Electricity Access</t>
        </is>
      </c>
      <c r="B2" s="6" t="inlineStr">
        <is>
          <t>Number of people, disaggregated by sex, who gain access to clean electricity (direct access to electricity, lighting, cooling, etc.).</t>
        </is>
      </c>
    </row>
    <row r="3" ht="20.25" customHeight="1">
      <c r="A3" s="6" t="inlineStr">
        <is>
          <t>Energy (MW added)</t>
        </is>
      </c>
      <c r="B3" s="6" t="inlineStr">
        <is>
          <t>Installed renewable or clean-energy power capacity added, in MW.</t>
        </is>
      </c>
    </row>
    <row r="4" ht="20.25" customHeight="1">
      <c r="A4" s="6" t="inlineStr">
        <is>
          <t>Energy Storage (MW)</t>
        </is>
      </c>
      <c r="B4" s="6" t="inlineStr">
        <is>
          <t>Installed energy storage power capacity added, in MW.</t>
        </is>
      </c>
    </row>
    <row r="5" ht="22.5" customHeight="1">
      <c r="A5" s="6" t="inlineStr">
        <is>
          <t>Clean Cooking</t>
        </is>
      </c>
      <c r="B5" s="6" t="inlineStr">
        <is>
          <t>Number of people who gain access to clean cooking (direct access to clean cook stoves, clean fuels, biomass, etc.).</t>
        </is>
      </c>
    </row>
    <row r="6" ht="20.25" customHeight="1">
      <c r="A6" s="6" t="inlineStr">
        <is>
          <t>Clean Heating</t>
        </is>
      </c>
      <c r="B6" s="6" t="inlineStr">
        <is>
          <t>Number of people who gain access to clean heating (direct access to clean electric heaters, clean fuels, etc.).</t>
        </is>
      </c>
    </row>
    <row r="7" ht="17.25" customHeight="1">
      <c r="A7" s="6" t="inlineStr">
        <is>
          <t>Agriculture and Food System</t>
        </is>
      </c>
      <c r="B7" s="6" t="inlineStr">
        <is>
          <t>Number of people who gain access to clean, affordable, and sustainable energy for agricultural and food-system activities.</t>
        </is>
      </c>
    </row>
    <row r="8" ht="22.5" customHeight="1">
      <c r="A8" s="6" t="inlineStr">
        <is>
          <t>Health Services</t>
        </is>
      </c>
      <c r="B8" s="6" t="inlineStr">
        <is>
          <t>Number of people who gain access to health care facilities through clean energy systems.</t>
        </is>
      </c>
    </row>
    <row r="9" ht="20.25" customHeight="1">
      <c r="A9" s="6" t="inlineStr">
        <is>
          <t>Water Services</t>
        </is>
      </c>
      <c r="B9" s="6" t="inlineStr">
        <is>
          <t>Number of people who gain access to water services through clean energy systems.</t>
        </is>
      </c>
    </row>
    <row r="10" ht="20.25" customHeight="1">
      <c r="A10" s="6" t="inlineStr">
        <is>
          <t>Education Services</t>
        </is>
      </c>
      <c r="B10" s="6" t="inlineStr">
        <is>
          <t>Number of people who gain access to education services through clean energy systems, including students and teachers.</t>
        </is>
      </c>
    </row>
    <row r="11" ht="20.25" customHeight="1">
      <c r="A11" s="6" t="inlineStr">
        <is>
          <t>Transportation and E-mobility Services</t>
        </is>
      </c>
      <c r="B11" s="6" t="inlineStr">
        <is>
          <t>Number of people served or energy saved from transport and e-mobility interventions, such as electric vehicles or charging stations.</t>
        </is>
      </c>
    </row>
    <row r="12" ht="20.25" customHeight="1">
      <c r="A12" s="6" t="inlineStr">
        <is>
          <t>Energy Efficiency Services</t>
        </is>
      </c>
      <c r="B12" s="6" t="inlineStr">
        <is>
          <t>Energy saved from energy-efficiency interventions, such as building or industrial efficiency.</t>
        </is>
      </c>
    </row>
    <row r="13" ht="20.25" customHeight="1">
      <c r="A13" s="6" t="inlineStr">
        <is>
          <t>Energy Infrastructure Services</t>
        </is>
      </c>
      <c r="B13" s="6" t="inlineStr">
        <is>
          <t>Number of people benefiting from energy infrastructure interventions, such as streetlights, transmission, and distribution lines.</t>
        </is>
      </c>
    </row>
    <row r="14" ht="20.25" customHeight="1">
      <c r="A14" s="6" t="inlineStr">
        <is>
          <t>Other Energy Services</t>
        </is>
      </c>
      <c r="B14" s="6" t="inlineStr">
        <is>
          <t>Access to other energy services not captured by the categories above.</t>
        </is>
      </c>
    </row>
    <row r="15" ht="20.25" customHeight="1">
      <c r="A15" s="6" t="inlineStr">
        <is>
          <t>Financing support</t>
        </is>
      </c>
      <c r="B15" s="6" t="inlineStr">
        <is>
          <t>Support for the development of the energy market ecosystem.</t>
        </is>
      </c>
    </row>
    <row r="16" ht="59.25" customHeight="1">
      <c r="A16" s="6" t="inlineStr">
        <is>
          <t>Medium Enterprises</t>
        </is>
      </c>
      <c r="B16" s="6" t="inlineStr">
        <is>
          <t>Support for the development of medium enterprises in the energy transition market.</t>
        </is>
      </c>
    </row>
    <row r="17" ht="57.75" customHeight="1">
      <c r="A17" s="6" t="inlineStr">
        <is>
          <t>Small Enterprises</t>
        </is>
      </c>
      <c r="B17" s="6" t="inlineStr">
        <is>
          <t>Support for the development of small enterprises in the energy transition market.</t>
        </is>
      </c>
    </row>
    <row r="18" ht="30.75" customHeight="1">
      <c r="A18" s="6" t="inlineStr">
        <is>
          <t>Capacity Building Training</t>
        </is>
      </c>
      <c r="B18" s="6" t="inlineStr">
        <is>
          <t>Number of people benefiting from training on energy business, energy finance, or related implementation capacity.</t>
        </is>
      </c>
    </row>
    <row r="19" ht="76.5" customHeight="1">
      <c r="A19" s="6" t="inlineStr">
        <is>
          <t>Entrepreneurship Training</t>
        </is>
      </c>
      <c r="B19" s="6" t="inlineStr">
        <is>
          <t>Training for enterprises on the energy business, assumed to result in direct beneficiaries.</t>
        </is>
      </c>
    </row>
    <row r="20" ht="30.75" customHeight="1">
      <c r="A20" s="6" t="inlineStr">
        <is>
          <t>Market Intervention</t>
        </is>
      </c>
      <c r="B20" s="6" t="inlineStr">
        <is>
          <t>Volume of investment leveraged or barriers removed for clean, reliable, affordable, and sustainable energy solutions.</t>
        </is>
      </c>
    </row>
    <row r="21" ht="45.75" customHeight="1">
      <c r="A21" s="6" t="inlineStr">
        <is>
          <t>Campaign Participant</t>
        </is>
      </c>
      <c r="B21" s="6" t="inlineStr">
        <is>
          <t>Individuals who participate in advocacy or awareness campaigns on energy.</t>
        </is>
      </c>
    </row>
    <row r="22" ht="30.75" customHeight="1">
      <c r="A22" s="6" t="inlineStr">
        <is>
          <t>Policy or Regulatory Framework</t>
        </is>
      </c>
      <c r="B22" s="6" t="inlineStr">
        <is>
          <t>Policies, regulations, strategies, plans, or frameworks developed, approved, implemented, or strengthened.</t>
        </is>
      </c>
    </row>
    <row r="23">
      <c r="A23" s="6" t="inlineStr">
        <is>
          <t>GHG Emissions Reduction</t>
        </is>
      </c>
      <c r="B23" s="6" t="inlineStr">
        <is>
          <t>Greenhouse gas emissions reduced or mitigated, in tCO2e.</t>
        </is>
      </c>
    </row>
    <row r="24">
      <c r="A24" s="6" t="inlineStr">
        <is>
          <t>Other</t>
        </is>
      </c>
      <c r="B24" s="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