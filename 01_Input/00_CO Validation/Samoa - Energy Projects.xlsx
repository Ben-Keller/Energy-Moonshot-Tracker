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2975" tabRatio="600" firstSheet="0" activeTab="0"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0"/>
  <fonts count="16">
    <font>
      <name val="Calibri"/>
      <family val="2"/>
      <color theme="1"/>
      <sz val="11"/>
      <scheme val="minor"/>
    </font>
    <font>
      <name val="Calibri"/>
      <color theme="1"/>
      <sz val="11"/>
      <scheme val="minor"/>
    </font>
    <font>
      <name val="Calibri"/>
      <family val="2"/>
      <b val="1"/>
      <color theme="1"/>
      <sz val="11"/>
      <scheme val="minor"/>
    </font>
    <font>
      <name val="Calibri"/>
      <charset val="1"/>
      <family val="2"/>
      <color rgb="FF000000"/>
      <sz val="11"/>
    </font>
    <font>
      <name val="Helvetica Neue"/>
      <charset val="1"/>
      <color rgb="FFFF0000"/>
      <sz val="10"/>
    </font>
    <font>
      <name val="Calibri"/>
      <color rgb="FF000000"/>
      <sz val="11"/>
    </font>
    <font>
      <name val="Calibri"/>
      <color rgb="FFFF0000"/>
      <sz val="11"/>
    </font>
    <font>
      <name val="Calibri"/>
      <color theme="1"/>
      <sz val="11"/>
    </font>
    <font>
      <name val="Calibri"/>
      <color rgb="FF000000"/>
      <sz val="11"/>
      <scheme val="minor"/>
    </font>
    <font>
      <name val="Calibri"/>
      <b val="1"/>
      <color theme="1"/>
      <sz val="11"/>
      <scheme val="minor"/>
    </font>
    <font>
      <name val="Calibri"/>
      <color rgb="FFFF0000"/>
      <sz val="11"/>
      <scheme val="minor"/>
    </font>
    <font>
      <name val="Calibri"/>
      <family val="2"/>
      <color theme="10"/>
      <sz val="11"/>
      <u val="single"/>
      <scheme val="minor"/>
    </font>
    <font>
      <name val="Calibri"/>
      <family val="2"/>
      <color rgb="FFFF0000"/>
      <sz val="11"/>
      <scheme val="minor"/>
    </font>
    <font>
      <name val="Calibri"/>
      <family val="2"/>
      <b val="1"/>
      <color rgb="FF000000"/>
      <sz val="11"/>
      <scheme val="minor"/>
    </font>
    <font>
      <name val="Calibri"/>
      <family val="2"/>
      <color rgb="FF000000"/>
      <sz val="11"/>
      <scheme val="minor"/>
    </font>
    <font>
      <b val="1"/>
    </font>
  </fonts>
  <fills count="8">
    <fill>
      <patternFill/>
    </fill>
    <fill>
      <patternFill patternType="gray125"/>
    </fill>
    <fill>
      <patternFill patternType="solid">
        <fgColor rgb="FFFFFF00"/>
        <bgColor indexed="64"/>
      </patternFill>
    </fill>
    <fill>
      <patternFill patternType="solid">
        <fgColor rgb="FFE2EFDA"/>
        <bgColor indexed="64"/>
      </patternFill>
    </fill>
    <fill>
      <patternFill patternType="solid">
        <fgColor rgb="FFFFF2CC"/>
        <bgColor indexed="64"/>
      </patternFill>
    </fill>
    <fill>
      <patternFill patternType="solid">
        <fgColor rgb="FFDDEBF7"/>
        <bgColor indexed="64"/>
      </patternFill>
    </fill>
    <fill>
      <patternFill patternType="solid">
        <fgColor theme="9" tint="0.5999938962981048"/>
        <bgColor indexed="64"/>
      </patternFill>
    </fill>
    <fill>
      <patternFill patternType="solid">
        <fgColor rgb="00FFFF00"/>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11" fillId="0" borderId="0"/>
  </cellStyleXfs>
  <cellXfs count="109">
    <xf numFmtId="0" fontId="0" fillId="0" borderId="0" pivotButton="0" quotePrefix="0" xfId="0"/>
    <xf numFmtId="0" fontId="2" fillId="0" borderId="1" applyAlignment="1" pivotButton="0" quotePrefix="0" xfId="0">
      <alignment horizontal="center" vertical="top"/>
    </xf>
    <xf numFmtId="0" fontId="0" fillId="3" borderId="1" applyAlignment="1" pivotButton="0" quotePrefix="0" xfId="0">
      <alignment horizontal="center" vertical="center"/>
    </xf>
    <xf numFmtId="0" fontId="0" fillId="4" borderId="1" applyAlignment="1" pivotButton="0" quotePrefix="0" xfId="0">
      <alignment vertical="center"/>
    </xf>
    <xf numFmtId="0" fontId="0" fillId="4" borderId="1" applyAlignment="1" pivotButton="0" quotePrefix="0" xfId="0">
      <alignment vertical="center" wrapText="1"/>
    </xf>
    <xf numFmtId="0" fontId="0" fillId="4" borderId="1" applyAlignment="1" pivotButton="0" quotePrefix="0" xfId="0">
      <alignment horizontal="left" wrapText="1"/>
    </xf>
    <xf numFmtId="0" fontId="0" fillId="4" borderId="1" applyAlignment="1" pivotButton="0" quotePrefix="0" xfId="0">
      <alignment horizontal="left" vertical="top" wrapText="1"/>
    </xf>
    <xf numFmtId="0" fontId="0" fillId="4" borderId="1" applyAlignment="1" pivotButton="0" quotePrefix="0" xfId="0">
      <alignment horizontal="left" vertical="center" wrapText="1"/>
    </xf>
    <xf numFmtId="0" fontId="0" fillId="4" borderId="1" applyAlignment="1" pivotButton="0" quotePrefix="0" xfId="0">
      <alignment horizontal="left" vertical="center"/>
    </xf>
    <xf numFmtId="0" fontId="3" fillId="4" borderId="0" applyAlignment="1" pivotButton="0" quotePrefix="0" xfId="0">
      <alignment horizontal="left" vertical="top" wrapText="1"/>
    </xf>
    <xf numFmtId="0" fontId="0" fillId="4" borderId="1" applyAlignment="1" pivotButton="0" quotePrefix="0" xfId="0">
      <alignment horizontal="center" vertical="center"/>
    </xf>
    <xf numFmtId="0" fontId="0" fillId="4" borderId="1" applyAlignment="1" pivotButton="0" quotePrefix="0" xfId="0">
      <alignment horizontal="center" vertical="center" wrapText="1"/>
    </xf>
    <xf numFmtId="3" fontId="0" fillId="4" borderId="1" applyAlignment="1" pivotButton="0" quotePrefix="0" xfId="0">
      <alignment horizontal="center" vertical="center"/>
    </xf>
    <xf numFmtId="0" fontId="0" fillId="5" borderId="1" applyAlignment="1" pivotButton="0" quotePrefix="0" xfId="0">
      <alignment horizontal="left" vertical="center" wrapText="1"/>
    </xf>
    <xf numFmtId="0" fontId="0" fillId="3" borderId="1" applyAlignment="1" pivotButton="0" quotePrefix="0" xfId="0">
      <alignment horizontal="left" vertical="center"/>
    </xf>
    <xf numFmtId="0" fontId="0" fillId="3" borderId="1" applyAlignment="1" pivotButton="0" quotePrefix="0" xfId="0">
      <alignment horizontal="left" vertical="top" wrapText="1"/>
    </xf>
    <xf numFmtId="0" fontId="0" fillId="5"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3" borderId="1" applyAlignment="1" pivotButton="0" quotePrefix="0" xfId="0">
      <alignment horizontal="center" vertical="center" wrapText="1"/>
    </xf>
    <xf numFmtId="10" fontId="0" fillId="5" borderId="1" applyAlignment="1" pivotButton="0" quotePrefix="0" xfId="0">
      <alignment horizontal="center" vertical="center" wrapText="1"/>
    </xf>
    <xf numFmtId="9" fontId="0" fillId="5" borderId="1" applyAlignment="1" pivotButton="0" quotePrefix="0" xfId="0">
      <alignment horizontal="center" vertical="center" wrapText="1"/>
    </xf>
    <xf numFmtId="0" fontId="2" fillId="0" borderId="1" pivotButton="0" quotePrefix="0" xfId="0"/>
    <xf numFmtId="0" fontId="4" fillId="0" borderId="0" applyAlignment="1" pivotButton="0" quotePrefix="0" xfId="0">
      <alignment vertical="center"/>
    </xf>
    <xf numFmtId="0" fontId="2" fillId="0" borderId="0" pivotButton="0" quotePrefix="0" xfId="0"/>
    <xf numFmtId="0" fontId="0" fillId="0" borderId="0" applyAlignment="1" pivotButton="0" quotePrefix="0" xfId="0">
      <alignment horizontal="center" vertical="center"/>
    </xf>
    <xf numFmtId="0" fontId="2" fillId="0" borderId="1" applyAlignment="1" pivotButton="0" quotePrefix="0" xfId="0">
      <alignment horizontal="center" vertical="center"/>
    </xf>
    <xf numFmtId="0" fontId="0" fillId="0" borderId="1" pivotButton="0" quotePrefix="0" xfId="0"/>
    <xf numFmtId="0" fontId="0" fillId="0" borderId="1" applyAlignment="1" pivotButton="0" quotePrefix="0" xfId="0">
      <alignment horizontal="center" vertical="center"/>
    </xf>
    <xf numFmtId="0" fontId="0" fillId="0" borderId="1" applyAlignment="1" pivotButton="0" quotePrefix="0" xfId="0">
      <alignment vertical="center"/>
    </xf>
    <xf numFmtId="0" fontId="0" fillId="0" borderId="1" applyAlignment="1" pivotButton="0" quotePrefix="0" xfId="0">
      <alignment vertical="top"/>
    </xf>
    <xf numFmtId="0" fontId="7" fillId="4" borderId="1" applyAlignment="1" pivotButton="0" quotePrefix="0" xfId="0">
      <alignment horizontal="center" vertical="center" wrapText="1"/>
    </xf>
    <xf numFmtId="0" fontId="8" fillId="3" borderId="1" applyAlignment="1" pivotButton="0" quotePrefix="0" xfId="0">
      <alignment horizontal="left" vertical="top" wrapText="1"/>
    </xf>
    <xf numFmtId="0" fontId="0" fillId="0" borderId="2" pivotButton="0" quotePrefix="0" xfId="0"/>
    <xf numFmtId="0" fontId="2" fillId="0" borderId="2" applyAlignment="1" pivotButton="0" quotePrefix="0" xfId="0">
      <alignment horizontal="center" vertical="top"/>
    </xf>
    <xf numFmtId="0" fontId="2" fillId="0" borderId="2" pivotButton="0" quotePrefix="0" xfId="0"/>
    <xf numFmtId="0" fontId="0" fillId="0" borderId="7" applyAlignment="1" pivotButton="0" quotePrefix="0" xfId="0">
      <alignment horizontal="center" vertical="center"/>
    </xf>
    <xf numFmtId="0" fontId="0" fillId="0" borderId="2" applyAlignment="1" pivotButton="0" quotePrefix="0" xfId="0">
      <alignment horizontal="center" vertical="center"/>
    </xf>
    <xf numFmtId="0" fontId="0" fillId="0" borderId="5" applyAlignment="1" pivotButton="0" quotePrefix="0" xfId="0">
      <alignment horizontal="left" vertical="top" wrapText="1"/>
    </xf>
    <xf numFmtId="0" fontId="0" fillId="0" borderId="1" applyAlignment="1" pivotButton="0" quotePrefix="0" xfId="0">
      <alignment horizontal="left" vertical="top" wrapText="1"/>
    </xf>
    <xf numFmtId="0" fontId="0" fillId="0" borderId="10" applyAlignment="1" pivotButton="0" quotePrefix="0" xfId="0">
      <alignment horizontal="left" vertical="center" wrapText="1"/>
    </xf>
    <xf numFmtId="0" fontId="0" fillId="0" borderId="8" applyAlignment="1" pivotButton="0" quotePrefix="0" xfId="0">
      <alignment horizontal="center" vertical="center"/>
    </xf>
    <xf numFmtId="0" fontId="0" fillId="0" borderId="3" applyAlignment="1" pivotButton="0" quotePrefix="0" xfId="0">
      <alignment horizontal="center" vertical="center"/>
    </xf>
    <xf numFmtId="0" fontId="0" fillId="0" borderId="1" applyAlignment="1" pivotButton="0" quotePrefix="0" xfId="0">
      <alignment horizontal="center" vertical="center" wrapText="1"/>
    </xf>
    <xf numFmtId="0" fontId="0" fillId="0" borderId="9" applyAlignment="1" pivotButton="0" quotePrefix="0" xfId="0">
      <alignment horizontal="center" vertical="center"/>
    </xf>
    <xf numFmtId="0" fontId="0" fillId="0" borderId="6" applyAlignment="1" pivotButton="0" quotePrefix="0" xfId="0">
      <alignment horizontal="center" vertical="center"/>
    </xf>
    <xf numFmtId="0" fontId="8" fillId="0" borderId="1" applyAlignment="1" pivotButton="0" quotePrefix="0" xfId="0">
      <alignment horizontal="left" vertical="top" wrapText="1"/>
    </xf>
    <xf numFmtId="49" fontId="0" fillId="0" borderId="3" applyAlignment="1" pivotButton="0" quotePrefix="0" xfId="0">
      <alignment vertical="center"/>
    </xf>
    <xf numFmtId="0" fontId="0" fillId="0" borderId="3" applyAlignment="1" pivotButton="0" quotePrefix="0" xfId="0">
      <alignment vertical="center"/>
    </xf>
    <xf numFmtId="0" fontId="7" fillId="0" borderId="10" applyAlignment="1" pivotButton="0" quotePrefix="0" xfId="0">
      <alignment horizontal="left" vertical="center" wrapText="1"/>
    </xf>
    <xf numFmtId="0" fontId="0" fillId="0" borderId="10" pivotButton="0" quotePrefix="0" xfId="0"/>
    <xf numFmtId="0" fontId="0" fillId="0" borderId="1" applyAlignment="1" pivotButton="0" quotePrefix="0" xfId="0">
      <alignment horizontal="left" wrapText="1"/>
    </xf>
    <xf numFmtId="0" fontId="0" fillId="0" borderId="10" applyAlignment="1" pivotButton="0" quotePrefix="0" xfId="0">
      <alignment vertical="center"/>
    </xf>
    <xf numFmtId="0" fontId="3" fillId="0" borderId="0" applyAlignment="1" pivotButton="0" quotePrefix="0" xfId="0">
      <alignment horizontal="left" vertical="top" wrapText="1"/>
    </xf>
    <xf numFmtId="0" fontId="0" fillId="0" borderId="10" applyAlignment="1" pivotButton="0" quotePrefix="0" xfId="0">
      <alignment vertical="center" wrapText="1"/>
    </xf>
    <xf numFmtId="0" fontId="0" fillId="0" borderId="1" applyAlignment="1" pivotButton="0" quotePrefix="0" xfId="0">
      <alignment vertical="center" wrapText="1"/>
    </xf>
    <xf numFmtId="0" fontId="0" fillId="0" borderId="1" applyAlignment="1" pivotButton="0" quotePrefix="0" xfId="0">
      <alignment horizontal="left" vertical="center" wrapText="1"/>
    </xf>
    <xf numFmtId="3" fontId="0" fillId="0" borderId="1" applyAlignment="1" pivotButton="0" quotePrefix="0" xfId="0">
      <alignment horizontal="center" vertical="center"/>
    </xf>
    <xf numFmtId="3" fontId="0" fillId="0" borderId="2" applyAlignment="1" pivotButton="0" quotePrefix="0" xfId="0">
      <alignment horizontal="center" vertical="center"/>
    </xf>
    <xf numFmtId="0" fontId="0" fillId="0" borderId="5" applyAlignment="1" pivotButton="0" quotePrefix="0" xfId="0">
      <alignment horizontal="left" vertical="center" wrapText="1"/>
    </xf>
    <xf numFmtId="10" fontId="0" fillId="0" borderId="1" applyAlignment="1" pivotButton="0" quotePrefix="0" xfId="0">
      <alignment horizontal="center" vertical="center" wrapText="1"/>
    </xf>
    <xf numFmtId="9" fontId="0" fillId="0" borderId="1" applyAlignment="1" pivotButton="0" quotePrefix="0" xfId="0">
      <alignment horizontal="center" vertical="center" wrapText="1"/>
    </xf>
    <xf numFmtId="0" fontId="0" fillId="2" borderId="1" applyAlignment="1" pivotButton="0" quotePrefix="0" xfId="0">
      <alignment vertical="center"/>
    </xf>
    <xf numFmtId="0" fontId="0" fillId="2" borderId="1" applyAlignment="1" pivotButton="0" quotePrefix="0" xfId="0">
      <alignment horizontal="left" wrapText="1"/>
    </xf>
    <xf numFmtId="0" fontId="0" fillId="2" borderId="1" applyAlignment="1" pivotButton="0" quotePrefix="0" xfId="0">
      <alignment horizontal="center" vertical="center"/>
    </xf>
    <xf numFmtId="0" fontId="9" fillId="0" borderId="1" applyAlignment="1" pivotButton="0" quotePrefix="0" xfId="0">
      <alignment horizontal="center" vertical="top" wrapText="1"/>
    </xf>
    <xf numFmtId="0" fontId="8" fillId="0" borderId="1" applyAlignment="1" pivotButton="0" quotePrefix="0" xfId="0">
      <alignment wrapText="1"/>
    </xf>
    <xf numFmtId="0" fontId="2" fillId="0" borderId="1" applyAlignment="1" pivotButton="0" quotePrefix="0" xfId="0">
      <alignment horizontal="center"/>
    </xf>
    <xf numFmtId="0" fontId="2" fillId="0" borderId="2" applyAlignment="1" pivotButton="0" quotePrefix="0" xfId="0">
      <alignment horizontal="center"/>
    </xf>
    <xf numFmtId="0" fontId="2" fillId="0" borderId="7" applyAlignment="1" pivotButton="0" quotePrefix="0" xfId="0">
      <alignment horizontal="center"/>
    </xf>
    <xf numFmtId="0" fontId="0" fillId="0" borderId="10" applyAlignment="1" pivotButton="0" quotePrefix="0" xfId="0">
      <alignment horizontal="center" vertical="center"/>
    </xf>
    <xf numFmtId="0" fontId="0" fillId="0" borderId="5" applyAlignment="1" pivotButton="0" quotePrefix="0" xfId="0">
      <alignment horizontal="center" vertical="center" wrapText="1"/>
    </xf>
    <xf numFmtId="0" fontId="12" fillId="0" borderId="1" applyAlignment="1" pivotButton="0" quotePrefix="0" xfId="0">
      <alignment wrapText="1"/>
    </xf>
    <xf numFmtId="9" fontId="12" fillId="0" borderId="10" pivotButton="0" quotePrefix="0" xfId="0"/>
    <xf numFmtId="9" fontId="12" fillId="0" borderId="1" pivotButton="0" quotePrefix="0" xfId="0"/>
    <xf numFmtId="0" fontId="12" fillId="0" borderId="0" pivotButton="0" quotePrefix="0" xfId="0"/>
    <xf numFmtId="0" fontId="11" fillId="0" borderId="3" applyAlignment="1" pivotButton="0" quotePrefix="0" xfId="1">
      <alignment vertical="center"/>
    </xf>
    <xf numFmtId="0" fontId="11" fillId="0" borderId="7" applyAlignment="1" pivotButton="0" quotePrefix="0" xfId="1">
      <alignment horizontal="center" vertical="center"/>
    </xf>
    <xf numFmtId="0" fontId="12" fillId="0" borderId="1" pivotButton="0" quotePrefix="0" xfId="0"/>
    <xf numFmtId="0" fontId="0" fillId="6" borderId="1" applyAlignment="1" pivotButton="0" quotePrefix="0" xfId="0">
      <alignment horizontal="center" vertical="center"/>
    </xf>
    <xf numFmtId="0" fontId="13" fillId="0" borderId="2" applyAlignment="1" pivotButton="0" quotePrefix="0" xfId="0">
      <alignment horizontal="center" vertical="top"/>
    </xf>
    <xf numFmtId="0" fontId="14" fillId="2" borderId="7" applyAlignment="1" pivotButton="0" quotePrefix="0" xfId="1">
      <alignment horizontal="center" vertical="center"/>
    </xf>
    <xf numFmtId="0" fontId="14" fillId="0" borderId="8" applyAlignment="1" pivotButton="0" quotePrefix="0" xfId="0">
      <alignment horizontal="center" vertical="center"/>
    </xf>
    <xf numFmtId="0" fontId="14" fillId="0" borderId="9" applyAlignment="1" pivotButton="0" quotePrefix="0" xfId="0">
      <alignment horizontal="center" vertical="center"/>
    </xf>
    <xf numFmtId="0" fontId="14" fillId="2" borderId="3" applyAlignment="1" pivotButton="0" quotePrefix="0" xfId="1">
      <alignment vertical="center"/>
    </xf>
    <xf numFmtId="0" fontId="14" fillId="0" borderId="3" applyAlignment="1" pivotButton="0" quotePrefix="0" xfId="0">
      <alignment vertical="center"/>
    </xf>
    <xf numFmtId="0" fontId="8" fillId="2" borderId="7" applyAlignment="1" pivotButton="0" quotePrefix="0" xfId="0">
      <alignment horizontal="center" vertical="center" wrapText="1"/>
    </xf>
    <xf numFmtId="0" fontId="14" fillId="0" borderId="0" pivotButton="0" quotePrefix="0" xfId="0"/>
    <xf numFmtId="0" fontId="1" fillId="0" borderId="10" applyAlignment="1" pivotButton="0" quotePrefix="0" xfId="0">
      <alignment horizontal="left" vertical="center" wrapText="1"/>
    </xf>
    <xf numFmtId="0" fontId="1" fillId="0" borderId="7" applyAlignment="1" pivotButton="0" quotePrefix="0" xfId="0">
      <alignment horizontal="center" vertical="center" wrapText="1"/>
    </xf>
    <xf numFmtId="0" fontId="1" fillId="0" borderId="1" applyAlignment="1" pivotButton="0" quotePrefix="0" xfId="0">
      <alignment horizontal="left" vertical="center" wrapText="1"/>
    </xf>
    <xf numFmtId="0" fontId="1" fillId="0" borderId="1" applyAlignment="1" pivotButton="0" quotePrefix="0" xfId="0">
      <alignment wrapText="1"/>
    </xf>
    <xf numFmtId="0" fontId="1" fillId="0" borderId="1" applyAlignment="1" pivotButton="0" quotePrefix="0" xfId="0">
      <alignment vertical="center" wrapText="1"/>
    </xf>
    <xf numFmtId="0" fontId="0" fillId="5" borderId="1" applyAlignment="1" pivotButton="0" quotePrefix="0" xfId="0">
      <alignment horizontal="center" vertical="center"/>
    </xf>
    <xf numFmtId="3" fontId="0" fillId="5" borderId="1" applyAlignment="1" pivotButton="0" quotePrefix="0" xfId="0">
      <alignment horizontal="center" vertical="center"/>
    </xf>
    <xf numFmtId="0" fontId="0" fillId="0" borderId="4" applyAlignment="1" pivotButton="0" quotePrefix="0" xfId="0">
      <alignment horizontal="center" vertical="center"/>
    </xf>
    <xf numFmtId="0" fontId="0" fillId="0" borderId="0" applyAlignment="1" pivotButton="0" quotePrefix="0" xfId="0">
      <alignment horizontal="center" vertical="center"/>
    </xf>
    <xf numFmtId="0" fontId="0" fillId="3" borderId="1" applyAlignment="1" pivotButton="0" quotePrefix="0" xfId="0">
      <alignment horizontal="center" vertical="center"/>
    </xf>
    <xf numFmtId="49" fontId="0" fillId="4" borderId="2" applyAlignment="1" pivotButton="0" quotePrefix="0" xfId="0">
      <alignment horizontal="center" vertical="center"/>
    </xf>
    <xf numFmtId="49" fontId="0" fillId="4" borderId="3" applyAlignment="1" pivotButton="0" quotePrefix="0" xfId="0">
      <alignment horizontal="center" vertical="center"/>
    </xf>
    <xf numFmtId="0" fontId="0" fillId="4" borderId="2" applyAlignment="1" pivotButton="0" quotePrefix="0" xfId="0">
      <alignment horizontal="center" vertical="center"/>
    </xf>
    <xf numFmtId="0" fontId="0" fillId="4" borderId="3" applyAlignment="1" pivotButton="0" quotePrefix="0" xfId="0">
      <alignment horizontal="center" vertical="center"/>
    </xf>
    <xf numFmtId="0" fontId="0" fillId="7" borderId="2" applyAlignment="1" pivotButton="0" quotePrefix="0" xfId="0">
      <alignment horizontal="center" vertical="center"/>
    </xf>
    <xf numFmtId="0" fontId="0" fillId="7" borderId="3" applyAlignment="1" pivotButton="0" quotePrefix="0" xfId="0">
      <alignment vertical="center"/>
    </xf>
    <xf numFmtId="3" fontId="0" fillId="7" borderId="1" applyAlignment="1" pivotButton="0" quotePrefix="0" xfId="0">
      <alignment horizontal="center" vertical="center"/>
    </xf>
    <xf numFmtId="3" fontId="0" fillId="7" borderId="2" applyAlignment="1" pivotButton="0" quotePrefix="0" xfId="0">
      <alignment horizontal="center" vertical="center"/>
    </xf>
    <xf numFmtId="0" fontId="0" fillId="0" borderId="3" pivotButton="0" quotePrefix="0" xfId="0"/>
    <xf numFmtId="0" fontId="0" fillId="0" borderId="6" pivotButton="0" quotePrefix="0" xfId="0"/>
    <xf numFmtId="0" fontId="15" fillId="0" borderId="0" applyAlignment="1" pivotButton="0" quotePrefix="0" xfId="0">
      <alignment vertical="top" wrapText="1"/>
    </xf>
    <xf numFmtId="0" fontId="0" fillId="0" borderId="0" applyAlignment="1" pivotButton="0" quotePrefix="0" xfId="0">
      <alignment vertical="top" wrapText="1"/>
    </xf>
  </cellXfs>
  <cellStyles count="2">
    <cellStyle name="Normal" xfId="0" builtinId="0"/>
    <cellStyle name="Hyperlink"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CO validation update</author>
  </authors>
  <commentList>
    <comment ref="L12" authorId="0" shapeId="0">
      <text>
        <t>[AUTO-ADDED] Project reports access/productive-use beneficiary numbers but no MW value. Please add installed capacity (MW) or confirm not applicable.</t>
      </text>
    </comment>
    <comment ref="M12" authorId="0" shapeId="0">
      <text>
        <t>[AUTO-ADDED] Project reports access/productive-use beneficiary numbers but no MW value. Please add installed capacity (MW) or confirm not applicable.</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o.pims.undp.org/project/view?id=5669" TargetMode="External" Id="rId1"/><Relationship Type="http://schemas.openxmlformats.org/officeDocument/2006/relationships/hyperlink" Target="https://www.undp.org/samoa/projects/cap-it-project" TargetMode="External" Id="rId2"/><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Z17"/>
  <sheetViews>
    <sheetView tabSelected="1" workbookViewId="0">
      <pane xSplit="2" ySplit="1" topLeftCell="F6" activePane="bottomRight" state="frozen"/>
      <selection pane="topRight" activeCell="A1" sqref="A1"/>
      <selection pane="bottomLeft" activeCell="A1" sqref="A1"/>
      <selection pane="bottomRight" activeCell="I7" sqref="I7"/>
    </sheetView>
  </sheetViews>
  <sheetFormatPr baseColWidth="8" defaultRowHeight="14.25"/>
  <cols>
    <col width="9.86328125" bestFit="1" customWidth="1" min="1" max="1"/>
    <col width="20.73046875" customWidth="1" min="2" max="3"/>
    <col width="20.73046875" customWidth="1" style="86" min="4" max="4"/>
    <col width="16.73046875" customWidth="1" min="5" max="5"/>
    <col width="16.73046875" bestFit="1" customWidth="1" min="6" max="6"/>
    <col width="16.73046875" customWidth="1" min="7" max="7"/>
    <col width="16.73046875" customWidth="1" min="8" max="8"/>
    <col width="16.73046875" bestFit="1" customWidth="1" min="9" max="9"/>
    <col width="52.265625" customWidth="1" min="10" max="10"/>
    <col width="18" bestFit="1" customWidth="1" min="12" max="12"/>
    <col width="12.86328125" bestFit="1" customWidth="1" min="13" max="13"/>
    <col width="14.3984375" bestFit="1" customWidth="1" min="15" max="15"/>
    <col width="18.86328125" customWidth="1" min="16" max="16"/>
    <col width="16.59765625" bestFit="1" customWidth="1" min="18" max="18"/>
    <col width="18.1328125" bestFit="1" customWidth="1" min="19" max="19"/>
    <col width="13.3984375" bestFit="1" customWidth="1" min="20" max="20"/>
    <col width="18.265625" customWidth="1" min="22" max="22"/>
    <col width="20.59765625" customWidth="1" min="23" max="23"/>
  </cols>
  <sheetData>
    <row r="1">
      <c r="A1" s="33" t="inlineStr">
        <is>
          <t>Project ID</t>
        </is>
      </c>
      <c r="B1" s="33" t="inlineStr">
        <is>
          <t>Title</t>
        </is>
      </c>
      <c r="C1" s="33" t="inlineStr">
        <is>
          <t>Link</t>
        </is>
      </c>
      <c r="D1" s="79" t="inlineStr">
        <is>
          <t>Country</t>
        </is>
      </c>
      <c r="E1" s="33" t="inlineStr">
        <is>
          <t>Budget</t>
        </is>
      </c>
      <c r="F1" s="33" t="inlineStr">
        <is>
          <t>Start Year</t>
        </is>
      </c>
      <c r="G1" s="33" t="inlineStr">
        <is>
          <t>End Year</t>
        </is>
      </c>
      <c r="H1" s="33" t="inlineStr">
        <is>
          <t>Status</t>
        </is>
      </c>
      <c r="I1" s="33" t="inlineStr">
        <is>
          <t>VF or Non-VF</t>
        </is>
      </c>
      <c r="J1" s="1" t="inlineStr">
        <is>
          <t>Beneficiary Category</t>
        </is>
      </c>
      <c r="K1" s="1" t="inlineStr">
        <is>
          <t>Indicator</t>
        </is>
      </c>
      <c r="L1" s="1" t="inlineStr">
        <is>
          <t>Baseline</t>
        </is>
      </c>
      <c r="M1" s="1" t="inlineStr">
        <is>
          <t>Target</t>
        </is>
      </c>
      <c r="N1" s="1" t="inlineStr">
        <is>
          <t>Notes</t>
        </is>
      </c>
      <c r="O1" s="23" t="inlineStr">
        <is>
          <t>Donors</t>
        </is>
      </c>
      <c r="P1" s="34" t="inlineStr">
        <is>
          <t>Gender (% female)</t>
        </is>
      </c>
      <c r="Q1" s="67" t="inlineStr">
        <is>
          <t>Tag</t>
        </is>
      </c>
      <c r="R1" s="66" t="inlineStr">
        <is>
          <t>SEH Taxonomy</t>
        </is>
      </c>
      <c r="S1" s="66" t="inlineStr">
        <is>
          <t>RISE Taxonomy</t>
        </is>
      </c>
      <c r="T1" s="67" t="inlineStr">
        <is>
          <t>Flagship</t>
        </is>
      </c>
      <c r="U1" s="67" t="inlineStr">
        <is>
          <t>Indirect Category</t>
        </is>
      </c>
      <c r="V1" s="68" t="inlineStr">
        <is>
          <t>Indirect Taxonomy</t>
        </is>
      </c>
      <c r="W1" s="34" t="inlineStr">
        <is>
          <t>Technology</t>
        </is>
      </c>
      <c r="X1" s="68" t="inlineStr">
        <is>
          <t>Policy or Regulatory Framework</t>
        </is>
      </c>
      <c r="Y1" s="34" t="inlineStr">
        <is>
          <t>Policy Population</t>
        </is>
      </c>
      <c r="Z1" t="inlineStr">
        <is>
          <t>Project Document</t>
        </is>
      </c>
    </row>
    <row r="2" ht="71.25" customHeight="1">
      <c r="A2" s="35" t="n">
        <v>5669</v>
      </c>
      <c r="B2" s="35" t="inlineStr">
        <is>
          <t>IMPRESS</t>
        </is>
      </c>
      <c r="C2" s="76" t="inlineStr">
        <is>
          <t>https://co.pims.undp.org/project/view?id=5669</t>
        </is>
      </c>
      <c r="D2" s="80" t="inlineStr">
        <is>
          <t>Samoa</t>
        </is>
      </c>
      <c r="E2" s="36" t="n">
        <v>6075828</v>
      </c>
      <c r="F2" s="101" t="n"/>
      <c r="G2" s="101" t="n"/>
      <c r="H2" s="101" t="n"/>
      <c r="I2" s="36" t="inlineStr">
        <is>
          <t>VF</t>
        </is>
      </c>
      <c r="J2" s="37" t="inlineStr">
        <is>
          <t>Energy (MW added)</t>
        </is>
      </c>
      <c r="K2" s="38" t="inlineStr">
        <is>
          <t>Cumulative electricity generation using RE resources, MW</t>
        </is>
      </c>
      <c r="L2" s="27" t="inlineStr">
        <is>
          <t>82 target</t>
        </is>
      </c>
      <c r="M2" s="78" t="inlineStr">
        <is>
          <t>132 target</t>
        </is>
      </c>
      <c r="N2" s="39" t="inlineStr">
        <is>
          <t>Source of Verification: 
Project activity report 
Project M&amp;E reports
EPC annual report
Samoa Energy Review Reports</t>
        </is>
      </c>
      <c r="O2" s="77" t="inlineStr">
        <is>
          <t>GEF</t>
        </is>
      </c>
      <c r="P2" s="73" t="n">
        <v>0.5</v>
      </c>
      <c r="Q2" s="27" t="n"/>
      <c r="R2" s="70" t="inlineStr">
        <is>
          <t>Close the gap on energy access</t>
        </is>
      </c>
      <c r="S2" s="27" t="n"/>
      <c r="T2" s="27" t="n"/>
      <c r="U2" s="27" t="n"/>
      <c r="V2" s="27" t="n"/>
      <c r="W2" s="28" t="inlineStr">
        <is>
          <t>Some Sources</t>
        </is>
      </c>
      <c r="X2" s="27" t="n"/>
      <c r="Y2" s="28" t="n"/>
      <c r="Z2" t="inlineStr">
        <is>
          <t>yes</t>
        </is>
      </c>
    </row>
    <row r="3" ht="71.25" customHeight="1">
      <c r="A3" s="40" t="n"/>
      <c r="B3" s="40" t="n"/>
      <c r="C3" s="40" t="n"/>
      <c r="D3" s="81" t="n"/>
      <c r="E3" s="41" t="n"/>
      <c r="F3" s="41" t="n"/>
      <c r="G3" s="41" t="n"/>
      <c r="H3" s="41" t="n"/>
      <c r="I3" s="41" t="n"/>
      <c r="J3" s="37" t="inlineStr">
        <is>
          <t>Electricity Access</t>
        </is>
      </c>
      <c r="K3" s="38" t="inlineStr">
        <is>
          <t>Cumulative number of households benefitting from RE-based electricity generation and EE technology applications.</t>
        </is>
      </c>
      <c r="L3" s="27" t="n">
        <v>0</v>
      </c>
      <c r="M3" s="42" t="inlineStr">
        <is>
          <t>16440 HH</t>
        </is>
      </c>
      <c r="N3" s="39" t="inlineStr">
        <is>
          <t>Source of Verification: 
Project activity report 
Project M&amp;E reports
EPC annual report
Samoa Energy Review Reports</t>
        </is>
      </c>
      <c r="O3" s="77" t="inlineStr">
        <is>
          <t>GEF</t>
        </is>
      </c>
      <c r="P3" s="73" t="n">
        <v>0.5</v>
      </c>
      <c r="Q3" s="27" t="n"/>
      <c r="R3" s="70" t="inlineStr">
        <is>
          <t>Close the gap on energy access</t>
        </is>
      </c>
      <c r="S3" s="27" t="n"/>
      <c r="T3" s="27" t="n"/>
      <c r="U3" s="27" t="n"/>
      <c r="V3" s="27" t="n"/>
      <c r="W3" s="28" t="inlineStr">
        <is>
          <t>Some Sources</t>
        </is>
      </c>
      <c r="X3" s="27" t="n"/>
      <c r="Y3" s="28" t="n"/>
    </row>
    <row r="4" ht="85.5" customHeight="1">
      <c r="A4" s="40" t="n"/>
      <c r="B4" s="40" t="n"/>
      <c r="C4" s="40" t="n"/>
      <c r="D4" s="81" t="n"/>
      <c r="E4" s="41" t="n"/>
      <c r="F4" s="41" t="n"/>
      <c r="G4" s="41" t="n"/>
      <c r="H4" s="41" t="n"/>
      <c r="I4" s="41" t="n"/>
      <c r="J4" s="37" t="inlineStr">
        <is>
          <t>Capacity Building Training</t>
        </is>
      </c>
      <c r="K4" s="38" t="inlineStr">
        <is>
          <t>Number of trained local authorities, (i.e., local government officials) that are capable of developing, planning and implementing RE, DSM/EE and PURE/SURE projects.</t>
        </is>
      </c>
      <c r="L4" s="27" t="inlineStr">
        <is>
          <t>NA</t>
        </is>
      </c>
      <c r="M4" s="27" t="n">
        <v>20</v>
      </c>
      <c r="N4" s="39" t="inlineStr">
        <is>
          <t>Source of verification: 
Awareness survey report
Training evaluation reports
Project M&amp;E report</t>
        </is>
      </c>
      <c r="O4" s="77" t="inlineStr">
        <is>
          <t>GEF</t>
        </is>
      </c>
      <c r="P4" s="73" t="n">
        <v>0.3</v>
      </c>
      <c r="Q4" s="27" t="n"/>
      <c r="R4" s="70" t="inlineStr">
        <is>
          <t>Close the gap on energy access</t>
        </is>
      </c>
      <c r="S4" s="27" t="n"/>
      <c r="T4" s="27" t="n"/>
      <c r="U4" s="27" t="n"/>
      <c r="V4" s="27" t="n"/>
      <c r="W4" s="28" t="n"/>
      <c r="X4" s="27" t="n"/>
      <c r="Y4" s="28" t="n"/>
    </row>
    <row r="5" ht="57" customHeight="1">
      <c r="A5" s="40" t="n"/>
      <c r="B5" s="40" t="n"/>
      <c r="C5" s="40" t="n"/>
      <c r="D5" s="81" t="n"/>
      <c r="E5" s="41" t="n"/>
      <c r="F5" s="41" t="n"/>
      <c r="G5" s="41" t="n"/>
      <c r="H5" s="41" t="n"/>
      <c r="I5" s="41" t="n"/>
      <c r="J5" s="37" t="inlineStr">
        <is>
          <t>Policy or Regulatory Framework</t>
        </is>
      </c>
      <c r="K5" s="38" t="inlineStr">
        <is>
          <t>Number of approved and enforced policies that support and incentivize investments in RE development and utilization</t>
        </is>
      </c>
      <c r="L5" s="27" t="n">
        <v>0</v>
      </c>
      <c r="M5" s="27" t="n">
        <v>1</v>
      </c>
      <c r="N5" s="39" t="n"/>
      <c r="O5" s="77" t="inlineStr">
        <is>
          <t>GEF</t>
        </is>
      </c>
      <c r="P5" s="26" t="n"/>
      <c r="Q5" s="27" t="n"/>
      <c r="R5" s="70" t="inlineStr">
        <is>
          <t>Close the gap on energy access</t>
        </is>
      </c>
      <c r="S5" s="27" t="n"/>
      <c r="T5" s="27" t="n"/>
      <c r="U5" s="27" t="n"/>
      <c r="V5" s="27" t="n"/>
      <c r="W5" s="28" t="n"/>
      <c r="X5" s="27" t="n"/>
      <c r="Y5" s="28" t="n"/>
    </row>
    <row r="6" ht="85.5" customHeight="1">
      <c r="A6" s="43" t="n"/>
      <c r="B6" s="43" t="n"/>
      <c r="C6" s="43" t="n"/>
      <c r="D6" s="82" t="n"/>
      <c r="E6" s="44" t="n"/>
      <c r="F6" s="44" t="n"/>
      <c r="G6" s="44" t="n"/>
      <c r="H6" s="44" t="n"/>
      <c r="I6" s="44" t="n"/>
      <c r="J6" s="37" t="inlineStr">
        <is>
          <t>Policy or Regulatory Framework</t>
        </is>
      </c>
      <c r="K6" s="45" t="inlineStr">
        <is>
          <t>Number of approved and enforced regulations that support EE implementation in Samoa under the Energy Bill</t>
        </is>
      </c>
      <c r="L6" s="42" t="n">
        <v>0</v>
      </c>
      <c r="M6" s="42" t="n">
        <v>3</v>
      </c>
      <c r="N6" s="87" t="inlineStr">
        <is>
          <t>Source of Verification: 
Project activity report 
Project M&amp;E reports
EPC annual report
Samoa Energy Review Reports
Updated data directly on website</t>
        </is>
      </c>
      <c r="O6" s="77" t="inlineStr">
        <is>
          <t>GEF</t>
        </is>
      </c>
      <c r="P6" s="26" t="n"/>
      <c r="Q6" s="27" t="n"/>
      <c r="R6" s="70" t="inlineStr">
        <is>
          <t>Close the gap on energy access</t>
        </is>
      </c>
      <c r="S6" s="27" t="n"/>
      <c r="T6" s="27" t="n"/>
      <c r="U6" s="27" t="n"/>
      <c r="V6" s="27" t="n"/>
      <c r="W6" s="28" t="n"/>
      <c r="X6" s="27" t="n"/>
      <c r="Y6" s="28" t="n"/>
    </row>
    <row r="7" ht="114" customHeight="1">
      <c r="A7" s="46" t="inlineStr">
        <is>
          <t>01000418</t>
        </is>
      </c>
      <c r="B7" s="47" t="inlineStr">
        <is>
          <t>CAP-IT</t>
        </is>
      </c>
      <c r="C7" s="75" t="inlineStr">
        <is>
          <t>https://www.undp.org/samoa/projects/cap-it-project</t>
        </is>
      </c>
      <c r="D7" s="83" t="inlineStr">
        <is>
          <t>Samoa</t>
        </is>
      </c>
      <c r="E7" s="47" t="n">
        <v>15175755</v>
      </c>
      <c r="F7" s="102" t="n"/>
      <c r="G7" s="102" t="n"/>
      <c r="H7" s="102" t="n"/>
      <c r="I7" s="47" t="inlineStr">
        <is>
          <t>Non-VF</t>
        </is>
      </c>
      <c r="J7" s="28" t="inlineStr">
        <is>
          <t>Transportation and E-mobility Services</t>
        </is>
      </c>
      <c r="K7" s="38" t="inlineStr">
        <is>
          <t>Beneficiaries</t>
        </is>
      </c>
      <c r="L7" s="27" t="inlineStr">
        <is>
          <t>a) 10 (2021)</t>
        </is>
      </c>
      <c r="M7" s="42" t="n">
        <v>76</v>
      </c>
      <c r="N7" s="48" t="inlineStr">
        <is>
          <t>Number of electric vehicles procured for public service delivery, disaggregated by type/service:
 a) cars 
b) vans
c) pick-ups
d) utility trucks
e) 5 e-vessels with electric outboard motors
76 vehicles, multiplied by 5 to convert to capacity..</t>
        </is>
      </c>
      <c r="O7" s="71" t="inlineStr">
        <is>
          <t>Government of Japan</t>
        </is>
      </c>
      <c r="P7" s="72" t="n">
        <v>0.5</v>
      </c>
      <c r="Q7" s="27" t="n"/>
      <c r="R7" s="70" t="inlineStr">
        <is>
          <t>Close the gap on energy access</t>
        </is>
      </c>
      <c r="S7" s="27" t="n"/>
      <c r="T7" s="27" t="n"/>
      <c r="U7" s="27" t="n"/>
      <c r="V7" s="27" t="n"/>
      <c r="W7" s="28" t="n"/>
      <c r="X7" s="27" t="n"/>
      <c r="Y7" s="28" t="n"/>
      <c r="Z7" s="74" t="inlineStr">
        <is>
          <t>yes</t>
        </is>
      </c>
    </row>
    <row r="8" ht="71.25" customHeight="1">
      <c r="A8" s="46" t="n"/>
      <c r="B8" s="47" t="n"/>
      <c r="C8" s="47" t="n"/>
      <c r="D8" s="84" t="n"/>
      <c r="E8" s="47" t="n"/>
      <c r="F8" s="47" t="n"/>
      <c r="G8" s="47" t="n"/>
      <c r="H8" s="47" t="n"/>
      <c r="I8" s="47" t="n"/>
      <c r="J8" s="61" t="inlineStr">
        <is>
          <t>Capacity Building Training</t>
        </is>
      </c>
      <c r="K8" s="62" t="inlineStr">
        <is>
          <t>Number of government ministries involved in training and capacity building interventions for low-carbon energy activites.</t>
        </is>
      </c>
      <c r="L8" s="63" t="inlineStr">
        <is>
          <t>NA</t>
        </is>
      </c>
      <c r="M8" s="63" t="n">
        <v>4</v>
      </c>
      <c r="N8" s="51" t="n"/>
      <c r="O8" s="71" t="inlineStr">
        <is>
          <t>Government of Japan</t>
        </is>
      </c>
      <c r="P8" s="72" t="n">
        <v>0.5</v>
      </c>
      <c r="Q8" s="27" t="n"/>
      <c r="R8" s="70" t="inlineStr">
        <is>
          <t>Close the gap on energy access</t>
        </is>
      </c>
      <c r="S8" s="27" t="n"/>
      <c r="T8" s="27" t="n"/>
      <c r="U8" s="27" t="n"/>
      <c r="V8" s="27" t="n"/>
      <c r="W8" s="28" t="n"/>
      <c r="X8" s="27" t="n"/>
      <c r="Y8" s="28" t="n"/>
    </row>
    <row r="9" ht="57" customHeight="1">
      <c r="A9" s="46" t="n"/>
      <c r="B9" s="47" t="n"/>
      <c r="C9" s="47" t="n"/>
      <c r="D9" s="84" t="n"/>
      <c r="E9" s="47" t="n"/>
      <c r="F9" s="47" t="n"/>
      <c r="G9" s="47" t="n"/>
      <c r="H9" s="47" t="n"/>
      <c r="I9" s="47" t="n"/>
      <c r="J9" s="28" t="inlineStr">
        <is>
          <t>Other</t>
        </is>
      </c>
      <c r="K9" s="52" t="inlineStr">
        <is>
          <t>Number of articles/ communication items per year that specifically refer to low-carbon energy transition.</t>
        </is>
      </c>
      <c r="L9" s="27" t="inlineStr">
        <is>
          <t>NA</t>
        </is>
      </c>
      <c r="M9" s="27" t="n">
        <v>4</v>
      </c>
      <c r="N9" s="53" t="inlineStr">
        <is>
          <t>Communication may include not only mass media coverage, but also e-bulletins, mailings, and other direct outreach to recipients.</t>
        </is>
      </c>
      <c r="O9" s="71" t="inlineStr">
        <is>
          <t>Government of Japan</t>
        </is>
      </c>
      <c r="P9" s="72" t="n">
        <v>0.5</v>
      </c>
      <c r="Q9" s="27" t="n"/>
      <c r="R9" s="70" t="inlineStr">
        <is>
          <t>Close the gap on energy access</t>
        </is>
      </c>
      <c r="S9" s="27" t="n"/>
      <c r="T9" s="27" t="n"/>
      <c r="U9" s="27" t="n"/>
      <c r="V9" s="27" t="n"/>
      <c r="W9" s="28" t="n"/>
      <c r="X9" s="27" t="n"/>
      <c r="Y9" s="28" t="n"/>
    </row>
    <row r="10" ht="85.5" customHeight="1">
      <c r="A10" s="46" t="n"/>
      <c r="B10" s="47" t="n"/>
      <c r="C10" s="47" t="n"/>
      <c r="D10" s="84" t="n"/>
      <c r="E10" s="47" t="n"/>
      <c r="F10" s="47" t="n"/>
      <c r="G10" s="47" t="n"/>
      <c r="H10" s="47" t="n"/>
      <c r="I10" s="47" t="n"/>
      <c r="J10" s="54" t="inlineStr">
        <is>
          <t>Policy or Regulatory Framework</t>
        </is>
      </c>
      <c r="K10" s="50" t="inlineStr">
        <is>
          <t>Number of gender-sensitive planning and policy instruments developed to support Samoa's transition to low-carbon transport disaggregated by NDC sub-sector.</t>
        </is>
      </c>
      <c r="L10" s="27" t="n">
        <v>2</v>
      </c>
      <c r="M10" s="27" t="n">
        <v>4</v>
      </c>
      <c r="N10" s="39" t="inlineStr">
        <is>
          <t>Means of verification:                                                                         - Transport Sector Plan 2013-2018                                                - Samoa NDC Impementation Roadmap and Investment Plan    - Updated legislation and policy framework                                 - Decarbonization Strategy and Sector Plans (Land/Maritime)</t>
        </is>
      </c>
      <c r="O10" s="71" t="inlineStr">
        <is>
          <t>Government of Japan</t>
        </is>
      </c>
      <c r="P10" s="32" t="n">
        <v>50</v>
      </c>
      <c r="Q10" s="27" t="n"/>
      <c r="R10" s="70" t="inlineStr">
        <is>
          <t>Close the gap on energy access</t>
        </is>
      </c>
      <c r="S10" s="27" t="inlineStr">
        <is>
          <t>Renewable Energy</t>
        </is>
      </c>
      <c r="T10" s="27" t="n"/>
      <c r="U10" s="27" t="inlineStr">
        <is>
          <t>NDC Support</t>
        </is>
      </c>
      <c r="V10" s="27" t="inlineStr">
        <is>
          <t>Decarbonization</t>
        </is>
      </c>
      <c r="W10" s="28" t="n"/>
      <c r="X10" s="27" t="inlineStr">
        <is>
          <t>National</t>
        </is>
      </c>
      <c r="Y10" s="28" t="n"/>
    </row>
    <row r="11" ht="71.25" customHeight="1">
      <c r="A11" s="46" t="n"/>
      <c r="B11" s="47" t="n"/>
      <c r="C11" s="47" t="n"/>
      <c r="D11" s="84" t="n"/>
      <c r="E11" s="47" t="n"/>
      <c r="F11" s="47" t="n"/>
      <c r="G11" s="47" t="n"/>
      <c r="H11" s="47" t="n"/>
      <c r="I11" s="47" t="n"/>
      <c r="J11" s="28" t="inlineStr">
        <is>
          <t>Other Energy Services</t>
        </is>
      </c>
      <c r="K11" s="55" t="inlineStr">
        <is>
          <t>Direct Project Beneficiaries</t>
        </is>
      </c>
      <c r="L11" s="56" t="n">
        <v>0</v>
      </c>
      <c r="M11" s="56" t="n">
        <v>200000</v>
      </c>
      <c r="N11" s="39" t="inlineStr">
        <is>
          <t>Direct project beneficiaries from enhanced policy and regulatory frameworks, awareness and access to information regarding a low-carbon transition in land/maritime transport sectors, improved e-vehicle charging network, inclusice financing mechanisms etc.</t>
        </is>
      </c>
      <c r="O11" s="71" t="inlineStr">
        <is>
          <t>Government of Japan</t>
        </is>
      </c>
      <c r="P11" s="32" t="n">
        <v>50</v>
      </c>
      <c r="Q11" s="27" t="n"/>
      <c r="R11" s="70" t="inlineStr">
        <is>
          <t>Close the gap on energy access</t>
        </is>
      </c>
      <c r="S11" s="27" t="n"/>
      <c r="T11" s="27" t="n"/>
      <c r="U11" s="27" t="n"/>
      <c r="V11" s="27" t="n"/>
      <c r="W11" s="28" t="n"/>
      <c r="X11" s="27" t="n"/>
      <c r="Y11" s="28" t="n"/>
    </row>
    <row r="12" ht="71.25" customHeight="1">
      <c r="A12" s="46" t="n"/>
      <c r="B12" s="47" t="n"/>
      <c r="C12" s="47" t="n"/>
      <c r="D12" s="84" t="n"/>
      <c r="E12" s="47" t="n"/>
      <c r="F12" s="47" t="n"/>
      <c r="G12" s="47" t="n"/>
      <c r="H12" s="47" t="n"/>
      <c r="I12" s="47" t="n"/>
      <c r="J12" s="28" t="inlineStr">
        <is>
          <t>Energy (MW added)</t>
        </is>
      </c>
      <c r="K12" s="55" t="inlineStr">
        <is>
          <t>Installed capacity in MW for access/productive-use outputs</t>
        </is>
      </c>
      <c r="L12" s="103" t="n">
        <v>0</v>
      </c>
      <c r="M12" s="103" t="n"/>
      <c r="N12" s="39" t="n"/>
      <c r="O12" s="71" t="n"/>
      <c r="P12" s="32" t="n"/>
      <c r="Q12" s="27" t="n"/>
      <c r="R12" s="70" t="n"/>
      <c r="S12" s="27" t="n"/>
      <c r="T12" s="27" t="n"/>
      <c r="U12" s="27" t="n"/>
      <c r="V12" s="27" t="n"/>
      <c r="W12" s="28" t="n"/>
      <c r="X12" s="27" t="n"/>
      <c r="Y12" s="28" t="n"/>
    </row>
    <row r="13" ht="99.75" customHeight="1">
      <c r="A13" s="35" t="n">
        <v>6037</v>
      </c>
      <c r="B13" s="35" t="inlineStr">
        <is>
          <t>AREAN</t>
        </is>
      </c>
      <c r="C13" s="88" t="inlineStr">
        <is>
          <t>PIMS+
https://www.thegef.org/projects-operations/projects/9752</t>
        </is>
      </c>
      <c r="D13" s="85" t="inlineStr">
        <is>
          <t>Niue</t>
        </is>
      </c>
      <c r="E13" s="57" t="n">
        <v>3321563</v>
      </c>
      <c r="F13" s="104" t="n"/>
      <c r="G13" s="104" t="n"/>
      <c r="H13" s="104" t="n"/>
      <c r="I13" s="57" t="inlineStr">
        <is>
          <t>VF</t>
        </is>
      </c>
      <c r="J13" s="58" t="inlineStr">
        <is>
          <t>Energy (MW added)</t>
        </is>
      </c>
      <c r="K13" s="55" t="inlineStr">
        <is>
          <t>% RE electricity production</t>
        </is>
      </c>
      <c r="L13" s="59" t="n">
        <v>0.018</v>
      </c>
      <c r="M13" s="60" t="n">
        <v>0.73</v>
      </c>
      <c r="N13" s="39" t="inlineStr">
        <is>
          <t>Means of verification: 
DoU-MoI
Treasury Department
Project M&amp;E and activity reports
Trade and commerce reports</t>
        </is>
      </c>
      <c r="O13" s="26" t="inlineStr">
        <is>
          <t>GEF</t>
        </is>
      </c>
      <c r="P13" s="49" t="n"/>
      <c r="Q13" s="27" t="n"/>
      <c r="R13" s="70" t="inlineStr">
        <is>
          <t>Close the gap on energy access</t>
        </is>
      </c>
      <c r="S13" s="27" t="n"/>
      <c r="T13" s="27" t="n"/>
      <c r="U13" s="27" t="n"/>
      <c r="V13" s="27" t="n"/>
      <c r="W13" s="28" t="n"/>
      <c r="X13" s="27" t="n"/>
      <c r="Y13" s="28" t="n"/>
      <c r="Z13" t="inlineStr">
        <is>
          <t>yes</t>
        </is>
      </c>
    </row>
    <row r="14" ht="57" customHeight="1">
      <c r="A14" s="40" t="n"/>
      <c r="B14" s="40" t="n"/>
      <c r="C14" s="40" t="n"/>
      <c r="D14" s="81" t="n"/>
      <c r="E14" s="41" t="n"/>
      <c r="F14" s="41" t="n"/>
      <c r="G14" s="41" t="n"/>
      <c r="H14" s="41" t="n"/>
      <c r="I14" s="41" t="n"/>
      <c r="J14" s="58" t="inlineStr">
        <is>
          <t>Policy or Regulatory Framework</t>
        </is>
      </c>
      <c r="K14" s="55" t="inlineStr">
        <is>
          <t xml:space="preserve">No. of approved and enforced RE and EC&amp;EE policies, and associated guidance and implementing rules and regulations
</t>
        </is>
      </c>
      <c r="L14" s="42" t="n">
        <v>0</v>
      </c>
      <c r="M14" s="42" t="n">
        <v>2</v>
      </c>
      <c r="N14" s="39" t="inlineStr">
        <is>
          <t>Means of verification:
Documents on RE and EC&amp;EE policies, regulations and energy standards
Annual reports from DoU-MoI
NPC
Bulk Fuels Project M&amp;E and activity reports</t>
        </is>
      </c>
      <c r="O14" s="26" t="inlineStr">
        <is>
          <t>GEF</t>
        </is>
      </c>
      <c r="P14" s="49" t="n"/>
      <c r="Q14" s="27" t="n"/>
      <c r="R14" s="70" t="inlineStr">
        <is>
          <t>Close the gap on energy access</t>
        </is>
      </c>
      <c r="S14" s="27" t="inlineStr">
        <is>
          <t>Renewable Energy</t>
        </is>
      </c>
      <c r="T14" s="27" t="n"/>
      <c r="U14" s="27" t="inlineStr">
        <is>
          <t>National Strategy</t>
        </is>
      </c>
      <c r="V14" s="27" t="inlineStr">
        <is>
          <t>Renewable Energy</t>
        </is>
      </c>
      <c r="W14" s="28" t="n"/>
      <c r="X14" s="27" t="inlineStr">
        <is>
          <t>National</t>
        </is>
      </c>
      <c r="Y14" s="28" t="n"/>
    </row>
    <row r="15" ht="99.75" customHeight="1">
      <c r="A15" s="40" t="n"/>
      <c r="B15" s="40" t="n"/>
      <c r="C15" s="40" t="n"/>
      <c r="D15" s="81" t="n"/>
      <c r="E15" s="41" t="n"/>
      <c r="F15" s="41" t="n"/>
      <c r="G15" s="41" t="n"/>
      <c r="H15" s="41" t="n"/>
      <c r="I15" s="41" t="n"/>
      <c r="J15" s="58" t="inlineStr">
        <is>
          <t>Policy or Regulatory Framework</t>
        </is>
      </c>
      <c r="K15" s="55" t="inlineStr">
        <is>
          <t>No. of formulated and approved policies and regulations incorporated in the country's Energy Act</t>
        </is>
      </c>
      <c r="L15" s="42" t="n">
        <v>0</v>
      </c>
      <c r="M15" s="42" t="n">
        <v>2</v>
      </c>
      <c r="N15" s="39" t="n"/>
      <c r="O15" s="26" t="inlineStr">
        <is>
          <t>GEF</t>
        </is>
      </c>
      <c r="P15" s="49" t="n"/>
      <c r="Q15" s="27" t="n"/>
      <c r="R15" s="70" t="inlineStr">
        <is>
          <t>Close the gap on energy access</t>
        </is>
      </c>
      <c r="S15" s="27" t="inlineStr">
        <is>
          <t>Renewable Energy</t>
        </is>
      </c>
      <c r="T15" s="27" t="n"/>
      <c r="U15" s="27" t="inlineStr">
        <is>
          <t>Legal Framework</t>
        </is>
      </c>
      <c r="V15" s="27" t="inlineStr">
        <is>
          <t>Electricity Access</t>
        </is>
      </c>
      <c r="W15" s="28" t="n"/>
      <c r="X15" s="27" t="inlineStr">
        <is>
          <t>National</t>
        </is>
      </c>
      <c r="Y15" s="28" t="n"/>
    </row>
    <row r="16" ht="99.75" customHeight="1">
      <c r="A16" s="40" t="n"/>
      <c r="B16" s="40" t="n"/>
      <c r="C16" s="40" t="n"/>
      <c r="D16" s="81" t="n"/>
      <c r="E16" s="41" t="n"/>
      <c r="F16" s="41" t="n"/>
      <c r="G16" s="41" t="n"/>
      <c r="H16" s="41" t="n"/>
      <c r="I16" s="41" t="n"/>
      <c r="J16" s="58" t="inlineStr">
        <is>
          <t>Other Energy Services</t>
        </is>
      </c>
      <c r="K16" s="55" t="inlineStr">
        <is>
          <t># of beneficiaries
No. of new jobs created in the application of sustainable energy and LE technologies and techniques in the energy supply and energy  end-use sectors in Niue</t>
        </is>
      </c>
      <c r="L16" s="42" t="n">
        <v>0</v>
      </c>
      <c r="M16" s="42" t="n">
        <v>160</v>
      </c>
      <c r="N16" s="39" t="inlineStr">
        <is>
          <t>Means of verification: 
DoU-MoI
Treasury Department
Project M&amp;E and activity reports
Trade and commerce reports</t>
        </is>
      </c>
      <c r="O16" s="26" t="inlineStr">
        <is>
          <t>GEF</t>
        </is>
      </c>
      <c r="P16" s="49" t="n">
        <v>25</v>
      </c>
      <c r="Q16" s="27" t="n"/>
      <c r="R16" s="70" t="inlineStr">
        <is>
          <t>Close the gap on energy access</t>
        </is>
      </c>
      <c r="S16" s="27" t="inlineStr">
        <is>
          <t>Renewable Energy</t>
        </is>
      </c>
      <c r="T16" s="27" t="n"/>
      <c r="U16" s="27" t="n"/>
      <c r="V16" s="27" t="n"/>
      <c r="W16" s="28" t="n"/>
      <c r="X16" s="27" t="n"/>
      <c r="Y16" s="28" t="n"/>
    </row>
    <row r="17">
      <c r="A17" s="43" t="n"/>
      <c r="B17" s="43" t="n"/>
      <c r="C17" s="43" t="n"/>
      <c r="D17" s="82" t="n"/>
      <c r="E17" s="44" t="n"/>
      <c r="F17" s="44" t="n"/>
      <c r="G17" s="44" t="n"/>
      <c r="H17" s="44" t="n"/>
      <c r="I17" s="44" t="n"/>
      <c r="J17" s="55" t="inlineStr">
        <is>
          <t>Energy Efficiency Services</t>
        </is>
      </c>
      <c r="K17" s="55" t="inlineStr">
        <is>
          <t>Incemental. No. of energy consumers (e.g., households) that will utilise EE appliances and RE-based energy generating and consuming equipment acquired through AREAN initiatives</t>
        </is>
      </c>
      <c r="L17" s="42" t="n">
        <v>0</v>
      </c>
      <c r="M17" s="42" t="inlineStr">
        <is>
          <t>160 HH</t>
        </is>
      </c>
      <c r="N17" s="39" t="inlineStr">
        <is>
          <t>Means of verification:
Suvervy of energy consumption of consumers (e.g., household energy survey)
Business registrations of local technical and engineering services providers that are working on low carbon technology projects
Project M&amp;E and activity reports</t>
        </is>
      </c>
      <c r="O17" s="26" t="inlineStr">
        <is>
          <t>GEF</t>
        </is>
      </c>
      <c r="P17" s="49" t="n"/>
      <c r="Q17" s="27" t="n"/>
      <c r="R17" s="70" t="inlineStr">
        <is>
          <t>Close the gap on energy access</t>
        </is>
      </c>
      <c r="S17" s="27" t="n"/>
      <c r="T17" s="27" t="n"/>
      <c r="U17" s="27" t="n"/>
      <c r="V17" s="27" t="n"/>
      <c r="W17" s="28" t="n"/>
      <c r="X17" s="27" t="n"/>
      <c r="Y17" s="28" t="n"/>
    </row>
  </sheetData>
  <dataValidations count="10">
    <dataValidation sqref="O2:O16" showDropDown="0" showInputMessage="1" showErrorMessage="1" allowBlank="1" type="list">
      <formula1>"Accelerating just energy transition, Close the gap on energy access, Scale up energy finance"</formula1>
    </dataValidation>
    <dataValidation sqref="Q2:Q16" showDropDown="0" showInputMessage="1" showErrorMessage="1" allowBlank="1" type="list">
      <formula1>"AMP, PUDC, Solar4Health, Action Opportunities, Italy UNDP Energy Partnership"</formula1>
    </dataValidation>
    <dataValidation sqref="R2:R16"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P2:P16" showDropDown="0" showInputMessage="1" showErrorMessage="1" allowBlank="1" type="list">
      <formula1>"Electricity Access, Energy Efficiency, Clean Cooking, Renewable Energy, Overall"</formula1>
    </dataValidation>
    <dataValidation sqref="N2:N16" showDropDown="0" showInputMessage="1" showErrorMessage="1" allowBlank="1" type="list">
      <formula1>"Finance, Gender, Efficiency, Just, Health"</formula1>
    </dataValidation>
    <dataValidation sqref="U2:U16" showDropDown="0" showInputMessage="1" showErrorMessage="1" allowBlank="1" type="list">
      <formula1>"National, Regional, City, Community"</formula1>
    </dataValidation>
    <dataValidation sqref="M2:M16" showDropDown="0" showInputMessage="1" showErrorMessage="1" allowBlank="1" type="list">
      <formula1>"Non-VF, VF"</formula1>
    </dataValidation>
    <dataValidation sqref="S2:S16"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T2:T16" showDropDown="0" showInputMessage="1" showErrorMessage="1" allowBlank="1" type="list">
      <formula1>"Solar, Wind, Bioenergy, Hydro, Geothermal, Waste, Some Sources, Other, Unknown"</formula1>
    </dataValidation>
    <dataValidation sqref="H2:H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 xmlns:r="http://schemas.openxmlformats.org/officeDocument/2006/relationships" ref="C7" r:id="rId2"/>
  </hyperlink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S16"/>
  <sheetViews>
    <sheetView topLeftCell="E1" workbookViewId="0">
      <selection activeCell="J19" sqref="J19"/>
    </sheetView>
  </sheetViews>
  <sheetFormatPr baseColWidth="8" defaultRowHeight="14.25"/>
  <cols>
    <col width="20.73046875" customWidth="1" min="2" max="3"/>
    <col width="16.73046875" customWidth="1" min="4" max="4"/>
    <col width="20.73046875" customWidth="1" min="5" max="6"/>
    <col width="12.73046875" customWidth="1" min="7" max="7"/>
    <col width="18.73046875" customWidth="1" min="8" max="8"/>
    <col width="52.265625" customWidth="1" min="9" max="9"/>
  </cols>
  <sheetData>
    <row r="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1" t="inlineStr">
        <is>
          <t>Target</t>
        </is>
      </c>
      <c r="I1" s="1" t="inlineStr">
        <is>
          <t>Notes</t>
        </is>
      </c>
      <c r="J1" s="23" t="inlineStr">
        <is>
          <t>Donors</t>
        </is>
      </c>
      <c r="K1" s="21" t="inlineStr">
        <is>
          <t>Gender (% female)</t>
        </is>
      </c>
      <c r="L1" s="21" t="inlineStr">
        <is>
          <t>Category</t>
        </is>
      </c>
      <c r="M1" s="25" t="inlineStr">
        <is>
          <t>Tag</t>
        </is>
      </c>
      <c r="N1" s="25" t="inlineStr">
        <is>
          <t>SEH Taxonomy</t>
        </is>
      </c>
      <c r="O1" s="25" t="inlineStr">
        <is>
          <t>RISE Taxonomy</t>
        </is>
      </c>
      <c r="P1" s="25" t="inlineStr">
        <is>
          <t>Flagship</t>
        </is>
      </c>
      <c r="Q1" s="25" t="inlineStr">
        <is>
          <t>Indirect Category</t>
        </is>
      </c>
      <c r="R1" s="25" t="inlineStr">
        <is>
          <t>Indirect Taxonomy</t>
        </is>
      </c>
      <c r="S1" s="26" t="n"/>
    </row>
    <row r="2" ht="71.25" customHeight="1">
      <c r="A2" s="96" t="n">
        <v>5669</v>
      </c>
      <c r="B2" s="96" t="inlineStr">
        <is>
          <t>IMPRESS</t>
        </is>
      </c>
      <c r="C2" s="96" t="inlineStr">
        <is>
          <t>PIMS+</t>
        </is>
      </c>
      <c r="D2" s="96" t="n">
        <v>6075828</v>
      </c>
      <c r="E2" s="15" t="inlineStr">
        <is>
          <t>Energy (MW added)</t>
        </is>
      </c>
      <c r="F2" s="15" t="inlineStr">
        <is>
          <t>Cumulative electricity generation using RE resources, MW</t>
        </is>
      </c>
      <c r="G2" s="96" t="n">
        <v>82</v>
      </c>
      <c r="H2" s="96" t="n">
        <v>50</v>
      </c>
      <c r="I2" s="17" t="inlineStr">
        <is>
          <t>Source of Verification: 
Project activity report 
Project M&amp;E reports
EPC annual report
Samoa Energy Review Reports</t>
        </is>
      </c>
      <c r="L2" s="94" t="inlineStr">
        <is>
          <t>VF</t>
        </is>
      </c>
      <c r="M2" s="27" t="n"/>
      <c r="N2" s="27" t="n"/>
      <c r="O2" s="27" t="n"/>
      <c r="P2" s="27" t="n"/>
      <c r="Q2" s="27" t="n"/>
      <c r="R2" s="27" t="n"/>
      <c r="S2" s="28" t="n"/>
    </row>
    <row r="3" ht="71.25" customHeight="1">
      <c r="A3" s="105" t="n"/>
      <c r="B3" s="105" t="n"/>
      <c r="C3" s="105" t="n"/>
      <c r="D3" s="105" t="n"/>
      <c r="E3" s="15" t="inlineStr">
        <is>
          <t>Electricity Access</t>
        </is>
      </c>
      <c r="F3" s="15" t="inlineStr">
        <is>
          <t>Cumulative number of households benefitting from RE-based electricity generation and EE technology applications.</t>
        </is>
      </c>
      <c r="G3" s="96" t="n">
        <v>0</v>
      </c>
      <c r="H3" s="18" t="inlineStr">
        <is>
          <t>16440 HH</t>
        </is>
      </c>
      <c r="I3" s="17" t="inlineStr">
        <is>
          <t>Source of Verification: 
Project activity report 
Project M&amp;E reports
EPC annual report
Samoa Energy Review Reports</t>
        </is>
      </c>
      <c r="M3" s="27" t="n"/>
      <c r="N3" s="27" t="n"/>
      <c r="O3" s="27" t="n"/>
      <c r="P3" s="27" t="n"/>
      <c r="Q3" s="27" t="n"/>
      <c r="R3" s="27" t="n"/>
      <c r="S3" s="28" t="n"/>
    </row>
    <row r="4" ht="114" customHeight="1">
      <c r="A4" s="105" t="n"/>
      <c r="B4" s="105" t="n"/>
      <c r="C4" s="105" t="n"/>
      <c r="D4" s="105" t="n"/>
      <c r="E4" s="15" t="inlineStr">
        <is>
          <t>Capacity Training</t>
        </is>
      </c>
      <c r="F4" s="15" t="inlineStr">
        <is>
          <t>Number of trained local authorities, (i.e., local government officials) that are capable of developing, planning and implementing RE, DSM/EE and PURE/SURE projects.</t>
        </is>
      </c>
      <c r="G4" s="96" t="inlineStr">
        <is>
          <t>NA</t>
        </is>
      </c>
      <c r="H4" s="96" t="n">
        <v>20</v>
      </c>
      <c r="I4" s="17" t="inlineStr">
        <is>
          <t>Source of verification: 
Awareness survey report
Training evaluation reports
Project M&amp;E report</t>
        </is>
      </c>
      <c r="M4" s="27" t="n"/>
      <c r="N4" s="27" t="n"/>
      <c r="O4" s="27" t="n"/>
      <c r="P4" s="27" t="n"/>
      <c r="Q4" s="27" t="n"/>
      <c r="R4" s="27" t="n"/>
      <c r="S4" s="28" t="n"/>
    </row>
    <row r="5" ht="85.5" customHeight="1">
      <c r="A5" s="105" t="n"/>
      <c r="B5" s="105" t="n"/>
      <c r="C5" s="105" t="n"/>
      <c r="D5" s="105" t="n"/>
      <c r="E5" s="15" t="inlineStr">
        <is>
          <t>Policy or Regulatory Framework</t>
        </is>
      </c>
      <c r="F5" s="15" t="inlineStr">
        <is>
          <t>Number of approved and enforced policies that support and incentivize investments in RE development and utilization</t>
        </is>
      </c>
      <c r="G5" s="96" t="n">
        <v>0</v>
      </c>
      <c r="H5" s="96" t="n">
        <v>1</v>
      </c>
      <c r="I5" s="17" t="n"/>
      <c r="M5" s="27" t="n"/>
      <c r="N5" s="27" t="n"/>
      <c r="O5" s="27" t="n"/>
      <c r="P5" s="27" t="n"/>
      <c r="Q5" s="27" t="n"/>
      <c r="R5" s="27" t="n"/>
      <c r="S5" s="28" t="n"/>
    </row>
    <row r="6" ht="85.5" customHeight="1">
      <c r="A6" s="106" t="n"/>
      <c r="B6" s="106" t="n"/>
      <c r="C6" s="106" t="n"/>
      <c r="D6" s="106" t="n"/>
      <c r="E6" s="15" t="inlineStr">
        <is>
          <t>Policy or Regulatory Framework</t>
        </is>
      </c>
      <c r="F6" s="31" t="inlineStr">
        <is>
          <t>Number of approved and enforced regulations that support EE implementation in Samoa under the Energy Bill</t>
        </is>
      </c>
      <c r="G6" s="18" t="n">
        <v>0</v>
      </c>
      <c r="H6" s="18" t="n">
        <v>3</v>
      </c>
      <c r="I6" s="17" t="inlineStr">
        <is>
          <t>Source of Verification: 
Project activity report 
Project M&amp;E reports
EPC annual report
Samoa Energy Review Reports</t>
        </is>
      </c>
      <c r="M6" s="27" t="n"/>
      <c r="N6" s="27" t="n"/>
      <c r="O6" s="27" t="n"/>
      <c r="P6" s="27" t="n"/>
      <c r="Q6" s="27" t="n"/>
      <c r="R6" s="27" t="n"/>
      <c r="S6" s="26" t="n"/>
    </row>
    <row r="7" ht="71.25" customHeight="1">
      <c r="A7" s="97" t="inlineStr">
        <is>
          <t>01000418</t>
        </is>
      </c>
      <c r="B7" s="99" t="inlineStr">
        <is>
          <t>CAP-IT</t>
        </is>
      </c>
      <c r="C7" s="99" t="n"/>
      <c r="D7" s="99" t="n">
        <v>15175755</v>
      </c>
      <c r="E7" s="3" t="inlineStr">
        <is>
          <t>Transport Services</t>
        </is>
      </c>
      <c r="F7" s="6" t="inlineStr">
        <is>
          <t>Beneficiaries</t>
        </is>
      </c>
      <c r="G7" s="10" t="inlineStr">
        <is>
          <t>a) 10 (2021)</t>
        </is>
      </c>
      <c r="H7" s="11" t="n">
        <v>3000</v>
      </c>
      <c r="I7" s="30" t="inlineStr">
        <is>
          <t>Number of electric vehicles procured for public service delivery, disaggregated by type/service:                    a) cars                                b) vans                              c) pick-ups                          d) buses                            e) utility trucks                f) outboard motors. 603 vehicles, multiplied by 5 to convert to capacity..</t>
        </is>
      </c>
      <c r="M7" s="27" t="n"/>
      <c r="N7" s="27" t="n"/>
      <c r="O7" s="27" t="n"/>
      <c r="P7" s="27" t="n"/>
      <c r="Q7" s="27" t="n"/>
      <c r="R7" s="27" t="n"/>
      <c r="S7" s="26" t="n"/>
    </row>
    <row r="8" ht="85.5" customHeight="1">
      <c r="A8" s="105" t="n"/>
      <c r="B8" s="105" t="n"/>
      <c r="C8" s="105" t="n"/>
      <c r="D8" s="105" t="n"/>
      <c r="E8" s="3" t="inlineStr">
        <is>
          <t>Policy or Regulatory Framework</t>
        </is>
      </c>
      <c r="F8" s="5" t="inlineStr">
        <is>
          <t>Number of government ministries involved in training and capacity building interventions for low-carbon energy activites.</t>
        </is>
      </c>
      <c r="G8" s="10" t="inlineStr">
        <is>
          <t>NA</t>
        </is>
      </c>
      <c r="H8" s="10" t="n">
        <v>4</v>
      </c>
      <c r="I8" s="3" t="n"/>
      <c r="M8" s="95" t="n"/>
      <c r="N8" s="27" t="n"/>
      <c r="O8" s="27" t="n"/>
      <c r="P8" s="27" t="n"/>
      <c r="Q8" s="27" t="n"/>
      <c r="R8" s="27" t="n"/>
      <c r="S8" s="28" t="n"/>
    </row>
    <row r="9" ht="71.25" customHeight="1">
      <c r="A9" s="105" t="n"/>
      <c r="B9" s="105" t="n"/>
      <c r="C9" s="105" t="n"/>
      <c r="D9" s="105" t="n"/>
      <c r="E9" s="3" t="inlineStr">
        <is>
          <t>Policy or Regulatory Framework</t>
        </is>
      </c>
      <c r="F9" s="9" t="inlineStr">
        <is>
          <t>Number of articles/ communication items per year that specifically refer to low-carbon energy transition.</t>
        </is>
      </c>
      <c r="G9" s="10" t="inlineStr">
        <is>
          <t>NA</t>
        </is>
      </c>
      <c r="H9" s="10" t="n">
        <v>4</v>
      </c>
      <c r="I9" s="4" t="inlineStr">
        <is>
          <t>Communication may include not only mass media coverage, but also e-bulletins, mailings, and other direct outreach to recipients.</t>
        </is>
      </c>
      <c r="M9" s="27" t="n"/>
      <c r="N9" s="27" t="n"/>
      <c r="O9" s="27" t="n"/>
      <c r="P9" s="27" t="n"/>
      <c r="Q9" s="27" t="n"/>
      <c r="R9" s="27" t="n"/>
      <c r="S9" s="29" t="n"/>
    </row>
    <row r="10" ht="137.25" customHeight="1">
      <c r="A10" s="105" t="n"/>
      <c r="B10" s="105" t="n"/>
      <c r="C10" s="105" t="n"/>
      <c r="D10" s="105" t="n"/>
      <c r="E10" s="4" t="inlineStr">
        <is>
          <t>Policy or Regulatory Framework</t>
        </is>
      </c>
      <c r="F10" s="5" t="inlineStr">
        <is>
          <t>Number of gender-sensitive planning and policy instruments developed to support Samoa's transition to low-carbon transport disaggregated by NDC sub-sector.</t>
        </is>
      </c>
      <c r="G10" s="10" t="n">
        <v>2</v>
      </c>
      <c r="H10" s="10" t="n">
        <v>4</v>
      </c>
      <c r="I10" s="7" t="inlineStr">
        <is>
          <t>Means of verification:                                                                         - Transport Sector Plan 2013-2018                                                - Samoa NDC Impementation Roadmap and Investment Plan    - Updated legislation and policy framework                                 - Decarbonization Strategy and Sector Plans (Land/Maritime)</t>
        </is>
      </c>
      <c r="M10" s="27" t="n"/>
      <c r="N10" s="27" t="n"/>
      <c r="O10" s="27" t="n"/>
      <c r="P10" s="27" t="n"/>
      <c r="Q10" s="27" t="n"/>
      <c r="R10" s="27" t="n"/>
      <c r="S10" s="29" t="n"/>
    </row>
    <row r="11" ht="71.25" customHeight="1">
      <c r="A11" s="105" t="n"/>
      <c r="B11" s="105" t="n"/>
      <c r="C11" s="105" t="n"/>
      <c r="D11" s="105" t="n"/>
      <c r="E11" s="3" t="inlineStr">
        <is>
          <t>Other Energy Services</t>
        </is>
      </c>
      <c r="F11" s="7" t="inlineStr">
        <is>
          <t>Direct Project Beneficiaries</t>
        </is>
      </c>
      <c r="G11" s="12" t="n">
        <v>0</v>
      </c>
      <c r="H11" s="12" t="n">
        <v>200000</v>
      </c>
      <c r="I11" s="7" t="inlineStr">
        <is>
          <t>Direct project beneficiaries from enhanced policy and regulatory frameworks, awareness and access to information regarding a low-carbon transition in land/maritime transport sectors, improved e-vehicle charging network, inclusice financing mechanisms etc.</t>
        </is>
      </c>
    </row>
    <row r="12" ht="71.25" customHeight="1">
      <c r="A12" s="92" t="n">
        <v>6037</v>
      </c>
      <c r="B12" s="92" t="inlineStr">
        <is>
          <t>AREAN</t>
        </is>
      </c>
      <c r="C12" s="92" t="inlineStr">
        <is>
          <t>PIMS+</t>
        </is>
      </c>
      <c r="D12" s="93" t="n">
        <v>3321563</v>
      </c>
      <c r="E12" s="13" t="n"/>
      <c r="F12" s="13" t="inlineStr">
        <is>
          <t>% RE electricity production</t>
        </is>
      </c>
      <c r="G12" s="19" t="n">
        <v>0.018</v>
      </c>
      <c r="H12" s="20" t="n">
        <v>0.73</v>
      </c>
      <c r="I12" s="13" t="inlineStr">
        <is>
          <t>Means of verification: 
DoU-MoI
Treasury Department
Project M&amp;E and activity reports
Trade and commerce reports</t>
        </is>
      </c>
      <c r="L12" s="95" t="inlineStr">
        <is>
          <t>VF</t>
        </is>
      </c>
      <c r="M12" s="22" t="n"/>
    </row>
    <row r="13" ht="114" customHeight="1">
      <c r="A13" s="105" t="n"/>
      <c r="B13" s="105" t="n"/>
      <c r="C13" s="105" t="n"/>
      <c r="D13" s="105" t="n"/>
      <c r="E13" s="13" t="inlineStr">
        <is>
          <t>Policy or Regulatory Framework</t>
        </is>
      </c>
      <c r="F13" s="13" t="inlineStr">
        <is>
          <t xml:space="preserve">No. of approved and enforced RE and EC&amp;EE policies, and associated guidance and implementing rules and regulations
</t>
        </is>
      </c>
      <c r="G13" s="16" t="inlineStr">
        <is>
          <t xml:space="preserve">0
0
</t>
        </is>
      </c>
      <c r="H13" s="16" t="n">
        <v>2</v>
      </c>
      <c r="I13" s="13" t="inlineStr">
        <is>
          <t>Means of verification:
Documents on RE and EC&amp;EE policies, regulations and energy standards
Annual reports from DoU-MoI
NPC
Bulk Fuels Project M&amp;E and activity reports</t>
        </is>
      </c>
    </row>
    <row r="14" ht="71.25" customHeight="1">
      <c r="A14" s="105" t="n"/>
      <c r="B14" s="105" t="n"/>
      <c r="C14" s="105" t="n"/>
      <c r="D14" s="105" t="n"/>
      <c r="E14" s="13" t="inlineStr">
        <is>
          <t>Policy or Regulatory Framework</t>
        </is>
      </c>
      <c r="F14" s="13" t="inlineStr">
        <is>
          <t>No. of formulated and approved policies and regulations incorporated in the country's Energy Act</t>
        </is>
      </c>
      <c r="G14" s="16" t="n"/>
      <c r="H14" s="16" t="n">
        <v>2</v>
      </c>
      <c r="I14" s="13" t="n"/>
    </row>
    <row r="15" ht="114" customHeight="1">
      <c r="A15" s="105" t="n"/>
      <c r="B15" s="105" t="n"/>
      <c r="C15" s="105" t="n"/>
      <c r="D15" s="105" t="n"/>
      <c r="E15" s="13" t="inlineStr">
        <is>
          <t>Entrepreneurship Training</t>
        </is>
      </c>
      <c r="F15" s="13" t="inlineStr">
        <is>
          <t># of beneficiaries
No. of new jobs created in the application of sustainable energy and LE technologies and techniques in the energy supply and energy  end-use sectors in Niue</t>
        </is>
      </c>
      <c r="G15" s="16" t="n">
        <v>0</v>
      </c>
      <c r="H15" s="16" t="n">
        <v>8</v>
      </c>
      <c r="I15" s="13" t="inlineStr">
        <is>
          <t>Means of verification: 
DoU-MoI
Treasury Department
Project M&amp;E and activity reports
Trade and commerce reports</t>
        </is>
      </c>
    </row>
    <row r="16" ht="128.25" customHeight="1">
      <c r="A16" s="106" t="n"/>
      <c r="B16" s="106" t="n"/>
      <c r="C16" s="106" t="n"/>
      <c r="D16" s="106" t="n"/>
      <c r="E16" s="13" t="inlineStr">
        <is>
          <t>Energy Efficiency</t>
        </is>
      </c>
      <c r="F16" s="13" t="inlineStr">
        <is>
          <t>Incemental. No. of energy consumers (e.g., households) that will utilise EE appliances and RE-based energy generating and consuming equipment acquired through AREAN initiatives</t>
        </is>
      </c>
      <c r="G16" s="16" t="n">
        <v>0</v>
      </c>
      <c r="H16" s="16" t="inlineStr">
        <is>
          <t>160 HH</t>
        </is>
      </c>
      <c r="I16" s="13" t="inlineStr">
        <is>
          <t>Means of verification:
Suvervy of energy consumption of consumers (e.g., household energy survey)
Business registrations of local technical and engineering services providers that are working on low carbon technology projects
Project M&amp;E and activity reports</t>
        </is>
      </c>
    </row>
  </sheetData>
  <mergeCells count="14">
    <mergeCell ref="C2:C6"/>
    <mergeCell ref="D2:D6"/>
    <mergeCell ref="A12:A16"/>
    <mergeCell ref="L2:L6"/>
    <mergeCell ref="L12:L16"/>
    <mergeCell ref="C7:C11"/>
    <mergeCell ref="A2:A6"/>
    <mergeCell ref="D12:D16"/>
    <mergeCell ref="B12:B16"/>
    <mergeCell ref="C12:C16"/>
    <mergeCell ref="D7:D11"/>
    <mergeCell ref="A7:A11"/>
    <mergeCell ref="B7:B11"/>
    <mergeCell ref="B2:B6"/>
  </mergeCells>
  <dataValidations count="5">
    <dataValidation sqref="R2:R10" showDropDown="0" showInputMessage="1" showErrorMessage="1" allowBlank="1" type="list">
      <formula1>"Electricity Access, Energy Efficiency, Renewable EnergyEnergy Infrastructure,   Transport, Digital &amp; Data, Clean Cooking, Decarbonization, Hydrogen, Off-Grid, On-Grid"</formula1>
    </dataValidation>
    <dataValidation sqref="Q2:Q10"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P2:P10" showDropDown="0" showInputMessage="1" showErrorMessage="1" allowBlank="1" type="list">
      <formula1>"AMP, PUDC, Solar4Health, Action Opportunities, Italy UNDP Energy Partnership"</formula1>
    </dataValidation>
    <dataValidation sqref="O2:O10" showDropDown="0" showInputMessage="1" showErrorMessage="1" allowBlank="1" type="list">
      <formula1>"Electricity Access, Energy Efficiency, Clean Cooking, Renewable Energy"</formula1>
    </dataValidation>
    <dataValidation sqref="N2:N10" showDropDown="0" showInputMessage="1" showErrorMessage="1" allowBlank="1" type="list">
      <formula1>"Accelerating just energy transition, Close the gap on energy access, Scale up energy finance"</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J16"/>
  <sheetViews>
    <sheetView topLeftCell="B1" workbookViewId="0">
      <selection activeCell="J1" sqref="J1"/>
    </sheetView>
  </sheetViews>
  <sheetFormatPr baseColWidth="8" defaultRowHeight="14.25"/>
  <cols>
    <col width="20.73046875" customWidth="1" min="2" max="3"/>
    <col width="16.73046875" customWidth="1" min="4" max="4"/>
    <col width="20.73046875" customWidth="1" min="5" max="6"/>
    <col width="12.73046875" customWidth="1" min="7" max="8"/>
    <col width="52.265625" customWidth="1" min="9" max="9"/>
  </cols>
  <sheetData>
    <row r="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1" t="inlineStr">
        <is>
          <t>Target</t>
        </is>
      </c>
      <c r="I1" s="1" t="inlineStr">
        <is>
          <t>Notes</t>
        </is>
      </c>
      <c r="J1" t="inlineStr">
        <is>
          <t>Donors</t>
        </is>
      </c>
    </row>
    <row r="2" ht="71.25" customHeight="1">
      <c r="A2" s="96" t="n">
        <v>5669</v>
      </c>
      <c r="B2" s="96" t="inlineStr">
        <is>
          <t>IMPRESS</t>
        </is>
      </c>
      <c r="C2" s="96" t="inlineStr">
        <is>
          <t>PIMS+</t>
        </is>
      </c>
      <c r="D2" s="96" t="inlineStr">
        <is>
          <t>USD 6,075,828</t>
        </is>
      </c>
      <c r="E2" s="15" t="inlineStr">
        <is>
          <t>Energy (MW added)</t>
        </is>
      </c>
      <c r="F2" s="15" t="inlineStr">
        <is>
          <t>Cumulative electricity generation using RE resources, GWh</t>
        </is>
      </c>
      <c r="G2" s="96" t="n">
        <v>82</v>
      </c>
      <c r="H2" s="96" t="n">
        <v>438</v>
      </c>
      <c r="I2" s="17" t="inlineStr">
        <is>
          <t>Source of Verification: 
Project activity report 
Project M&amp;E reports
EPC annual report
Samoa Energy Review Reports</t>
        </is>
      </c>
    </row>
    <row r="3" ht="71.25" customHeight="1">
      <c r="A3" s="105" t="n"/>
      <c r="B3" s="105" t="n"/>
      <c r="C3" s="105" t="n"/>
      <c r="D3" s="105" t="n"/>
      <c r="E3" s="15" t="inlineStr">
        <is>
          <t>Electricity Access</t>
        </is>
      </c>
      <c r="F3" s="15" t="inlineStr">
        <is>
          <t>Cumulative number of households benefitting from RE-based electricity generation and EE technology applications.</t>
        </is>
      </c>
      <c r="G3" s="96" t="n">
        <v>0</v>
      </c>
      <c r="H3" s="18" t="inlineStr">
        <is>
          <t>2,740 HHs (RE based power generation)
13,700 HHs (EE appliances)</t>
        </is>
      </c>
      <c r="I3" s="17" t="inlineStr">
        <is>
          <t>Source of Verification: 
Project activity report 
Project M&amp;E reports
EPC annual report
Samoa Energy Review Reports</t>
        </is>
      </c>
    </row>
    <row r="4" ht="114" customHeight="1">
      <c r="A4" s="105" t="n"/>
      <c r="B4" s="105" t="n"/>
      <c r="C4" s="105" t="n"/>
      <c r="D4" s="105" t="n"/>
      <c r="E4" s="15" t="inlineStr">
        <is>
          <t>Capacity Training</t>
        </is>
      </c>
      <c r="F4" s="15" t="inlineStr">
        <is>
          <t>Number of trained local authorities, (i.e., local government officials) that are capable of developing, planning and implementing RE, DSM/EE and PURE/SURE projects.</t>
        </is>
      </c>
      <c r="G4" s="96" t="inlineStr">
        <is>
          <t>N/A</t>
        </is>
      </c>
      <c r="H4" s="96" t="n">
        <v>20</v>
      </c>
      <c r="I4" s="17" t="inlineStr">
        <is>
          <t>Source of verification: 
Awareness survey report
Training evaluation reports
Project M&amp;E report</t>
        </is>
      </c>
    </row>
    <row r="5" ht="185.25" customHeight="1">
      <c r="A5" s="105" t="n"/>
      <c r="B5" s="105" t="n"/>
      <c r="C5" s="105" t="n"/>
      <c r="D5" s="105" t="n"/>
      <c r="E5" s="15" t="inlineStr">
        <is>
          <t>Policy or Regulatory Framework</t>
        </is>
      </c>
      <c r="F5" s="15" t="inlineStr">
        <is>
          <t>Number of approved and enforced policies that support and incentivize investments in RE development and utilization
Number of approved and enforced regulations that support EE implementation in Samoa under the Energy Bill</t>
        </is>
      </c>
      <c r="G5" s="18" t="inlineStr">
        <is>
          <t>0 
0</t>
        </is>
      </c>
      <c r="H5" s="18" t="inlineStr">
        <is>
          <t>1
3</t>
        </is>
      </c>
      <c r="I5" s="17" t="inlineStr">
        <is>
          <t>Source of Verification: 
Project activity report 
Project M&amp;E reports
EPC annual report
Samoa Energy Review Reports</t>
        </is>
      </c>
    </row>
    <row r="6">
      <c r="A6" s="106" t="n"/>
      <c r="B6" s="106" t="n"/>
      <c r="C6" s="106" t="n"/>
      <c r="D6" s="106" t="n"/>
      <c r="E6" s="15" t="inlineStr">
        <is>
          <t xml:space="preserve">Other  </t>
        </is>
      </c>
      <c r="F6" s="15" t="n"/>
      <c r="G6" s="96" t="n"/>
      <c r="H6" s="96" t="n"/>
      <c r="I6" s="14" t="n"/>
    </row>
    <row r="7" ht="156.75" customHeight="1">
      <c r="A7" s="97" t="inlineStr">
        <is>
          <t>01000418</t>
        </is>
      </c>
      <c r="B7" s="99" t="inlineStr">
        <is>
          <t>CAP-IT</t>
        </is>
      </c>
      <c r="C7" s="99" t="n"/>
      <c r="D7" s="99" t="inlineStr">
        <is>
          <t>USD 15,175,755</t>
        </is>
      </c>
      <c r="E7" s="3" t="inlineStr">
        <is>
          <t>Other Energy Services</t>
        </is>
      </c>
      <c r="F7" s="6" t="inlineStr">
        <is>
          <t>Number of electric vehicles procured for public service delivery, disaggregated by type/service:                    a) cars                                b) vans                              c) pick-ups                          d) buses                            e) utility trucks                f) outboard motors.</t>
        </is>
      </c>
      <c r="G7" s="10" t="inlineStr">
        <is>
          <t>a) 10 (2021)</t>
        </is>
      </c>
      <c r="H7" s="11" t="inlineStr">
        <is>
          <t>603                      a) 31                  b) 10                    c) 10                    d) 5                        e) 2                         f) 20</t>
        </is>
      </c>
      <c r="I7" s="8" t="inlineStr">
        <is>
          <t>Access to electric vehicles / outboard motors.</t>
        </is>
      </c>
    </row>
    <row r="8" ht="85.5" customHeight="1">
      <c r="A8" s="105" t="n"/>
      <c r="B8" s="105" t="n"/>
      <c r="C8" s="105" t="n"/>
      <c r="D8" s="105" t="n"/>
      <c r="E8" s="3" t="inlineStr">
        <is>
          <t>Capacity Training</t>
        </is>
      </c>
      <c r="F8" s="5" t="inlineStr">
        <is>
          <t>Number of government ministries involved in training and capacity building interventions for low-carbon energy activites.</t>
        </is>
      </c>
      <c r="G8" s="10" t="inlineStr">
        <is>
          <t>Unknown</t>
        </is>
      </c>
      <c r="H8" s="10" t="n">
        <v>4</v>
      </c>
      <c r="I8" s="3" t="n"/>
    </row>
    <row r="9" ht="71.25" customHeight="1">
      <c r="A9" s="105" t="n"/>
      <c r="B9" s="105" t="n"/>
      <c r="C9" s="105" t="n"/>
      <c r="D9" s="105" t="n"/>
      <c r="E9" s="3" t="inlineStr">
        <is>
          <t>Campaign Participant</t>
        </is>
      </c>
      <c r="F9" s="9" t="inlineStr">
        <is>
          <t>Number of articles/ communication items per year that specifically refer to low-carbon energy transition.</t>
        </is>
      </c>
      <c r="G9" s="10" t="inlineStr">
        <is>
          <t>N/A</t>
        </is>
      </c>
      <c r="H9" s="10" t="n">
        <v>4</v>
      </c>
      <c r="I9" s="4" t="inlineStr">
        <is>
          <t>Communication may include not only mass media coverage, but also e-bulletins, mailings, and other direct outreach to recipients.</t>
        </is>
      </c>
    </row>
    <row r="10" ht="137.25" customHeight="1">
      <c r="A10" s="105" t="n"/>
      <c r="B10" s="105" t="n"/>
      <c r="C10" s="105" t="n"/>
      <c r="D10" s="105" t="n"/>
      <c r="E10" s="4" t="inlineStr">
        <is>
          <t>Policy or Regulatory Framework</t>
        </is>
      </c>
      <c r="F10" s="5" t="inlineStr">
        <is>
          <t>Number of gender-sensitive planning and policy instruments developed to support Samoa's transition to low-carbon transport disaggregated by NDC sub-sector.</t>
        </is>
      </c>
      <c r="G10" s="10" t="n">
        <v>2</v>
      </c>
      <c r="H10" s="10" t="n">
        <v>4</v>
      </c>
      <c r="I10" s="7" t="inlineStr">
        <is>
          <t>Means of verification:                                                                         - Transport Sector Plan 2013-2018                                                - Samoa NDC Impementation Roadmap and Investment Plan    - Updated legislation and policy framework                                 - Decarbonization Strategy and Sector Plans (Land/Maritime)</t>
        </is>
      </c>
    </row>
    <row r="11" ht="71.25" customHeight="1">
      <c r="A11" s="105" t="n"/>
      <c r="B11" s="105" t="n"/>
      <c r="C11" s="105" t="n"/>
      <c r="D11" s="105" t="n"/>
      <c r="E11" s="3" t="inlineStr">
        <is>
          <t>Other</t>
        </is>
      </c>
      <c r="F11" s="7" t="inlineStr">
        <is>
          <t>Direct Project Beneficiaries</t>
        </is>
      </c>
      <c r="G11" s="12" t="n">
        <v>0</v>
      </c>
      <c r="H11" s="12" t="n">
        <v>200000</v>
      </c>
      <c r="I11" s="7" t="inlineStr">
        <is>
          <t>Direct project beneficiaries from enhanced policy and regulatory frameworks, awareness and access to information regarding a low-carbon transition in land/maritime transport sectors, improved e-vehicle charging network, inclusice financing mechanisms etc.</t>
        </is>
      </c>
    </row>
    <row r="12" ht="71.25" customHeight="1">
      <c r="A12" s="92" t="n">
        <v>6037</v>
      </c>
      <c r="B12" s="92" t="inlineStr">
        <is>
          <t>AREAN</t>
        </is>
      </c>
      <c r="C12" s="92" t="inlineStr">
        <is>
          <t>PIMS+</t>
        </is>
      </c>
      <c r="D12" s="93" t="inlineStr">
        <is>
          <t>USD 3,321,563</t>
        </is>
      </c>
      <c r="E12" s="13" t="inlineStr">
        <is>
          <t>Energy (MW added)</t>
        </is>
      </c>
      <c r="F12" s="13" t="inlineStr">
        <is>
          <t>% RE electricity production</t>
        </is>
      </c>
      <c r="G12" s="19" t="n">
        <v>0.018</v>
      </c>
      <c r="H12" s="20" t="n">
        <v>0.73</v>
      </c>
      <c r="I12" s="13" t="inlineStr">
        <is>
          <t>Means of verification: 
DoU-MoI
Treasury Department
Project M&amp;E and activity reports
Trade and commerce reports</t>
        </is>
      </c>
    </row>
    <row r="13" ht="171" customHeight="1">
      <c r="A13" s="105" t="n"/>
      <c r="B13" s="105" t="n"/>
      <c r="C13" s="105" t="n"/>
      <c r="D13" s="105" t="n"/>
      <c r="E13" s="13" t="inlineStr">
        <is>
          <t>Policy or Regulatory Framework</t>
        </is>
      </c>
      <c r="F13" s="13" t="inlineStr">
        <is>
          <t>No. of approved and enforced RE and EC&amp;EE policies, and associated guidance and implementing rules and regulations
No. of formulated and approved policies and regulations incorporated in the country's Energy Act</t>
        </is>
      </c>
      <c r="G13" s="16" t="inlineStr">
        <is>
          <t xml:space="preserve">0
0
</t>
        </is>
      </c>
      <c r="H13" s="16" t="inlineStr">
        <is>
          <t>2
2</t>
        </is>
      </c>
      <c r="I13" s="13" t="inlineStr">
        <is>
          <t>Means of verification:
Documents on RE and EC&amp;EE policies, regulations and energy standards
Annual reports from DoU-MoI
NPC
Bulk Fuels Project M&amp;E and activity reports</t>
        </is>
      </c>
    </row>
    <row r="14" ht="99.75" customHeight="1">
      <c r="A14" s="105" t="n"/>
      <c r="B14" s="105" t="n"/>
      <c r="C14" s="105" t="n"/>
      <c r="D14" s="105" t="n"/>
      <c r="E14" s="13" t="inlineStr">
        <is>
          <t>Other Energy Services</t>
        </is>
      </c>
      <c r="F14" s="13" t="inlineStr">
        <is>
          <t>No. of new jobs created in the application of sustainable energy and LE technologies and techniques in the energy supply and energy  end-use sectors in Niue</t>
        </is>
      </c>
      <c r="G14" s="16" t="n">
        <v>0</v>
      </c>
      <c r="H14" s="16" t="n">
        <v>8</v>
      </c>
      <c r="I14" s="13" t="inlineStr">
        <is>
          <t>Means of verification: 
DoU-MoI
Treasury Department
Project M&amp;E and activity reports
Trade and commerce reports</t>
        </is>
      </c>
    </row>
    <row r="15" ht="128.25" customHeight="1">
      <c r="A15" s="105" t="n"/>
      <c r="B15" s="105" t="n"/>
      <c r="C15" s="105" t="n"/>
      <c r="D15" s="105" t="n"/>
      <c r="E15" s="13" t="inlineStr">
        <is>
          <t xml:space="preserve">Other  </t>
        </is>
      </c>
      <c r="F15" s="13" t="inlineStr">
        <is>
          <t>Incemental. No. of energy consumers (e.g., households) that will utilise EE appliances and RE-based energy generating and consuming equipment acquired through AREAN initiatives</t>
        </is>
      </c>
      <c r="G15" s="16" t="n">
        <v>0</v>
      </c>
      <c r="H15" s="16" t="n">
        <v>160</v>
      </c>
      <c r="I15" s="13" t="inlineStr">
        <is>
          <t>Means of verification:
Suvervy of energy consumption of consumers (e.g., household energy survey)
Business registrations of local technical and engineering services providers that are working on low carbon technology projects
Project M&amp;E and activity reports</t>
        </is>
      </c>
    </row>
    <row r="16">
      <c r="A16" s="106" t="n"/>
      <c r="B16" s="106" t="n"/>
      <c r="C16" s="106" t="n"/>
      <c r="D16" s="106" t="n"/>
      <c r="E16" s="13" t="n"/>
      <c r="F16" s="13" t="n"/>
      <c r="G16" s="16" t="n"/>
      <c r="H16" s="16" t="n"/>
      <c r="I16" s="13" t="n"/>
    </row>
  </sheetData>
  <mergeCells count="12">
    <mergeCell ref="C2:C6"/>
    <mergeCell ref="D2:D6"/>
    <mergeCell ref="A12:A16"/>
    <mergeCell ref="C7:C11"/>
    <mergeCell ref="A2:A6"/>
    <mergeCell ref="D12:D16"/>
    <mergeCell ref="B12:B16"/>
    <mergeCell ref="C12:C16"/>
    <mergeCell ref="D7:D11"/>
    <mergeCell ref="A7:A11"/>
    <mergeCell ref="B7:B11"/>
    <mergeCell ref="B2:B6"/>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4"/>
  <sheetViews>
    <sheetView topLeftCell="A8" workbookViewId="0">
      <pane ySplit="1" topLeftCell="A2" activePane="bottomLeft" state="frozen"/>
      <selection pane="bottomLeft" activeCell="B10" sqref="B10"/>
    </sheetView>
  </sheetViews>
  <sheetFormatPr baseColWidth="8" defaultRowHeight="14.25"/>
  <cols>
    <col width="36" customWidth="1" min="1" max="1"/>
    <col width="110" customWidth="1" min="2" max="2"/>
  </cols>
  <sheetData>
    <row r="1">
      <c r="A1" s="107" t="inlineStr">
        <is>
          <t>Beneficiary Category</t>
        </is>
      </c>
      <c r="B1" s="107" t="inlineStr">
        <is>
          <t>Indicator</t>
        </is>
      </c>
    </row>
    <row r="2" ht="28.5" customHeight="1">
      <c r="A2" s="108" t="inlineStr">
        <is>
          <t>Electricity Access</t>
        </is>
      </c>
      <c r="B2" s="108" t="inlineStr">
        <is>
          <t>Number of people, disaggregated by sex, who gain access to clean electricity (direct access to electricity, lighting, cooling, etc.).</t>
        </is>
      </c>
    </row>
    <row r="3">
      <c r="A3" s="108" t="inlineStr">
        <is>
          <t>Energy (MW added)</t>
        </is>
      </c>
      <c r="B3" s="108" t="inlineStr">
        <is>
          <t>Installed renewable or clean-energy power capacity added, in MW.</t>
        </is>
      </c>
    </row>
    <row r="4">
      <c r="A4" s="108" t="inlineStr">
        <is>
          <t>Energy Storage (MW)</t>
        </is>
      </c>
      <c r="B4" s="108" t="inlineStr">
        <is>
          <t>Installed energy storage power capacity added, in MW.</t>
        </is>
      </c>
    </row>
    <row r="5">
      <c r="A5" s="108" t="inlineStr">
        <is>
          <t>Clean Cooking</t>
        </is>
      </c>
      <c r="B5" s="108" t="inlineStr">
        <is>
          <t>Number of people who gain access to clean cooking (direct access to clean cook stoves, clean fuels, biomass, etc.).</t>
        </is>
      </c>
    </row>
    <row r="6" ht="42.75" customHeight="1">
      <c r="A6" s="108" t="inlineStr">
        <is>
          <t>Clean Heating</t>
        </is>
      </c>
      <c r="B6" s="108" t="inlineStr">
        <is>
          <t>Number of people who gain access to clean heating (direct access to clean electric heaters, clean fuels, etc.).</t>
        </is>
      </c>
    </row>
    <row r="7" ht="28.5" customHeight="1">
      <c r="A7" s="108" t="inlineStr">
        <is>
          <t>Agriculture and Food System</t>
        </is>
      </c>
      <c r="B7" s="108" t="inlineStr">
        <is>
          <t>Number of people who gain access to clean, affordable, and sustainable energy for agricultural and food-system activities.</t>
        </is>
      </c>
    </row>
    <row r="8" ht="28.5" customHeight="1">
      <c r="A8" s="108" t="inlineStr">
        <is>
          <t>Health Services</t>
        </is>
      </c>
      <c r="B8" s="108" t="inlineStr">
        <is>
          <t>Number of people who gain access to health care facilities through clean energy systems.</t>
        </is>
      </c>
    </row>
    <row r="9" ht="28.5" customHeight="1">
      <c r="A9" s="108" t="inlineStr">
        <is>
          <t>Water Services</t>
        </is>
      </c>
      <c r="B9" s="108" t="inlineStr">
        <is>
          <t>Number of people who gain access to water services through clean energy systems.</t>
        </is>
      </c>
    </row>
    <row r="10">
      <c r="A10" s="108" t="inlineStr">
        <is>
          <t>Education Services</t>
        </is>
      </c>
      <c r="B10" s="108" t="inlineStr">
        <is>
          <t>Number of people who gain access to education services through clean energy systems, including students and teachers.</t>
        </is>
      </c>
    </row>
    <row r="11">
      <c r="A11" s="108" t="inlineStr">
        <is>
          <t>Transportation and E-mobility Services</t>
        </is>
      </c>
      <c r="B11" s="108" t="inlineStr">
        <is>
          <t>Number of people served or energy saved from transport and e-mobility interventions, such as electric vehicles or charging stations.</t>
        </is>
      </c>
    </row>
    <row r="12" ht="28.5" customHeight="1">
      <c r="A12" s="108" t="inlineStr">
        <is>
          <t>Energy Efficiency Services</t>
        </is>
      </c>
      <c r="B12" s="108" t="inlineStr">
        <is>
          <t>Energy saved from energy-efficiency interventions, such as building or industrial efficiency.</t>
        </is>
      </c>
    </row>
    <row r="13">
      <c r="A13" s="108" t="inlineStr">
        <is>
          <t>Energy Infrastructure Services</t>
        </is>
      </c>
      <c r="B13" s="108" t="inlineStr">
        <is>
          <t>Number of people benefiting from energy infrastructure interventions, such as streetlights, transmission, and distribution lines.</t>
        </is>
      </c>
    </row>
    <row r="14">
      <c r="A14" s="108" t="inlineStr">
        <is>
          <t>Other Energy Services</t>
        </is>
      </c>
      <c r="B14" s="108" t="inlineStr">
        <is>
          <t>Access to other energy services not captured by the categories above.</t>
        </is>
      </c>
    </row>
    <row r="15">
      <c r="A15" s="108" t="inlineStr">
        <is>
          <t>Financing support</t>
        </is>
      </c>
      <c r="B15" s="108" t="inlineStr">
        <is>
          <t>Support for the development of the energy market ecosystem.</t>
        </is>
      </c>
    </row>
    <row r="16">
      <c r="A16" s="108" t="inlineStr">
        <is>
          <t>Medium Enterprises</t>
        </is>
      </c>
      <c r="B16" s="108" t="inlineStr">
        <is>
          <t>Support for the development of medium enterprises in the energy transition market.</t>
        </is>
      </c>
    </row>
    <row r="17">
      <c r="A17" s="108" t="inlineStr">
        <is>
          <t>Small Enterprises</t>
        </is>
      </c>
      <c r="B17" s="108" t="inlineStr">
        <is>
          <t>Support for the development of small enterprises in the energy transition market.</t>
        </is>
      </c>
    </row>
    <row r="18">
      <c r="A18" s="108" t="inlineStr">
        <is>
          <t>Capacity Building Training</t>
        </is>
      </c>
      <c r="B18" s="108" t="inlineStr">
        <is>
          <t>Number of people benefiting from training on energy business, energy finance, or related implementation capacity.</t>
        </is>
      </c>
    </row>
    <row r="19" ht="42.75" customHeight="1">
      <c r="A19" s="108" t="inlineStr">
        <is>
          <t>Entrepreneurship Training</t>
        </is>
      </c>
      <c r="B19" s="108" t="inlineStr">
        <is>
          <t>Training for enterprises on the energy business, assumed to result in direct beneficiaries.</t>
        </is>
      </c>
    </row>
    <row r="20">
      <c r="A20" s="108" t="inlineStr">
        <is>
          <t>Market Intervention</t>
        </is>
      </c>
      <c r="B20" s="108" t="inlineStr">
        <is>
          <t>Volume of investment leveraged or barriers removed for clean, reliable, affordable, and sustainable energy solutions.</t>
        </is>
      </c>
    </row>
    <row r="21" ht="28.5" customHeight="1">
      <c r="A21" s="108" t="inlineStr">
        <is>
          <t>Campaign Participant</t>
        </is>
      </c>
      <c r="B21" s="108" t="inlineStr">
        <is>
          <t>Individuals who participate in advocacy or awareness campaigns on energy.</t>
        </is>
      </c>
    </row>
    <row r="22">
      <c r="A22" s="108" t="inlineStr">
        <is>
          <t>Policy or Regulatory Framework</t>
        </is>
      </c>
      <c r="B22" s="108" t="inlineStr">
        <is>
          <t>Policies, regulations, strategies, plans, or frameworks developed, approved, implemented, or strengthened.</t>
        </is>
      </c>
    </row>
    <row r="23">
      <c r="A23" s="108" t="inlineStr">
        <is>
          <t>GHG Emissions Reduction</t>
        </is>
      </c>
      <c r="B23" s="108" t="inlineStr">
        <is>
          <t>Greenhouse gas emissions reduced or mitigated, in tCO2e.</t>
        </is>
      </c>
    </row>
    <row r="24">
      <c r="A24" s="108" t="inlineStr">
        <is>
          <t>Other</t>
        </is>
      </c>
      <c r="B24" s="108"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2023-05-05T09:33:41Z</dcterms:created>
  <dcterms:modified xmlns:dcterms="http://purl.org/dc/terms/" xmlns:xsi="http://www.w3.org/2001/XMLSchema-instance" xsi:type="dcterms:W3CDTF">2026-06-10T12:20:17Z</dcterms:modified>
  <cp:lastModifiedBy>Danae franco Lopera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