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8318"/>
  <workbookPr defaultThemeVersion="124226"/>
  <xr:revisionPtr revIDLastSave="363" documentId="11_404414F4C0F5DF2EDFC462D05D4E4B06780614A9" xr6:coauthVersionLast="47" xr6:coauthVersionMax="47" xr10:uidLastSave="{E5B82D8F-D759-46AD-8F4C-5824440D6229}"/>
  <bookViews>
    <workbookView xWindow="240" yWindow="15" windowWidth="16095" windowHeight="9660" xr2:uid="{00000000-000D-0000-FFFF-FFFF00000000}"/>
  </bookViews>
  <sheets>
    <sheet name="Projects (3)" sheetId="4" r:id="rId1"/>
    <sheet name="Projects (2)" sheetId="3" state="hidden" r:id="rId2"/>
    <sheet name="Projects" sheetId="1" state="hidden" r:id="rId3"/>
    <sheet name="Beneficiary Categories" sheetId="2" r:id="rId4"/>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6" i="1" l="1"/>
  <c r="J5" i="1"/>
  <c r="J4" i="1"/>
</calcChain>
</file>

<file path=xl/sharedStrings.xml><?xml version="1.0" encoding="utf-8"?>
<sst xmlns="http://schemas.openxmlformats.org/spreadsheetml/2006/main" count="263" uniqueCount="126">
  <si>
    <t>Project ID</t>
  </si>
  <si>
    <t>Title</t>
  </si>
  <si>
    <t>Link</t>
  </si>
  <si>
    <t>Budget</t>
  </si>
  <si>
    <t>Beneficiary Category</t>
  </si>
  <si>
    <t>Indicator</t>
  </si>
  <si>
    <t>Baseline</t>
  </si>
  <si>
    <t>Target</t>
  </si>
  <si>
    <t>Notes</t>
  </si>
  <si>
    <t>Donors</t>
  </si>
  <si>
    <t>Gender (% female)</t>
  </si>
  <si>
    <t>VF or Non-VF</t>
  </si>
  <si>
    <t>Tag</t>
  </si>
  <si>
    <t>SEH Taxonomy</t>
  </si>
  <si>
    <t>RISE Taxonomy</t>
  </si>
  <si>
    <t>Flagship</t>
  </si>
  <si>
    <t>Indirect Category</t>
  </si>
  <si>
    <t>Indirect Taxonomy</t>
  </si>
  <si>
    <t>Technology</t>
  </si>
  <si>
    <t>Policy or Regulatory Framework</t>
  </si>
  <si>
    <t>Policy Population</t>
  </si>
  <si>
    <t>National child project under the GEF African Minigrid Program</t>
  </si>
  <si>
    <t>PIMS+</t>
  </si>
  <si>
    <t>Electricity Access</t>
  </si>
  <si>
    <t xml:space="preserve">
number of direct beneficiaries with access to clean, affordable and sustainable energy through mini-grids, broken down by gender and customer segment (residential) (number of people).</t>
  </si>
  <si>
    <t>En cours</t>
  </si>
  <si>
    <t>GEF</t>
  </si>
  <si>
    <t>VF</t>
  </si>
  <si>
    <t>Close the gap on energy access</t>
  </si>
  <si>
    <t>AMP</t>
  </si>
  <si>
    <t>Solar</t>
  </si>
  <si>
    <t>Energy (MW added)</t>
  </si>
  <si>
    <t xml:space="preserve">
increase in installed renewable energy capacity by technology (peak megawatt (MW)</t>
  </si>
  <si>
    <t>Double counted from access number</t>
  </si>
  <si>
    <t>Health Services</t>
  </si>
  <si>
    <t>Number of beneficiaries</t>
  </si>
  <si>
    <t>Education Services</t>
  </si>
  <si>
    <t>Small Enterprises</t>
  </si>
  <si>
    <t>Other Energy Services</t>
  </si>
  <si>
    <t xml:space="preserve">
number of direct primary jobs created in the MG sector, disaggregated by gender, for [the development, operation and productive use of the mini-grid]</t>
  </si>
  <si>
    <t xml:space="preserve">490
</t>
  </si>
  <si>
    <t>Number of policy de-risking instruments for investments in mini grids - the development of which was supported by the project - identified and approved by the national government.</t>
  </si>
  <si>
    <t>National Strategy</t>
  </si>
  <si>
    <t>National</t>
  </si>
  <si>
    <t>Projet tranfrontalier Burkina RCI-UNDP-BFA-00129636</t>
  </si>
  <si>
    <t>https://open.undp.org/projects/00134067</t>
  </si>
  <si>
    <t>Close</t>
  </si>
  <si>
    <t>Non-VF</t>
  </si>
  <si>
    <t>Accelerating just energy transition</t>
  </si>
  <si>
    <t>Collaborate and Innovate-UNDP-BFA-00127230</t>
  </si>
  <si>
    <t>https://open.undp.org/projects/00136271</t>
  </si>
  <si>
    <t>Category</t>
  </si>
  <si>
    <t>Comments</t>
  </si>
  <si>
    <t xml:space="preserve">nombre de bénéficiaires directs ayant accès à une énergie propre, abordable et durable grâce aux mini réseaux, ventilé par sexe et par segment de clientèle (résidentiel) (nombre de personnes). </t>
  </si>
  <si>
    <t xml:space="preserve">augmentation de la capacité installée d'énergie renouvelable par technologie (mégawatt crête (MW)) </t>
  </si>
  <si>
    <t>Renewable Energy</t>
  </si>
  <si>
    <t>Energy Efficiency</t>
  </si>
  <si>
    <t xml:space="preserve">nombre d'emplois primaires directs créés dans le secteur MG, ventilés par sexe, pour [le développement, l'exploitation et l'utilisation productive du mini réseau].  </t>
  </si>
  <si>
    <t xml:space="preserve">Nombre d'instruments de dérisque politique pour les investissements dans les mini réseaux - dont le développement a été soutenu par le projet - identifiés et approuvés par le gouvernement national.  </t>
  </si>
  <si>
    <t>Incentives and Support</t>
  </si>
  <si>
    <t xml:space="preserve">141579
</t>
  </si>
  <si>
    <t xml:space="preserve"> 407 000 pour cette année 
</t>
  </si>
  <si>
    <t>Electricity Acccess</t>
  </si>
  <si>
    <t xml:space="preserve">10 874: 5 564 bénéficiaires directs (2 782 bénéficiaires masculins ; 
2 782 femmes bénéficiaires 
) + 5 310 résidentiels </t>
  </si>
  <si>
    <t>Cible non en encore atteinte en 2024. Mini reseaux non encore installés processus en cours</t>
  </si>
  <si>
    <t xml:space="preserve">Ici c'est le nombre de personne qui auront accès à l'énergie dans leur domicile. </t>
  </si>
  <si>
    <t>0,4 MW (solaire PV) 1 MWh (stockage)</t>
  </si>
  <si>
    <t>Localités identifiés mais aucune installation à ce jour</t>
  </si>
  <si>
    <t>Nombre de centre de santé ruraux raccordés</t>
  </si>
  <si>
    <t>Please specify the number of beneficiaries of an average  centre de sante ruraux</t>
  </si>
  <si>
    <t>Education servive</t>
  </si>
  <si>
    <t>Nombre d'écoles raccordées</t>
  </si>
  <si>
    <t>Please specify the number of benefiuciaries of an average d'écoles</t>
  </si>
  <si>
    <t>small entreprises</t>
  </si>
  <si>
    <t>Nombre de micro et petites entreprises raccordés au mini réseaux</t>
  </si>
  <si>
    <t>Others</t>
  </si>
  <si>
    <t xml:space="preserve">70 emplois primaires dans le développement du mini réseau (25 femmes et 45 hommes) 
 20 emplois primaires créés dans l'exploitation des mini réseaux (10 femmes 
et 10 hommes) 
 400 emplois primaires à caractère productif (femmes 260 et hommes 140) 
</t>
  </si>
  <si>
    <t>En cours non effectif à ce jour</t>
  </si>
  <si>
    <t>02 DREI</t>
  </si>
  <si>
    <t xml:space="preserve">Le plan d'action DREI qui comporte 13 actions en cours de mise en oeuvre.   01 DREI sur les procedures d'importation en cours; 01 DREI sur l'utilisation du numériques; 01 DREI sur les normes qualités des équipements </t>
  </si>
  <si>
    <t>Nombre de poste de police de gendramerie et forestiers à la frontière entre le Burkina et la Côte d'ivoire ayant accès à l'énergie solaire</t>
  </si>
  <si>
    <t>Projet cloturé sur les aspects énergies</t>
  </si>
  <si>
    <t>=8*20   environ 20 bénéficiaures directs par poste</t>
  </si>
  <si>
    <t>Please specify the number of beneficiaries of an average poste de police de gendramerie et forestiers</t>
  </si>
  <si>
    <t>Projet toujours en cours mais plus focus sur l'énergie</t>
  </si>
  <si>
    <t>Electricity acccess/Productive use of energy</t>
  </si>
  <si>
    <t>Nombre de chambre froide et de fabrique de glace fonctionnant à l'énergie solaire installé dans les régions</t>
  </si>
  <si>
    <t>3 Chambres froides positives de 35m3 chacune et 03 fabrique de glace de 2m3 Chacune installée dans 3 régions</t>
  </si>
  <si>
    <t>240 directs et 500 indirects 90 à Kaya; 90 à Ouahigouya et 60 à Fada</t>
  </si>
  <si>
    <t xml:space="preserve">Please specify the number of beneficiaries  of each chambre froide et de fabrique de glace </t>
  </si>
  <si>
    <t>projet cloturé</t>
  </si>
  <si>
    <t>Number of people, disaggregated by sex, who gain access to clean electricity (direct access to electricity, lighting, cooling, etc.) </t>
  </si>
  <si>
    <t>Number of MW installed capacity</t>
  </si>
  <si>
    <t>Clean Cooking</t>
  </si>
  <si>
    <t>Number of people who gain access to clean cooking (direct access to clean cook stoves, clean fuels, biomass, etc.).</t>
  </si>
  <si>
    <t>Clean Heating</t>
  </si>
  <si>
    <t>Number of people who gain access to clean heating (direct access to clean electric heaters, clean fuels, etc.).</t>
  </si>
  <si>
    <t>Agriculture and Food System</t>
  </si>
  <si>
    <t>Number of people who gain access to clean, affordable, and sustainable electricity for agricultural and food system activities (direct access to power machines for crop, processing, milling, grinding, de-husking, pressing, canning, sealing and packaging electricity, heating, cooling, solar water pumping for irrigation etc.) </t>
  </si>
  <si>
    <t>Number of people who gain access to health care facilities (direct access to electricity and heating systems for clinics, hospitals, health centers etc.) </t>
  </si>
  <si>
    <t>Water Services</t>
  </si>
  <si>
    <t>Number of people who gain access to water services (powering water pumps, water distributions, waste management, etc.).  </t>
  </si>
  <si>
    <t>Number of people who gain access to education services through clean energy systems (including students, teachers, etc.) </t>
  </si>
  <si>
    <t>Transportation and E-mobility Services</t>
  </si>
  <si>
    <t xml:space="preserve">Number of MJ saved from transport and e-mobility interventions (e.g., electric vehicles, charging stations, etc.)  </t>
  </si>
  <si>
    <t>Energy Efficiency Services</t>
  </si>
  <si>
    <t xml:space="preserve">Number of MJ saved from energy efficiency interventions (e.g., building efficiency, industries, etc.)  </t>
  </si>
  <si>
    <t>Energy Infrastructure Services</t>
  </si>
  <si>
    <t>Number of people who benefits from energy infrastructure interventions (streetlight, transmission, and distribution lines, etc.) </t>
  </si>
  <si>
    <t>Access to other service (electric vehicles, industries efficiency etc.)</t>
  </si>
  <si>
    <t xml:space="preserve">Financing support </t>
  </si>
  <si>
    <t xml:space="preserve">Support for the development of market ecosystem </t>
  </si>
  <si>
    <t>Medium Enterprises</t>
  </si>
  <si>
    <t>Support for the development of medium enterprises in the energy transition market</t>
  </si>
  <si>
    <t>Support for the development of small enterprises in the energy transition market</t>
  </si>
  <si>
    <t>Capacity Building Training</t>
  </si>
  <si>
    <t>Number of people who benefits from training for enterprises on the energy business and energy finance. </t>
  </si>
  <si>
    <t>Entrepreneurship Training</t>
  </si>
  <si>
    <t>Training for enterprises on the energy business is assumed to result in at least 100 direct beneficiaries</t>
  </si>
  <si>
    <t>Market Intervention</t>
  </si>
  <si>
    <t xml:space="preserve">Volume of investment (US dollars) leverage removing barriers to private and public investment in clean, reliable, affordable, and sustainable energy solutions and energy efficiency for social infrastructure, productive use of electricity and other services </t>
  </si>
  <si>
    <t>Campaign Participant</t>
  </si>
  <si>
    <t>Individuals who participate in advocacy and campaign on energy</t>
  </si>
  <si>
    <t xml:space="preserve">Number of people supported by policy and regulatory framework development on clean, affordable, and sustainable energy </t>
  </si>
  <si>
    <t>Other</t>
  </si>
  <si>
    <t>Any other type of beneficiary (please specify justification in Notes)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</si>
</sst>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color theme="1"/>
      <name val="Calibri"/>
      <family val="2"/>
      <scheme val="minor"/>
    </font>
    <font>
      <sz val="11"/>
      <color theme="1"/>
      <name val="Calibri"/>
      <scheme val="minor"/>
    </font>
    <font>
      <b/>
      <sz val="11"/>
      <color theme="1"/>
      <name val="Calibri"/>
      <family val="2"/>
      <scheme val="minor"/>
    </font>
    <font>
      <sz val="11"/>
      <color rgb="FF444444"/>
      <name val="Calibri"/>
      <family val="2"/>
      <charset val="1"/>
    </font>
    <font>
      <sz val="11"/>
      <color rgb="FF000000"/>
      <name val="Calibri"/>
      <charset val="1"/>
    </font>
    <font>
      <sz val="11"/>
      <color rgb="FFFF0000"/>
      <name val="Calibri"/>
      <family val="2"/>
      <scheme val="minor"/>
    </font>
    <font>
      <b/>
      <sz val="11"/>
      <color rgb="FFFF0000"/>
      <name val="Calibri"/>
      <family val="2"/>
      <scheme val="minor"/>
    </font>
    <font>
      <b/>
      <sz val="11"/>
      <color rgb="FFFF0000"/>
      <name val="Calibri"/>
      <family val="2"/>
    </font>
    <font>
      <sz val="11"/>
      <color rgb="FF000000"/>
      <name val="Calibri"/>
      <family val="2"/>
      <scheme val="minor"/>
    </font>
    <font>
      <u/>
      <sz val="11"/>
      <color theme="10"/>
      <name val="Calibri"/>
      <family val="2"/>
      <scheme val="minor"/>
    </font>
    <font>
      <b/>
      <sz val="11"/>
      <color theme="1"/>
      <name val="Calibri"/>
      <scheme val="minor"/>
    </font>
    <font>
      <sz val="11"/>
      <color rgb="FF000000"/>
      <name val="Calibri"/>
      <scheme val="minor"/>
    </font>
  </fonts>
  <fills count="6">
    <fill>
      <patternFill patternType="none"/>
    </fill>
    <fill>
      <patternFill patternType="gray125"/>
    </fill>
    <fill>
      <patternFill patternType="solid">
        <fgColor rgb="FFFFE497"/>
        <bgColor indexed="64"/>
      </patternFill>
    </fill>
    <fill>
      <patternFill patternType="solid">
        <fgColor rgb="FFFFFFFF"/>
        <bgColor indexed="64"/>
      </patternFill>
    </fill>
    <fill>
      <patternFill patternType="solid">
        <fgColor rgb="FFFFFF00"/>
        <bgColor indexed="64"/>
      </patternFill>
    </fill>
    <fill>
      <patternFill patternType="solid">
        <fgColor theme="6"/>
        <bgColor indexed="64"/>
      </patternFill>
    </fill>
  </fills>
  <borders count="8">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
      <left/>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s>
  <cellStyleXfs count="2">
    <xf numFmtId="0" fontId="0" fillId="0" borderId="0"/>
    <xf numFmtId="0" fontId="9" fillId="0" borderId="0" applyNumberFormat="0" applyFill="0" applyBorder="0" applyAlignment="0" applyProtection="0"/>
  </cellStyleXfs>
  <cellXfs count="53">
    <xf numFmtId="0" fontId="0" fillId="0" borderId="0" xfId="0"/>
    <xf numFmtId="0" fontId="2" fillId="0" borderId="1" xfId="0" applyFont="1" applyBorder="1" applyAlignment="1">
      <alignment horizontal="center" vertical="top"/>
    </xf>
    <xf numFmtId="0" fontId="0" fillId="2" borderId="0" xfId="0" applyFill="1"/>
    <xf numFmtId="0" fontId="0" fillId="0" borderId="0" xfId="0" applyAlignment="1">
      <alignment wrapText="1"/>
    </xf>
    <xf numFmtId="0" fontId="0" fillId="0" borderId="0" xfId="0" applyAlignment="1">
      <alignment horizontal="center"/>
    </xf>
    <xf numFmtId="0" fontId="0" fillId="0" borderId="0" xfId="0" applyAlignment="1">
      <alignment horizontal="center" vertical="center"/>
    </xf>
    <xf numFmtId="0" fontId="4" fillId="3" borderId="0" xfId="0" applyFont="1" applyFill="1" applyAlignment="1">
      <alignment horizontal="center" vertical="center" wrapText="1"/>
    </xf>
    <xf numFmtId="0" fontId="0" fillId="0" borderId="0" xfId="0" applyAlignment="1">
      <alignment horizontal="left" vertical="center" wrapText="1"/>
    </xf>
    <xf numFmtId="0" fontId="0" fillId="2" borderId="0" xfId="0" applyFill="1" applyAlignment="1">
      <alignment wrapText="1"/>
    </xf>
    <xf numFmtId="0" fontId="0" fillId="2" borderId="0" xfId="0" applyFill="1" applyAlignment="1">
      <alignment vertical="center" wrapText="1"/>
    </xf>
    <xf numFmtId="0" fontId="4" fillId="3" borderId="2" xfId="0" applyFont="1" applyFill="1" applyBorder="1" applyAlignment="1">
      <alignment horizontal="center" vertical="center"/>
    </xf>
    <xf numFmtId="0" fontId="0" fillId="0" borderId="0" xfId="0" applyAlignment="1">
      <alignment vertical="center" wrapText="1"/>
    </xf>
    <xf numFmtId="0" fontId="3" fillId="0" borderId="0" xfId="0" applyFont="1" applyAlignment="1">
      <alignment vertical="center" wrapText="1"/>
    </xf>
    <xf numFmtId="0" fontId="0" fillId="0" borderId="0" xfId="0" applyAlignment="1">
      <alignment vertical="center"/>
    </xf>
    <xf numFmtId="0" fontId="0" fillId="2" borderId="0" xfId="0" applyFill="1" applyAlignment="1">
      <alignment vertical="center"/>
    </xf>
    <xf numFmtId="0" fontId="2" fillId="0" borderId="3" xfId="0" applyFont="1" applyBorder="1"/>
    <xf numFmtId="0" fontId="5" fillId="0" borderId="0" xfId="0" applyFont="1"/>
    <xf numFmtId="0" fontId="7" fillId="0" borderId="0" xfId="0" applyFont="1"/>
    <xf numFmtId="0" fontId="6" fillId="4" borderId="0" xfId="0" applyFont="1" applyFill="1"/>
    <xf numFmtId="0" fontId="6" fillId="4" borderId="0" xfId="0" applyFont="1" applyFill="1" applyAlignment="1">
      <alignment vertical="center" wrapText="1"/>
    </xf>
    <xf numFmtId="0" fontId="4" fillId="0" borderId="0" xfId="0" applyFont="1"/>
    <xf numFmtId="0" fontId="6" fillId="0" borderId="0" xfId="0" applyFont="1" applyAlignment="1">
      <alignment horizontal="center" vertical="center"/>
    </xf>
    <xf numFmtId="0" fontId="6" fillId="0" borderId="0" xfId="0" applyFont="1" applyAlignment="1">
      <alignment vertical="center" wrapText="1"/>
    </xf>
    <xf numFmtId="0" fontId="2" fillId="0" borderId="0" xfId="0" applyFont="1"/>
    <xf numFmtId="9" fontId="0" fillId="0" borderId="0" xfId="0" applyNumberFormat="1"/>
    <xf numFmtId="0" fontId="8" fillId="0" borderId="0" xfId="0" applyFont="1"/>
    <xf numFmtId="0" fontId="4" fillId="3" borderId="2" xfId="0" applyFont="1" applyFill="1" applyBorder="1" applyAlignment="1">
      <alignment horizontal="center" vertical="center" wrapText="1"/>
    </xf>
    <xf numFmtId="0" fontId="0" fillId="0" borderId="2" xfId="0" applyBorder="1" applyAlignment="1">
      <alignment horizontal="center" vertical="center" wrapText="1"/>
    </xf>
    <xf numFmtId="0" fontId="6" fillId="0" borderId="2" xfId="0" applyFont="1" applyBorder="1" applyAlignment="1">
      <alignment horizontal="center" vertical="center" wrapText="1"/>
    </xf>
    <xf numFmtId="0" fontId="0" fillId="2" borderId="2" xfId="0" applyFill="1" applyBorder="1" applyAlignment="1">
      <alignment horizontal="center" vertical="center" wrapText="1"/>
    </xf>
    <xf numFmtId="0" fontId="0" fillId="0" borderId="2" xfId="0" applyBorder="1" applyAlignment="1">
      <alignment horizontal="center" vertical="center"/>
    </xf>
    <xf numFmtId="0" fontId="0" fillId="0" borderId="4" xfId="0" applyBorder="1" applyAlignment="1">
      <alignment horizontal="center" vertical="center" wrapText="1"/>
    </xf>
    <xf numFmtId="0" fontId="8" fillId="0" borderId="2" xfId="0" applyFont="1" applyBorder="1" applyAlignment="1">
      <alignment horizontal="center" vertical="center" wrapText="1"/>
    </xf>
    <xf numFmtId="9" fontId="0" fillId="0" borderId="2" xfId="0" applyNumberFormat="1" applyBorder="1" applyAlignment="1">
      <alignment horizontal="center" vertical="center" wrapText="1"/>
    </xf>
    <xf numFmtId="0" fontId="4" fillId="0" borderId="2" xfId="0" applyFont="1" applyBorder="1" applyAlignment="1">
      <alignment horizontal="center" vertical="center" wrapText="1"/>
    </xf>
    <xf numFmtId="0" fontId="7" fillId="0" borderId="2" xfId="0" applyFont="1" applyBorder="1" applyAlignment="1">
      <alignment horizontal="center" vertical="center" wrapText="1"/>
    </xf>
    <xf numFmtId="0" fontId="9" fillId="0" borderId="2" xfId="1" applyBorder="1" applyAlignment="1">
      <alignment horizontal="center" vertical="center" wrapText="1"/>
    </xf>
    <xf numFmtId="0" fontId="2" fillId="0" borderId="2" xfId="0" applyFont="1" applyBorder="1" applyAlignment="1">
      <alignment horizontal="center" vertical="center" wrapText="1"/>
    </xf>
    <xf numFmtId="0" fontId="2" fillId="0" borderId="4" xfId="0" applyFont="1" applyBorder="1" applyAlignment="1">
      <alignment horizontal="center" vertical="center" wrapText="1"/>
    </xf>
    <xf numFmtId="0" fontId="10" fillId="0" borderId="2" xfId="0" applyFont="1" applyBorder="1" applyAlignment="1">
      <alignment horizontal="center" vertical="top" wrapText="1"/>
    </xf>
    <xf numFmtId="0" fontId="11" fillId="0" borderId="2" xfId="0" applyFont="1" applyBorder="1" applyAlignment="1">
      <alignment wrapText="1"/>
    </xf>
    <xf numFmtId="0" fontId="2" fillId="0" borderId="2" xfId="0" applyFont="1" applyBorder="1" applyAlignment="1">
      <alignment horizontal="center"/>
    </xf>
    <xf numFmtId="0" fontId="2" fillId="0" borderId="5" xfId="0" applyFont="1" applyBorder="1" applyAlignment="1">
      <alignment horizontal="center"/>
    </xf>
    <xf numFmtId="0" fontId="2" fillId="0" borderId="6" xfId="0" applyFont="1" applyBorder="1" applyAlignment="1">
      <alignment horizontal="center"/>
    </xf>
    <xf numFmtId="0" fontId="2" fillId="0" borderId="5" xfId="0" applyFont="1" applyBorder="1"/>
    <xf numFmtId="0" fontId="0" fillId="0" borderId="7" xfId="0" applyBorder="1" applyAlignment="1">
      <alignment horizontal="center" vertical="center"/>
    </xf>
    <xf numFmtId="0" fontId="0" fillId="0" borderId="2" xfId="0" applyBorder="1" applyAlignment="1">
      <alignment vertical="center"/>
    </xf>
    <xf numFmtId="0" fontId="0" fillId="4" borderId="2" xfId="0" applyFill="1" applyBorder="1" applyAlignment="1">
      <alignment horizontal="center" vertical="center" wrapText="1"/>
    </xf>
    <xf numFmtId="0" fontId="0" fillId="5" borderId="0" xfId="0" applyFill="1" applyAlignment="1">
      <alignment wrapText="1"/>
    </xf>
    <xf numFmtId="0" fontId="0" fillId="5" borderId="0" xfId="0" applyFill="1"/>
    <xf numFmtId="0" fontId="1" fillId="0" borderId="2" xfId="0" applyFont="1" applyBorder="1" applyAlignment="1">
      <alignment horizontal="left" vertical="center" wrapText="1"/>
    </xf>
    <xf numFmtId="0" fontId="1" fillId="0" borderId="2" xfId="0" applyFont="1" applyBorder="1" applyAlignment="1">
      <alignment wrapText="1"/>
    </xf>
    <xf numFmtId="0" fontId="1" fillId="0" borderId="2" xfId="0" applyFont="1" applyBorder="1" applyAlignment="1">
      <alignment vertical="center" wrapText="1"/>
    </xf>
  </cellXfs>
  <cellStyles count="2">
    <cellStyle name="Hipervínculo"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hyperlink" Target="https://open.undp.org/projects/00136271" TargetMode="External"/><Relationship Id="rId1" Type="http://schemas.openxmlformats.org/officeDocument/2006/relationships/hyperlink" Target="https://open.undp.org/projects/00134067"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B53FB9-5F2C-4AA7-958F-19B1C15DAACF}">
  <dimension ref="A1:U10"/>
  <sheetViews>
    <sheetView tabSelected="1" workbookViewId="0">
      <pane xSplit="1" ySplit="1" topLeftCell="E3" activePane="bottomRight" state="frozen"/>
      <selection pane="bottomRight" activeCell="E7" sqref="E7"/>
      <selection pane="bottomLeft"/>
      <selection pane="topRight"/>
    </sheetView>
  </sheetViews>
  <sheetFormatPr defaultRowHeight="15"/>
  <cols>
    <col min="2" max="2" width="28.140625" customWidth="1"/>
    <col min="3" max="3" width="20.7109375" customWidth="1"/>
    <col min="5" max="6" width="20.7109375" customWidth="1"/>
    <col min="7" max="7" width="12.7109375" customWidth="1"/>
    <col min="8" max="8" width="16.7109375" customWidth="1"/>
    <col min="9" max="9" width="32.7109375" customWidth="1"/>
    <col min="10" max="10" width="19.42578125" customWidth="1"/>
    <col min="12" max="12" width="12.85546875" customWidth="1"/>
    <col min="14" max="14" width="14.42578125" bestFit="1" customWidth="1"/>
    <col min="15" max="15" width="14.85546875" bestFit="1" customWidth="1"/>
    <col min="16" max="16" width="8.42578125" bestFit="1" customWidth="1"/>
    <col min="17" max="17" width="16.5703125" bestFit="1" customWidth="1"/>
    <col min="18" max="18" width="18.140625" bestFit="1" customWidth="1"/>
    <col min="19" max="19" width="11.28515625" bestFit="1" customWidth="1"/>
    <col min="20" max="20" width="30.28515625" bestFit="1" customWidth="1"/>
    <col min="21" max="21" width="16.7109375" bestFit="1" customWidth="1"/>
  </cols>
  <sheetData>
    <row r="1" spans="1:21" ht="45.75">
      <c r="A1" s="37" t="s">
        <v>0</v>
      </c>
      <c r="B1" s="38" t="s">
        <v>1</v>
      </c>
      <c r="C1" s="37" t="s">
        <v>2</v>
      </c>
      <c r="D1" s="37" t="s">
        <v>3</v>
      </c>
      <c r="E1" s="37" t="s">
        <v>4</v>
      </c>
      <c r="F1" s="37" t="s">
        <v>5</v>
      </c>
      <c r="G1" s="37" t="s">
        <v>6</v>
      </c>
      <c r="H1" s="37" t="s">
        <v>7</v>
      </c>
      <c r="I1" s="37" t="s">
        <v>8</v>
      </c>
      <c r="J1" s="37" t="s">
        <v>9</v>
      </c>
      <c r="K1" s="37" t="s">
        <v>10</v>
      </c>
      <c r="L1" s="41" t="s">
        <v>11</v>
      </c>
      <c r="M1" s="42" t="s">
        <v>12</v>
      </c>
      <c r="N1" s="41" t="s">
        <v>13</v>
      </c>
      <c r="O1" s="41" t="s">
        <v>14</v>
      </c>
      <c r="P1" s="42" t="s">
        <v>15</v>
      </c>
      <c r="Q1" s="42" t="s">
        <v>16</v>
      </c>
      <c r="R1" s="43" t="s">
        <v>17</v>
      </c>
      <c r="S1" s="44" t="s">
        <v>18</v>
      </c>
      <c r="T1" s="43" t="s">
        <v>19</v>
      </c>
      <c r="U1" s="44" t="s">
        <v>20</v>
      </c>
    </row>
    <row r="2" spans="1:21" ht="167.25">
      <c r="A2" s="27">
        <v>6510</v>
      </c>
      <c r="B2" s="31" t="s">
        <v>21</v>
      </c>
      <c r="C2" s="27" t="s">
        <v>22</v>
      </c>
      <c r="D2" s="27">
        <v>924566</v>
      </c>
      <c r="E2" s="29" t="s">
        <v>23</v>
      </c>
      <c r="F2" s="29" t="s">
        <v>24</v>
      </c>
      <c r="G2" s="29"/>
      <c r="H2" s="29">
        <v>5564</v>
      </c>
      <c r="I2" s="29" t="s">
        <v>25</v>
      </c>
      <c r="J2" s="32" t="s">
        <v>26</v>
      </c>
      <c r="K2" s="33">
        <v>0.5</v>
      </c>
      <c r="L2" s="45" t="s">
        <v>27</v>
      </c>
      <c r="M2" s="30"/>
      <c r="N2" s="31" t="s">
        <v>28</v>
      </c>
      <c r="O2" s="30"/>
      <c r="P2" s="30" t="s">
        <v>29</v>
      </c>
      <c r="Q2" s="30"/>
      <c r="R2" s="30"/>
      <c r="S2" s="46" t="s">
        <v>30</v>
      </c>
      <c r="T2" s="30"/>
      <c r="U2" s="46"/>
    </row>
    <row r="3" spans="1:21" ht="76.5">
      <c r="A3" s="27"/>
      <c r="B3" s="31"/>
      <c r="C3" s="27"/>
      <c r="D3" s="27"/>
      <c r="E3" s="27" t="s">
        <v>31</v>
      </c>
      <c r="F3" s="27" t="s">
        <v>32</v>
      </c>
      <c r="G3" s="27">
        <v>0</v>
      </c>
      <c r="H3" s="26">
        <v>0.4</v>
      </c>
      <c r="I3" s="27" t="s">
        <v>33</v>
      </c>
      <c r="J3" s="32" t="s">
        <v>26</v>
      </c>
      <c r="K3" s="27"/>
      <c r="L3" s="45" t="s">
        <v>27</v>
      </c>
      <c r="M3" s="30"/>
      <c r="N3" s="31" t="s">
        <v>28</v>
      </c>
      <c r="O3" s="30"/>
      <c r="P3" s="30"/>
      <c r="Q3" s="30"/>
      <c r="R3" s="30"/>
      <c r="S3" s="46" t="s">
        <v>30</v>
      </c>
      <c r="T3" s="30"/>
      <c r="U3" s="46"/>
    </row>
    <row r="4" spans="1:21" ht="45.75">
      <c r="A4" s="27"/>
      <c r="B4" s="31"/>
      <c r="C4" s="27"/>
      <c r="D4" s="27"/>
      <c r="E4" s="27" t="s">
        <v>34</v>
      </c>
      <c r="F4" s="34" t="s">
        <v>35</v>
      </c>
      <c r="G4" s="27"/>
      <c r="H4" s="26">
        <v>4500</v>
      </c>
      <c r="I4" s="27"/>
      <c r="J4" s="32" t="s">
        <v>26</v>
      </c>
      <c r="K4" s="35"/>
      <c r="L4" s="45" t="s">
        <v>27</v>
      </c>
      <c r="M4" s="30"/>
      <c r="N4" s="31" t="s">
        <v>28</v>
      </c>
      <c r="O4" s="30"/>
      <c r="P4" s="30"/>
      <c r="Q4" s="30"/>
      <c r="R4" s="30"/>
      <c r="S4" s="46"/>
      <c r="T4" s="30"/>
      <c r="U4" s="46"/>
    </row>
    <row r="5" spans="1:21" ht="45.75">
      <c r="A5" s="27"/>
      <c r="B5" s="31"/>
      <c r="C5" s="27"/>
      <c r="D5" s="27"/>
      <c r="E5" s="27" t="s">
        <v>36</v>
      </c>
      <c r="F5" s="34" t="s">
        <v>35</v>
      </c>
      <c r="G5" s="27"/>
      <c r="H5" s="27">
        <v>27500</v>
      </c>
      <c r="I5" s="27"/>
      <c r="J5" s="32" t="s">
        <v>26</v>
      </c>
      <c r="K5" s="35">
        <v>60</v>
      </c>
      <c r="L5" s="45" t="s">
        <v>27</v>
      </c>
      <c r="M5" s="30"/>
      <c r="N5" s="31" t="s">
        <v>28</v>
      </c>
      <c r="O5" s="30"/>
      <c r="P5" s="30"/>
      <c r="Q5" s="30"/>
      <c r="R5" s="30"/>
      <c r="S5" s="46"/>
      <c r="T5" s="30"/>
      <c r="U5" s="46"/>
    </row>
    <row r="6" spans="1:21" ht="45.75">
      <c r="A6" s="27"/>
      <c r="B6" s="31"/>
      <c r="C6" s="27"/>
      <c r="D6" s="27"/>
      <c r="E6" s="27" t="s">
        <v>37</v>
      </c>
      <c r="F6" s="34" t="s">
        <v>35</v>
      </c>
      <c r="G6" s="27"/>
      <c r="H6" s="27">
        <v>4225</v>
      </c>
      <c r="I6" s="27"/>
      <c r="J6" s="32" t="s">
        <v>26</v>
      </c>
      <c r="K6" s="27"/>
      <c r="L6" s="45" t="s">
        <v>27</v>
      </c>
      <c r="M6" s="30"/>
      <c r="N6" s="31" t="s">
        <v>28</v>
      </c>
      <c r="O6" s="30"/>
      <c r="P6" s="30"/>
      <c r="Q6" s="30"/>
      <c r="R6" s="30"/>
      <c r="S6" s="46"/>
      <c r="T6" s="30"/>
      <c r="U6" s="46"/>
    </row>
    <row r="7" spans="1:21" ht="152.25">
      <c r="A7" s="27"/>
      <c r="B7" s="31"/>
      <c r="C7" s="27"/>
      <c r="D7" s="27"/>
      <c r="E7" s="47" t="s">
        <v>38</v>
      </c>
      <c r="F7" s="47" t="s">
        <v>39</v>
      </c>
      <c r="G7" s="47"/>
      <c r="H7" s="47" t="s">
        <v>40</v>
      </c>
      <c r="I7" s="27"/>
      <c r="J7" s="32" t="s">
        <v>26</v>
      </c>
      <c r="K7" s="33">
        <v>0.6</v>
      </c>
      <c r="L7" s="45" t="s">
        <v>27</v>
      </c>
      <c r="M7" s="30"/>
      <c r="N7" s="31" t="s">
        <v>28</v>
      </c>
      <c r="O7" s="30"/>
      <c r="P7" s="30"/>
      <c r="Q7" s="30"/>
      <c r="R7" s="30"/>
      <c r="S7" s="46"/>
      <c r="T7" s="30"/>
      <c r="U7" s="46"/>
    </row>
    <row r="8" spans="1:21" ht="137.25">
      <c r="A8" s="27"/>
      <c r="B8" s="31"/>
      <c r="C8" s="27"/>
      <c r="D8" s="27"/>
      <c r="E8" s="27" t="s">
        <v>19</v>
      </c>
      <c r="F8" s="27" t="s">
        <v>41</v>
      </c>
      <c r="G8" s="27"/>
      <c r="H8" s="27">
        <v>2</v>
      </c>
      <c r="I8" s="27"/>
      <c r="J8" s="32" t="s">
        <v>26</v>
      </c>
      <c r="K8" s="27"/>
      <c r="L8" s="45" t="s">
        <v>27</v>
      </c>
      <c r="M8" s="30"/>
      <c r="N8" s="31" t="s">
        <v>28</v>
      </c>
      <c r="O8" s="30" t="s">
        <v>23</v>
      </c>
      <c r="P8" s="30" t="s">
        <v>29</v>
      </c>
      <c r="Q8" s="30" t="s">
        <v>42</v>
      </c>
      <c r="R8" s="30" t="s">
        <v>23</v>
      </c>
      <c r="S8" s="46"/>
      <c r="T8" s="30" t="s">
        <v>43</v>
      </c>
      <c r="U8" s="46"/>
    </row>
    <row r="9" spans="1:21" ht="45.75">
      <c r="A9" s="27">
        <v>134067</v>
      </c>
      <c r="B9" s="31" t="s">
        <v>44</v>
      </c>
      <c r="C9" s="36" t="s">
        <v>45</v>
      </c>
      <c r="D9" s="27">
        <v>407000</v>
      </c>
      <c r="E9" s="27" t="s">
        <v>23</v>
      </c>
      <c r="F9" s="34" t="s">
        <v>35</v>
      </c>
      <c r="G9" s="27"/>
      <c r="H9" s="27"/>
      <c r="I9" s="27" t="s">
        <v>46</v>
      </c>
      <c r="J9" s="28"/>
      <c r="K9" s="35"/>
      <c r="L9" s="45" t="s">
        <v>47</v>
      </c>
      <c r="M9" s="30"/>
      <c r="N9" s="31" t="s">
        <v>48</v>
      </c>
      <c r="O9" s="30"/>
      <c r="P9" s="30"/>
      <c r="Q9" s="30"/>
      <c r="R9" s="30"/>
      <c r="S9" s="46"/>
      <c r="T9" s="30"/>
      <c r="U9" s="46"/>
    </row>
    <row r="10" spans="1:21" ht="45.75">
      <c r="A10" s="27">
        <v>136271</v>
      </c>
      <c r="B10" s="31" t="s">
        <v>49</v>
      </c>
      <c r="C10" s="36" t="s">
        <v>50</v>
      </c>
      <c r="D10" s="27">
        <v>1510000</v>
      </c>
      <c r="E10" s="27" t="s">
        <v>23</v>
      </c>
      <c r="F10" s="34" t="s">
        <v>35</v>
      </c>
      <c r="G10" s="27"/>
      <c r="H10" s="27"/>
      <c r="I10" s="27" t="s">
        <v>46</v>
      </c>
      <c r="J10" s="28"/>
      <c r="K10" s="35"/>
      <c r="L10" s="45" t="s">
        <v>47</v>
      </c>
      <c r="M10" s="30"/>
      <c r="N10" s="31" t="s">
        <v>48</v>
      </c>
      <c r="O10" s="30"/>
      <c r="P10" s="30"/>
      <c r="Q10" s="30"/>
      <c r="R10" s="30"/>
      <c r="S10" s="46"/>
      <c r="T10" s="30"/>
      <c r="U10" s="46"/>
    </row>
  </sheetData>
  <dataValidations count="11">
    <dataValidation type="list" allowBlank="1" showInputMessage="1" showErrorMessage="1" sqref="P11:Q28" xr:uid="{F512BB5E-6F69-47C8-92B3-1BDE3728A771}">
      <formula1>"Electricity Access, Energy Efficiency, Clean Cooking, Renewable Energy"</formula1>
    </dataValidation>
    <dataValidation type="list" allowBlank="1" showInputMessage="1" showErrorMessage="1" sqref="S11:S28" xr:uid="{6B3037E5-67B4-41BC-ACDE-2751603E6F41}">
      <formula1>"Electricity Access, Energy Efficiency, Renewable EnergyEnergy Infrastructure,   Transport, Digital &amp; Data, Clean Cooking, Decarbonization, Hydrogen, Off-Grid, On-Grid"</formula1>
    </dataValidation>
    <dataValidation type="list" allowBlank="1" showInputMessage="1" showErrorMessage="1" sqref="Q2:Q10" xr:uid="{F072E137-34FF-4CC2-BFBB-F7C9287D6471}">
      <formula1>"NDC Support, National Strategy, Legal Framework,Incentives and Support, Government Capacity-Building, Carbon Pricing and Monitoring, Financing Model, Business Model"</formula1>
    </dataValidation>
    <dataValidation type="list" allowBlank="1" showInputMessage="1" showErrorMessage="1" sqref="R11:R28 P2:P10" xr:uid="{AD808809-A551-460D-8AB1-9A402721362A}">
      <formula1>"AMP, PUDC, Solar4Health, Action Opportunities, Italy UNDP Energy Partnership"</formula1>
    </dataValidation>
    <dataValidation type="list" allowBlank="1" showInputMessage="1" showErrorMessage="1" sqref="O11:O28 N2:N10" xr:uid="{765B724D-16D4-4F35-AE7C-211351DFB2E3}">
      <formula1>"Accelerating just energy transition, Close the gap on energy access, Scale up energy finance"</formula1>
    </dataValidation>
    <dataValidation type="list" allowBlank="1" showInputMessage="1" showErrorMessage="1" sqref="O2:O10" xr:uid="{C2AC054F-17C3-49B6-A182-7315C35251A5}">
      <formula1>"Electricity Access, Energy Efficiency, Clean Cooking, Renewable Energy, Overall"</formula1>
    </dataValidation>
    <dataValidation type="list" allowBlank="1" showInputMessage="1" showErrorMessage="1" sqref="L2:L10" xr:uid="{77E94788-25F0-4563-849B-F39B57302700}">
      <formula1>"Non-VF, VF"</formula1>
    </dataValidation>
    <dataValidation type="list" allowBlank="1" showInputMessage="1" showErrorMessage="1" sqref="M2:M10" xr:uid="{6CCAA9F5-AA45-4C15-8602-DBA35E112090}">
      <formula1>"Finance, Gender, Efficiency, Just, Health"</formula1>
    </dataValidation>
    <dataValidation type="list" allowBlank="1" showInputMessage="1" showErrorMessage="1" sqref="T2:T10" xr:uid="{836D6EE0-891B-4F79-9A0F-2F35C93E6F87}">
      <formula1>"National, Regional, City, Community"</formula1>
    </dataValidation>
    <dataValidation type="list" allowBlank="1" showInputMessage="1" showErrorMessage="1" sqref="S2:S10" xr:uid="{AA428126-A8B4-42BA-A5A7-5693AC963EC6}">
      <formula1>"Solar, Wind, Bioenergy, Hydro, Geothermal, Waste, Other, Unknown"</formula1>
    </dataValidation>
    <dataValidation type="list" allowBlank="1" showInputMessage="1" showErrorMessage="1" sqref="R2:R10" xr:uid="{48D49E46-E6FB-4E94-A2FF-D5163DE9D6A8}">
      <formula1>"Electricity Access, Energy Efficiency, Renewable Energy, Infrastructure,  Transport, Digital &amp; Data, Clean Cooking, Decarbonization, Hydrogen, Off-Grid, On-Grid, Research &amp; Innovation, Grant &amp; Investment"</formula1>
    </dataValidation>
  </dataValidations>
  <hyperlinks>
    <hyperlink ref="C9" r:id="rId1" xr:uid="{CE6A39F7-889B-4E9A-9819-BA923D67C7AB}"/>
    <hyperlink ref="C10" r:id="rId2" xr:uid="{6EF10CB4-FA9C-4137-88F4-142D6A509684}"/>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52AE555-2D57-495F-B866-F01B8964CD51}">
          <x14:formula1>
            <xm:f>'Beneficiary Categories'!$A$2:$A$22</xm:f>
          </x14:formula1>
          <xm:sqref>E2:E10</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5ACD07-0572-43C4-ACDB-D8CF62D50CA2}">
  <dimension ref="A1:T10"/>
  <sheetViews>
    <sheetView workbookViewId="0">
      <selection activeCell="C8" sqref="C8"/>
    </sheetView>
  </sheetViews>
  <sheetFormatPr defaultRowHeight="15"/>
  <cols>
    <col min="2" max="2" width="28.140625" customWidth="1"/>
    <col min="3" max="3" width="20.7109375" customWidth="1"/>
    <col min="5" max="6" width="20.7109375" customWidth="1"/>
    <col min="7" max="7" width="12.7109375" customWidth="1"/>
    <col min="8" max="8" width="16.7109375" customWidth="1"/>
    <col min="9" max="9" width="32.7109375" customWidth="1"/>
    <col min="10" max="10" width="19.42578125" customWidth="1"/>
  </cols>
  <sheetData>
    <row r="1" spans="1:20">
      <c r="A1" s="1" t="s">
        <v>0</v>
      </c>
      <c r="B1" s="1" t="s">
        <v>1</v>
      </c>
      <c r="C1" s="1" t="s">
        <v>2</v>
      </c>
      <c r="D1" s="1" t="s">
        <v>3</v>
      </c>
      <c r="E1" s="1" t="s">
        <v>4</v>
      </c>
      <c r="F1" s="1" t="s">
        <v>5</v>
      </c>
      <c r="G1" s="1" t="s">
        <v>6</v>
      </c>
      <c r="H1" s="1" t="s">
        <v>7</v>
      </c>
      <c r="I1" s="1" t="s">
        <v>8</v>
      </c>
      <c r="J1" s="23" t="s">
        <v>9</v>
      </c>
      <c r="K1" s="23" t="s">
        <v>10</v>
      </c>
      <c r="L1" s="23" t="s">
        <v>51</v>
      </c>
      <c r="M1" s="23" t="s">
        <v>52</v>
      </c>
      <c r="N1" s="23" t="s">
        <v>12</v>
      </c>
      <c r="O1" s="23" t="s">
        <v>13</v>
      </c>
      <c r="P1" s="23" t="s">
        <v>14</v>
      </c>
      <c r="Q1" s="23" t="s">
        <v>15</v>
      </c>
      <c r="R1" s="23" t="s">
        <v>16</v>
      </c>
      <c r="S1" s="23" t="s">
        <v>17</v>
      </c>
      <c r="T1" s="23"/>
    </row>
    <row r="2" spans="1:20" ht="167.25">
      <c r="A2" s="13">
        <v>6510</v>
      </c>
      <c r="B2" s="11" t="s">
        <v>21</v>
      </c>
      <c r="C2" s="13" t="s">
        <v>22</v>
      </c>
      <c r="D2" s="13">
        <v>924566</v>
      </c>
      <c r="E2" s="14" t="s">
        <v>23</v>
      </c>
      <c r="F2" s="8" t="s">
        <v>53</v>
      </c>
      <c r="G2" s="2"/>
      <c r="H2" s="9">
        <v>5564</v>
      </c>
      <c r="I2" s="2"/>
      <c r="J2" s="25" t="s">
        <v>26</v>
      </c>
      <c r="K2" s="24">
        <v>0.5</v>
      </c>
      <c r="L2" t="s">
        <v>27</v>
      </c>
      <c r="O2" t="s">
        <v>48</v>
      </c>
      <c r="P2" t="s">
        <v>23</v>
      </c>
      <c r="Q2" t="s">
        <v>29</v>
      </c>
    </row>
    <row r="3" spans="1:20" ht="106.5">
      <c r="E3" s="5" t="s">
        <v>31</v>
      </c>
      <c r="F3" s="7" t="s">
        <v>54</v>
      </c>
      <c r="G3">
        <v>0</v>
      </c>
      <c r="H3" s="6">
        <v>0.4</v>
      </c>
      <c r="J3" s="25" t="s">
        <v>26</v>
      </c>
      <c r="L3" t="s">
        <v>27</v>
      </c>
      <c r="O3" t="s">
        <v>28</v>
      </c>
      <c r="P3" t="s">
        <v>55</v>
      </c>
    </row>
    <row r="4" spans="1:20">
      <c r="E4" s="13" t="s">
        <v>34</v>
      </c>
      <c r="F4" s="20" t="s">
        <v>35</v>
      </c>
      <c r="H4" s="10">
        <v>4500</v>
      </c>
      <c r="J4" s="25" t="s">
        <v>26</v>
      </c>
      <c r="K4" s="17"/>
      <c r="L4" t="s">
        <v>27</v>
      </c>
      <c r="O4" t="s">
        <v>48</v>
      </c>
      <c r="P4" t="s">
        <v>56</v>
      </c>
    </row>
    <row r="5" spans="1:20">
      <c r="E5" s="13" t="s">
        <v>36</v>
      </c>
      <c r="F5" s="20" t="s">
        <v>35</v>
      </c>
      <c r="H5" s="4">
        <v>27500</v>
      </c>
      <c r="J5" s="25" t="s">
        <v>26</v>
      </c>
      <c r="K5" s="17"/>
      <c r="L5" t="s">
        <v>27</v>
      </c>
      <c r="O5" t="s">
        <v>48</v>
      </c>
      <c r="P5" t="s">
        <v>56</v>
      </c>
    </row>
    <row r="6" spans="1:20">
      <c r="E6" s="13" t="s">
        <v>37</v>
      </c>
      <c r="F6" s="20" t="s">
        <v>35</v>
      </c>
      <c r="H6" s="4">
        <v>4225</v>
      </c>
      <c r="J6" s="25" t="s">
        <v>26</v>
      </c>
      <c r="L6" t="s">
        <v>27</v>
      </c>
      <c r="O6" t="s">
        <v>48</v>
      </c>
      <c r="P6" t="s">
        <v>56</v>
      </c>
    </row>
    <row r="7" spans="1:20" ht="121.5">
      <c r="E7" s="11" t="s">
        <v>38</v>
      </c>
      <c r="F7" s="11" t="s">
        <v>57</v>
      </c>
      <c r="H7" s="3" t="s">
        <v>40</v>
      </c>
      <c r="J7" s="25" t="s">
        <v>26</v>
      </c>
      <c r="K7" s="24">
        <v>0.6</v>
      </c>
      <c r="L7" t="s">
        <v>27</v>
      </c>
      <c r="O7" t="s">
        <v>48</v>
      </c>
      <c r="P7" t="s">
        <v>23</v>
      </c>
    </row>
    <row r="8" spans="1:20" ht="167.25">
      <c r="E8" s="12" t="s">
        <v>19</v>
      </c>
      <c r="F8" s="3" t="s">
        <v>58</v>
      </c>
      <c r="H8" s="13">
        <v>2</v>
      </c>
      <c r="J8" s="25" t="s">
        <v>26</v>
      </c>
      <c r="L8" t="s">
        <v>27</v>
      </c>
      <c r="O8" t="s">
        <v>48</v>
      </c>
      <c r="P8" t="s">
        <v>23</v>
      </c>
      <c r="Q8" t="s">
        <v>29</v>
      </c>
      <c r="R8" t="s">
        <v>59</v>
      </c>
      <c r="S8" t="s">
        <v>23</v>
      </c>
    </row>
    <row r="9" spans="1:20" ht="76.5">
      <c r="A9" s="11" t="s">
        <v>60</v>
      </c>
      <c r="B9" s="13" t="s">
        <v>44</v>
      </c>
      <c r="D9" s="3" t="s">
        <v>61</v>
      </c>
      <c r="E9" s="12" t="s">
        <v>23</v>
      </c>
      <c r="F9" s="20" t="s">
        <v>35</v>
      </c>
      <c r="H9" s="5">
        <v>160</v>
      </c>
      <c r="J9" s="21"/>
      <c r="K9" s="17"/>
      <c r="O9" t="s">
        <v>48</v>
      </c>
      <c r="P9" t="s">
        <v>23</v>
      </c>
    </row>
    <row r="10" spans="1:20">
      <c r="A10" s="13">
        <v>127230</v>
      </c>
      <c r="B10" s="13" t="s">
        <v>49</v>
      </c>
      <c r="D10">
        <v>1510000</v>
      </c>
      <c r="E10" s="11" t="s">
        <v>62</v>
      </c>
      <c r="F10" s="20" t="s">
        <v>35</v>
      </c>
      <c r="H10" s="3">
        <v>240</v>
      </c>
      <c r="J10" s="22"/>
      <c r="K10" s="17"/>
      <c r="O10" t="s">
        <v>48</v>
      </c>
      <c r="P10" t="s">
        <v>23</v>
      </c>
    </row>
  </sheetData>
  <dataValidations count="5">
    <dataValidation type="list" allowBlank="1" showInputMessage="1" showErrorMessage="1" sqref="O2:O28" xr:uid="{2E8F767C-2806-4D23-A006-5C791EC4A8AE}">
      <formula1>"Accelerating just energy transition, Close the gap on energy access, Scale up energy finance"</formula1>
    </dataValidation>
    <dataValidation type="list" allowBlank="1" showInputMessage="1" showErrorMessage="1" sqref="P2:P28" xr:uid="{F87FF983-B690-4EEE-9E79-D93B33EC0EA4}">
      <formula1>"Electricity Access, Energy Efficiency, Clean Cooking, Renewable Energy"</formula1>
    </dataValidation>
    <dataValidation type="list" allowBlank="1" showInputMessage="1" showErrorMessage="1" sqref="Q2:Q28" xr:uid="{5DC191D0-749D-49B1-9E44-2617D6C7BF6F}">
      <formula1>"AMP, PUDC, Solar4Health, Action Opportunities, Italy UNDP Energy Partnership"</formula1>
    </dataValidation>
    <dataValidation type="list" allowBlank="1" showInputMessage="1" showErrorMessage="1" sqref="R2:R28" xr:uid="{3FDA3281-0781-47A9-95B8-2855218AD199}">
      <formula1>"NDC Support, National Strategy, Legal Framework,Incentives and Support, Government Capacity-Building, Carbon Pricing and Monitoring, Financing Model, Business Model"</formula1>
    </dataValidation>
    <dataValidation type="list" allowBlank="1" showInputMessage="1" showErrorMessage="1" sqref="S2:S28" xr:uid="{A028F42D-23DF-4B06-95F6-B42C8A602F35}">
      <formula1>"Electricity Access, Energy Efficiency, Renewable EnergyEnergy Infrastructure,   Transport, Digital &amp; Data, Clean Cooking, Decarbonization, Hydrogen, Off-Grid, On-Grid"</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10D2BFEC-E38C-4DF9-B837-A8388823FD91}">
          <x14:formula1>
            <xm:f>'Beneficiary Categories'!$A$2:$A$16</xm:f>
          </x14:formula1>
          <xm:sqref>E2:E4</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0"/>
  <sheetViews>
    <sheetView topLeftCell="B2" workbookViewId="0">
      <selection activeCell="E2" sqref="E2"/>
    </sheetView>
  </sheetViews>
  <sheetFormatPr defaultRowHeight="15"/>
  <cols>
    <col min="2" max="2" width="28.140625" customWidth="1"/>
    <col min="3" max="3" width="20.7109375" customWidth="1"/>
    <col min="5" max="6" width="20.7109375" customWidth="1"/>
    <col min="7" max="7" width="12.7109375" customWidth="1"/>
    <col min="8" max="8" width="16.7109375" customWidth="1"/>
    <col min="9" max="9" width="32.7109375" customWidth="1"/>
    <col min="10" max="10" width="19.42578125" customWidth="1"/>
  </cols>
  <sheetData>
    <row r="1" spans="1:13">
      <c r="A1" s="1" t="s">
        <v>0</v>
      </c>
      <c r="B1" s="1" t="s">
        <v>1</v>
      </c>
      <c r="C1" s="1" t="s">
        <v>2</v>
      </c>
      <c r="D1" s="1" t="s">
        <v>3</v>
      </c>
      <c r="E1" s="1" t="s">
        <v>4</v>
      </c>
      <c r="F1" s="1" t="s">
        <v>5</v>
      </c>
      <c r="G1" s="1" t="s">
        <v>6</v>
      </c>
      <c r="H1" s="1" t="s">
        <v>7</v>
      </c>
      <c r="I1" s="1" t="s">
        <v>8</v>
      </c>
      <c r="J1" s="15" t="s">
        <v>52</v>
      </c>
    </row>
    <row r="2" spans="1:13" ht="167.25">
      <c r="A2" s="13">
        <v>6510</v>
      </c>
      <c r="B2" s="11" t="s">
        <v>21</v>
      </c>
      <c r="C2" s="13" t="s">
        <v>22</v>
      </c>
      <c r="D2" s="13">
        <v>924566</v>
      </c>
      <c r="E2" s="14" t="s">
        <v>23</v>
      </c>
      <c r="F2" s="8" t="s">
        <v>53</v>
      </c>
      <c r="G2" s="2"/>
      <c r="H2" s="9" t="s">
        <v>63</v>
      </c>
      <c r="I2" s="48" t="s">
        <v>64</v>
      </c>
      <c r="J2" s="16" t="s">
        <v>65</v>
      </c>
    </row>
    <row r="3" spans="1:13" ht="106.5">
      <c r="E3" s="5" t="s">
        <v>31</v>
      </c>
      <c r="F3" s="7" t="s">
        <v>54</v>
      </c>
      <c r="G3">
        <v>0</v>
      </c>
      <c r="H3" s="6" t="s">
        <v>66</v>
      </c>
      <c r="I3" s="48" t="s">
        <v>67</v>
      </c>
      <c r="J3" s="16"/>
    </row>
    <row r="4" spans="1:13" ht="30.75">
      <c r="E4" s="13" t="s">
        <v>34</v>
      </c>
      <c r="F4" s="3" t="s">
        <v>68</v>
      </c>
      <c r="H4" s="10">
        <v>30</v>
      </c>
      <c r="I4" s="49" t="s">
        <v>25</v>
      </c>
      <c r="J4" s="18">
        <f>30*150</f>
        <v>4500</v>
      </c>
      <c r="K4" s="17" t="s">
        <v>69</v>
      </c>
    </row>
    <row r="5" spans="1:13">
      <c r="E5" s="13" t="s">
        <v>70</v>
      </c>
      <c r="F5" t="s">
        <v>71</v>
      </c>
      <c r="H5" s="4">
        <v>55</v>
      </c>
      <c r="I5" s="49" t="s">
        <v>25</v>
      </c>
      <c r="J5" s="18">
        <f>55*500</f>
        <v>27500</v>
      </c>
      <c r="K5" s="17" t="s">
        <v>72</v>
      </c>
    </row>
    <row r="6" spans="1:13">
      <c r="E6" s="13" t="s">
        <v>73</v>
      </c>
      <c r="F6" t="s">
        <v>74</v>
      </c>
      <c r="H6" s="4">
        <v>169</v>
      </c>
      <c r="I6" s="49" t="s">
        <v>25</v>
      </c>
      <c r="J6" s="18">
        <f>169*25</f>
        <v>4225</v>
      </c>
    </row>
    <row r="7" spans="1:13" ht="290.25">
      <c r="E7" s="11" t="s">
        <v>75</v>
      </c>
      <c r="F7" s="11" t="s">
        <v>57</v>
      </c>
      <c r="H7" s="3" t="s">
        <v>76</v>
      </c>
      <c r="I7" s="49" t="s">
        <v>77</v>
      </c>
      <c r="J7" s="16"/>
    </row>
    <row r="8" spans="1:13" ht="167.25">
      <c r="E8" s="12" t="s">
        <v>19</v>
      </c>
      <c r="F8" s="3" t="s">
        <v>58</v>
      </c>
      <c r="H8" s="13" t="s">
        <v>78</v>
      </c>
      <c r="I8" s="48" t="s">
        <v>79</v>
      </c>
      <c r="J8" s="16"/>
    </row>
    <row r="9" spans="1:13" ht="198">
      <c r="A9" s="11" t="s">
        <v>60</v>
      </c>
      <c r="B9" s="13" t="s">
        <v>44</v>
      </c>
      <c r="D9" s="3" t="s">
        <v>61</v>
      </c>
      <c r="E9" s="12" t="s">
        <v>23</v>
      </c>
      <c r="F9" s="3" t="s">
        <v>80</v>
      </c>
      <c r="H9" s="5">
        <v>8</v>
      </c>
      <c r="I9" t="s">
        <v>81</v>
      </c>
      <c r="J9" s="19" t="s">
        <v>82</v>
      </c>
      <c r="K9" s="19" t="s">
        <v>83</v>
      </c>
      <c r="M9" t="s">
        <v>84</v>
      </c>
    </row>
    <row r="10" spans="1:13" ht="198">
      <c r="A10" s="13">
        <v>127230</v>
      </c>
      <c r="B10" s="13" t="s">
        <v>49</v>
      </c>
      <c r="D10">
        <v>1510000</v>
      </c>
      <c r="E10" s="11" t="s">
        <v>85</v>
      </c>
      <c r="F10" s="11" t="s">
        <v>86</v>
      </c>
      <c r="H10" s="3" t="s">
        <v>87</v>
      </c>
      <c r="J10" s="19" t="s">
        <v>88</v>
      </c>
      <c r="K10" s="19" t="s">
        <v>89</v>
      </c>
      <c r="L10" s="19"/>
      <c r="M10" t="s">
        <v>90</v>
      </c>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000-000000000000}">
          <x14:formula1>
            <xm:f>'Beneficiary Categories'!$A$2:$A$16</xm:f>
          </x14:formula1>
          <xm:sqref>E2:E4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22"/>
  <sheetViews>
    <sheetView workbookViewId="0">
      <selection activeCell="A13" sqref="A13"/>
    </sheetView>
  </sheetViews>
  <sheetFormatPr defaultRowHeight="15"/>
  <cols>
    <col min="1" max="2" width="52.7109375" customWidth="1"/>
  </cols>
  <sheetData>
    <row r="1" spans="1:2">
      <c r="A1" s="39" t="s">
        <v>4</v>
      </c>
      <c r="B1" s="39" t="s">
        <v>5</v>
      </c>
    </row>
    <row r="2" spans="1:2" ht="45.75">
      <c r="A2" s="50" t="s">
        <v>23</v>
      </c>
      <c r="B2" s="40" t="s">
        <v>91</v>
      </c>
    </row>
    <row r="3" spans="1:2">
      <c r="A3" s="50" t="s">
        <v>31</v>
      </c>
      <c r="B3" s="40" t="s">
        <v>92</v>
      </c>
    </row>
    <row r="4" spans="1:2" ht="30.75">
      <c r="A4" s="50" t="s">
        <v>93</v>
      </c>
      <c r="B4" s="40" t="s">
        <v>94</v>
      </c>
    </row>
    <row r="5" spans="1:2" ht="30.75">
      <c r="A5" s="50" t="s">
        <v>95</v>
      </c>
      <c r="B5" s="40" t="s">
        <v>96</v>
      </c>
    </row>
    <row r="6" spans="1:2" ht="91.5">
      <c r="A6" s="50" t="s">
        <v>97</v>
      </c>
      <c r="B6" s="40" t="s">
        <v>98</v>
      </c>
    </row>
    <row r="7" spans="1:2" ht="45.75">
      <c r="A7" s="50" t="s">
        <v>34</v>
      </c>
      <c r="B7" s="40" t="s">
        <v>99</v>
      </c>
    </row>
    <row r="8" spans="1:2" ht="45.75">
      <c r="A8" s="50" t="s">
        <v>100</v>
      </c>
      <c r="B8" s="40" t="s">
        <v>101</v>
      </c>
    </row>
    <row r="9" spans="1:2" ht="45.75">
      <c r="A9" s="50" t="s">
        <v>36</v>
      </c>
      <c r="B9" s="40" t="s">
        <v>102</v>
      </c>
    </row>
    <row r="10" spans="1:2" ht="30.75">
      <c r="A10" s="50" t="s">
        <v>103</v>
      </c>
      <c r="B10" s="51" t="s">
        <v>104</v>
      </c>
    </row>
    <row r="11" spans="1:2" ht="30.75">
      <c r="A11" s="50" t="s">
        <v>105</v>
      </c>
      <c r="B11" s="51" t="s">
        <v>106</v>
      </c>
    </row>
    <row r="12" spans="1:2" ht="45.75">
      <c r="A12" s="50" t="s">
        <v>107</v>
      </c>
      <c r="B12" s="40" t="s">
        <v>108</v>
      </c>
    </row>
    <row r="13" spans="1:2" ht="30.75">
      <c r="A13" s="50" t="s">
        <v>38</v>
      </c>
      <c r="B13" s="51" t="s">
        <v>109</v>
      </c>
    </row>
    <row r="14" spans="1:2">
      <c r="A14" s="50" t="s">
        <v>110</v>
      </c>
      <c r="B14" s="51" t="s">
        <v>111</v>
      </c>
    </row>
    <row r="15" spans="1:2" ht="30.75">
      <c r="A15" s="50" t="s">
        <v>112</v>
      </c>
      <c r="B15" s="51" t="s">
        <v>113</v>
      </c>
    </row>
    <row r="16" spans="1:2" ht="30.75">
      <c r="A16" s="50" t="s">
        <v>37</v>
      </c>
      <c r="B16" s="51" t="s">
        <v>114</v>
      </c>
    </row>
    <row r="17" spans="1:2" ht="30.75">
      <c r="A17" s="50" t="s">
        <v>115</v>
      </c>
      <c r="B17" s="40" t="s">
        <v>116</v>
      </c>
    </row>
    <row r="18" spans="1:2" ht="30.75">
      <c r="A18" s="50" t="s">
        <v>117</v>
      </c>
      <c r="B18" s="51" t="s">
        <v>118</v>
      </c>
    </row>
    <row r="19" spans="1:2" ht="76.5">
      <c r="A19" s="50" t="s">
        <v>119</v>
      </c>
      <c r="B19" s="51" t="s">
        <v>120</v>
      </c>
    </row>
    <row r="20" spans="1:2" ht="30.75">
      <c r="A20" s="50" t="s">
        <v>121</v>
      </c>
      <c r="B20" s="51" t="s">
        <v>122</v>
      </c>
    </row>
    <row r="21" spans="1:2" ht="45.75">
      <c r="A21" s="50" t="s">
        <v>19</v>
      </c>
      <c r="B21" s="52" t="s">
        <v>123</v>
      </c>
    </row>
    <row r="22" spans="1:2" ht="30.75">
      <c r="A22" s="50" t="s">
        <v>124</v>
      </c>
      <c r="B22" s="51" t="s">
        <v>125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81A889D055969F449BCDADF9B8A9C0F0" ma:contentTypeVersion="18" ma:contentTypeDescription="Create a new document." ma:contentTypeScope="" ma:versionID="dd25160c21e587dbb66203dfb8c7aa52">
  <xsd:schema xmlns:xsd="http://www.w3.org/2001/XMLSchema" xmlns:xs="http://www.w3.org/2001/XMLSchema" xmlns:p="http://schemas.microsoft.com/office/2006/metadata/properties" xmlns:ns2="720239d0-7d3a-4257-bb40-a2a3b1409bb2" xmlns:ns3="fb9e4d32-074f-4c04-81ef-e811753dfd59" targetNamespace="http://schemas.microsoft.com/office/2006/metadata/properties" ma:root="true" ma:fieldsID="05ccd5be12d50c438f9536854e894bcb" ns2:_="" ns3:_="">
    <xsd:import namespace="720239d0-7d3a-4257-bb40-a2a3b1409bb2"/>
    <xsd:import namespace="fb9e4d32-074f-4c04-81ef-e811753dfd59"/>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DateTaken" minOccurs="0"/>
                <xsd:element ref="ns2:MediaLengthInSeconds" minOccurs="0"/>
                <xsd:element ref="ns2:MediaServiceLocation"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0239d0-7d3a-4257-bb40-a2a3b1409bb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8" nillable="true" ma:displayName="MediaServiceDateTaken" ma:hidden="true" ma:internalName="MediaServiceDateTaken" ma:readOnly="true">
      <xsd:simpleType>
        <xsd:restriction base="dms:Text"/>
      </xsd:simpleType>
    </xsd:element>
    <xsd:element name="MediaLengthInSeconds" ma:index="19" nillable="true" ma:displayName="Length (seconds)" ma:internalName="MediaLengthInSeconds" ma:readOnly="true">
      <xsd:simpleType>
        <xsd:restriction base="dms:Unknown"/>
      </xsd:simpleType>
    </xsd:element>
    <xsd:element name="MediaServiceLocation" ma:index="20"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f8ebb0a5-c57d-4c3a-bec7-8a38252dd05c"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fb9e4d32-074f-4c04-81ef-e811753dfd59"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d5300f42-37b4-4000-b69c-e0298172bf57}" ma:internalName="TaxCatchAll" ma:showField="CatchAllData" ma:web="fb9e4d32-074f-4c04-81ef-e811753dfd5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720239d0-7d3a-4257-bb40-a2a3b1409bb2">
      <Terms xmlns="http://schemas.microsoft.com/office/infopath/2007/PartnerControls"/>
    </lcf76f155ced4ddcb4097134ff3c332f>
    <TaxCatchAll xmlns="fb9e4d32-074f-4c04-81ef-e811753dfd59" xsi:nil="true"/>
    <SharedWithUsers xmlns="fb9e4d32-074f-4c04-81ef-e811753dfd59">
      <UserInfo>
        <DisplayName>Tiabri Sylvain Thiombiano</DisplayName>
        <AccountId>1379</AccountId>
        <AccountType/>
      </UserInfo>
      <UserInfo>
        <DisplayName>Issaka Ouedraogo</DisplayName>
        <AccountId>1843</AccountId>
        <AccountType/>
      </UserInfo>
      <UserInfo>
        <DisplayName>Eloi Kouadio IV</DisplayName>
        <AccountId>1380</AccountId>
        <AccountType/>
      </UserInfo>
      <UserInfo>
        <DisplayName>Benjamin Keller</DisplayName>
        <AccountId>1227</AccountId>
        <AccountType/>
      </UserInfo>
      <UserInfo>
        <DisplayName>Tannya Quinza-armenta</DisplayName>
        <AccountId>2508</AccountId>
        <AccountType/>
      </UserInfo>
      <UserInfo>
        <DisplayName>Stefano Pistolese</DisplayName>
        <AccountId>772</AccountId>
        <AccountType/>
      </UserInfo>
    </SharedWithUser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FE6A096-6791-48C4-991F-A912A9552F7E}"/>
</file>

<file path=customXml/itemProps2.xml><?xml version="1.0" encoding="utf-8"?>
<ds:datastoreItem xmlns:ds="http://schemas.openxmlformats.org/officeDocument/2006/customXml" ds:itemID="{35954A88-8C57-42E5-B2F5-029E7B06C52D}"/>
</file>

<file path=customXml/itemProps3.xml><?xml version="1.0" encoding="utf-8"?>
<ds:datastoreItem xmlns:ds="http://schemas.openxmlformats.org/officeDocument/2006/customXml" ds:itemID="{64551BDE-F944-49F5-A367-13F8C123ECF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Danae franco Lopera</cp:lastModifiedBy>
  <cp:revision/>
  <dcterms:created xsi:type="dcterms:W3CDTF">2023-05-05T09:33:41Z</dcterms:created>
  <dcterms:modified xsi:type="dcterms:W3CDTF">2024-11-24T22:20:19Z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0x01010081A889D055969F449BCDADF9B8A9C0F0</vt:lpwstr>
  </property>
  <property fmtid="{D5CDD505-2E9C-101B-9397-08002B2CF9AE}" pid="3" name="MediaServiceImageTags">
    <vt:lpwstr/>
  </property>
</Properties>
</file>