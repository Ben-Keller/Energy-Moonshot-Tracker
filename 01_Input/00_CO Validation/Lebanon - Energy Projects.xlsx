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240" yWindow="500" windowWidth="29660" windowHeight="16560" tabRatio="600" firstSheet="0" activeTab="0" autoFilterDateGrouping="1"/>
  </bookViews>
  <sheets>
    <sheet xmlns:r="http://schemas.openxmlformats.org/officeDocument/2006/relationships" name="Projects (3)" sheetId="1" state="visible" r:id="rId1"/>
    <sheet xmlns:r="http://schemas.openxmlformats.org/officeDocument/2006/relationships" name="Projects (2)" sheetId="2" state="hidden" r:id="rId2"/>
    <sheet xmlns:r="http://schemas.openxmlformats.org/officeDocument/2006/relationships" name="Projects" sheetId="3" state="hidden" r:id="rId3"/>
    <sheet xmlns:r="http://schemas.openxmlformats.org/officeDocument/2006/relationships" name="Beneficiary Categories" sheetId="4" state="visible" r:id="rId4"/>
  </sheets>
  <definedNames/>
  <calcPr calcId="191028" fullCalcOnLoad="1"/>
</workbook>
</file>

<file path=xl/styles.xml><?xml version="1.0" encoding="utf-8"?>
<styleSheet xmlns="http://schemas.openxmlformats.org/spreadsheetml/2006/main">
  <numFmts count="2">
    <numFmt numFmtId="164" formatCode="_([$$-409]* #,##0.00_);_([$$-409]* \(#,##0.00\);_([$$-409]* &quot;-&quot;??_);_(@_)"/>
    <numFmt numFmtId="165" formatCode="&quot;$&quot;#,##0.00_);[Red]\(&quot;$&quot;#,##0.00\)"/>
  </numFmts>
  <fonts count="11">
    <font>
      <name val="Calibri"/>
      <family val="2"/>
      <color theme="1"/>
      <sz val="11"/>
      <scheme val="minor"/>
    </font>
    <font>
      <name val="Calibri"/>
      <family val="2"/>
      <color theme="1"/>
      <sz val="11"/>
      <scheme val="minor"/>
    </font>
    <font>
      <name val="Calibri"/>
      <family val="2"/>
      <b val="1"/>
      <color theme="1"/>
      <sz val="11"/>
      <scheme val="minor"/>
    </font>
    <font>
      <name val="Calibri"/>
      <family val="2"/>
      <color theme="10"/>
      <sz val="11"/>
      <u val="single"/>
    </font>
    <font>
      <name val="Calibri"/>
      <family val="2"/>
      <b val="1"/>
      <color rgb="FFFF0000"/>
      <sz val="11"/>
      <scheme val="minor"/>
    </font>
    <font>
      <name val="Calibri"/>
      <family val="2"/>
      <color theme="10"/>
      <sz val="11"/>
      <u val="single"/>
      <scheme val="minor"/>
    </font>
    <font>
      <name val="Calibri"/>
      <family val="2"/>
      <color rgb="FF000000"/>
      <sz val="11"/>
      <scheme val="minor"/>
    </font>
    <font>
      <name val="Aptos Narrow"/>
      <family val="2"/>
      <color rgb="FF000000"/>
      <sz val="11"/>
    </font>
    <font>
      <name val="Calibri"/>
      <family val="2"/>
      <color rgb="FF000000"/>
      <sz val="11"/>
    </font>
    <font>
      <name val="Calibri"/>
      <family val="2"/>
      <b val="1"/>
      <color rgb="FF000000"/>
      <sz val="11"/>
    </font>
    <font>
      <b val="1"/>
    </font>
  </fonts>
  <fills count="5">
    <fill>
      <patternFill/>
    </fill>
    <fill>
      <patternFill patternType="gray125"/>
    </fill>
    <fill>
      <patternFill patternType="solid">
        <fgColor rgb="FFFFE497"/>
        <bgColor indexed="64"/>
      </patternFill>
    </fill>
    <fill>
      <patternFill patternType="solid">
        <fgColor rgb="FFFFFF00"/>
        <bgColor rgb="FF000000"/>
      </patternFill>
    </fill>
    <fill>
      <patternFill patternType="solid">
        <fgColor rgb="00FFFF00"/>
      </patternFill>
    </fill>
  </fills>
  <borders count="11">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top style="thin">
        <color rgb="FF000000"/>
      </top>
      <bottom style="thin">
        <color rgb="FF000000"/>
      </bottom>
      <diagonal/>
    </border>
    <border>
      <left/>
      <right/>
      <top style="thin">
        <color rgb="FF000000"/>
      </top>
      <bottom/>
      <diagonal/>
    </border>
    <border>
      <left/>
      <right style="thin">
        <color rgb="FF000000"/>
      </right>
      <top style="thin">
        <color rgb="FF000000"/>
      </top>
      <bottom/>
      <diagonal/>
    </border>
    <border>
      <left/>
      <right style="thin">
        <color rgb="FF000000"/>
      </right>
      <top/>
      <bottom/>
      <diagonal/>
    </border>
  </borders>
  <cellStyleXfs count="2">
    <xf numFmtId="0" fontId="1" fillId="0" borderId="0"/>
    <xf numFmtId="0" fontId="5" fillId="0" borderId="0"/>
  </cellStyleXfs>
  <cellXfs count="78">
    <xf numFmtId="0" fontId="0" fillId="0" borderId="0" pivotButton="0" quotePrefix="0" xfId="0"/>
    <xf numFmtId="0" fontId="2" fillId="0" borderId="1" applyAlignment="1" pivotButton="0" quotePrefix="0" xfId="0">
      <alignment horizontal="center" vertical="top"/>
    </xf>
    <xf numFmtId="0" fontId="3" fillId="0" borderId="0" pivotButton="0" quotePrefix="0" xfId="1"/>
    <xf numFmtId="0" fontId="0" fillId="2" borderId="0" pivotButton="0" quotePrefix="0" xfId="0"/>
    <xf numFmtId="0" fontId="3" fillId="2" borderId="0" pivotButton="0" quotePrefix="0" xfId="1"/>
    <xf numFmtId="0" fontId="0" fillId="0" borderId="0" applyAlignment="1" pivotButton="0" quotePrefix="0" xfId="0">
      <alignment wrapText="1"/>
    </xf>
    <xf numFmtId="0" fontId="4" fillId="0" borderId="0" applyAlignment="1" pivotButton="0" quotePrefix="0" xfId="0">
      <alignment wrapText="1"/>
    </xf>
    <xf numFmtId="0" fontId="0" fillId="0" borderId="0" applyAlignment="1" pivotButton="0" quotePrefix="0" xfId="0">
      <alignment horizontal="center" wrapText="1"/>
    </xf>
    <xf numFmtId="0" fontId="5" fillId="0" borderId="0" pivotButton="0" quotePrefix="0" xfId="1"/>
    <xf numFmtId="0" fontId="2" fillId="0" borderId="0" pivotButton="0" quotePrefix="0" xfId="0"/>
    <xf numFmtId="0" fontId="2" fillId="0" borderId="2" pivotButton="0" quotePrefix="0" xfId="0"/>
    <xf numFmtId="0" fontId="2" fillId="0" borderId="2" applyAlignment="1" pivotButton="0" quotePrefix="0" xfId="0">
      <alignment horizontal="center" vertical="top"/>
    </xf>
    <xf numFmtId="0" fontId="0" fillId="0" borderId="2" pivotButton="0" quotePrefix="0" xfId="0"/>
    <xf numFmtId="0" fontId="3" fillId="0" borderId="2" pivotButton="0" quotePrefix="0" xfId="1"/>
    <xf numFmtId="0" fontId="0" fillId="2" borderId="2" pivotButton="0" quotePrefix="0" xfId="0"/>
    <xf numFmtId="0" fontId="0" fillId="0" borderId="2" applyAlignment="1" pivotButton="0" quotePrefix="0" xfId="0">
      <alignment wrapText="1"/>
    </xf>
    <xf numFmtId="0" fontId="3" fillId="2" borderId="2" pivotButton="0" quotePrefix="0" xfId="1"/>
    <xf numFmtId="0" fontId="0" fillId="0" borderId="2" applyAlignment="1" pivotButton="0" quotePrefix="0" xfId="0">
      <alignment vertical="center"/>
    </xf>
    <xf numFmtId="0" fontId="0" fillId="2" borderId="2" applyAlignment="1" pivotButton="0" quotePrefix="0" xfId="0">
      <alignment vertical="center"/>
    </xf>
    <xf numFmtId="0" fontId="2" fillId="0" borderId="3" pivotButton="0" quotePrefix="0" xfId="0"/>
    <xf numFmtId="0" fontId="0" fillId="0" borderId="3" pivotButton="0" quotePrefix="0" xfId="0"/>
    <xf numFmtId="0" fontId="2" fillId="0" borderId="4" pivotButton="0" quotePrefix="0" xfId="0"/>
    <xf numFmtId="0" fontId="0" fillId="0" borderId="4" pivotButton="0" quotePrefix="0" xfId="0"/>
    <xf numFmtId="0" fontId="6" fillId="0" borderId="2" applyAlignment="1" pivotButton="0" quotePrefix="0" xfId="0">
      <alignment wrapText="1"/>
    </xf>
    <xf numFmtId="0" fontId="1" fillId="0" borderId="2" applyAlignment="1" pivotButton="0" quotePrefix="0" xfId="0">
      <alignment horizontal="left" vertical="center" wrapText="1"/>
    </xf>
    <xf numFmtId="0" fontId="1" fillId="0" borderId="2" applyAlignment="1" pivotButton="0" quotePrefix="0" xfId="0">
      <alignment wrapText="1"/>
    </xf>
    <xf numFmtId="0" fontId="1" fillId="0" borderId="2" applyAlignment="1" pivotButton="0" quotePrefix="0" xfId="0">
      <alignment vertical="center" wrapText="1"/>
    </xf>
    <xf numFmtId="0" fontId="0" fillId="0" borderId="0" applyAlignment="1" pivotButton="0" quotePrefix="0" xfId="0">
      <alignment horizontal="left" vertical="top"/>
    </xf>
    <xf numFmtId="0" fontId="2" fillId="0" borderId="2" applyAlignment="1" pivotButton="0" quotePrefix="0" xfId="0">
      <alignment horizontal="left" vertical="top"/>
    </xf>
    <xf numFmtId="164" fontId="2" fillId="0" borderId="2" applyAlignment="1" pivotButton="0" quotePrefix="0" xfId="0">
      <alignment horizontal="left" vertical="top"/>
    </xf>
    <xf numFmtId="0" fontId="2" fillId="0" borderId="0" applyAlignment="1" pivotButton="0" quotePrefix="0" xfId="0">
      <alignment horizontal="left" vertical="top" wrapText="1"/>
    </xf>
    <xf numFmtId="0" fontId="0" fillId="0" borderId="0" applyAlignment="1" pivotButton="0" quotePrefix="0" xfId="0">
      <alignment horizontal="left" vertical="top" wrapText="1"/>
    </xf>
    <xf numFmtId="164" fontId="0" fillId="0" borderId="0" applyAlignment="1" pivotButton="0" quotePrefix="0" xfId="0">
      <alignment horizontal="left" vertical="top"/>
    </xf>
    <xf numFmtId="0" fontId="2" fillId="0" borderId="2" applyAlignment="1" pivotButton="0" quotePrefix="0" xfId="0">
      <alignment horizontal="center" vertical="top" wrapText="1"/>
    </xf>
    <xf numFmtId="0" fontId="8" fillId="0" borderId="2" applyAlignment="1" pivotButton="0" quotePrefix="0" xfId="0">
      <alignment horizontal="left" vertical="top"/>
    </xf>
    <xf numFmtId="0" fontId="8" fillId="0" borderId="4" applyAlignment="1" pivotButton="0" quotePrefix="0" xfId="0">
      <alignment horizontal="left" vertical="top"/>
    </xf>
    <xf numFmtId="0" fontId="8" fillId="0" borderId="4" applyAlignment="1" pivotButton="0" quotePrefix="0" xfId="0">
      <alignment horizontal="left" vertical="top" wrapText="1"/>
    </xf>
    <xf numFmtId="165" fontId="8" fillId="0" borderId="4" applyAlignment="1" pivotButton="0" quotePrefix="0" xfId="0">
      <alignment horizontal="left" vertical="top"/>
    </xf>
    <xf numFmtId="3" fontId="8" fillId="0" borderId="4" applyAlignment="1" pivotButton="0" quotePrefix="0" xfId="0">
      <alignment horizontal="left" vertical="top"/>
    </xf>
    <xf numFmtId="0" fontId="5" fillId="0" borderId="4" applyAlignment="1" pivotButton="0" quotePrefix="0" xfId="1">
      <alignment horizontal="left" vertical="top"/>
    </xf>
    <xf numFmtId="9" fontId="8" fillId="0" borderId="4" applyAlignment="1" pivotButton="0" quotePrefix="0" xfId="0">
      <alignment horizontal="left" vertical="top"/>
    </xf>
    <xf numFmtId="0" fontId="8" fillId="3" borderId="4" applyAlignment="1" pivotButton="0" quotePrefix="0" xfId="0">
      <alignment horizontal="left" vertical="top"/>
    </xf>
    <xf numFmtId="0" fontId="5" fillId="0" borderId="4" applyAlignment="1" pivotButton="0" quotePrefix="0" xfId="1">
      <alignment horizontal="left" vertical="top" wrapText="1"/>
    </xf>
    <xf numFmtId="0" fontId="8" fillId="0" borderId="0" applyAlignment="1" pivotButton="0" quotePrefix="0" xfId="0">
      <alignment horizontal="left" vertical="top"/>
    </xf>
    <xf numFmtId="0" fontId="5" fillId="0" borderId="0" applyAlignment="1" pivotButton="0" quotePrefix="0" xfId="1">
      <alignment horizontal="left" vertical="top"/>
    </xf>
    <xf numFmtId="0" fontId="7" fillId="3" borderId="5" applyAlignment="1" pivotButton="0" quotePrefix="0" xfId="0">
      <alignment horizontal="left" vertical="top" wrapText="1"/>
    </xf>
    <xf numFmtId="0" fontId="7" fillId="3" borderId="6" applyAlignment="1" pivotButton="0" quotePrefix="0" xfId="0">
      <alignment horizontal="left" vertical="top" wrapText="1"/>
    </xf>
    <xf numFmtId="0" fontId="5" fillId="0" borderId="6" applyAlignment="1" pivotButton="0" quotePrefix="0" xfId="1">
      <alignment horizontal="left" vertical="top"/>
    </xf>
    <xf numFmtId="165" fontId="8" fillId="0" borderId="6" applyAlignment="1" pivotButton="0" quotePrefix="0" xfId="0">
      <alignment horizontal="left" vertical="top"/>
    </xf>
    <xf numFmtId="0" fontId="8" fillId="0" borderId="6" applyAlignment="1" pivotButton="0" quotePrefix="0" xfId="0">
      <alignment horizontal="left" vertical="top"/>
    </xf>
    <xf numFmtId="9" fontId="8" fillId="0" borderId="6" applyAlignment="1" pivotButton="0" quotePrefix="0" xfId="0">
      <alignment horizontal="left" vertical="top"/>
    </xf>
    <xf numFmtId="0" fontId="8" fillId="0" borderId="6" applyAlignment="1" pivotButton="0" quotePrefix="0" xfId="0">
      <alignment horizontal="left" vertical="top" wrapText="1"/>
    </xf>
    <xf numFmtId="0" fontId="5" fillId="0" borderId="6" applyAlignment="1" pivotButton="0" quotePrefix="0" xfId="1">
      <alignment horizontal="left" vertical="top" wrapText="1"/>
    </xf>
    <xf numFmtId="0" fontId="8" fillId="0" borderId="5" applyAlignment="1" pivotButton="0" quotePrefix="0" xfId="0">
      <alignment horizontal="left" vertical="top"/>
    </xf>
    <xf numFmtId="0" fontId="9" fillId="0" borderId="0" applyAlignment="1" pivotButton="0" quotePrefix="0" xfId="0">
      <alignment horizontal="left" vertical="top" wrapText="1"/>
    </xf>
    <xf numFmtId="0" fontId="8" fillId="0" borderId="0" applyAlignment="1" pivotButton="0" quotePrefix="0" xfId="0">
      <alignment horizontal="left" vertical="top" wrapText="1"/>
    </xf>
    <xf numFmtId="0" fontId="8" fillId="0" borderId="5" applyAlignment="1" pivotButton="0" quotePrefix="0" xfId="0">
      <alignment horizontal="left" vertical="top" wrapText="1"/>
    </xf>
    <xf numFmtId="0" fontId="8" fillId="3" borderId="6" applyAlignment="1" pivotButton="0" quotePrefix="0" xfId="0">
      <alignment horizontal="left" vertical="top" wrapText="1"/>
    </xf>
    <xf numFmtId="165" fontId="8" fillId="3" borderId="6" applyAlignment="1" pivotButton="0" quotePrefix="0" xfId="0">
      <alignment horizontal="left" vertical="top" wrapText="1"/>
    </xf>
    <xf numFmtId="3" fontId="8" fillId="0" borderId="6" applyAlignment="1" pivotButton="0" quotePrefix="0" xfId="0">
      <alignment horizontal="left" vertical="top" wrapText="1"/>
    </xf>
    <xf numFmtId="0" fontId="8" fillId="0" borderId="7" applyAlignment="1" pivotButton="0" quotePrefix="0" xfId="0">
      <alignment horizontal="left" vertical="top" wrapText="1"/>
    </xf>
    <xf numFmtId="0" fontId="8" fillId="0" borderId="4" applyAlignment="1" pivotButton="0" quotePrefix="0" xfId="0">
      <alignment horizontal="left" vertical="top" wrapText="1"/>
    </xf>
    <xf numFmtId="3" fontId="8" fillId="0" borderId="6" applyAlignment="1" pivotButton="0" quotePrefix="0" xfId="0">
      <alignment horizontal="left" vertical="top"/>
    </xf>
    <xf numFmtId="165" fontId="8" fillId="0" borderId="4" applyAlignment="1" pivotButton="0" quotePrefix="0" xfId="0">
      <alignment horizontal="left" vertical="top"/>
    </xf>
    <xf numFmtId="165" fontId="8" fillId="4" borderId="4" applyAlignment="1" pivotButton="0" quotePrefix="0" xfId="0">
      <alignment horizontal="left" vertical="top"/>
    </xf>
    <xf numFmtId="3" fontId="8" fillId="4" borderId="4" applyAlignment="1" pivotButton="0" quotePrefix="0" xfId="0">
      <alignment horizontal="left" vertical="top"/>
    </xf>
    <xf numFmtId="0" fontId="5" fillId="4" borderId="4" applyAlignment="1" pivotButton="0" quotePrefix="0" xfId="1">
      <alignment horizontal="left" vertical="top"/>
    </xf>
    <xf numFmtId="165" fontId="8" fillId="0" borderId="6" applyAlignment="1" pivotButton="0" quotePrefix="0" xfId="0">
      <alignment horizontal="left" vertical="top"/>
    </xf>
    <xf numFmtId="165" fontId="8" fillId="4" borderId="6" applyAlignment="1" pivotButton="0" quotePrefix="0" xfId="0">
      <alignment horizontal="left" vertical="top"/>
    </xf>
    <xf numFmtId="165" fontId="8" fillId="3" borderId="6" applyAlignment="1" pivotButton="0" quotePrefix="0" xfId="0">
      <alignment horizontal="left" vertical="top" wrapText="1"/>
    </xf>
    <xf numFmtId="165" fontId="8" fillId="4" borderId="6" applyAlignment="1" pivotButton="0" quotePrefix="0" xfId="0">
      <alignment horizontal="left" vertical="top" wrapText="1"/>
    </xf>
    <xf numFmtId="3" fontId="8" fillId="4" borderId="6" applyAlignment="1" pivotButton="0" quotePrefix="0" xfId="0">
      <alignment horizontal="left" vertical="top" wrapText="1"/>
    </xf>
    <xf numFmtId="0" fontId="7" fillId="4" borderId="6" applyAlignment="1" pivotButton="0" quotePrefix="0" xfId="0">
      <alignment horizontal="left" vertical="top" wrapText="1"/>
    </xf>
    <xf numFmtId="0" fontId="1" fillId="0" borderId="4" pivotButton="0" quotePrefix="0" xfId="0"/>
    <xf numFmtId="3" fontId="8" fillId="4" borderId="6" applyAlignment="1" pivotButton="0" quotePrefix="0" xfId="0">
      <alignment horizontal="left" vertical="top"/>
    </xf>
    <xf numFmtId="0" fontId="10" fillId="0" borderId="0" applyAlignment="1" pivotButton="0" quotePrefix="0" xfId="0">
      <alignment vertical="top" wrapText="1"/>
    </xf>
    <xf numFmtId="0" fontId="0" fillId="0" borderId="0" applyAlignment="1" pivotButton="0" quotePrefix="0" xfId="0">
      <alignment vertical="top" wrapText="1"/>
    </xf>
    <xf numFmtId="0" fontId="0" fillId="0" borderId="6" pivotButton="0" quotePrefix="0" xfId="0"/>
  </cellXfs>
  <cellStyles count="2">
    <cellStyle name="Normal" xfId="0" builtinId="0"/>
    <cellStyle name="Hyperlink" xfId="1" builtinId="8"/>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thegef.org/projects-operations/projects/10358" TargetMode="External" Id="rId1"/><Relationship Type="http://schemas.openxmlformats.org/officeDocument/2006/relationships/hyperlink" Target="https://undp.sharepoint.com/:b:/r/sites/Docs-Project/Shared%20Documents/6468-Lb-SustTr%20120993-Prodoc_signed.pdf?csf=1&amp;web=1&amp;e=bio7Mg" TargetMode="External" Id="rId2"/><Relationship Type="http://schemas.openxmlformats.org/officeDocument/2006/relationships/hyperlink" Target="../../../../:w:/g/personal/jihan_seoud_undp_org/EdCRFNHka59Ehd5I0eDb-_QBSD3Y7vTufR-j-ioHEuPD1w?e=ZAeRLg&amp;CID=9D014957-FFDB-4849-84F1-EC9AA031D3D1" TargetMode="External" Id="rId3"/><Relationship Type="http://schemas.openxmlformats.org/officeDocument/2006/relationships/hyperlink" Target="https://undp.sharepoint.com/:b:/r/sites/Docs-Project/Shared%20Documents/00120029-PPMUNDP%20Prodoc%20CEDRO%20V%20signed%20by%20All.pdf?csf=1&amp;web=1&amp;e=AcP4et" TargetMode="External" Id="rId4"/><Relationship Type="http://schemas.openxmlformats.org/officeDocument/2006/relationships/hyperlink" Target="https://undp.lightning.force.com/lightning/r/Project__c/a386N000005LZYGQA4/view" TargetMode="External" Id="rId5"/><Relationship Type="http://schemas.openxmlformats.org/officeDocument/2006/relationships/hyperlink" Target="https://undp.sharepoint.com/:b:/r/sites/Docs-Project/Shared%20Documents/01001256-PPM20230921_Prodoc%20CEDRO6%20GreenAgenda.doc.pdf?csf=1&amp;web=1&amp;e=jBvgx9" TargetMode="External" Id="rId6"/><Relationship Type="http://schemas.openxmlformats.org/officeDocument/2006/relationships/hyperlink" Target="https://undp.lightning.force.com/lightning/r/Project__c/a386N000005LkApQAK/view" TargetMode="External" Id="rId7"/><Relationship Type="http://schemas.openxmlformats.org/officeDocument/2006/relationships/hyperlink" Target="https://undp.sharepoint.com/:b:/r/sites/Docs-Project/Shared%20Documents/01001256-PPM20230921_Prodoc%20CEDRO6%20GreenAgenda.doc.pdf?csf=1&amp;web=1&amp;e=tHyFde" TargetMode="External" Id="rId8"/></Relationships>
</file>

<file path=xl/worksheets/_rels/sheet2.xml.rels><Relationships xmlns="http://schemas.openxmlformats.org/package/2006/relationships"><Relationship Type="http://schemas.openxmlformats.org/officeDocument/2006/relationships/hyperlink" Target="http://open.undp.org/projects/00120029" TargetMode="External" Id="rId1"/><Relationship Type="http://schemas.openxmlformats.org/officeDocument/2006/relationships/hyperlink" Target="http://open.undp.org/projects/00120029" TargetMode="External" Id="rId2"/><Relationship Type="http://schemas.openxmlformats.org/officeDocument/2006/relationships/hyperlink" Target="https://www.thegef.org/projects-operations/projects/10358" TargetMode="External" Id="rId3"/></Relationships>
</file>

<file path=xl/worksheets/_rels/sheet3.xml.rels><Relationships xmlns="http://schemas.openxmlformats.org/package/2006/relationships"><Relationship Type="http://schemas.openxmlformats.org/officeDocument/2006/relationships/hyperlink" Target="http://open.undp.org/projects/00120029" TargetMode="External" Id="rId1"/><Relationship Type="http://schemas.openxmlformats.org/officeDocument/2006/relationships/hyperlink" Target="http://open.undp.org/projects/00120029" TargetMode="External" Id="rId2"/><Relationship Type="http://schemas.openxmlformats.org/officeDocument/2006/relationships/hyperlink" Target="https://www.thegef.org/projects-operations/projects/10358" TargetMode="External" Id="rId3"/><Relationship Type="http://schemas.openxmlformats.org/officeDocument/2006/relationships/hyperlink" Target="https://undp-my.sharepoint.com/:w:/g/personal/jihan_seoud_undp_org/ET_rZwCiM-NCubONnZ9oetsBcO5MJ4JrobTG48wgaYch_g?e=e5JUmD&amp;CID=3183E6F2-6D67-4323-BE6D-31996EA2705E" TargetMode="External" Id="rId4"/><Relationship Type="http://schemas.openxmlformats.org/officeDocument/2006/relationships/hyperlink" Target="https://undp-my.sharepoint.com/:w:/g/personal/jihan_seoud_undp_org/EdCRFNHka59Ehd5I0eDb-_QBSD3Y7vTufR-j-ioHEuPD1w?e=ZAeRLg&amp;CID=9D014957-FFDB-4849-84F1-EC9AA031D3D1" TargetMode="External" Id="rId5"/></Relationships>
</file>

<file path=xl/worksheets/sheet1.xml><?xml version="1.0" encoding="utf-8"?>
<worksheet xmlns="http://schemas.openxmlformats.org/spreadsheetml/2006/main">
  <sheetPr>
    <outlinePr summaryBelow="1" summaryRight="1"/>
    <pageSetUpPr/>
  </sheetPr>
  <dimension ref="A1:AL10"/>
  <sheetViews>
    <sheetView tabSelected="1" workbookViewId="0">
      <selection activeCell="A1" sqref="A1:XFD1048576"/>
    </sheetView>
  </sheetViews>
  <sheetFormatPr baseColWidth="8" defaultColWidth="8.85546875" defaultRowHeight="15"/>
  <cols>
    <col width="8.85546875" customWidth="1" style="27" min="1" max="1"/>
    <col width="50.85546875" customWidth="1" style="27" min="2" max="2"/>
    <col width="42.7109375" customWidth="1" style="27" min="3" max="3"/>
    <col width="17.28515625" customWidth="1" style="32" min="4" max="4"/>
    <col width="17.28515625" customWidth="1" style="27" min="5" max="5"/>
    <col width="17.28515625" customWidth="1" style="27" min="6" max="6"/>
    <col width="17.28515625" customWidth="1" style="27" min="7" max="8"/>
    <col width="17.28515625" customWidth="1" min="8" max="8"/>
    <col width="26.7109375" customWidth="1" style="27" min="9" max="9"/>
    <col width="8.85546875" customWidth="1" style="27" min="10" max="10"/>
    <col width="18" bestFit="1" customWidth="1" style="27" min="11" max="11"/>
    <col width="12.85546875" bestFit="1" customWidth="1" style="27" min="12" max="12"/>
    <col width="8.85546875" customWidth="1" style="27" min="13" max="13"/>
    <col width="14.42578125" bestFit="1" customWidth="1" style="27" min="14" max="14"/>
    <col width="14.85546875" bestFit="1" customWidth="1" style="27" min="15" max="15"/>
    <col width="8.85546875" customWidth="1" style="27" min="16" max="16"/>
    <col width="16.42578125" bestFit="1" customWidth="1" style="27" min="17" max="17"/>
    <col width="18.140625" bestFit="1" customWidth="1" style="27" min="18" max="18"/>
    <col width="11.28515625" bestFit="1" customWidth="1" style="27" min="19" max="19"/>
    <col width="30.28515625" bestFit="1" customWidth="1" style="27" min="20" max="20"/>
    <col width="16.7109375" bestFit="1" customWidth="1" style="27" min="21" max="21"/>
    <col width="16.7109375" customWidth="1" style="27" min="22" max="22"/>
    <col width="8.85546875" customWidth="1" style="27" min="23" max="33"/>
    <col width="56.42578125" customWidth="1" style="27" min="34" max="34"/>
    <col width="67" customWidth="1" style="27" min="35" max="35"/>
    <col width="8.85546875" customWidth="1" style="27" min="36" max="16384"/>
  </cols>
  <sheetData>
    <row r="1">
      <c r="A1" s="28" t="inlineStr">
        <is>
          <t>Project ID</t>
        </is>
      </c>
      <c r="B1" s="28" t="inlineStr">
        <is>
          <t>Title</t>
        </is>
      </c>
      <c r="C1" s="28" t="inlineStr">
        <is>
          <t>Link</t>
        </is>
      </c>
      <c r="D1" s="29" t="inlineStr">
        <is>
          <t>Budget</t>
        </is>
      </c>
      <c r="E1" s="29" t="inlineStr">
        <is>
          <t>Start Year</t>
        </is>
      </c>
      <c r="F1" s="29" t="inlineStr">
        <is>
          <t>End Year</t>
        </is>
      </c>
      <c r="G1" s="29" t="inlineStr">
        <is>
          <t>Status</t>
        </is>
      </c>
      <c r="H1" s="29" t="inlineStr">
        <is>
          <t>VF or Non-VF</t>
        </is>
      </c>
      <c r="I1" s="28" t="inlineStr">
        <is>
          <t>Beneficiary Category</t>
        </is>
      </c>
      <c r="J1" s="28" t="inlineStr">
        <is>
          <t>Indicator</t>
        </is>
      </c>
      <c r="K1" s="28" t="inlineStr">
        <is>
          <t>Baseline</t>
        </is>
      </c>
      <c r="L1" s="28" t="inlineStr">
        <is>
          <t>Target</t>
        </is>
      </c>
      <c r="M1" s="28" t="inlineStr">
        <is>
          <t>Notes</t>
        </is>
      </c>
      <c r="N1" s="28" t="inlineStr">
        <is>
          <t>Donors</t>
        </is>
      </c>
      <c r="O1" s="28" t="inlineStr">
        <is>
          <t>Gender (% female)</t>
        </is>
      </c>
      <c r="P1" s="28" t="inlineStr">
        <is>
          <t>Tag</t>
        </is>
      </c>
      <c r="Q1" s="28" t="inlineStr">
        <is>
          <t>SEH Taxonomy</t>
        </is>
      </c>
      <c r="R1" s="28" t="inlineStr">
        <is>
          <t>RISE Taxonomy</t>
        </is>
      </c>
      <c r="S1" s="28" t="inlineStr">
        <is>
          <t>Flagship</t>
        </is>
      </c>
      <c r="T1" s="28" t="inlineStr">
        <is>
          <t>Indirect Category</t>
        </is>
      </c>
      <c r="U1" s="28" t="inlineStr">
        <is>
          <t>Indirect Taxonomy</t>
        </is>
      </c>
      <c r="V1" s="28" t="inlineStr">
        <is>
          <t>Technology</t>
        </is>
      </c>
      <c r="W1" s="28" t="inlineStr">
        <is>
          <t>Policy or Regulatory Framework</t>
        </is>
      </c>
      <c r="X1" s="28" t="inlineStr">
        <is>
          <t>Policy Population</t>
        </is>
      </c>
      <c r="Y1" s="28" t="inlineStr">
        <is>
          <t>Project document</t>
        </is>
      </c>
    </row>
    <row r="2" ht="183" customHeight="1">
      <c r="A2" s="34" t="n">
        <v>6468</v>
      </c>
      <c r="B2" s="35" t="inlineStr">
        <is>
          <t>Lebanon Sustainable Low-emission Transport Systems</t>
        </is>
      </c>
      <c r="C2" s="61" t="inlineStr">
        <is>
          <t xml:space="preserve">https://pims.undp.org/project/view?id=6468
https://www.thegef.org/projects-operations/projects/10358 </t>
        </is>
      </c>
      <c r="D2" s="63" t="n">
        <v>3552968</v>
      </c>
      <c r="E2" s="64" t="n"/>
      <c r="F2" s="64" t="n"/>
      <c r="G2" s="64" t="n"/>
      <c r="H2" s="63" t="inlineStr">
        <is>
          <t>VF</t>
        </is>
      </c>
      <c r="I2" s="35" t="inlineStr">
        <is>
          <t>Transportation and E-mobility Services</t>
        </is>
      </c>
      <c r="J2" s="61" t="inlineStr">
        <is>
          <t>Outcome Indicator 1: # direct project beneficiaries disaggregated by gender (individual people</t>
        </is>
      </c>
      <c r="K2" s="35" t="n">
        <v>0</v>
      </c>
      <c r="L2" s="38" t="n">
        <v>1417000</v>
      </c>
      <c r="M2" s="39" t="inlineStr">
        <is>
          <t>https://www.thegef.org/projects-operations/projects/10358</t>
        </is>
      </c>
      <c r="N2" s="35" t="inlineStr">
        <is>
          <t>GEF</t>
        </is>
      </c>
      <c r="O2" s="40" t="n">
        <v>0.5</v>
      </c>
      <c r="P2" s="35" t="inlineStr">
        <is>
          <t xml:space="preserve"> </t>
        </is>
      </c>
      <c r="Q2" s="61" t="inlineStr">
        <is>
          <t>Close the gap on energy access</t>
        </is>
      </c>
      <c r="R2" s="35" t="inlineStr">
        <is>
          <t>Energy Efficiency</t>
        </is>
      </c>
      <c r="S2" s="35" t="inlineStr">
        <is>
          <t xml:space="preserve"> </t>
        </is>
      </c>
      <c r="T2" s="35" t="inlineStr">
        <is>
          <t>NDC Support</t>
        </is>
      </c>
      <c r="U2" s="35" t="inlineStr">
        <is>
          <t>Transport</t>
        </is>
      </c>
      <c r="V2" s="35" t="inlineStr">
        <is>
          <t>Other</t>
        </is>
      </c>
      <c r="W2" s="41" t="inlineStr">
        <is>
          <t>National</t>
        </is>
      </c>
      <c r="X2" s="35" t="inlineStr">
        <is>
          <t xml:space="preserve"> </t>
        </is>
      </c>
      <c r="Y2" s="42" t="inlineStr">
        <is>
          <t>https://undp.sharepoint.com/:b:/r/sites/Docs-Project/Shared%20Documents/6468-Lb-SustTr%20120993-Prodoc_signed.pdf?csf=1&amp;web=1&amp;e=bio7Mg</t>
        </is>
      </c>
      <c r="Z2" s="43" t="n"/>
      <c r="AA2" s="34" t="inlineStr">
        <is>
          <t>VF</t>
        </is>
      </c>
      <c r="AB2" s="35" t="inlineStr">
        <is>
          <t xml:space="preserve"> </t>
        </is>
      </c>
      <c r="AC2" s="35" t="inlineStr">
        <is>
          <t>Accelerating just energy transition</t>
        </is>
      </c>
      <c r="AD2" s="35" t="inlineStr">
        <is>
          <t>Energy Efficiency</t>
        </is>
      </c>
      <c r="AE2" s="35" t="inlineStr">
        <is>
          <t xml:space="preserve"> </t>
        </is>
      </c>
      <c r="AF2" s="35" t="inlineStr">
        <is>
          <t xml:space="preserve"> </t>
        </is>
      </c>
      <c r="AG2" s="35" t="inlineStr">
        <is>
          <t xml:space="preserve"> </t>
        </is>
      </c>
      <c r="AH2" s="35" t="inlineStr">
        <is>
          <t xml:space="preserve"> </t>
        </is>
      </c>
      <c r="AI2" s="35" t="inlineStr">
        <is>
          <t xml:space="preserve"> </t>
        </is>
      </c>
      <c r="AJ2" s="43" t="n"/>
      <c r="AK2" s="43" t="n"/>
      <c r="AL2" s="44" t="inlineStr">
        <is>
          <t>https://undp-my.sharepoint.com/:w:/g/personal/jihan_seoud_undp_org/EdCRFNHka59Ehd5I0eDb-_QBSD3Y7vTufR-j-ioHEuPD1w?e=ZAeRLg&amp;CID=9D014957-FFDB-4849-84F1-EC9AA031D3D1</t>
        </is>
      </c>
    </row>
    <row r="3" ht="213" customHeight="1">
      <c r="A3" s="34" t="n"/>
      <c r="B3" s="35" t="n"/>
      <c r="C3" s="61" t="n"/>
      <c r="D3" s="63" t="n"/>
      <c r="E3" s="63" t="n"/>
      <c r="F3" s="63" t="n"/>
      <c r="G3" s="63" t="n"/>
      <c r="H3" s="63" t="n"/>
      <c r="I3" s="35" t="inlineStr">
        <is>
          <t>Energy (MW added)</t>
        </is>
      </c>
      <c r="J3" s="61" t="inlineStr">
        <is>
          <t>Installed capacity in MW for access/productive-use outputs</t>
        </is>
      </c>
      <c r="K3" s="35" t="n">
        <v>0</v>
      </c>
      <c r="L3" s="65" t="n"/>
      <c r="M3" s="66" t="inlineStr">
        <is>
          <t>[AUTO-ADDED] Project reports access/productive-use beneficiary numbers but no MW value. Please add installed capacity (MW) or confirm not applicable.</t>
        </is>
      </c>
      <c r="N3" s="35" t="n"/>
      <c r="O3" s="40" t="n"/>
      <c r="P3" s="35" t="n"/>
      <c r="Q3" s="61" t="n"/>
      <c r="R3" s="35" t="n"/>
      <c r="S3" s="35" t="n"/>
      <c r="T3" s="35" t="n"/>
      <c r="U3" s="35" t="n"/>
      <c r="V3" s="35" t="inlineStr">
        <is>
          <t>https://undp.sharepoint.com/:b:/r/sites/Docs-Project/Shared%20Documents/00120029-PPMUNDP%20Prodoc%20CEDRO%20V%20signed%20by%20All.pdf?csf=1&amp;web=1&amp;e=AcP4et</t>
        </is>
      </c>
      <c r="W3" s="41" t="n"/>
      <c r="X3" s="35" t="n"/>
      <c r="Y3" s="42" t="n"/>
      <c r="Z3" s="43" t="n"/>
      <c r="AA3" s="34" t="n"/>
      <c r="AB3" s="35" t="n"/>
      <c r="AC3" s="35" t="n"/>
      <c r="AD3" s="35" t="n"/>
      <c r="AE3" s="35" t="n"/>
      <c r="AF3" s="35" t="n"/>
      <c r="AG3" s="35" t="n"/>
      <c r="AH3" s="35" t="n"/>
      <c r="AI3" s="35" t="n"/>
      <c r="AJ3" s="43" t="n"/>
      <c r="AK3" s="43" t="n"/>
      <c r="AL3" s="44" t="n"/>
    </row>
    <row r="4" ht="213" customFormat="1" customHeight="1" s="31">
      <c r="A4" s="45" t="n">
        <v>118152</v>
      </c>
      <c r="B4" s="46" t="inlineStr">
        <is>
          <t>Renewable energy opportunities</t>
        </is>
      </c>
      <c r="C4" s="47" t="inlineStr">
        <is>
          <t>http://open.undp.org/projects/00120029</t>
        </is>
      </c>
      <c r="D4" s="67" t="n">
        <v>15436128</v>
      </c>
      <c r="E4" s="68" t="n"/>
      <c r="F4" s="68" t="n"/>
      <c r="G4" s="68" t="n"/>
      <c r="H4" s="67" t="inlineStr">
        <is>
          <t>Non-VF</t>
        </is>
      </c>
      <c r="I4" s="49" t="inlineStr">
        <is>
          <t>Entrepreneurship Training</t>
        </is>
      </c>
      <c r="J4" s="49" t="inlineStr">
        <is>
          <t>Number of professionals &amp; stakeholders trained</t>
        </is>
      </c>
      <c r="K4" s="49" t="n">
        <v>0</v>
      </c>
      <c r="L4" s="49" t="n">
        <v>260</v>
      </c>
      <c r="M4" s="46" t="inlineStr">
        <is>
          <t>Female beneficiaries no.=6,570</t>
        </is>
      </c>
      <c r="N4" s="49" t="inlineStr">
        <is>
          <t>EU</t>
        </is>
      </c>
      <c r="O4" s="50" t="n">
        <v>0.5</v>
      </c>
      <c r="P4" s="77" t="n"/>
      <c r="Q4" s="51" t="inlineStr">
        <is>
          <t>Accelerating just energy transition</t>
        </is>
      </c>
      <c r="R4" s="49" t="inlineStr">
        <is>
          <t>Renewable Energy</t>
        </is>
      </c>
      <c r="S4" s="49" t="inlineStr">
        <is>
          <t xml:space="preserve"> </t>
        </is>
      </c>
      <c r="T4" s="49" t="inlineStr">
        <is>
          <t>NDC Support</t>
        </is>
      </c>
      <c r="U4" s="49" t="inlineStr">
        <is>
          <t>Off-Grid</t>
        </is>
      </c>
      <c r="V4" s="49" t="inlineStr">
        <is>
          <t>Solar</t>
        </is>
      </c>
      <c r="W4" s="49" t="inlineStr">
        <is>
          <t>National</t>
        </is>
      </c>
      <c r="X4" s="49" t="inlineStr">
        <is>
          <t xml:space="preserve"> </t>
        </is>
      </c>
      <c r="Y4" s="52" t="inlineStr">
        <is>
          <t>https://undp.sharepoint.com/:b:/r/sites/Docs-Project/Shared%20Documents/00120029-PPMUNDP%20Prodoc%20CEDRO%20V%20signed%20by%20All.pdf?csf=1&amp;web=1&amp;e=AcP4et</t>
        </is>
      </c>
      <c r="Z4" s="43" t="n"/>
      <c r="AA4" s="53" t="inlineStr">
        <is>
          <t>Non-VF</t>
        </is>
      </c>
      <c r="AB4" s="49" t="inlineStr">
        <is>
          <t xml:space="preserve"> </t>
        </is>
      </c>
      <c r="AC4" s="49" t="inlineStr">
        <is>
          <t>Accelerating just energy transition</t>
        </is>
      </c>
      <c r="AD4" s="49" t="inlineStr">
        <is>
          <t>Energy Efficiency</t>
        </is>
      </c>
      <c r="AE4" s="49" t="inlineStr">
        <is>
          <t>Tier 1</t>
        </is>
      </c>
      <c r="AF4" s="49" t="inlineStr">
        <is>
          <t xml:space="preserve"> </t>
        </is>
      </c>
      <c r="AG4" s="49" t="inlineStr">
        <is>
          <t xml:space="preserve"> </t>
        </is>
      </c>
      <c r="AH4" s="49" t="inlineStr">
        <is>
          <t xml:space="preserve"> </t>
        </is>
      </c>
      <c r="AI4" s="49" t="n">
        <v>0.006667</v>
      </c>
      <c r="AJ4" s="43" t="n"/>
      <c r="AK4" s="54" t="inlineStr">
        <is>
          <t xml:space="preserve">Project 120029 seems like it doesn't have enough beneficiaries specified. The budget is over $15M, but only 230 people were listed for a training.
1.Can you please provide more information on the outputs of this project?
2. Can you please share the ammount of budget related to energy activities ? </t>
        </is>
      </c>
      <c r="AL4" s="55" t="inlineStr">
        <is>
          <t>For the category related to entrepreneurship training, it is indeed only 230 persons that were trained but the budget for that activity was approximately $100,000 out of the total $15 million. There are other outputs of the project that you can check in the output results in the link which includes the various activities implemented within this project each year and include the installation of solar energy systems in industries, army barracks and others. Project documents send by email</t>
        </is>
      </c>
    </row>
    <row r="5" ht="30.75" customFormat="1" customHeight="1" s="31">
      <c r="A5" s="56" t="n">
        <v>1001256</v>
      </c>
      <c r="B5" s="57" t="inlineStr">
        <is>
          <t>Sustainable Energy for Public Services entities, entrepreneurship and innovation– EU Support to Lebanon’s Green Agenda</t>
        </is>
      </c>
      <c r="C5" s="52" t="inlineStr">
        <is>
          <t>https://undp.lightning.force.com/lightning/r/Project__c/a386N000005LZYGQA4/view</t>
        </is>
      </c>
      <c r="D5" s="69" t="n">
        <v>24321900</v>
      </c>
      <c r="E5" s="70" t="n"/>
      <c r="F5" s="70" t="n"/>
      <c r="G5" s="70" t="n"/>
      <c r="H5" s="69" t="inlineStr">
        <is>
          <t>Non-VF</t>
        </is>
      </c>
      <c r="I5" s="51" t="inlineStr">
        <is>
          <t>Education Services</t>
        </is>
      </c>
      <c r="J5" s="51" t="inlineStr">
        <is>
          <t xml:space="preserve">Tons of annual fossil fuel imports reduced </t>
        </is>
      </c>
      <c r="K5" s="51" t="inlineStr">
        <is>
          <t>TBD</t>
        </is>
      </c>
      <c r="L5" s="59" t="n">
        <v>4900</v>
      </c>
      <c r="M5" s="46" t="inlineStr">
        <is>
          <t>Female beneficiaries no.=2,500</t>
        </is>
      </c>
      <c r="N5" s="51" t="inlineStr">
        <is>
          <t>EU</t>
        </is>
      </c>
      <c r="O5" s="50" t="n">
        <v>0.5</v>
      </c>
      <c r="P5" s="77" t="n"/>
      <c r="Q5" s="51" t="inlineStr">
        <is>
          <t>Close the gap on energy access</t>
        </is>
      </c>
      <c r="R5" s="61" t="inlineStr">
        <is>
          <t>Renewable Energy</t>
        </is>
      </c>
      <c r="S5" s="22" t="n"/>
      <c r="T5" s="51" t="inlineStr">
        <is>
          <t>NDC Support</t>
        </is>
      </c>
      <c r="U5" s="51" t="inlineStr">
        <is>
          <t>Off-Grid</t>
        </is>
      </c>
      <c r="V5" s="51" t="inlineStr">
        <is>
          <t>Solar</t>
        </is>
      </c>
      <c r="W5" s="51" t="inlineStr">
        <is>
          <t>National</t>
        </is>
      </c>
      <c r="X5" s="51" t="inlineStr">
        <is>
          <t xml:space="preserve"> </t>
        </is>
      </c>
      <c r="Y5" s="52" t="inlineStr">
        <is>
          <t>https://undp.sharepoint.com/:b:/r/sites/Docs-Project/Shared%20Documents/01001256-PPM20230921_Prodoc%20CEDRO6%20GreenAgenda.doc.pdf?csf=1&amp;web=1&amp;e=jBvgx9</t>
        </is>
      </c>
      <c r="Z5" s="55" t="n"/>
      <c r="AA5" s="55" t="n"/>
      <c r="AB5" s="55" t="n"/>
      <c r="AC5" s="55" t="n"/>
      <c r="AD5" s="55" t="n"/>
      <c r="AE5" s="55" t="n"/>
      <c r="AF5" s="55" t="n"/>
      <c r="AG5" s="55" t="n"/>
      <c r="AH5" s="55" t="n"/>
      <c r="AI5" s="55" t="n"/>
      <c r="AJ5" s="55" t="n"/>
      <c r="AK5" s="55" t="n"/>
      <c r="AL5" s="55" t="n"/>
    </row>
    <row r="6">
      <c r="A6" s="56" t="n"/>
      <c r="B6" s="57" t="n"/>
      <c r="C6" s="52" t="n"/>
      <c r="D6" s="69" t="n"/>
      <c r="E6" s="69" t="n"/>
      <c r="F6" s="69" t="n"/>
      <c r="G6" s="69" t="n"/>
      <c r="H6" s="69" t="n"/>
      <c r="I6" s="51" t="inlineStr">
        <is>
          <t>Energy (MW added)</t>
        </is>
      </c>
      <c r="J6" s="51" t="inlineStr">
        <is>
          <t>Installed capacity in MW for access/productive-use outputs</t>
        </is>
      </c>
      <c r="K6" s="51" t="n">
        <v>0</v>
      </c>
      <c r="L6" s="71" t="n"/>
      <c r="M6" s="72" t="inlineStr">
        <is>
          <t>[AUTO-ADDED] Project reports access/productive-use beneficiary numbers but no MW value. Please add installed capacity (MW) or confirm not applicable.</t>
        </is>
      </c>
      <c r="N6" s="51" t="n"/>
      <c r="O6" s="50" t="n"/>
      <c r="P6" s="51" t="n"/>
      <c r="Q6" s="51" t="n"/>
      <c r="R6" s="61" t="n"/>
      <c r="S6" s="73" t="n"/>
      <c r="T6" s="51" t="n"/>
      <c r="U6" s="51" t="n"/>
      <c r="V6" s="51" t="n"/>
      <c r="W6" s="51" t="n"/>
      <c r="X6" s="51" t="n"/>
      <c r="Y6" s="52" t="n"/>
      <c r="Z6" s="55" t="n"/>
      <c r="AA6" s="55" t="n"/>
      <c r="AB6" s="55" t="n"/>
      <c r="AC6" s="55" t="n"/>
      <c r="AD6" s="55" t="n"/>
      <c r="AE6" s="55" t="n"/>
      <c r="AF6" s="55" t="n"/>
      <c r="AG6" s="55" t="n"/>
      <c r="AH6" s="55" t="n"/>
      <c r="AI6" s="55" t="n"/>
      <c r="AJ6" s="55" t="n"/>
      <c r="AK6" s="55" t="n"/>
      <c r="AL6" s="55" t="n"/>
    </row>
    <row r="7">
      <c r="A7" s="56" t="n">
        <v>1001708</v>
      </c>
      <c r="B7" s="51" t="inlineStr">
        <is>
          <t>Improving energy security and promoting the transition to sustainable energy in Lebanon</t>
        </is>
      </c>
      <c r="C7" s="52" t="inlineStr">
        <is>
          <t>https://undp.lightning.force.com/lightning/r/Project__c/a386N000005LkApQAK/view</t>
        </is>
      </c>
      <c r="D7" s="69" t="n">
        <v>20293291.47</v>
      </c>
      <c r="E7" s="70" t="n"/>
      <c r="F7" s="70" t="n"/>
      <c r="G7" s="70" t="n"/>
      <c r="H7" s="69" t="inlineStr">
        <is>
          <t>Non-VF</t>
        </is>
      </c>
      <c r="I7" s="51" t="inlineStr">
        <is>
          <t>Health Services</t>
        </is>
      </c>
      <c r="J7" s="51" t="inlineStr">
        <is>
          <t>Indicator 1.1.2 Energy saved from RE &amp; EE interventions per year (MWh)</t>
        </is>
      </c>
      <c r="K7" s="51" t="inlineStr">
        <is>
          <t>TBD</t>
        </is>
      </c>
      <c r="L7" s="62" t="n">
        <v>8550</v>
      </c>
      <c r="M7" s="46" t="inlineStr">
        <is>
          <t>Female beneficiaries no.=1,600</t>
        </is>
      </c>
      <c r="N7" s="51" t="inlineStr">
        <is>
          <t>KfW</t>
        </is>
      </c>
      <c r="O7" s="50" t="n">
        <v>0.5</v>
      </c>
      <c r="P7" s="51" t="inlineStr">
        <is>
          <t xml:space="preserve"> </t>
        </is>
      </c>
      <c r="Q7" s="51" t="inlineStr">
        <is>
          <t>Close the gap on energy access</t>
        </is>
      </c>
      <c r="R7" s="61" t="inlineStr">
        <is>
          <t>Renewable Energy</t>
        </is>
      </c>
      <c r="S7" s="22" t="n"/>
      <c r="T7" s="51" t="inlineStr">
        <is>
          <t>NDC Support</t>
        </is>
      </c>
      <c r="U7" s="51" t="inlineStr">
        <is>
          <t>Off-Grid</t>
        </is>
      </c>
      <c r="V7" s="51" t="inlineStr">
        <is>
          <t>Solar</t>
        </is>
      </c>
      <c r="W7" s="51" t="inlineStr">
        <is>
          <t>National</t>
        </is>
      </c>
      <c r="X7" s="51" t="inlineStr">
        <is>
          <t xml:space="preserve"> </t>
        </is>
      </c>
      <c r="Y7" s="52" t="inlineStr">
        <is>
          <t>01001708-PPMProdoc KfW RE 01001708 Final-1.doc.pdf</t>
        </is>
      </c>
      <c r="Z7" s="55" t="n"/>
      <c r="AA7" s="55" t="n"/>
      <c r="AB7" s="55" t="n"/>
      <c r="AC7" s="55" t="n"/>
      <c r="AD7" s="55" t="n"/>
      <c r="AE7" s="55" t="n"/>
      <c r="AF7" s="55" t="n"/>
      <c r="AG7" s="55" t="n"/>
      <c r="AH7" s="55" t="n"/>
      <c r="AI7" s="55" t="n"/>
      <c r="AJ7" s="55" t="n"/>
      <c r="AK7" s="55" t="n"/>
      <c r="AL7" s="55" t="n"/>
    </row>
    <row r="8">
      <c r="A8" s="56" t="n"/>
      <c r="B8" s="51" t="n"/>
      <c r="C8" s="52" t="n"/>
      <c r="D8" s="69" t="n"/>
      <c r="E8" s="69" t="n"/>
      <c r="F8" s="69" t="n"/>
      <c r="G8" s="69" t="n"/>
      <c r="H8" s="69" t="n"/>
      <c r="I8" s="51" t="inlineStr">
        <is>
          <t>Energy (MW added)</t>
        </is>
      </c>
      <c r="J8" s="51" t="inlineStr">
        <is>
          <t>Installed capacity in MW for access/productive-use outputs</t>
        </is>
      </c>
      <c r="K8" s="51" t="n">
        <v>0</v>
      </c>
      <c r="L8" s="74" t="n"/>
      <c r="M8" s="72" t="inlineStr">
        <is>
          <t>[AUTO-ADDED] Project reports access/productive-use beneficiary numbers but no MW value. Please add installed capacity (MW) or confirm not applicable.</t>
        </is>
      </c>
      <c r="N8" s="51" t="n"/>
      <c r="O8" s="50" t="n"/>
      <c r="P8" s="51" t="n"/>
      <c r="Q8" s="51" t="n"/>
      <c r="R8" s="61" t="n"/>
      <c r="S8" s="73" t="n"/>
      <c r="T8" s="51" t="n"/>
      <c r="U8" s="51" t="n"/>
      <c r="V8" s="51" t="n"/>
      <c r="W8" s="51" t="n"/>
      <c r="X8" s="51" t="n"/>
      <c r="Y8" s="52" t="n"/>
      <c r="Z8" s="55" t="n"/>
      <c r="AA8" s="55" t="n"/>
      <c r="AB8" s="55" t="n"/>
      <c r="AC8" s="55" t="n"/>
      <c r="AD8" s="55" t="n"/>
      <c r="AE8" s="55" t="n"/>
      <c r="AF8" s="55" t="n"/>
      <c r="AG8" s="55" t="n"/>
      <c r="AH8" s="55" t="n"/>
      <c r="AI8" s="55" t="n"/>
      <c r="AJ8" s="55" t="n"/>
      <c r="AK8" s="55" t="n"/>
      <c r="AL8" s="55" t="n"/>
    </row>
    <row r="9" ht="22.5" customHeight="1">
      <c r="B9" s="30" t="n"/>
      <c r="C9" s="31" t="n"/>
    </row>
    <row r="10" ht="22.5" customHeight="1">
      <c r="B10" s="30" t="n"/>
      <c r="C10" s="31" t="n"/>
    </row>
  </sheetData>
  <mergeCells count="2">
    <mergeCell ref="O5:P5"/>
    <mergeCell ref="O4:P4"/>
  </mergeCells>
  <dataValidations count="3">
    <dataValidation sqref="G2:G2001" showDropDown="0" showInputMessage="0" showErrorMessage="0" allowBlank="1" errorTitle="Invalid Status" error="Select a status from the dropdown list." promptTitle="Status" prompt="Choose a project status." type="list">
      <formula1>"Pending,Approved,Active,Operationally Closed,Financially Closed,Suspended,Cancelled"</formula1>
    </dataValidation>
    <dataValidation sqref="G2:G2001" showDropDown="0" showInputMessage="0" showErrorMessage="0" allowBlank="1" errorTitle="Invalid Status" error="Select a status from the dropdown list." promptTitle="Status" prompt="Choose a project status." type="list">
      <formula1>"Pending,Approved,Active,Operationally Closed,Financially Closed,Suspended,Cancelled"</formula1>
    </dataValidation>
    <dataValidation sqref="G2:G2001" showDropDown="0" showInputMessage="0" showErrorMessage="0" allowBlank="1" errorTitle="Invalid Status" error="Select a status from the dropdown list." promptTitle="Status" prompt="Choose a project status." type="list">
      <formula1>"Pending,Approved,Active,Operationally Closed,Financially Closed,Suspended,Cancelled"</formula1>
    </dataValidation>
  </dataValidations>
  <hyperlinks>
    <hyperlink xmlns:r="http://schemas.openxmlformats.org/officeDocument/2006/relationships" ref="I2" r:id="rId1"/>
    <hyperlink xmlns:r="http://schemas.openxmlformats.org/officeDocument/2006/relationships" ref="V2" r:id="rId2"/>
    <hyperlink xmlns:r="http://schemas.openxmlformats.org/officeDocument/2006/relationships" ref="AI2" r:id="rId3"/>
    <hyperlink xmlns:r="http://schemas.openxmlformats.org/officeDocument/2006/relationships" ref="V3" r:id="rId4"/>
    <hyperlink xmlns:r="http://schemas.openxmlformats.org/officeDocument/2006/relationships" ref="C4" r:id="rId5"/>
    <hyperlink xmlns:r="http://schemas.openxmlformats.org/officeDocument/2006/relationships" ref="V4" r:id="rId6"/>
    <hyperlink xmlns:r="http://schemas.openxmlformats.org/officeDocument/2006/relationships" ref="C5" r:id="rId7"/>
    <hyperlink xmlns:r="http://schemas.openxmlformats.org/officeDocument/2006/relationships" ref="V5" r:id="rId8"/>
  </hyperlink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T8"/>
  <sheetViews>
    <sheetView workbookViewId="0">
      <selection activeCell="E11" sqref="E11"/>
    </sheetView>
  </sheetViews>
  <sheetFormatPr baseColWidth="8" defaultColWidth="8.85546875" defaultRowHeight="15"/>
  <cols>
    <col width="50.85546875" customWidth="1" min="2" max="2"/>
    <col width="34.85546875" customWidth="1" min="3" max="3"/>
    <col width="17.28515625" customWidth="1" min="4" max="4"/>
    <col width="49.85546875" customWidth="1" min="5" max="5"/>
    <col width="57.85546875" customWidth="1" min="6" max="6"/>
    <col width="12.7109375" customWidth="1" min="7" max="8"/>
    <col width="32.7109375" customWidth="1" min="9" max="9"/>
    <col width="26" customWidth="1" min="13" max="13"/>
  </cols>
  <sheetData>
    <row r="1">
      <c r="A1" s="11" t="inlineStr">
        <is>
          <t>Project ID</t>
        </is>
      </c>
      <c r="B1" s="11" t="inlineStr">
        <is>
          <t>Title</t>
        </is>
      </c>
      <c r="C1" s="11" t="inlineStr">
        <is>
          <t>Link</t>
        </is>
      </c>
      <c r="D1" s="11" t="inlineStr">
        <is>
          <t>Budget</t>
        </is>
      </c>
      <c r="E1" s="11" t="inlineStr">
        <is>
          <t>Beneficiary Category</t>
        </is>
      </c>
      <c r="F1" s="11" t="inlineStr">
        <is>
          <t>Indicator</t>
        </is>
      </c>
      <c r="G1" s="11" t="inlineStr">
        <is>
          <t>Baseline</t>
        </is>
      </c>
      <c r="H1" s="11" t="inlineStr">
        <is>
          <t>Target</t>
        </is>
      </c>
      <c r="I1" s="11" t="inlineStr">
        <is>
          <t>Notes</t>
        </is>
      </c>
      <c r="J1" s="10" t="inlineStr">
        <is>
          <t>Donors</t>
        </is>
      </c>
      <c r="K1" s="10" t="inlineStr">
        <is>
          <t>Gender (% female)</t>
        </is>
      </c>
      <c r="L1" s="10" t="inlineStr">
        <is>
          <t>Category</t>
        </is>
      </c>
      <c r="M1" s="19" t="inlineStr">
        <is>
          <t>Comments</t>
        </is>
      </c>
      <c r="N1" s="10" t="inlineStr">
        <is>
          <t>Tag</t>
        </is>
      </c>
      <c r="O1" s="21" t="inlineStr">
        <is>
          <t>SEH Taxonomy</t>
        </is>
      </c>
      <c r="P1" s="10" t="inlineStr">
        <is>
          <t>RISE Taxonomy</t>
        </is>
      </c>
      <c r="Q1" s="10" t="inlineStr">
        <is>
          <t>Flagship</t>
        </is>
      </c>
      <c r="R1" s="10" t="inlineStr">
        <is>
          <t>Indirect Category</t>
        </is>
      </c>
      <c r="S1" s="10" t="inlineStr">
        <is>
          <t>Indirect Taxonomy</t>
        </is>
      </c>
      <c r="T1" s="12" t="inlineStr">
        <is>
          <t>Energy Percent</t>
        </is>
      </c>
    </row>
    <row r="2" ht="26.25" customHeight="1">
      <c r="A2" s="12" t="n">
        <v>120029</v>
      </c>
      <c r="B2" s="12" t="inlineStr">
        <is>
          <t>Sustainable Energy Programme</t>
        </is>
      </c>
      <c r="C2" s="13" t="inlineStr">
        <is>
          <t>http://open.undp.org/projects/00120029</t>
        </is>
      </c>
      <c r="D2" s="12" t="n">
        <v>15436128</v>
      </c>
      <c r="E2" s="14" t="inlineStr">
        <is>
          <t>Entrepreneurship Training</t>
        </is>
      </c>
      <c r="F2" s="14" t="inlineStr">
        <is>
          <t>Number of professionals &amp; stakeholders trained</t>
        </is>
      </c>
      <c r="G2" s="14" t="n">
        <v>0</v>
      </c>
      <c r="H2" s="14" t="n">
        <v>230</v>
      </c>
      <c r="I2" s="14" t="n"/>
      <c r="J2" s="12" t="inlineStr">
        <is>
          <t>EU</t>
        </is>
      </c>
      <c r="K2" s="12" t="n"/>
      <c r="L2" s="12" t="inlineStr">
        <is>
          <t>Non-VF</t>
        </is>
      </c>
      <c r="M2" s="20" t="n"/>
      <c r="N2" s="12" t="n"/>
      <c r="O2" s="22" t="inlineStr">
        <is>
          <t>Accelerating just energy transition</t>
        </is>
      </c>
      <c r="P2" s="12" t="inlineStr">
        <is>
          <t>Energy Efficiency</t>
        </is>
      </c>
      <c r="Q2" s="12" t="n"/>
      <c r="R2" s="12" t="n"/>
      <c r="S2" s="12" t="n"/>
      <c r="T2" s="12">
        <f>1/150</f>
        <v/>
      </c>
    </row>
    <row r="3" ht="26.25" customHeight="1">
      <c r="A3" s="12" t="n">
        <v>120029</v>
      </c>
      <c r="B3" s="12" t="inlineStr">
        <is>
          <t>Sustainable Energy Programme</t>
        </is>
      </c>
      <c r="C3" s="13" t="inlineStr">
        <is>
          <t>http://open.undp.org/projects/00120030</t>
        </is>
      </c>
      <c r="D3" s="12" t="n">
        <v>15436128</v>
      </c>
      <c r="E3" s="14" t="inlineStr">
        <is>
          <t>Other Energy Services</t>
        </is>
      </c>
      <c r="F3" s="14" t="inlineStr">
        <is>
          <t>Direct additional employment (person months)</t>
        </is>
      </c>
      <c r="G3" s="14" t="n">
        <v>0</v>
      </c>
      <c r="H3" s="14" t="n">
        <v>582</v>
      </c>
      <c r="I3" s="14" t="inlineStr">
        <is>
          <t>Impact Indicators</t>
        </is>
      </c>
      <c r="J3" s="12" t="inlineStr">
        <is>
          <t>EU</t>
        </is>
      </c>
      <c r="K3" s="12" t="n"/>
      <c r="L3" s="12" t="inlineStr">
        <is>
          <t>Non-VF</t>
        </is>
      </c>
      <c r="M3" s="20" t="n"/>
      <c r="N3" s="12" t="n"/>
      <c r="O3" s="22" t="inlineStr">
        <is>
          <t>Accelerating just energy transition</t>
        </is>
      </c>
      <c r="P3" s="12" t="inlineStr">
        <is>
          <t>Energy Efficiency</t>
        </is>
      </c>
      <c r="Q3" s="12" t="n"/>
      <c r="R3" s="12" t="n"/>
      <c r="S3" s="12" t="n"/>
      <c r="T3" s="12">
        <f>1/150</f>
        <v/>
      </c>
    </row>
    <row r="4" ht="48" customHeight="1">
      <c r="A4" s="12" t="n">
        <v>6468</v>
      </c>
      <c r="B4" s="12" t="inlineStr">
        <is>
          <t>Lebanon Sustainable Low-emission Transport Systems</t>
        </is>
      </c>
      <c r="C4" s="15" t="inlineStr">
        <is>
          <t>PIMS+
https://www.thegef.org/projects-operations/projects/10358</t>
        </is>
      </c>
      <c r="D4" s="17" t="n">
        <v>3552968</v>
      </c>
      <c r="E4" s="18" t="inlineStr">
        <is>
          <t>Other Energy Services</t>
        </is>
      </c>
      <c r="F4" s="18" t="inlineStr">
        <is>
          <t>Outcome Indicator 1: # direct project beneficiaries disaggregated by gender (individual people</t>
        </is>
      </c>
      <c r="G4" s="14" t="n">
        <v>0</v>
      </c>
      <c r="H4" s="14" t="n">
        <v>1417000</v>
      </c>
      <c r="I4" s="16" t="inlineStr">
        <is>
          <t>https://www.thegef.org/projects-operations/projects/10358</t>
        </is>
      </c>
      <c r="J4" s="12" t="inlineStr">
        <is>
          <t>GEF</t>
        </is>
      </c>
      <c r="K4" s="12" t="n"/>
      <c r="L4" s="12" t="inlineStr">
        <is>
          <t>VF</t>
        </is>
      </c>
      <c r="M4" s="20" t="n"/>
      <c r="N4" s="12" t="n"/>
      <c r="O4" s="22" t="inlineStr">
        <is>
          <t>Accelerating just energy transition</t>
        </is>
      </c>
      <c r="P4" s="12" t="inlineStr">
        <is>
          <t>Energy Efficiency</t>
        </is>
      </c>
      <c r="Q4" s="12" t="n"/>
      <c r="R4" s="12" t="n"/>
      <c r="S4" s="12" t="n"/>
      <c r="T4" s="12" t="n"/>
    </row>
    <row r="6">
      <c r="B6" s="6" t="n"/>
      <c r="C6" s="7" t="n"/>
    </row>
    <row r="7">
      <c r="C7" s="8" t="n"/>
    </row>
    <row r="8">
      <c r="C8" s="8" t="n"/>
    </row>
  </sheetData>
  <dataValidations count="5">
    <dataValidation sqref="O2:O4" showDropDown="0" showInputMessage="1" showErrorMessage="1" allowBlank="1" type="list">
      <formula1>"Accelerating just energy transition, Close the gap on energy access, Scale up energy finance"</formula1>
    </dataValidation>
    <dataValidation sqref="P2:P4" showDropDown="0" showInputMessage="1" showErrorMessage="1" allowBlank="1" type="list">
      <formula1>"Electricity Access, Energy Efficiency, Clean Cooking, Renewable Energy"</formula1>
    </dataValidation>
    <dataValidation sqref="Q2:Q4" showDropDown="0" showInputMessage="1" showErrorMessage="1" allowBlank="1" type="list">
      <formula1>"AMP, PUDC, Solar4Health, Action Opportunities, Italy UNDP Energy Partnership"</formula1>
    </dataValidation>
    <dataValidation sqref="R2:R4" showDropDown="0" showInputMessage="1" showErrorMessage="1" allowBlank="1" type="list">
      <formula1>"NDC Support, National Strategy, Legal Framework,Incentives and Support, Government Capacity-Building, Carbon Pricing and Monitoring, Financing Model, Business Model"</formula1>
    </dataValidation>
    <dataValidation sqref="S2:S4" showDropDown="0" showInputMessage="1" showErrorMessage="1" allowBlank="1" type="list">
      <formula1>"Electricity Access, Energy Efficiency, Renewable EnergyEnergy Infrastructure,   Transport, Digital &amp; Data, Clean Cooking, Decarbonization, Hydrogen, Off-Grid, On-Grid"</formula1>
    </dataValidation>
  </dataValidations>
  <hyperlinks>
    <hyperlink xmlns:r="http://schemas.openxmlformats.org/officeDocument/2006/relationships" ref="C2" r:id="rId1"/>
    <hyperlink xmlns:r="http://schemas.openxmlformats.org/officeDocument/2006/relationships" ref="C3" r:id="rId2"/>
    <hyperlink xmlns:r="http://schemas.openxmlformats.org/officeDocument/2006/relationships" ref="I4" r:id="rId3"/>
  </hyperlink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M8"/>
  <sheetViews>
    <sheetView workbookViewId="0">
      <selection activeCell="B6" sqref="B6:C8"/>
    </sheetView>
  </sheetViews>
  <sheetFormatPr baseColWidth="8" defaultColWidth="8.85546875" defaultRowHeight="15"/>
  <cols>
    <col width="50.85546875" customWidth="1" min="2" max="2"/>
    <col width="34.85546875" customWidth="1" min="3" max="3"/>
    <col width="17.28515625" customWidth="1" min="4" max="4"/>
    <col width="49.85546875" customWidth="1" min="5" max="5"/>
    <col width="57.85546875" customWidth="1" min="6" max="6"/>
    <col width="12.7109375" customWidth="1" min="7" max="8"/>
    <col width="32.7109375" customWidth="1" min="9" max="9"/>
  </cols>
  <sheetData>
    <row r="1">
      <c r="A1" s="1" t="inlineStr">
        <is>
          <t>Project ID</t>
        </is>
      </c>
      <c r="B1" s="1" t="inlineStr">
        <is>
          <t>Title</t>
        </is>
      </c>
      <c r="C1" s="1" t="inlineStr">
        <is>
          <t>Link</t>
        </is>
      </c>
      <c r="D1" s="1" t="inlineStr">
        <is>
          <t>Budget</t>
        </is>
      </c>
      <c r="E1" s="1" t="inlineStr">
        <is>
          <t>Beneficiary Category</t>
        </is>
      </c>
      <c r="F1" s="1" t="inlineStr">
        <is>
          <t>Indicator</t>
        </is>
      </c>
      <c r="G1" s="1" t="inlineStr">
        <is>
          <t>Baseline</t>
        </is>
      </c>
      <c r="H1" s="1" t="inlineStr">
        <is>
          <t>Target</t>
        </is>
      </c>
      <c r="I1" s="1" t="inlineStr">
        <is>
          <t>Notes</t>
        </is>
      </c>
      <c r="J1" s="9" t="inlineStr">
        <is>
          <t>Donors</t>
        </is>
      </c>
      <c r="K1" s="10" t="inlineStr">
        <is>
          <t>Gender (% female)</t>
        </is>
      </c>
      <c r="L1" s="10" t="inlineStr">
        <is>
          <t>Category</t>
        </is>
      </c>
      <c r="M1" s="10" t="inlineStr">
        <is>
          <t>Comments</t>
        </is>
      </c>
    </row>
    <row r="2" ht="26.25" customHeight="1">
      <c r="A2" t="n">
        <v>120029</v>
      </c>
      <c r="B2" t="inlineStr">
        <is>
          <t>Sustainable Energy Programme</t>
        </is>
      </c>
      <c r="C2" s="2" t="inlineStr">
        <is>
          <t>http://open.undp.org/projects/00120029</t>
        </is>
      </c>
      <c r="D2" t="n">
        <v>15436128</v>
      </c>
      <c r="E2" s="3" t="inlineStr">
        <is>
          <t>Entrepreneurship Training</t>
        </is>
      </c>
      <c r="F2" s="3" t="inlineStr">
        <is>
          <t>Number of professionals &amp; stakeholders trained</t>
        </is>
      </c>
      <c r="G2" s="3" t="n">
        <v>0</v>
      </c>
      <c r="H2" s="3" t="n">
        <v>230</v>
      </c>
      <c r="I2" s="3" t="n"/>
      <c r="J2" t="inlineStr">
        <is>
          <t>EU</t>
        </is>
      </c>
    </row>
    <row r="3" ht="26.25" customHeight="1">
      <c r="A3" t="n">
        <v>120029</v>
      </c>
      <c r="B3" t="inlineStr">
        <is>
          <t>Sustainable Energy Programme</t>
        </is>
      </c>
      <c r="C3" s="2" t="inlineStr">
        <is>
          <t>http://open.undp.org/projects/00120030</t>
        </is>
      </c>
      <c r="D3" t="n">
        <v>15436128</v>
      </c>
      <c r="E3" s="3" t="inlineStr">
        <is>
          <t>Other Energy Services</t>
        </is>
      </c>
      <c r="F3" s="3" t="inlineStr">
        <is>
          <t>Direct additional employment (person months)</t>
        </is>
      </c>
      <c r="G3" s="3" t="n">
        <v>0</v>
      </c>
      <c r="H3" s="3" t="n">
        <v>6989</v>
      </c>
      <c r="I3" s="3" t="inlineStr">
        <is>
          <t>Impact Indicators</t>
        </is>
      </c>
      <c r="J3" t="inlineStr">
        <is>
          <t>EU</t>
        </is>
      </c>
    </row>
    <row r="4" ht="48" customHeight="1">
      <c r="A4" t="n">
        <v>6468</v>
      </c>
      <c r="B4" t="inlineStr">
        <is>
          <t>Lebanon Sustainable Low-emission Transport Systems</t>
        </is>
      </c>
      <c r="C4" s="5" t="inlineStr">
        <is>
          <t>PIMS+
https://www.thegef.org/projects-operations/projects/10358</t>
        </is>
      </c>
      <c r="D4" t="n">
        <v>3552968</v>
      </c>
      <c r="E4" s="3" t="inlineStr">
        <is>
          <t>Other Energy Services</t>
        </is>
      </c>
      <c r="F4" s="3" t="inlineStr">
        <is>
          <t>Outcome Indicator 1: # direct project beneficiaries disaggregated by gender (individual people</t>
        </is>
      </c>
      <c r="G4" s="3" t="n">
        <v>0</v>
      </c>
      <c r="H4" s="3" t="n">
        <v>1417000</v>
      </c>
      <c r="I4" s="4" t="inlineStr">
        <is>
          <t>https://www.thegef.org/projects-operations/projects/10358</t>
        </is>
      </c>
      <c r="J4" t="inlineStr">
        <is>
          <t>GEF</t>
        </is>
      </c>
    </row>
    <row r="6" ht="192" customHeight="1">
      <c r="B6" s="6" t="inlineStr">
        <is>
          <t xml:space="preserve">Project 120029 seems like it doesn't have enough beneficiaries specified. The budget is over $15M, but only 230 people were listed for a training. 
1.Can you please provide more information on the outputs of this project?
2. Can you please share the ammount of budget related to energy activities ? </t>
        </is>
      </c>
      <c r="C6" s="7" t="inlineStr">
        <is>
          <t>For the category related to entrepreneurship training, it is indeed only 230 persons that were trained but the budget for that activity was approximately $100,000 out of the total $15 million. There are other outputs of the project that you can check in the output results in the link which includes the various activities implemented within this project each year and include the installation of solar energy systems in industries, army barracks and others. Project documents send by email</t>
        </is>
      </c>
    </row>
    <row r="7">
      <c r="C7" s="8" t="inlineStr">
        <is>
          <t>https://undp-my.sharepoint.com/:w:/g/personal/jihan_seoud_undp_org/ET_rZwCiM-NCubONnZ9oetsBcO5MJ4JrobTG48wgaYch_g?e=e5JUmD&amp;CID=3183E6F2-6D67-4323-BE6D-31996EA2705E</t>
        </is>
      </c>
    </row>
    <row r="8">
      <c r="C8" s="8" t="inlineStr">
        <is>
          <t>https://undp-my.sharepoint.com/:w:/g/personal/jihan_seoud_undp_org/EdCRFNHka59Ehd5I0eDb-_QBSD3Y7vTufR-j-ioHEuPD1w?e=ZAeRLg&amp;CID=9D014957-FFDB-4849-84F1-EC9AA031D3D1</t>
        </is>
      </c>
    </row>
  </sheetData>
  <hyperlinks>
    <hyperlink xmlns:r="http://schemas.openxmlformats.org/officeDocument/2006/relationships" ref="C2" r:id="rId1"/>
    <hyperlink xmlns:r="http://schemas.openxmlformats.org/officeDocument/2006/relationships" ref="C3" r:id="rId2"/>
    <hyperlink xmlns:r="http://schemas.openxmlformats.org/officeDocument/2006/relationships" ref="I4" r:id="rId3"/>
    <hyperlink xmlns:r="http://schemas.openxmlformats.org/officeDocument/2006/relationships" ref="C7" r:id="rId4"/>
    <hyperlink xmlns:r="http://schemas.openxmlformats.org/officeDocument/2006/relationships" ref="C8" r:id="rId5"/>
  </hyperlink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B24"/>
  <sheetViews>
    <sheetView workbookViewId="0">
      <pane ySplit="1" topLeftCell="A2" activePane="bottomLeft" state="frozen"/>
      <selection pane="bottomLeft" activeCell="A1" sqref="A1"/>
    </sheetView>
  </sheetViews>
  <sheetFormatPr baseColWidth="8" defaultColWidth="8.85546875" defaultRowHeight="15"/>
  <cols>
    <col width="36" customWidth="1" min="1" max="2"/>
    <col width="110" customWidth="1" min="2" max="2"/>
  </cols>
  <sheetData>
    <row r="1" ht="15.95" customHeight="1">
      <c r="A1" s="75" t="inlineStr">
        <is>
          <t>Beneficiary Category</t>
        </is>
      </c>
      <c r="B1" s="75" t="inlineStr">
        <is>
          <t>Indicator</t>
        </is>
      </c>
    </row>
    <row r="2" ht="32.1" customHeight="1">
      <c r="A2" s="76" t="inlineStr">
        <is>
          <t>Electricity Access</t>
        </is>
      </c>
      <c r="B2" s="76" t="inlineStr">
        <is>
          <t>Number of people, disaggregated by sex, who gain access to clean electricity (direct access to electricity, lighting, cooling, etc.).</t>
        </is>
      </c>
    </row>
    <row r="3" ht="15.95" customHeight="1">
      <c r="A3" s="76" t="inlineStr">
        <is>
          <t>Energy (MW added)</t>
        </is>
      </c>
      <c r="B3" s="76" t="inlineStr">
        <is>
          <t>Installed renewable or clean-energy power capacity added, in MW.</t>
        </is>
      </c>
    </row>
    <row r="4" ht="32.1" customHeight="1">
      <c r="A4" s="76" t="inlineStr">
        <is>
          <t>Energy Storage (MW)</t>
        </is>
      </c>
      <c r="B4" s="76" t="inlineStr">
        <is>
          <t>Installed energy storage power capacity added, in MW.</t>
        </is>
      </c>
    </row>
    <row r="5" ht="32.1" customHeight="1">
      <c r="A5" s="76" t="inlineStr">
        <is>
          <t>Clean Cooking</t>
        </is>
      </c>
      <c r="B5" s="76" t="inlineStr">
        <is>
          <t>Number of people who gain access to clean cooking (direct access to clean cook stoves, clean fuels, biomass, etc.).</t>
        </is>
      </c>
    </row>
    <row r="6" ht="96" customHeight="1">
      <c r="A6" s="76" t="inlineStr">
        <is>
          <t>Clean Heating</t>
        </is>
      </c>
      <c r="B6" s="76" t="inlineStr">
        <is>
          <t>Number of people who gain access to clean heating (direct access to clean electric heaters, clean fuels, etc.).</t>
        </is>
      </c>
    </row>
    <row r="7" ht="48" customHeight="1">
      <c r="A7" s="76" t="inlineStr">
        <is>
          <t>Agriculture and Food System</t>
        </is>
      </c>
      <c r="B7" s="76" t="inlineStr">
        <is>
          <t>Number of people who gain access to clean, affordable, and sustainable energy for agricultural and food-system activities.</t>
        </is>
      </c>
    </row>
    <row r="8" ht="32.1" customHeight="1">
      <c r="A8" s="76" t="inlineStr">
        <is>
          <t>Health Services</t>
        </is>
      </c>
      <c r="B8" s="76" t="inlineStr">
        <is>
          <t>Number of people who gain access to health care facilities through clean energy systems.</t>
        </is>
      </c>
    </row>
    <row r="9" ht="32.1" customHeight="1">
      <c r="A9" s="76" t="inlineStr">
        <is>
          <t>Water Services</t>
        </is>
      </c>
      <c r="B9" s="76" t="inlineStr">
        <is>
          <t>Number of people who gain access to water services through clean energy systems.</t>
        </is>
      </c>
    </row>
    <row r="10" ht="32.1" customHeight="1">
      <c r="A10" s="76" t="inlineStr">
        <is>
          <t>Education Services</t>
        </is>
      </c>
      <c r="B10" s="76" t="inlineStr">
        <is>
          <t>Number of people who gain access to education services through clean energy systems, including students and teachers.</t>
        </is>
      </c>
    </row>
    <row r="11" ht="32.1" customHeight="1">
      <c r="A11" s="76" t="inlineStr">
        <is>
          <t>Transportation and E-mobility Services</t>
        </is>
      </c>
      <c r="B11" s="76" t="inlineStr">
        <is>
          <t>Number of people served or energy saved from transport and e-mobility interventions, such as electric vehicles or charging stations.</t>
        </is>
      </c>
    </row>
    <row r="12" ht="48" customHeight="1">
      <c r="A12" s="76" t="inlineStr">
        <is>
          <t>Energy Efficiency Services</t>
        </is>
      </c>
      <c r="B12" s="76" t="inlineStr">
        <is>
          <t>Energy saved from energy-efficiency interventions, such as building or industrial efficiency.</t>
        </is>
      </c>
    </row>
    <row r="13" ht="15.95" customHeight="1">
      <c r="A13" s="76" t="inlineStr">
        <is>
          <t>Energy Infrastructure Services</t>
        </is>
      </c>
      <c r="B13" s="76" t="inlineStr">
        <is>
          <t>Number of people benefiting from energy infrastructure interventions, such as streetlights, transmission, and distribution lines.</t>
        </is>
      </c>
    </row>
    <row r="14" ht="15.95" customHeight="1">
      <c r="A14" s="76" t="inlineStr">
        <is>
          <t>Other Energy Services</t>
        </is>
      </c>
      <c r="B14" s="76" t="inlineStr">
        <is>
          <t>Access to other energy services not captured by the categories above.</t>
        </is>
      </c>
    </row>
    <row r="15" ht="32.1" customHeight="1">
      <c r="A15" s="76" t="inlineStr">
        <is>
          <t>Financing support</t>
        </is>
      </c>
      <c r="B15" s="76" t="inlineStr">
        <is>
          <t>Support for the development of the energy market ecosystem.</t>
        </is>
      </c>
    </row>
    <row r="16" ht="32.1" customHeight="1">
      <c r="A16" s="76" t="inlineStr">
        <is>
          <t>Medium Enterprises</t>
        </is>
      </c>
      <c r="B16" s="76" t="inlineStr">
        <is>
          <t>Support for the development of medium enterprises in the energy transition market.</t>
        </is>
      </c>
    </row>
    <row r="17" ht="32.1" customHeight="1">
      <c r="A17" s="76" t="inlineStr">
        <is>
          <t>Small Enterprises</t>
        </is>
      </c>
      <c r="B17" s="76" t="inlineStr">
        <is>
          <t>Support for the development of small enterprises in the energy transition market.</t>
        </is>
      </c>
    </row>
    <row r="18" ht="32.1" customHeight="1">
      <c r="A18" s="76" t="inlineStr">
        <is>
          <t>Capacity Building Training</t>
        </is>
      </c>
      <c r="B18" s="76" t="inlineStr">
        <is>
          <t>Number of people benefiting from training on energy business, energy finance, or related implementation capacity.</t>
        </is>
      </c>
    </row>
    <row r="19" ht="63.95" customHeight="1">
      <c r="A19" s="76" t="inlineStr">
        <is>
          <t>Entrepreneurship Training</t>
        </is>
      </c>
      <c r="B19" s="76" t="inlineStr">
        <is>
          <t>Training for enterprises on the energy business, assumed to result in direct beneficiaries.</t>
        </is>
      </c>
    </row>
    <row r="20" ht="15.95" customHeight="1">
      <c r="A20" s="76" t="inlineStr">
        <is>
          <t>Market Intervention</t>
        </is>
      </c>
      <c r="B20" s="76" t="inlineStr">
        <is>
          <t>Volume of investment leveraged or barriers removed for clean, reliable, affordable, and sustainable energy solutions.</t>
        </is>
      </c>
    </row>
    <row r="21" ht="32.1" customHeight="1">
      <c r="A21" s="76" t="inlineStr">
        <is>
          <t>Campaign Participant</t>
        </is>
      </c>
      <c r="B21" s="76" t="inlineStr">
        <is>
          <t>Individuals who participate in advocacy or awareness campaigns on energy.</t>
        </is>
      </c>
    </row>
    <row r="22" ht="15.95" customHeight="1">
      <c r="A22" s="76" t="inlineStr">
        <is>
          <t>Policy or Regulatory Framework</t>
        </is>
      </c>
      <c r="B22" s="76" t="inlineStr">
        <is>
          <t>Policies, regulations, strategies, plans, or frameworks developed, approved, implemented, or strengthened.</t>
        </is>
      </c>
    </row>
    <row r="23">
      <c r="A23" s="76" t="inlineStr">
        <is>
          <t>GHG Emissions Reduction</t>
        </is>
      </c>
      <c r="B23" s="76" t="inlineStr">
        <is>
          <t>Greenhouse gas emissions reduced or mitigated, in tCO2e.</t>
        </is>
      </c>
    </row>
    <row r="24">
      <c r="A24" s="76" t="inlineStr">
        <is>
          <t>Other</t>
        </is>
      </c>
      <c r="B24" s="76" t="inlineStr">
        <is>
          <t>Energy-related output that does not fit the standard categories above.</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2023-05-05T09:33:41Z</dcterms:created>
  <dcterms:modified xmlns:dcterms="http://purl.org/dc/terms/" xmlns:xsi="http://www.w3.org/2001/XMLSchema-instance" xsi:type="dcterms:W3CDTF">2026-06-08T15:49:46Z</dcterms:modified>
  <cp:lastModifiedBy>Manar Shehadeh</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0x01010081A889D055969F449BCDADF9B8A9C0F0</vt:lpwstr>
  </property>
  <property name="MediaServiceImageTags" fmtid="{D5CDD505-2E9C-101B-9397-08002B2CF9AE}" pid="3">
    <vt:lpwstr xmlns:vt="http://schemas.openxmlformats.org/officeDocument/2006/docPropsVTypes"/>
  </property>
</Properties>
</file>