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6">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family val="2"/>
      <color rgb="FFFF0000"/>
      <sz val="11"/>
    </font>
    <font>
      <name val="Calibri"/>
      <b val="1"/>
      <color rgb="FFFF0000"/>
      <sz val="11"/>
    </font>
    <font>
      <name val="Calibri"/>
      <b val="1"/>
      <color rgb="FF4F81BD"/>
      <sz val="11"/>
    </font>
    <font>
      <name val="Calibri"/>
      <color rgb="FF000000"/>
      <sz val="11"/>
    </font>
    <font>
      <name val="Calibri"/>
      <color rgb="FF000000"/>
      <sz val="11"/>
      <u val="single"/>
    </font>
    <font>
      <name val="Calibri"/>
      <charset val="1"/>
      <color rgb="FF000000"/>
      <sz val="11"/>
    </font>
    <font>
      <name val="Calibri"/>
      <b val="1"/>
      <color theme="1"/>
      <sz val="11"/>
      <scheme val="minor"/>
    </font>
    <font>
      <name val="Calibri"/>
      <color rgb="FF000000"/>
      <sz val="11"/>
      <scheme val="minor"/>
    </font>
    <font>
      <name val="Calibri"/>
      <family val="2"/>
      <color theme="10"/>
      <sz val="11"/>
      <u val="single"/>
      <scheme val="minor"/>
    </font>
    <font>
      <name val="Calibri"/>
      <family val="2"/>
      <i val="1"/>
      <color rgb="FFFF0000"/>
      <sz val="11"/>
      <scheme val="minor"/>
    </font>
    <font>
      <name val="Calibri"/>
      <family val="2"/>
      <color rgb="FF000000"/>
      <sz val="11"/>
    </font>
    <font>
      <b val="1"/>
    </font>
  </fonts>
  <fills count="4">
    <fill>
      <patternFill/>
    </fill>
    <fill>
      <patternFill patternType="gray125"/>
    </fill>
    <fill>
      <patternFill patternType="solid">
        <fgColor rgb="FFFFE497"/>
        <bgColor indexed="64"/>
      </patternFill>
    </fill>
    <fill>
      <patternFill patternType="solid">
        <fgColor rgb="00FFFF00"/>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thin">
        <color rgb="FF000000"/>
      </left>
      <right/>
      <top style="thin">
        <color rgb="FF000000"/>
      </top>
      <bottom style="thin">
        <color rgb="FF000000"/>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rgb="FF000000"/>
      </left>
      <right/>
      <top/>
      <bottom/>
      <diagonal/>
    </border>
  </borders>
  <cellStyleXfs count="2">
    <xf numFmtId="0" fontId="0" fillId="0" borderId="0"/>
    <xf numFmtId="0" fontId="12" fillId="0" borderId="0"/>
  </cellStyleXfs>
  <cellXfs count="120">
    <xf numFmtId="0" fontId="0" fillId="0" borderId="0" pivotButton="0" quotePrefix="0" xfId="0"/>
    <xf numFmtId="0" fontId="0" fillId="2" borderId="1" applyAlignment="1" pivotButton="0" quotePrefix="0" xfId="0">
      <alignment vertical="top" wrapText="1"/>
    </xf>
    <xf numFmtId="0" fontId="2" fillId="0" borderId="1" applyAlignment="1" pivotButton="0" quotePrefix="0" xfId="0">
      <alignment horizontal="center" vertical="top" wrapText="1"/>
    </xf>
    <xf numFmtId="0" fontId="0" fillId="0" borderId="0" applyAlignment="1" pivotButton="0" quotePrefix="0" xfId="0">
      <alignment wrapText="1"/>
    </xf>
    <xf numFmtId="0" fontId="0" fillId="0" borderId="1" applyAlignment="1" pivotButton="0" quotePrefix="0" xfId="0">
      <alignment vertical="top" wrapText="1"/>
    </xf>
    <xf numFmtId="0" fontId="0" fillId="2" borderId="1" applyAlignment="1" pivotButton="0" quotePrefix="1" xfId="0">
      <alignment vertical="top" wrapText="1"/>
    </xf>
    <xf numFmtId="0" fontId="4" fillId="0" borderId="0" pivotButton="0" quotePrefix="0" xfId="0"/>
    <xf numFmtId="0" fontId="2" fillId="0" borderId="0" applyAlignment="1" pivotButton="0" quotePrefix="0" xfId="0">
      <alignment wrapText="1"/>
    </xf>
    <xf numFmtId="0" fontId="5" fillId="0" borderId="0" applyAlignment="1" pivotButton="0" quotePrefix="0" xfId="0">
      <alignment wrapText="1"/>
    </xf>
    <xf numFmtId="0" fontId="7" fillId="2" borderId="1" applyAlignment="1" pivotButton="0" quotePrefix="0" xfId="0">
      <alignment vertical="top" wrapText="1"/>
    </xf>
    <xf numFmtId="0" fontId="2" fillId="0" borderId="0" pivotButton="0" quotePrefix="0" xfId="0"/>
    <xf numFmtId="9" fontId="0" fillId="0" borderId="0" applyAlignment="1" pivotButton="0" quotePrefix="0" xfId="0">
      <alignment wrapText="1"/>
    </xf>
    <xf numFmtId="0" fontId="9" fillId="0" borderId="0" pivotButton="0" quotePrefix="0" xfId="0"/>
    <xf numFmtId="0" fontId="10" fillId="0" borderId="1" applyAlignment="1" pivotButton="0" quotePrefix="0" xfId="0">
      <alignment horizontal="center" vertical="top" wrapText="1"/>
    </xf>
    <xf numFmtId="0" fontId="11" fillId="0" borderId="1" applyAlignment="1" pivotButton="0" quotePrefix="0" xfId="0">
      <alignment wrapText="1"/>
    </xf>
    <xf numFmtId="0" fontId="0" fillId="0" borderId="5" applyAlignment="1" pivotButton="0" quotePrefix="0" xfId="0">
      <alignment vertical="center" wrapText="1"/>
    </xf>
    <xf numFmtId="0" fontId="0" fillId="0" borderId="5" applyAlignment="1" pivotButton="0" quotePrefix="1" xfId="0">
      <alignment vertical="center" wrapText="1"/>
    </xf>
    <xf numFmtId="0" fontId="0" fillId="0" borderId="5" applyAlignment="1" pivotButton="0" quotePrefix="0" xfId="0">
      <alignment horizontal="center" vertical="center"/>
    </xf>
    <xf numFmtId="0" fontId="0" fillId="0" borderId="5" applyAlignment="1" pivotButton="0" quotePrefix="0" xfId="0">
      <alignment horizontal="center" vertical="center" wrapText="1"/>
    </xf>
    <xf numFmtId="0" fontId="0" fillId="0" borderId="5" applyAlignment="1" pivotButton="0" quotePrefix="0" xfId="0">
      <alignment vertical="center"/>
    </xf>
    <xf numFmtId="0" fontId="0" fillId="0" borderId="5" applyAlignment="1" pivotButton="0" quotePrefix="0" xfId="0">
      <alignment wrapText="1"/>
    </xf>
    <xf numFmtId="0" fontId="4" fillId="0" borderId="5" pivotButton="0" quotePrefix="0" xfId="0"/>
    <xf numFmtId="0" fontId="0" fillId="0" borderId="5" applyAlignment="1" pivotButton="0" quotePrefix="0" xfId="0">
      <alignment horizontal="left" vertical="center" wrapText="1"/>
    </xf>
    <xf numFmtId="3" fontId="0" fillId="0" borderId="5" applyAlignment="1" pivotButton="0" quotePrefix="0" xfId="0">
      <alignment vertical="center" wrapText="1"/>
    </xf>
    <xf numFmtId="0" fontId="2" fillId="0" borderId="5" applyAlignment="1" pivotButton="0" quotePrefix="0" xfId="0">
      <alignment horizontal="center" vertical="center" wrapText="1"/>
    </xf>
    <xf numFmtId="0" fontId="2" fillId="0" borderId="5" applyAlignment="1" pivotButton="0" quotePrefix="0" xfId="0">
      <alignment horizontal="center"/>
    </xf>
    <xf numFmtId="0" fontId="2" fillId="0" borderId="5" pivotButton="0" quotePrefix="0" xfId="0"/>
    <xf numFmtId="0" fontId="7" fillId="0" borderId="5" applyAlignment="1" pivotButton="0" quotePrefix="0" xfId="0">
      <alignment vertical="center" wrapText="1"/>
    </xf>
    <xf numFmtId="0" fontId="13" fillId="0" borderId="5" applyAlignment="1" pivotButton="0" quotePrefix="0" xfId="0">
      <alignment vertical="center" wrapText="1"/>
    </xf>
    <xf numFmtId="0" fontId="4" fillId="0" borderId="5" applyAlignment="1" pivotButton="0" quotePrefix="1" xfId="0">
      <alignment vertical="center"/>
    </xf>
    <xf numFmtId="0" fontId="0" fillId="0" borderId="5" applyAlignment="1" pivotButton="0" quotePrefix="1" xfId="0">
      <alignment vertical="top" wrapText="1"/>
    </xf>
    <xf numFmtId="0" fontId="0" fillId="0" borderId="5" applyAlignment="1" pivotButton="0" quotePrefix="0" xfId="0">
      <alignment vertical="top" wrapText="1"/>
    </xf>
    <xf numFmtId="0" fontId="0" fillId="0" borderId="5" applyAlignment="1" pivotButton="0" quotePrefix="0" xfId="0">
      <alignment horizontal="center" vertical="top"/>
    </xf>
    <xf numFmtId="0" fontId="0" fillId="0" borderId="5" applyAlignment="1" pivotButton="0" quotePrefix="0" xfId="0">
      <alignment horizontal="center" vertical="top" wrapText="1"/>
    </xf>
    <xf numFmtId="0" fontId="0" fillId="0" borderId="5" applyAlignment="1" pivotButton="0" quotePrefix="0" xfId="0">
      <alignment vertical="top"/>
    </xf>
    <xf numFmtId="0" fontId="0" fillId="0" borderId="0" applyAlignment="1" pivotButton="0" quotePrefix="0" xfId="0">
      <alignment vertical="top" wrapText="1"/>
    </xf>
    <xf numFmtId="0" fontId="0" fillId="0" borderId="1" applyAlignment="1" pivotButton="0" quotePrefix="0" xfId="0">
      <alignment vertical="center" wrapText="1"/>
    </xf>
    <xf numFmtId="0" fontId="0" fillId="0" borderId="7" applyAlignment="1" pivotButton="0" quotePrefix="0" xfId="0">
      <alignment vertical="center" wrapText="1"/>
    </xf>
    <xf numFmtId="0" fontId="0" fillId="0" borderId="5" applyAlignment="1" pivotButton="0" quotePrefix="0" xfId="0">
      <alignment horizontal="left" vertical="top" wrapText="1"/>
    </xf>
    <xf numFmtId="0" fontId="0" fillId="0" borderId="5" applyAlignment="1" pivotButton="0" quotePrefix="0" xfId="0">
      <alignment horizontal="left" wrapText="1"/>
    </xf>
    <xf numFmtId="0" fontId="0" fillId="0" borderId="0" applyAlignment="1" pivotButton="0" quotePrefix="0" xfId="0">
      <alignment horizontal="left" wrapText="1"/>
    </xf>
    <xf numFmtId="0" fontId="0" fillId="0" borderId="5" applyAlignment="1" pivotButton="0" quotePrefix="0" xfId="0">
      <alignment horizontal="right" vertical="center" wrapText="1"/>
    </xf>
    <xf numFmtId="0" fontId="0" fillId="0" borderId="5" applyAlignment="1" pivotButton="0" quotePrefix="1" xfId="0">
      <alignment horizontal="right" vertical="center" wrapText="1"/>
    </xf>
    <xf numFmtId="0" fontId="9" fillId="0" borderId="5" applyAlignment="1" pivotButton="0" quotePrefix="0" xfId="0">
      <alignment horizontal="right" vertical="center" wrapText="1"/>
    </xf>
    <xf numFmtId="0" fontId="14" fillId="0" borderId="5" applyAlignment="1" pivotButton="0" quotePrefix="0" xfId="0">
      <alignment horizontal="right" vertical="center" wrapText="1"/>
    </xf>
    <xf numFmtId="3" fontId="0" fillId="0" borderId="5" applyAlignment="1" pivotButton="0" quotePrefix="1" xfId="0">
      <alignment horizontal="right" vertical="center" wrapText="1"/>
    </xf>
    <xf numFmtId="0" fontId="0" fillId="0" borderId="5" applyAlignment="1" pivotButton="0" quotePrefix="0" xfId="0">
      <alignment horizontal="right" vertical="top" wrapText="1"/>
    </xf>
    <xf numFmtId="0" fontId="0" fillId="0" borderId="5" applyAlignment="1" pivotButton="0" quotePrefix="0" xfId="0">
      <alignment horizontal="right" wrapText="1"/>
    </xf>
    <xf numFmtId="0" fontId="0" fillId="0" borderId="0" applyAlignment="1" pivotButton="0" quotePrefix="0" xfId="0">
      <alignment horizontal="right" wrapText="1"/>
    </xf>
    <xf numFmtId="0" fontId="0" fillId="0" borderId="6" applyAlignment="1" pivotButton="0" quotePrefix="0" xfId="0">
      <alignment vertical="center" wrapText="1"/>
    </xf>
    <xf numFmtId="0" fontId="0" fillId="0" borderId="7" applyAlignment="1" pivotButton="0" quotePrefix="1" xfId="0">
      <alignment horizontal="right" vertical="center" wrapText="1"/>
    </xf>
    <xf numFmtId="0" fontId="0" fillId="0" borderId="8" applyAlignment="1" pivotButton="0" quotePrefix="1" xfId="0">
      <alignment horizontal="right" vertical="center" wrapText="1"/>
    </xf>
    <xf numFmtId="0" fontId="0" fillId="0" borderId="9" applyAlignment="1" pivotButton="0" quotePrefix="1" xfId="0">
      <alignment horizontal="right" vertical="center" wrapText="1"/>
    </xf>
    <xf numFmtId="0" fontId="0" fillId="0" borderId="4" applyAlignment="1" pivotButton="0" quotePrefix="0" xfId="0">
      <alignment vertical="center" wrapText="1"/>
    </xf>
    <xf numFmtId="0" fontId="0" fillId="0" borderId="10" applyAlignment="1" pivotButton="0" quotePrefix="0" xfId="0">
      <alignment vertical="center" wrapText="1"/>
    </xf>
    <xf numFmtId="0" fontId="12" fillId="0" borderId="5" applyAlignment="1" pivotButton="0" quotePrefix="0" xfId="1">
      <alignment horizontal="center" vertical="center" wrapText="1"/>
    </xf>
    <xf numFmtId="41" fontId="0" fillId="0" borderId="5" applyAlignment="1" pivotButton="0" quotePrefix="0" xfId="0">
      <alignment horizontal="center" vertical="center" wrapText="1"/>
    </xf>
    <xf numFmtId="0" fontId="12" fillId="0" borderId="5" applyAlignment="1" pivotButton="0" quotePrefix="0" xfId="1">
      <alignment horizontal="center" vertical="top" wrapText="1"/>
    </xf>
    <xf numFmtId="0" fontId="0" fillId="0" borderId="5" applyAlignment="1" pivotButton="0" quotePrefix="0" xfId="0">
      <alignment horizontal="center" wrapText="1"/>
    </xf>
    <xf numFmtId="0" fontId="0" fillId="0" borderId="0" applyAlignment="1" pivotButton="0" quotePrefix="0" xfId="0">
      <alignment horizontal="center" wrapText="1"/>
    </xf>
    <xf numFmtId="41" fontId="0" fillId="0" borderId="5" applyAlignment="1" pivotButton="0" quotePrefix="0" xfId="0">
      <alignment horizontal="center" vertical="top" wrapText="1"/>
    </xf>
    <xf numFmtId="41" fontId="0" fillId="0" borderId="12" applyAlignment="1" pivotButton="0" quotePrefix="0" xfId="0">
      <alignment horizontal="center" vertical="center" wrapText="1"/>
    </xf>
    <xf numFmtId="41" fontId="0" fillId="0" borderId="11" applyAlignment="1" pivotButton="0" quotePrefix="0" xfId="0">
      <alignment horizontal="center" vertical="center" wrapText="1"/>
    </xf>
    <xf numFmtId="0" fontId="0" fillId="0" borderId="12" applyAlignment="1" pivotButton="0" quotePrefix="0" xfId="0">
      <alignment horizontal="center" vertical="center" wrapText="1"/>
    </xf>
    <xf numFmtId="0" fontId="0" fillId="0" borderId="11" applyAlignment="1" pivotButton="0" quotePrefix="0" xfId="0">
      <alignment horizontal="center" vertical="center" wrapText="1"/>
    </xf>
    <xf numFmtId="0" fontId="0" fillId="0" borderId="12" applyAlignment="1" pivotButton="0" quotePrefix="0" xfId="0">
      <alignment horizontal="left" vertical="center" wrapText="1"/>
    </xf>
    <xf numFmtId="0" fontId="0" fillId="0" borderId="11" applyAlignment="1" pivotButton="0" quotePrefix="0" xfId="0">
      <alignment horizontal="left" vertical="center" wrapText="1"/>
    </xf>
    <xf numFmtId="0" fontId="3" fillId="0" borderId="12" applyAlignment="1" pivotButton="0" quotePrefix="0" xfId="1">
      <alignment horizontal="center" vertical="center" wrapText="1"/>
    </xf>
    <xf numFmtId="0" fontId="12" fillId="0" borderId="11" applyAlignment="1" pivotButton="0" quotePrefix="0" xfId="1">
      <alignment horizontal="center" vertical="center" wrapText="1"/>
    </xf>
    <xf numFmtId="0" fontId="12" fillId="0" borderId="12" applyAlignment="1" pivotButton="0" quotePrefix="0" xfId="1">
      <alignment horizontal="center" vertical="center" wrapText="1"/>
    </xf>
    <xf numFmtId="0" fontId="12" fillId="0" borderId="11" applyAlignment="1" pivotButton="0" quotePrefix="0" xfId="1">
      <alignment horizontal="center" vertical="center" wrapText="1"/>
    </xf>
    <xf numFmtId="9" fontId="0" fillId="0" borderId="5" applyAlignment="1" pivotButton="0" quotePrefix="0" xfId="0">
      <alignment horizontal="right" vertical="center" wrapText="1"/>
    </xf>
    <xf numFmtId="0" fontId="0" fillId="0" borderId="7" applyAlignment="1" pivotButton="0" quotePrefix="0" xfId="0">
      <alignment horizontal="right" vertical="center" wrapText="1"/>
    </xf>
    <xf numFmtId="0" fontId="0" fillId="0" borderId="1" applyAlignment="1" pivotButton="0" quotePrefix="0" xfId="0">
      <alignment horizontal="right" vertical="center" wrapText="1"/>
    </xf>
    <xf numFmtId="0" fontId="0" fillId="0" borderId="11" applyAlignment="1" pivotButton="0" quotePrefix="0" xfId="0">
      <alignment horizontal="right" vertical="center" wrapText="1"/>
    </xf>
    <xf numFmtId="0" fontId="0" fillId="0" borderId="0" applyAlignment="1" pivotButton="0" quotePrefix="0" xfId="0">
      <alignment vertical="center" wrapText="1"/>
    </xf>
    <xf numFmtId="0" fontId="0" fillId="0" borderId="0" applyAlignment="1" pivotButton="0" quotePrefix="0" xfId="0">
      <alignment horizontal="right" vertical="center" wrapText="1"/>
    </xf>
    <xf numFmtId="0" fontId="14" fillId="0" borderId="0" applyAlignment="1" pivotButton="0" quotePrefix="0" xfId="0">
      <alignment vertical="center"/>
    </xf>
    <xf numFmtId="41" fontId="0" fillId="0" borderId="7" applyAlignment="1" pivotButton="0" quotePrefix="0" xfId="0">
      <alignment horizontal="center" vertical="center" wrapText="1"/>
    </xf>
    <xf numFmtId="41" fontId="0" fillId="0" borderId="12" applyAlignment="1" pivotButton="0" quotePrefix="0" xfId="0">
      <alignment horizontal="center" vertical="center" wrapText="1"/>
    </xf>
    <xf numFmtId="41" fontId="0" fillId="0" borderId="11"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12" applyAlignment="1" pivotButton="0" quotePrefix="0" xfId="0">
      <alignment horizontal="center" vertical="center" wrapText="1"/>
    </xf>
    <xf numFmtId="0" fontId="0" fillId="0" borderId="11" applyAlignment="1" pivotButton="0" quotePrefix="0" xfId="0">
      <alignment horizontal="center" vertical="center" wrapText="1"/>
    </xf>
    <xf numFmtId="0" fontId="0" fillId="0" borderId="7"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1" applyAlignment="1" pivotButton="0" quotePrefix="0" xfId="0">
      <alignment horizontal="left" vertical="center" wrapText="1"/>
    </xf>
    <xf numFmtId="0" fontId="3" fillId="0" borderId="7" applyAlignment="1" pivotButton="0" quotePrefix="0" xfId="1">
      <alignment horizontal="center" vertical="center" wrapText="1"/>
    </xf>
    <xf numFmtId="0" fontId="3" fillId="0" borderId="12" applyAlignment="1" pivotButton="0" quotePrefix="0" xfId="1">
      <alignment horizontal="center" vertical="center" wrapText="1"/>
    </xf>
    <xf numFmtId="0" fontId="3" fillId="0" borderId="11" applyAlignment="1" pivotButton="0" quotePrefix="0" xfId="1">
      <alignment horizontal="center" vertical="center" wrapText="1"/>
    </xf>
    <xf numFmtId="0" fontId="12" fillId="0" borderId="7" applyAlignment="1" pivotButton="0" quotePrefix="0" xfId="1">
      <alignment horizontal="center" vertical="center" wrapText="1"/>
    </xf>
    <xf numFmtId="0" fontId="12" fillId="0" borderId="12" applyAlignment="1" pivotButton="0" quotePrefix="0" xfId="1">
      <alignment horizontal="center" vertical="center" wrapText="1"/>
    </xf>
    <xf numFmtId="0" fontId="12" fillId="0" borderId="11" applyAlignment="1" pivotButton="0" quotePrefix="0" xfId="1">
      <alignment horizontal="center" vertical="center" wrapText="1"/>
    </xf>
    <xf numFmtId="0" fontId="12" fillId="0" borderId="7" applyAlignment="1" pivotButton="0" quotePrefix="0" xfId="1">
      <alignment horizontal="center" vertical="center" wrapText="1"/>
    </xf>
    <xf numFmtId="0" fontId="12" fillId="0" borderId="12" applyAlignment="1" pivotButton="0" quotePrefix="0" xfId="1">
      <alignment horizontal="center" vertical="center" wrapText="1"/>
    </xf>
    <xf numFmtId="0" fontId="12" fillId="0" borderId="11" applyAlignment="1" pivotButton="0" quotePrefix="0" xfId="1">
      <alignment horizontal="center" vertical="center" wrapText="1"/>
    </xf>
    <xf numFmtId="0" fontId="0" fillId="0" borderId="2" applyAlignment="1" pivotButton="0" quotePrefix="0" xfId="0">
      <alignment horizontal="left" vertical="top" wrapText="1"/>
    </xf>
    <xf numFmtId="0" fontId="0" fillId="0" borderId="4" applyAlignment="1" pivotButton="0" quotePrefix="0" xfId="0">
      <alignment horizontal="left" vertical="top" wrapText="1"/>
    </xf>
    <xf numFmtId="0" fontId="0" fillId="0" borderId="2" applyAlignment="1" pivotButton="0" quotePrefix="0" xfId="0">
      <alignment horizontal="center" vertical="top" wrapText="1"/>
    </xf>
    <xf numFmtId="0" fontId="0" fillId="0" borderId="3" applyAlignment="1" pivotButton="0" quotePrefix="0" xfId="0">
      <alignment horizontal="center" vertical="top" wrapText="1"/>
    </xf>
    <xf numFmtId="0" fontId="0" fillId="0" borderId="4" applyAlignment="1" pivotButton="0" quotePrefix="0" xfId="0">
      <alignment horizontal="center" vertical="top" wrapText="1"/>
    </xf>
    <xf numFmtId="0" fontId="0" fillId="0" borderId="3" applyAlignment="1" pivotButton="0" quotePrefix="0" xfId="0">
      <alignment horizontal="left" vertical="top" wrapText="1"/>
    </xf>
    <xf numFmtId="0" fontId="3" fillId="0" borderId="2" applyAlignment="1" pivotButton="0" quotePrefix="0" xfId="1">
      <alignment horizontal="left" vertical="top" wrapText="1"/>
    </xf>
    <xf numFmtId="0" fontId="3" fillId="0" borderId="3" applyAlignment="1" pivotButton="0" quotePrefix="0" xfId="1">
      <alignment horizontal="left" vertical="top" wrapText="1"/>
    </xf>
    <xf numFmtId="0" fontId="3" fillId="0" borderId="4" applyAlignment="1" pivotButton="0" quotePrefix="0" xfId="1">
      <alignment horizontal="left" vertical="top" wrapText="1"/>
    </xf>
    <xf numFmtId="0" fontId="1" fillId="0" borderId="1" applyAlignment="1" pivotButton="0" quotePrefix="0" xfId="0">
      <alignment horizontal="left" vertical="center" wrapText="1"/>
    </xf>
    <xf numFmtId="0" fontId="1" fillId="0" borderId="1" applyAlignment="1" pivotButton="0" quotePrefix="0" xfId="0">
      <alignment wrapText="1"/>
    </xf>
    <xf numFmtId="0" fontId="1" fillId="0" borderId="1" applyAlignment="1" pivotButton="0" quotePrefix="0" xfId="0">
      <alignment vertical="center" wrapText="1"/>
    </xf>
    <xf numFmtId="0" fontId="3" fillId="0" borderId="5" applyAlignment="1" pivotButton="0" quotePrefix="0" xfId="1">
      <alignment horizontal="center" vertical="center" wrapText="1"/>
    </xf>
    <xf numFmtId="41" fontId="0" fillId="3" borderId="5" applyAlignment="1" pivotButton="0" quotePrefix="0" xfId="0">
      <alignment horizontal="center" vertical="center" wrapText="1"/>
    </xf>
    <xf numFmtId="0" fontId="0" fillId="3" borderId="5" applyAlignment="1" pivotButton="0" quotePrefix="0" xfId="0">
      <alignment vertical="center" wrapText="1"/>
    </xf>
    <xf numFmtId="0" fontId="14" fillId="3" borderId="5" applyAlignment="1" pivotButton="0" quotePrefix="0" xfId="0">
      <alignment horizontal="right" vertical="center" wrapText="1"/>
    </xf>
    <xf numFmtId="0" fontId="0" fillId="3" borderId="5" applyAlignment="1" pivotButton="0" quotePrefix="0" xfId="0">
      <alignment horizontal="right" vertical="center" wrapText="1"/>
    </xf>
    <xf numFmtId="41" fontId="0" fillId="3" borderId="5" applyAlignment="1" pivotButton="0" quotePrefix="0" xfId="0">
      <alignment horizontal="center" vertical="top" wrapText="1"/>
    </xf>
    <xf numFmtId="0" fontId="0" fillId="0" borderId="1" applyAlignment="1" pivotButton="0" quotePrefix="0" xfId="0">
      <alignment horizontal="left" vertical="top" wrapText="1"/>
    </xf>
    <xf numFmtId="0" fontId="3" fillId="0" borderId="1" applyAlignment="1" pivotButton="0" quotePrefix="0" xfId="1">
      <alignment horizontal="left" vertical="top" wrapText="1"/>
    </xf>
    <xf numFmtId="0" fontId="0" fillId="0" borderId="1" applyAlignment="1" pivotButton="0" quotePrefix="0" xfId="0">
      <alignment horizontal="center" vertical="top" wrapText="1"/>
    </xf>
    <xf numFmtId="0" fontId="0" fillId="0" borderId="3" pivotButton="0" quotePrefix="0" xfId="0"/>
    <xf numFmtId="0" fontId="0" fillId="0" borderId="4" pivotButton="0" quotePrefix="0" xfId="0"/>
    <xf numFmtId="0" fontId="1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tc={8D1850B6-7295-40DA-83A4-1A6D64245AA8}</author>
    <author>tc={8CCC4E43-5BC1-43AE-8F36-8B20E99C45BE}</author>
    <author>CO validation update</author>
    <author>tc={74C36888-33F0-4E51-8559-FC66D10B7C5A}</author>
    <author>tc={E195C2DF-08F3-4FAE-AE76-17FBF46E5A37}</author>
  </authors>
  <commentList>
    <comment ref="B2" authorId="0" shapeId="0">
      <text>
        <t>[Threaded comment]
Your version of Excel allows you to read this threaded comment; however, any edits to it will get removed if the file is opened in a newer version of Excel. Learn more: https://go.microsoft.com/fwlink/?linkid=870924
Comment:
    @Mathilde Sari Gokmauli @Sugiyanto Sugiyanto Please update data for ACCESS. Feel free to include relevant indicators that have not been reflected here</t>
      </text>
    </comment>
    <comment ref="B12" authorId="1" shapeId="0">
      <text>
        <t>[Threaded comment]
Your version of Excel allows you to read this threaded comment; however, any edits to it will get removed if the file is opened in a newer version of Excel. Learn more: https://go.microsoft.com/fwlink/?linkid=870924
Comment:
    @Heri Tabadepu @Dzul Afifah Arifin Can you update the information here for the Carbon Pricing Project? Feel free to add relevant indicators not captured here</t>
      </text>
    </comment>
    <comment ref="K20" authorId="2" shapeId="0">
      <text>
        <t>[AUTO-ADDED] Project reports access/productive-use beneficiary numbers but no MW value. Please add installed capacity (MW) or confirm not applicable.</t>
      </text>
    </comment>
    <comment ref="L20" authorId="2" shapeId="0">
      <text>
        <t>[AUTO-ADDED] Project reports access/productive-use beneficiary numbers but no MW value. Please add installed capacity (MW) or confirm not applicable.</t>
      </text>
    </comment>
    <comment ref="K26" authorId="2" shapeId="0">
      <text>
        <t>[AUTO-ADDED] Project reports access/productive-use beneficiary numbers but no MW value. Please add installed capacity (MW) or confirm not applicable.</t>
      </text>
    </comment>
    <comment ref="L26" authorId="2" shapeId="0">
      <text>
        <t>[AUTO-ADDED] Project reports access/productive-use beneficiary numbers but no MW value. Please add installed capacity (MW) or confirm not applicable.</t>
      </text>
    </comment>
    <comment ref="B28" authorId="3" shapeId="0">
      <text>
        <t>[Threaded comment]
Your version of Excel allows you to read this threaded comment; however, any edits to it will get removed if the file is opened in a newer version of Excel. Learn more: https://go.microsoft.com/fwlink/?linkid=870924
Comment:
    @Heri Tabadepu Can you review details for MTRE3 and add/update as necessary?</t>
      </text>
    </comment>
    <comment ref="B35" authorId="4" shapeId="0">
      <text>
        <t xml:space="preserve">[Threaded comment]
Your version of Excel allows you to read this threaded comment; however, any edits to it will get removed if the file is opened in a newer version of Excel. Learn more: https://go.microsoft.com/fwlink/?linkid=870924
Comment:
    @Heri Tabadepu @Dzul Afifah Arifin Can you help populate data for this project? </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open.undp.org/projects/00126434" TargetMode="External" Id="rId1"/><Relationship Type="http://schemas.openxmlformats.org/officeDocument/2006/relationships/hyperlink" Target="http://open.undp.org/projects/00142434" TargetMode="External" Id="rId2"/><Relationship Type="http://schemas.openxmlformats.org/officeDocument/2006/relationships/hyperlink" Target="https://co.pims.undp.org/project/view?id=6333" TargetMode="External" Id="rId3"/><Relationship Type="http://schemas.openxmlformats.org/officeDocument/2006/relationships/hyperlink" Target="https://open.undp.org/projects/01002479" TargetMode="External" Id="rId4"/><Relationship Type="http://schemas.openxmlformats.org/officeDocument/2006/relationships/hyperlink" Target="https://www.un-pageindonesia.org/" TargetMode="External" Id="rId5"/><Relationship Type="http://schemas.openxmlformats.org/officeDocument/2006/relationships/hyperlink" Target="https://open.undp.org/projects/00143365" TargetMode="External" Id="rId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open.undp.org/projects/00126434" TargetMode="External" Id="rId1"/><Relationship Type="http://schemas.openxmlformats.org/officeDocument/2006/relationships/hyperlink" Target="http://open.undp.org/projects/00142434" TargetMode="External" Id="rId2"/></Relationships>
</file>

<file path=xl/worksheets/_rels/sheet3.xml.rels><Relationships xmlns="http://schemas.openxmlformats.org/package/2006/relationships"><Relationship Type="http://schemas.openxmlformats.org/officeDocument/2006/relationships/hyperlink" Target="http://open.undp.org/projects/00126434" TargetMode="External" Id="rId1"/><Relationship Type="http://schemas.openxmlformats.org/officeDocument/2006/relationships/hyperlink" Target="http://open.undp.org/projects/00142434" TargetMode="External" Id="rId2"/></Relationships>
</file>

<file path=xl/worksheets/sheet1.xml><?xml version="1.0" encoding="utf-8"?>
<worksheet xmlns="http://schemas.openxmlformats.org/spreadsheetml/2006/main">
  <sheetPr>
    <outlinePr summaryBelow="1" summaryRight="1"/>
    <pageSetUpPr/>
  </sheetPr>
  <dimension ref="A1:X46"/>
  <sheetViews>
    <sheetView tabSelected="1" zoomScale="70" zoomScaleNormal="70" workbookViewId="0">
      <pane xSplit="1" ySplit="1" topLeftCell="F20" activePane="bottomRight" state="frozen"/>
      <selection pane="bottomRight" activeCell="H28" sqref="H28"/>
      <selection pane="bottomLeft" activeCell="A1" sqref="A1"/>
      <selection pane="topRight" activeCell="A1" sqref="A1"/>
    </sheetView>
  </sheetViews>
  <sheetFormatPr baseColWidth="8" defaultColWidth="9.140625" defaultRowHeight="15"/>
  <cols>
    <col width="10.140625" customWidth="1" style="3" min="1" max="1"/>
    <col width="20.7109375" customWidth="1" style="40" min="2" max="2"/>
    <col width="20.7109375" customWidth="1" style="59" min="3" max="3"/>
    <col width="13" customWidth="1" style="59" min="4" max="4"/>
    <col width="13" customWidth="1" style="3" min="5" max="5"/>
    <col width="13" customWidth="1" style="3" min="6" max="6"/>
    <col width="13" bestFit="1" customWidth="1" style="75" min="7" max="7"/>
    <col width="13" customWidth="1" style="76" min="8" max="8"/>
    <col width="32.7109375" customWidth="1" style="75" min="9" max="9"/>
    <col width="9.140625" customWidth="1" style="3" min="10" max="10"/>
    <col width="9.140625" customWidth="1" style="48" min="11" max="11"/>
    <col width="12.85546875" bestFit="1" customWidth="1" style="3" min="12" max="12"/>
    <col width="9.140625" customWidth="1" style="3" min="13" max="13"/>
    <col width="23.28515625" customWidth="1" style="3" min="14" max="14"/>
    <col width="17.5703125" bestFit="1" customWidth="1" style="3" min="15" max="15"/>
    <col width="9.140625" customWidth="1" style="3" min="16" max="16"/>
    <col width="16.5703125" bestFit="1" customWidth="1" style="3" min="17" max="17"/>
    <col width="18.140625" bestFit="1" customWidth="1" style="3" min="18" max="18"/>
    <col width="11.28515625" bestFit="1" customWidth="1" style="3" min="19" max="19"/>
    <col width="30.28515625" bestFit="1" customWidth="1" style="3" min="20" max="20"/>
    <col width="16.7109375" bestFit="1" customWidth="1" style="3" min="21" max="21"/>
    <col width="9.140625" customWidth="1" style="3" min="22" max="16384"/>
  </cols>
  <sheetData>
    <row r="1" ht="45.75" customHeight="1">
      <c r="A1" s="24" t="inlineStr">
        <is>
          <t>Project ID</t>
        </is>
      </c>
      <c r="B1" s="24" t="inlineStr">
        <is>
          <t>Title</t>
        </is>
      </c>
      <c r="C1" s="24" t="inlineStr">
        <is>
          <t>Link</t>
        </is>
      </c>
      <c r="D1" s="24" t="inlineStr">
        <is>
          <t>Budget</t>
        </is>
      </c>
      <c r="E1" s="24" t="inlineStr">
        <is>
          <t>Start Year</t>
        </is>
      </c>
      <c r="F1" s="24" t="inlineStr">
        <is>
          <t>End Year</t>
        </is>
      </c>
      <c r="G1" s="24" t="inlineStr">
        <is>
          <t>Status</t>
        </is>
      </c>
      <c r="H1" s="24" t="inlineStr">
        <is>
          <t>VF or Non-VF</t>
        </is>
      </c>
      <c r="I1" s="24" t="inlineStr">
        <is>
          <t>Beneficiary Category</t>
        </is>
      </c>
      <c r="J1" s="24" t="inlineStr">
        <is>
          <t>Indicator</t>
        </is>
      </c>
      <c r="K1" s="24" t="inlineStr">
        <is>
          <t>Baseline</t>
        </is>
      </c>
      <c r="L1" s="24" t="inlineStr">
        <is>
          <t>Target</t>
        </is>
      </c>
      <c r="M1" s="24" t="inlineStr">
        <is>
          <t>Notes</t>
        </is>
      </c>
      <c r="N1" s="24" t="inlineStr">
        <is>
          <t>Donor</t>
        </is>
      </c>
      <c r="O1" s="24" t="inlineStr">
        <is>
          <t>Gender (% female)</t>
        </is>
      </c>
      <c r="P1" s="25" t="inlineStr">
        <is>
          <t>Tag</t>
        </is>
      </c>
      <c r="Q1" s="25" t="inlineStr">
        <is>
          <t>SEH Taxonomy</t>
        </is>
      </c>
      <c r="R1" s="25" t="inlineStr">
        <is>
          <t>RISE Taxonomy</t>
        </is>
      </c>
      <c r="S1" s="25" t="inlineStr">
        <is>
          <t>Flagship</t>
        </is>
      </c>
      <c r="T1" s="25" t="inlineStr">
        <is>
          <t>Indirect Category</t>
        </is>
      </c>
      <c r="U1" s="25" t="inlineStr">
        <is>
          <t>Indirect Taxonomy</t>
        </is>
      </c>
      <c r="V1" s="26" t="inlineStr">
        <is>
          <t>Technology</t>
        </is>
      </c>
      <c r="W1" s="25" t="inlineStr">
        <is>
          <t>Policy or Regulatory Framework</t>
        </is>
      </c>
      <c r="X1" s="26" t="inlineStr">
        <is>
          <t>Policy Population</t>
        </is>
      </c>
    </row>
    <row r="2" ht="60.75" customHeight="1">
      <c r="A2" s="18" t="n">
        <v>126434</v>
      </c>
      <c r="B2" s="22" t="inlineStr">
        <is>
          <t>Accelerating Clean Energy Access to Reduce Inequality (ACCESS)</t>
        </is>
      </c>
      <c r="C2" s="108" t="inlineStr">
        <is>
          <t>http://open.undp.org/projects/00126434</t>
        </is>
      </c>
      <c r="D2" s="56" t="n">
        <v>15028509</v>
      </c>
      <c r="E2" s="109" t="n"/>
      <c r="F2" s="109" t="n"/>
      <c r="G2" s="109" t="n"/>
      <c r="H2" s="56" t="inlineStr">
        <is>
          <t>Non-VF</t>
        </is>
      </c>
      <c r="I2" s="15" t="inlineStr">
        <is>
          <t>Electricity Access</t>
        </is>
      </c>
      <c r="J2" s="27" t="inlineStr">
        <is>
          <t xml:space="preserve">Number of households in targeted villages getting electricity supply generated from 23 solar PV off-grid power plants (total 1.2 MewaWatt capacity) constructed by project fund (disaggregated by gender) </t>
        </is>
      </c>
      <c r="K2" s="15" t="n">
        <v>0</v>
      </c>
      <c r="L2" s="41" t="inlineStr">
        <is>
          <t xml:space="preserve">3025 HH
</t>
        </is>
      </c>
      <c r="M2" s="15" t="inlineStr">
        <is>
          <t>The construction of solar power plant is completed in all locations providing electricity access to 3,449 households</t>
        </is>
      </c>
      <c r="N2" s="18" t="inlineStr">
        <is>
          <t>KOICA</t>
        </is>
      </c>
      <c r="O2" s="41" t="n"/>
      <c r="P2" s="17" t="n"/>
      <c r="Q2" s="18" t="inlineStr">
        <is>
          <t>Close the gap on energy access</t>
        </is>
      </c>
      <c r="R2" s="17" t="n"/>
      <c r="S2" s="17" t="n"/>
      <c r="T2" s="17" t="n"/>
      <c r="U2" s="17" t="n"/>
      <c r="V2" s="19" t="inlineStr">
        <is>
          <t>Solar</t>
        </is>
      </c>
      <c r="W2" s="17" t="n"/>
      <c r="X2" s="19" t="n"/>
    </row>
    <row r="3" ht="30.75" customHeight="1">
      <c r="I3" s="15" t="inlineStr">
        <is>
          <t>Electricity Access</t>
        </is>
      </c>
      <c r="J3" s="27" t="inlineStr">
        <is>
          <t xml:space="preserve">Amount of generated electricity per month </t>
        </is>
      </c>
      <c r="K3" s="15" t="n">
        <v>0</v>
      </c>
      <c r="L3" s="41" t="inlineStr">
        <is>
          <t>123 kWh</t>
        </is>
      </c>
      <c r="M3" s="15" t="inlineStr">
        <is>
          <t>Achieved - Amount generated electricity 34,668 kWh</t>
        </is>
      </c>
      <c r="N3" s="18" t="n"/>
      <c r="O3" s="41" t="n"/>
      <c r="P3" s="17" t="n"/>
      <c r="Q3" s="18" t="n"/>
      <c r="R3" s="17" t="n"/>
      <c r="S3" s="17" t="n"/>
      <c r="T3" s="17" t="n"/>
      <c r="U3" s="17" t="n"/>
      <c r="V3" s="19" t="n"/>
      <c r="W3" s="17" t="n"/>
      <c r="X3" s="19" t="n"/>
    </row>
    <row r="4" ht="30.75" customHeight="1">
      <c r="I4" s="15" t="inlineStr">
        <is>
          <t>Capacity Building Training</t>
        </is>
      </c>
      <c r="J4" s="15" t="inlineStr">
        <is>
          <t>Numbers of local people trained in field training on operation &amp; maintenance and passed post-test (disaggregated by gender).</t>
        </is>
      </c>
      <c r="K4" s="15" t="n">
        <v>0</v>
      </c>
      <c r="L4" s="41" t="n">
        <v>50</v>
      </c>
      <c r="M4" s="16" t="inlineStr">
        <is>
          <t>achieved – 70 (46% women)</t>
        </is>
      </c>
      <c r="N4" s="18" t="n"/>
      <c r="O4" s="71" t="n">
        <v>0.42</v>
      </c>
      <c r="P4" s="17" t="n"/>
      <c r="Q4" s="18" t="inlineStr">
        <is>
          <t>Close the gap on energy access</t>
        </is>
      </c>
      <c r="R4" s="17" t="n"/>
      <c r="S4" s="17" t="n"/>
      <c r="T4" s="17" t="n"/>
      <c r="U4" s="17" t="n"/>
      <c r="V4" s="19" t="n"/>
      <c r="W4" s="17" t="n"/>
      <c r="X4" s="19" t="n"/>
    </row>
    <row r="5" ht="30.75" customHeight="1">
      <c r="I5" s="15" t="inlineStr">
        <is>
          <t>Medium Enterprises</t>
        </is>
      </c>
      <c r="J5" s="15" t="inlineStr">
        <is>
          <t>Establishment of village electricity enterprise (BUMDES Listrik Desa) or Renewable Energy Service Cooperative (RESCO).</t>
        </is>
      </c>
      <c r="K5" s="15" t="n">
        <v>0</v>
      </c>
      <c r="L5" s="42" t="n">
        <v>21</v>
      </c>
      <c r="M5" s="16" t="inlineStr">
        <is>
          <t>achieved – 21 village enterprise have been established or renewed</t>
        </is>
      </c>
      <c r="N5" s="18" t="n"/>
      <c r="O5" s="71" t="n">
        <v>0.46</v>
      </c>
      <c r="P5" s="17" t="n"/>
      <c r="Q5" s="18" t="inlineStr">
        <is>
          <t>Close the gap on energy access</t>
        </is>
      </c>
      <c r="R5" s="17" t="n"/>
      <c r="S5" s="17" t="n"/>
      <c r="T5" s="17" t="n"/>
      <c r="U5" s="17" t="n"/>
      <c r="V5" s="19" t="n"/>
      <c r="W5" s="17" t="n"/>
      <c r="X5" s="19" t="n"/>
    </row>
    <row r="6" ht="45.75" customHeight="1">
      <c r="I6" s="15" t="inlineStr">
        <is>
          <t>Campaign Participant</t>
        </is>
      </c>
      <c r="J6" s="15" t="inlineStr">
        <is>
          <t>Number of participants from stakeholder's institutions (government, private, donors, NGOs, regional development banks) receiving dissemination products, cumulative</t>
        </is>
      </c>
      <c r="K6" s="16" t="n">
        <v>0</v>
      </c>
      <c r="L6" s="42" t="n">
        <v>600</v>
      </c>
      <c r="M6" s="16" t="inlineStr">
        <is>
          <t xml:space="preserve">Achieved - 1067 people have been engaged </t>
        </is>
      </c>
      <c r="N6" s="18" t="n"/>
      <c r="O6" s="41" t="n"/>
      <c r="P6" s="17" t="n"/>
      <c r="Q6" s="18" t="inlineStr">
        <is>
          <t>Close the gap on energy access</t>
        </is>
      </c>
      <c r="R6" s="17" t="n"/>
      <c r="S6" s="17" t="n"/>
      <c r="T6" s="17" t="n"/>
      <c r="U6" s="17" t="n"/>
      <c r="V6" s="19" t="n"/>
      <c r="W6" s="17" t="n"/>
      <c r="X6" s="19" t="n"/>
    </row>
    <row r="7" ht="30.75" customHeight="1">
      <c r="I7" s="15" t="inlineStr">
        <is>
          <t>Small Enterprises</t>
        </is>
      </c>
      <c r="J7" s="15" t="inlineStr">
        <is>
          <t>Number of women led businesses in the villages</t>
        </is>
      </c>
      <c r="K7" s="15" t="n">
        <v>0</v>
      </c>
      <c r="L7" s="42" t="n">
        <v>22</v>
      </c>
      <c r="M7" s="16" t="inlineStr">
        <is>
          <t xml:space="preserve">30 women led business have been assisted to grow the business </t>
        </is>
      </c>
      <c r="N7" s="18" t="n"/>
      <c r="O7" s="71" t="n">
        <v>1.36</v>
      </c>
      <c r="P7" s="17" t="n"/>
      <c r="Q7" s="18" t="n"/>
      <c r="R7" s="17" t="n"/>
      <c r="S7" s="17" t="n"/>
      <c r="T7" s="17" t="n"/>
      <c r="U7" s="17" t="n"/>
      <c r="V7" s="19" t="n"/>
      <c r="W7" s="17" t="n"/>
      <c r="X7" s="19" t="n"/>
    </row>
    <row r="8" ht="30.75" customHeight="1">
      <c r="I8" s="15" t="inlineStr">
        <is>
          <t>Energy (MW added)</t>
        </is>
      </c>
      <c r="J8" s="15" t="inlineStr">
        <is>
          <t>total capacity of the power plants</t>
        </is>
      </c>
      <c r="K8" s="16" t="n">
        <v>0</v>
      </c>
      <c r="L8" s="42" t="inlineStr">
        <is>
          <t>1.1 MW (duplicate)</t>
        </is>
      </c>
      <c r="M8" s="16" t="inlineStr">
        <is>
          <t>achieved - total capacity of the 22 power plants is around 1,1 MWp</t>
        </is>
      </c>
      <c r="N8" s="18" t="n"/>
      <c r="O8" s="41" t="n"/>
      <c r="P8" s="17" t="n"/>
      <c r="Q8" s="18" t="n"/>
      <c r="R8" s="17" t="n"/>
      <c r="S8" s="17" t="n"/>
      <c r="T8" s="17" t="n"/>
      <c r="U8" s="17" t="n"/>
      <c r="V8" s="19" t="n"/>
      <c r="W8" s="17" t="n"/>
      <c r="X8" s="19" t="n"/>
    </row>
    <row r="9" ht="30.75" customHeight="1">
      <c r="I9" s="15" t="inlineStr">
        <is>
          <t>Energy Infrastructure Services</t>
        </is>
      </c>
      <c r="J9" s="15" t="inlineStr">
        <is>
          <t xml:space="preserve">number of power plant constructed </t>
        </is>
      </c>
      <c r="K9" s="16" t="n">
        <v>0</v>
      </c>
      <c r="L9" s="42" t="n">
        <v>22</v>
      </c>
      <c r="M9" s="16" t="inlineStr">
        <is>
          <t>achieved - 22 power plants are operational</t>
        </is>
      </c>
      <c r="N9" s="18" t="n"/>
      <c r="O9" s="41" t="n"/>
      <c r="P9" s="17" t="n"/>
      <c r="Q9" s="18" t="n"/>
      <c r="R9" s="17" t="n"/>
      <c r="S9" s="17" t="n"/>
      <c r="T9" s="17" t="n"/>
      <c r="U9" s="17" t="n"/>
      <c r="V9" s="19" t="n"/>
      <c r="W9" s="17" t="n"/>
      <c r="X9" s="19" t="n"/>
    </row>
    <row r="10">
      <c r="I10" s="15" t="inlineStr">
        <is>
          <t>Other</t>
        </is>
      </c>
      <c r="J10" s="28" t="inlineStr">
        <is>
          <t>*add indicator on GHG emission reduced/avoided</t>
        </is>
      </c>
      <c r="K10" s="16" t="n"/>
      <c r="L10" s="42" t="n"/>
      <c r="M10" s="16" t="n"/>
      <c r="N10" s="18" t="n"/>
      <c r="O10" s="41" t="n"/>
      <c r="P10" s="17" t="n"/>
      <c r="Q10" s="18" t="n"/>
      <c r="R10" s="17" t="n"/>
      <c r="S10" s="17" t="n"/>
      <c r="T10" s="17" t="n"/>
      <c r="U10" s="17" t="n"/>
      <c r="V10" s="19" t="n"/>
      <c r="W10" s="17" t="n"/>
      <c r="X10" s="19" t="n"/>
    </row>
    <row r="11">
      <c r="A11" s="82" t="n"/>
      <c r="B11" s="85" t="n"/>
      <c r="C11" s="88" t="n"/>
      <c r="D11" s="79" t="n"/>
      <c r="E11" s="79" t="n"/>
      <c r="F11" s="79" t="n"/>
      <c r="G11" s="79" t="n"/>
      <c r="H11" s="79" t="n"/>
      <c r="I11" s="15" t="n"/>
      <c r="J11" s="28" t="n"/>
      <c r="K11" s="16" t="n"/>
      <c r="L11" s="42" t="n"/>
      <c r="M11" s="16" t="n"/>
      <c r="N11" s="18" t="n"/>
      <c r="O11" s="41" t="n"/>
      <c r="P11" s="17" t="n"/>
      <c r="Q11" s="18" t="n"/>
      <c r="R11" s="17" t="n"/>
      <c r="S11" s="17" t="n"/>
      <c r="T11" s="17" t="n"/>
      <c r="U11" s="17" t="n"/>
      <c r="V11" s="19" t="n"/>
      <c r="W11" s="17" t="n"/>
      <c r="X11" s="19" t="n"/>
    </row>
    <row r="12" ht="32.25" customHeight="1">
      <c r="A12" s="18" t="n">
        <v>142434</v>
      </c>
      <c r="B12" s="22" t="inlineStr">
        <is>
          <t>PIP Accelerating Robust Carbon Pricing</t>
        </is>
      </c>
      <c r="C12" s="55" t="inlineStr">
        <is>
          <t>http://open.undp.org/projects/00142434</t>
        </is>
      </c>
      <c r="D12" s="56" t="n">
        <v>1796132</v>
      </c>
      <c r="E12" s="109" t="n"/>
      <c r="F12" s="109" t="n"/>
      <c r="G12" s="109" t="n"/>
      <c r="H12" s="56" t="inlineStr">
        <is>
          <t>Non-VF</t>
        </is>
      </c>
      <c r="I12" s="15" t="inlineStr">
        <is>
          <t>Capacity Building Training</t>
        </is>
      </c>
      <c r="J12" s="15" t="inlineStr">
        <is>
          <t>govt staffs certified as emission reduction verifiers</t>
        </is>
      </c>
      <c r="K12" s="16" t="n">
        <v>0</v>
      </c>
      <c r="L12" s="41" t="n">
        <v>10</v>
      </c>
      <c r="M12" s="15" t="n"/>
      <c r="N12" s="22" t="inlineStr">
        <is>
          <t>JSB</t>
        </is>
      </c>
      <c r="O12" s="41" t="n"/>
      <c r="P12" s="17" t="n"/>
      <c r="Q12" s="18" t="inlineStr">
        <is>
          <t>Accelerating just energy transition</t>
        </is>
      </c>
      <c r="R12" s="17" t="n"/>
      <c r="S12" s="17" t="n"/>
      <c r="T12" s="17" t="n"/>
      <c r="U12" s="17" t="n"/>
      <c r="V12" s="19" t="n"/>
      <c r="W12" s="17" t="n"/>
      <c r="X12" s="19" t="n"/>
    </row>
    <row r="13" ht="30.75" customHeight="1">
      <c r="I13" s="15" t="inlineStr">
        <is>
          <t>Policy or Regulatory Framework</t>
        </is>
      </c>
      <c r="J13" s="15" t="inlineStr">
        <is>
          <t>mitigation actions registered in national registry system</t>
        </is>
      </c>
      <c r="K13" s="16" t="n">
        <v>0</v>
      </c>
      <c r="L13" s="42" t="n">
        <v>329</v>
      </c>
      <c r="M13" s="15" t="n"/>
      <c r="N13" s="22" t="inlineStr">
        <is>
          <t>JSB</t>
        </is>
      </c>
      <c r="O13" s="41" t="n"/>
      <c r="P13" s="17" t="n"/>
      <c r="Q13" s="18" t="inlineStr">
        <is>
          <t>Accelerating just energy transition</t>
        </is>
      </c>
      <c r="R13" s="17" t="inlineStr">
        <is>
          <t>Renewable Energy</t>
        </is>
      </c>
      <c r="S13" s="17" t="n"/>
      <c r="T13" s="17" t="inlineStr">
        <is>
          <t>NDC Support</t>
        </is>
      </c>
      <c r="U13" s="17" t="inlineStr">
        <is>
          <t>Decarbonization</t>
        </is>
      </c>
      <c r="V13" s="19" t="n"/>
      <c r="W13" s="17" t="inlineStr">
        <is>
          <t>National</t>
        </is>
      </c>
      <c r="X13" s="19" t="n"/>
    </row>
    <row r="14" ht="30.75" customHeight="1">
      <c r="I14" s="15" t="inlineStr">
        <is>
          <t>Capacity Building Training</t>
        </is>
      </c>
      <c r="J14" s="15" t="inlineStr">
        <is>
          <t>#people being involved in capacity building and policy dialogue</t>
        </is>
      </c>
      <c r="K14" s="16" t="n">
        <v>0</v>
      </c>
      <c r="L14" s="42" t="n">
        <v>350</v>
      </c>
      <c r="M14" s="15" t="n"/>
      <c r="N14" s="22" t="inlineStr">
        <is>
          <t>JSB</t>
        </is>
      </c>
      <c r="O14" s="41" t="n"/>
      <c r="P14" s="17" t="n"/>
      <c r="Q14" s="18" t="inlineStr">
        <is>
          <t>Accelerating just energy transition</t>
        </is>
      </c>
      <c r="R14" s="17" t="n"/>
      <c r="S14" s="17" t="n"/>
      <c r="T14" s="17" t="n"/>
      <c r="U14" s="17" t="n"/>
      <c r="V14" s="19" t="n"/>
      <c r="W14" s="17" t="n"/>
      <c r="X14" s="19" t="n"/>
    </row>
    <row r="15">
      <c r="A15" s="83" t="n"/>
      <c r="B15" s="86" t="n"/>
      <c r="C15" s="95" t="n"/>
      <c r="D15" s="80" t="n"/>
      <c r="E15" s="80" t="n"/>
      <c r="F15" s="80" t="n"/>
      <c r="G15" s="80" t="n"/>
      <c r="H15" s="80" t="n"/>
      <c r="I15" s="15" t="n"/>
      <c r="J15" s="15" t="n"/>
      <c r="K15" s="16" t="n"/>
      <c r="L15" s="42" t="n"/>
      <c r="M15" s="15" t="n"/>
      <c r="N15" s="22" t="n"/>
      <c r="O15" s="41" t="n"/>
      <c r="P15" s="17" t="n"/>
      <c r="Q15" s="18" t="n"/>
      <c r="R15" s="17" t="n"/>
      <c r="S15" s="17" t="n"/>
      <c r="T15" s="17" t="n"/>
      <c r="U15" s="17" t="n"/>
      <c r="V15" s="19" t="n"/>
      <c r="W15" s="17" t="n"/>
      <c r="X15" s="19" t="n"/>
    </row>
    <row r="16" ht="45.75" customHeight="1">
      <c r="A16" s="15" t="n">
        <v>6333</v>
      </c>
      <c r="B16" s="22" t="inlineStr">
        <is>
          <t>Electric Vehicles in Indonesia (ENTREV)</t>
        </is>
      </c>
      <c r="C16" s="55" t="inlineStr">
        <is>
          <t>https://co.pims.undp.org/project/view?id=6333</t>
        </is>
      </c>
      <c r="D16" s="56" t="n">
        <v>1816500</v>
      </c>
      <c r="E16" s="109" t="n"/>
      <c r="F16" s="109" t="n"/>
      <c r="G16" s="109" t="n"/>
      <c r="H16" s="56" t="inlineStr">
        <is>
          <t>VF</t>
        </is>
      </c>
      <c r="I16" s="15" t="inlineStr">
        <is>
          <t>Transportation and E-mobility Services</t>
        </is>
      </c>
      <c r="J16" s="15" t="inlineStr">
        <is>
          <t>Number of direct project beneficiaries disaggregated by gender (individual people) [GEF core indicator]</t>
        </is>
      </c>
      <c r="K16" s="15" t="n">
        <v>0</v>
      </c>
      <c r="L16" s="43" t="n">
        <v>643224</v>
      </c>
      <c r="M16" s="15" t="n"/>
      <c r="N16" s="15" t="inlineStr">
        <is>
          <t>GEF</t>
        </is>
      </c>
      <c r="O16" s="71" t="n">
        <v>0.24</v>
      </c>
      <c r="P16" s="17" t="n"/>
      <c r="Q16" s="18" t="inlineStr">
        <is>
          <t>Accelerating just energy transition</t>
        </is>
      </c>
      <c r="R16" s="17" t="n"/>
      <c r="S16" s="17" t="n"/>
      <c r="T16" s="17" t="n"/>
      <c r="U16" s="17" t="n"/>
      <c r="V16" s="19" t="n"/>
      <c r="W16" s="17" t="n"/>
      <c r="X16" s="19" t="n"/>
    </row>
    <row r="17" ht="30.75" customHeight="1">
      <c r="A17" s="15" t="n"/>
      <c r="B17" s="22" t="n"/>
      <c r="C17" s="55" t="n"/>
      <c r="D17" s="18" t="n"/>
      <c r="E17" s="18" t="n"/>
      <c r="F17" s="18" t="n"/>
      <c r="G17" s="18" t="n"/>
      <c r="H17" s="18" t="n"/>
      <c r="I17" s="15" t="inlineStr">
        <is>
          <t xml:space="preserve">Financing support </t>
        </is>
      </c>
      <c r="J17" s="15" t="inlineStr">
        <is>
          <t>Volume of investment mobilized and leveraged for low GHG development</t>
        </is>
      </c>
      <c r="K17" s="15" t="n">
        <v>0</v>
      </c>
      <c r="L17" s="44" t="inlineStr">
        <is>
          <t>at least $ 13.4 million</t>
        </is>
      </c>
      <c r="M17" s="15" t="inlineStr">
        <is>
          <t xml:space="preserve">Achievement (as of May 2024): $2,121,624  </t>
        </is>
      </c>
      <c r="N17" s="15" t="n"/>
      <c r="O17" s="71" t="n"/>
      <c r="P17" s="17" t="n"/>
      <c r="Q17" s="18" t="n"/>
      <c r="R17" s="17" t="n"/>
      <c r="S17" s="17" t="n"/>
      <c r="T17" s="17" t="n"/>
      <c r="U17" s="17" t="n"/>
      <c r="V17" s="19" t="n"/>
      <c r="W17" s="17" t="n"/>
      <c r="X17" s="19" t="n"/>
    </row>
    <row r="18" ht="45.75" customHeight="1">
      <c r="A18" s="15" t="n"/>
      <c r="B18" s="22" t="n"/>
      <c r="C18" s="55" t="n"/>
      <c r="D18" s="18" t="n"/>
      <c r="E18" s="18" t="n"/>
      <c r="F18" s="18" t="n"/>
      <c r="G18" s="18" t="n"/>
      <c r="H18" s="18" t="n"/>
      <c r="I18" s="15" t="inlineStr">
        <is>
          <t>Energy Infrastructure Services</t>
        </is>
      </c>
      <c r="J18" s="15" t="inlineStr">
        <is>
          <t>Number of direct project beneficiaries from the EV infrastructure intervention, disaggregated by gender (individual people)</t>
        </is>
      </c>
      <c r="K18" s="15" t="n">
        <v>0</v>
      </c>
      <c r="L18" s="44" t="n">
        <v>241000</v>
      </c>
      <c r="M18" s="15" t="inlineStr">
        <is>
          <t xml:space="preserve">Achievement (as of May 2024): total of 163,967 beneficiaries, including 12,017 women. </t>
        </is>
      </c>
      <c r="N18" s="15" t="n"/>
      <c r="O18" s="71" t="n">
        <v>0.3</v>
      </c>
      <c r="P18" s="17" t="n"/>
      <c r="Q18" s="18" t="n"/>
      <c r="R18" s="17" t="n"/>
      <c r="S18" s="17" t="n"/>
      <c r="T18" s="17" t="n"/>
      <c r="U18" s="17" t="n"/>
      <c r="V18" s="19" t="n"/>
      <c r="W18" s="17" t="n"/>
      <c r="X18" s="19" t="n"/>
    </row>
    <row r="19" ht="259.5" customHeight="1">
      <c r="A19" s="15" t="n"/>
      <c r="B19" s="22" t="n"/>
      <c r="C19" s="55" t="n"/>
      <c r="D19" s="18" t="n"/>
      <c r="E19" s="18" t="n"/>
      <c r="F19" s="18" t="n"/>
      <c r="G19" s="18" t="n"/>
      <c r="H19" s="18" t="n"/>
      <c r="I19" s="15" t="inlineStr">
        <is>
          <t>Other</t>
        </is>
      </c>
      <c r="J19" s="15" t="inlineStr">
        <is>
          <t>GHG emissions reduction/avoided</t>
        </is>
      </c>
      <c r="K19" s="15" t="n">
        <v>0</v>
      </c>
      <c r="L19" s="44" t="inlineStr">
        <is>
          <t>473.8 ktCO2</t>
        </is>
      </c>
      <c r="M19" s="15" t="inlineStr">
        <is>
          <t>Achievement (as of May 2024): 
a) Direct ER : 14.3 ktCO2
b) Secondary direct ER : 153.13 ktCO2
c) Indirect ER : 6,123.1 ktCO2
Direct emission reduction (ER) from GEF-funded pilot activities
Secondary direct from co-financed interventions
Indirect emission reduction through various interventions, including policies
GHG calculations will be verified during the midterm review in 2025"</t>
        </is>
      </c>
      <c r="N19" s="15" t="n"/>
      <c r="O19" s="71" t="n"/>
      <c r="P19" s="17" t="n"/>
      <c r="Q19" s="18" t="n"/>
      <c r="R19" s="17" t="n"/>
      <c r="S19" s="17" t="n"/>
      <c r="T19" s="17" t="n"/>
      <c r="U19" s="17" t="n"/>
      <c r="V19" s="19" t="n"/>
      <c r="W19" s="17" t="n"/>
      <c r="X19" s="19" t="n"/>
    </row>
    <row r="20">
      <c r="A20" s="15" t="n"/>
      <c r="B20" s="22" t="n"/>
      <c r="C20" s="55" t="n"/>
      <c r="D20" s="18" t="n"/>
      <c r="E20" s="18" t="n"/>
      <c r="F20" s="18" t="n"/>
      <c r="G20" s="18" t="n"/>
      <c r="H20" s="18" t="n"/>
      <c r="I20" s="15" t="inlineStr">
        <is>
          <t>Energy (MW added)</t>
        </is>
      </c>
      <c r="J20" s="15" t="inlineStr">
        <is>
          <t>Installed capacity in MW for access/productive-use outputs</t>
        </is>
      </c>
      <c r="K20" s="110" t="n">
        <v>0</v>
      </c>
      <c r="L20" s="111" t="n"/>
      <c r="M20" s="15" t="n"/>
      <c r="N20" s="15" t="n"/>
      <c r="O20" s="71" t="n"/>
      <c r="P20" s="17" t="n"/>
      <c r="Q20" s="18" t="n"/>
      <c r="R20" s="17" t="n"/>
      <c r="S20" s="17" t="n"/>
      <c r="T20" s="17" t="n"/>
      <c r="U20" s="17" t="n"/>
      <c r="V20" s="19" t="n"/>
      <c r="W20" s="17" t="n"/>
      <c r="X20" s="19" t="n"/>
    </row>
    <row r="21" ht="30.75" customHeight="1">
      <c r="A21" s="15" t="n"/>
      <c r="B21" s="22" t="n"/>
      <c r="C21" s="55" t="n"/>
      <c r="D21" s="18" t="n"/>
      <c r="E21" s="18" t="n"/>
      <c r="F21" s="18" t="n"/>
      <c r="G21" s="18" t="n"/>
      <c r="H21" s="18" t="n"/>
      <c r="I21" s="15" t="n"/>
      <c r="J21" s="15" t="n"/>
      <c r="K21" s="15" t="n"/>
      <c r="L21" s="44" t="n"/>
      <c r="M21" s="15" t="n"/>
      <c r="N21" s="15" t="n"/>
      <c r="O21" s="71" t="n"/>
      <c r="P21" s="17" t="n"/>
      <c r="Q21" s="18" t="n"/>
      <c r="R21" s="17" t="n"/>
      <c r="S21" s="17" t="n"/>
      <c r="T21" s="17" t="n"/>
      <c r="U21" s="17" t="n"/>
      <c r="V21" s="19" t="n"/>
      <c r="W21" s="17" t="n"/>
      <c r="X21" s="19" t="n"/>
    </row>
    <row r="22" ht="45.75" customHeight="1">
      <c r="A22" s="18" t="n">
        <v>5721</v>
      </c>
      <c r="B22" s="22" t="inlineStr">
        <is>
          <t>ADLIGHT</t>
        </is>
      </c>
      <c r="C22" s="55" t="inlineStr">
        <is>
          <t>https://co.pims.undp.org/project/view?id=5721</t>
        </is>
      </c>
      <c r="D22" s="56" t="n">
        <v>2633372</v>
      </c>
      <c r="E22" s="109" t="n"/>
      <c r="F22" s="109" t="n"/>
      <c r="G22" s="109" t="n"/>
      <c r="H22" s="56" t="inlineStr">
        <is>
          <t>VF</t>
        </is>
      </c>
      <c r="I22" s="15" t="inlineStr">
        <is>
          <t>Medium Enterprises</t>
        </is>
      </c>
      <c r="J22" s="15" t="inlineStr">
        <is>
          <t>Cumulative number of lighting manufacturers who received technical assistance to upgrade production facilities</t>
        </is>
      </c>
      <c r="K22" s="15" t="n">
        <v>0</v>
      </c>
      <c r="L22" s="41" t="n">
        <v>6</v>
      </c>
      <c r="M22" s="15" t="inlineStr">
        <is>
          <t xml:space="preserve">Achievement: 10 </t>
        </is>
      </c>
      <c r="N22" s="22" t="inlineStr">
        <is>
          <t>GEF</t>
        </is>
      </c>
      <c r="O22" s="41" t="n"/>
      <c r="P22" s="17" t="n"/>
      <c r="Q22" s="18" t="inlineStr">
        <is>
          <t>Accelerating just energy transition</t>
        </is>
      </c>
      <c r="R22" s="17" t="n"/>
      <c r="S22" s="17" t="n"/>
      <c r="T22" s="17" t="n"/>
      <c r="U22" s="17" t="n"/>
      <c r="V22" s="19" t="n"/>
      <c r="W22" s="17" t="n"/>
      <c r="X22" s="19" t="n"/>
    </row>
    <row r="23">
      <c r="I23" s="15" t="inlineStr">
        <is>
          <t>Energy Efficiency Services</t>
        </is>
      </c>
      <c r="J23" s="15" t="inlineStr">
        <is>
          <t>To increase the penetration of high quality energy efficient lighting technologies in  Indonesia through the transformation of the national market</t>
        </is>
      </c>
      <c r="K23" s="15" t="n">
        <v>0</v>
      </c>
      <c r="L23" s="41" t="inlineStr">
        <is>
          <t>77.45 GWh</t>
        </is>
      </c>
      <c r="M23" s="15" t="inlineStr">
        <is>
          <t>Achievement: 74.33 GWh</t>
        </is>
      </c>
      <c r="N23" s="22" t="n"/>
      <c r="O23" s="41" t="n"/>
      <c r="P23" s="17" t="n"/>
      <c r="Q23" s="18" t="n"/>
      <c r="R23" s="17" t="n"/>
      <c r="S23" s="17" t="n"/>
      <c r="T23" s="17" t="n"/>
      <c r="U23" s="17" t="n"/>
      <c r="V23" s="19" t="n"/>
      <c r="W23" s="17" t="n"/>
      <c r="X23" s="19" t="n"/>
    </row>
    <row r="24" ht="30.75" customHeight="1">
      <c r="I24" s="15" t="inlineStr">
        <is>
          <t>Other</t>
        </is>
      </c>
      <c r="J24" s="15" t="inlineStr">
        <is>
          <t>GHG emissions reduction/avoided</t>
        </is>
      </c>
      <c r="K24" s="15" t="n">
        <v>0</v>
      </c>
      <c r="L24" s="41" t="inlineStr">
        <is>
          <t>62.58 ktCO2e</t>
        </is>
      </c>
      <c r="M24" s="15" t="inlineStr">
        <is>
          <t>Achievement: 75.16 ktCO2e</t>
        </is>
      </c>
      <c r="N24" s="22" t="inlineStr">
        <is>
          <t>GEF</t>
        </is>
      </c>
      <c r="O24" s="41" t="n"/>
      <c r="P24" s="17" t="n"/>
      <c r="Q24" s="18" t="n"/>
      <c r="R24" s="17" t="n"/>
      <c r="S24" s="17" t="n"/>
      <c r="T24" s="17" t="n"/>
      <c r="U24" s="17" t="n"/>
      <c r="V24" s="19" t="n"/>
      <c r="W24" s="17" t="n"/>
      <c r="X24" s="19" t="n"/>
    </row>
    <row r="25">
      <c r="I25" s="15" t="inlineStr">
        <is>
          <t>Capacity Building Training</t>
        </is>
      </c>
      <c r="J25" s="15" t="inlineStr">
        <is>
          <t>Number of women and men participating in capacity building trainings throughout the project</t>
        </is>
      </c>
      <c r="K25" s="15" t="n">
        <v>0</v>
      </c>
      <c r="L25" s="41" t="inlineStr">
        <is>
          <t>60/140 (w/m)</t>
        </is>
      </c>
      <c r="M25" s="15" t="inlineStr">
        <is>
          <t>Achievement: 103 women, 149 men</t>
        </is>
      </c>
      <c r="N25" s="22" t="n"/>
      <c r="O25" s="71" t="n">
        <v>0.4</v>
      </c>
      <c r="P25" s="17" t="n"/>
      <c r="Q25" s="18" t="n"/>
      <c r="R25" s="17" t="n"/>
      <c r="S25" s="17" t="n"/>
      <c r="T25" s="17" t="n"/>
      <c r="U25" s="17" t="n"/>
      <c r="V25" s="19" t="n"/>
      <c r="W25" s="17" t="n"/>
      <c r="X25" s="19" t="n"/>
    </row>
    <row r="26" ht="30.75" customHeight="1">
      <c r="I26" s="15" t="inlineStr">
        <is>
          <t>Energy (MW added)</t>
        </is>
      </c>
      <c r="J26" s="15" t="inlineStr">
        <is>
          <t>Installed capacity in MW for access/productive-use outputs</t>
        </is>
      </c>
      <c r="K26" s="110" t="n">
        <v>0</v>
      </c>
      <c r="L26" s="112" t="n"/>
      <c r="M26" s="15" t="n"/>
      <c r="N26" s="22" t="n"/>
      <c r="O26" s="71" t="n"/>
      <c r="P26" s="17" t="n"/>
      <c r="Q26" s="18" t="n"/>
      <c r="R26" s="17" t="n"/>
      <c r="S26" s="17" t="n"/>
      <c r="T26" s="17" t="n"/>
      <c r="U26" s="17" t="n"/>
      <c r="V26" s="19" t="n"/>
      <c r="W26" s="17" t="n"/>
      <c r="X26" s="19" t="n"/>
    </row>
    <row r="27" ht="30.75" customHeight="1">
      <c r="A27" s="82" t="n"/>
      <c r="B27" s="85" t="n"/>
      <c r="C27" s="94" t="n"/>
      <c r="D27" s="79" t="n"/>
      <c r="E27" s="79" t="n"/>
      <c r="F27" s="79" t="n"/>
      <c r="G27" s="79" t="n"/>
      <c r="H27" s="79" t="n"/>
      <c r="I27" s="15" t="n"/>
      <c r="J27" s="15" t="n"/>
      <c r="K27" s="15" t="n"/>
      <c r="L27" s="41" t="n"/>
      <c r="M27" s="15" t="n"/>
      <c r="N27" s="22" t="n"/>
      <c r="O27" s="71" t="n"/>
      <c r="P27" s="17" t="n"/>
      <c r="Q27" s="18" t="n"/>
      <c r="R27" s="17" t="n"/>
      <c r="S27" s="17" t="n"/>
      <c r="T27" s="17" t="n"/>
      <c r="U27" s="17" t="n"/>
      <c r="V27" s="19" t="n"/>
      <c r="W27" s="17" t="n"/>
      <c r="X27" s="19" t="n"/>
    </row>
    <row r="28" ht="30.75" customHeight="1">
      <c r="A28" s="18" t="n">
        <v>4673</v>
      </c>
      <c r="B28" s="22" t="inlineStr">
        <is>
          <t>RE Market Transformation (NAMA)</t>
        </is>
      </c>
      <c r="C28" s="55" t="inlineStr">
        <is>
          <t>https://co.pims.undp.org/project/view?id=4673</t>
        </is>
      </c>
      <c r="D28" s="56" t="n">
        <v>8025000</v>
      </c>
      <c r="E28" s="109" t="n"/>
      <c r="F28" s="109" t="n"/>
      <c r="G28" s="109" t="n"/>
      <c r="H28" s="56" t="inlineStr">
        <is>
          <t>VF</t>
        </is>
      </c>
      <c r="I28" s="15" t="inlineStr">
        <is>
          <t>Electricity Access</t>
        </is>
      </c>
      <c r="J28" s="15" t="inlineStr">
        <is>
          <t>Cumulative number of additional households (from baseline) having access to electricity in pilot provinces</t>
        </is>
      </c>
      <c r="K28" s="16" t="inlineStr">
        <is>
          <t>80000</t>
        </is>
      </c>
      <c r="L28" s="42" t="inlineStr">
        <is>
          <t>320000 HH</t>
        </is>
      </c>
      <c r="M28" s="15" t="inlineStr">
        <is>
          <t>Achievement: 327667 HH</t>
        </is>
      </c>
      <c r="N28" s="15" t="inlineStr">
        <is>
          <t>GEF</t>
        </is>
      </c>
      <c r="O28" s="41" t="n"/>
      <c r="P28" s="17" t="n"/>
      <c r="Q28" s="18" t="inlineStr">
        <is>
          <t>Close the gap on energy access</t>
        </is>
      </c>
      <c r="R28" s="17" t="n"/>
      <c r="S28" s="17" t="n"/>
      <c r="T28" s="17" t="n"/>
      <c r="U28" s="17" t="n"/>
      <c r="V28" s="19" t="n"/>
      <c r="W28" s="17" t="n"/>
      <c r="X28" s="19" t="n"/>
    </row>
    <row r="29" ht="30.75" customHeight="1">
      <c r="I29" s="15" t="inlineStr">
        <is>
          <t>Energy (MW added)</t>
        </is>
      </c>
      <c r="J29" s="15" t="inlineStr">
        <is>
          <t>Cumulative capacity of RE investment projects implemented</t>
        </is>
      </c>
      <c r="K29" s="15" t="n">
        <v>0</v>
      </c>
      <c r="L29" s="42" t="inlineStr">
        <is>
          <t>15 MW (duplicate)</t>
        </is>
      </c>
      <c r="M29" s="15" t="inlineStr">
        <is>
          <t>Achievement: 30.72 MW</t>
        </is>
      </c>
      <c r="N29" s="15" t="n"/>
      <c r="O29" s="41" t="n"/>
      <c r="P29" s="17" t="n"/>
      <c r="Q29" s="18" t="inlineStr">
        <is>
          <t>Close the gap on energy access</t>
        </is>
      </c>
      <c r="R29" s="17" t="n"/>
      <c r="S29" s="17" t="n"/>
      <c r="T29" s="17" t="n"/>
      <c r="U29" s="17" t="n"/>
      <c r="V29" s="19" t="n"/>
      <c r="W29" s="17" t="n"/>
      <c r="X29" s="19" t="n"/>
    </row>
    <row r="30" ht="30.75" customHeight="1">
      <c r="I30" s="15" t="inlineStr">
        <is>
          <t>Energy Efficiency Services</t>
        </is>
      </c>
      <c r="J30" s="15" t="inlineStr">
        <is>
          <t>Cumulative energy saved from EE in commercial buildings, facilitated by project, MWh</t>
        </is>
      </c>
      <c r="K30" s="15" t="n">
        <v>0</v>
      </c>
      <c r="L30" s="45" t="inlineStr">
        <is>
          <t>8,550 MWh</t>
        </is>
      </c>
      <c r="M30" s="23" t="inlineStr">
        <is>
          <t>Achievement: 248,952 MWh</t>
        </is>
      </c>
      <c r="N30" s="15" t="n"/>
      <c r="O30" s="41" t="n"/>
      <c r="P30" s="17" t="n"/>
      <c r="Q30" s="18" t="n"/>
      <c r="R30" s="17" t="n"/>
      <c r="S30" s="17" t="n"/>
      <c r="T30" s="17" t="n"/>
      <c r="U30" s="17" t="n"/>
      <c r="V30" s="19" t="n"/>
      <c r="W30" s="17" t="n"/>
      <c r="X30" s="19" t="n"/>
    </row>
    <row r="31">
      <c r="I31" s="15" t="inlineStr">
        <is>
          <t>Market Intervention</t>
        </is>
      </c>
      <c r="J31" s="15" t="inlineStr">
        <is>
          <t>Cumulative volume of public and private investment mobilized by the SEF, US$ million</t>
        </is>
      </c>
      <c r="K31" s="15" t="n">
        <v>0</v>
      </c>
      <c r="L31" s="50" t="inlineStr">
        <is>
          <t>US$ 25 million</t>
        </is>
      </c>
      <c r="M31" s="37" t="inlineStr">
        <is>
          <t>Achievement: US$ 57.77 million</t>
        </is>
      </c>
      <c r="N31" s="37" t="n"/>
      <c r="O31" s="72" t="n"/>
      <c r="P31" s="17" t="n"/>
      <c r="Q31" s="33" t="inlineStr">
        <is>
          <t>Scale up energy finance</t>
        </is>
      </c>
      <c r="R31" s="17" t="n"/>
      <c r="S31" s="17" t="n"/>
      <c r="T31" s="17" t="n"/>
      <c r="U31" s="17" t="n"/>
      <c r="V31" s="19" t="n"/>
      <c r="W31" s="17" t="n"/>
      <c r="X31" s="19" t="n"/>
    </row>
    <row r="32">
      <c r="I32" s="15" t="inlineStr">
        <is>
          <t>Small Enterprises</t>
        </is>
      </c>
      <c r="J32" s="15" t="inlineStr">
        <is>
          <t>Number of small to medium scale RE/EE projects that were financially supported by Sustainable Energy Fund</t>
        </is>
      </c>
      <c r="K32" s="49" t="n">
        <v>0</v>
      </c>
      <c r="L32" s="52" t="inlineStr">
        <is>
          <t>10 small-medium RE/EE projects</t>
        </is>
      </c>
      <c r="M32" s="36" t="inlineStr">
        <is>
          <t>Achievement: 11 small-medium RE/EE projects</t>
        </is>
      </c>
      <c r="N32" s="36" t="n"/>
      <c r="O32" s="73" t="n"/>
      <c r="P32" s="17" t="n"/>
      <c r="Q32" s="33" t="n"/>
      <c r="R32" s="17" t="n"/>
      <c r="S32" s="17" t="n"/>
      <c r="T32" s="17" t="n"/>
      <c r="U32" s="17" t="n"/>
      <c r="V32" s="19" t="n"/>
      <c r="W32" s="17" t="n"/>
      <c r="X32" s="19" t="n"/>
    </row>
    <row r="33" ht="76.5" customFormat="1" customHeight="1" s="35">
      <c r="I33" s="15" t="inlineStr">
        <is>
          <t>Other</t>
        </is>
      </c>
      <c r="J33" s="15" t="inlineStr">
        <is>
          <t>GHG emissions reduction/avoided</t>
        </is>
      </c>
      <c r="K33" s="15" t="n">
        <v>0</v>
      </c>
      <c r="L33" s="51" t="inlineStr">
        <is>
          <t>27029 tCO2e</t>
        </is>
      </c>
      <c r="M33" s="53" t="inlineStr">
        <is>
          <t>Achievement 217509 tCO2e</t>
        </is>
      </c>
      <c r="N33" s="54" t="n"/>
      <c r="O33" s="74" t="n"/>
      <c r="P33" s="17" t="n"/>
      <c r="Q33" s="18" t="n"/>
      <c r="R33" s="17" t="n"/>
      <c r="S33" s="17" t="n"/>
      <c r="T33" s="17" t="n"/>
      <c r="U33" s="17" t="n"/>
      <c r="V33" s="19" t="n"/>
      <c r="W33" s="17" t="n"/>
      <c r="X33" s="19" t="n"/>
    </row>
    <row r="34">
      <c r="A34" s="83" t="n"/>
      <c r="B34" s="86" t="n"/>
      <c r="C34" s="95" t="n"/>
      <c r="D34" s="80" t="n"/>
      <c r="E34" s="80" t="n"/>
      <c r="F34" s="80" t="n"/>
      <c r="G34" s="80" t="n"/>
      <c r="H34" s="80" t="n"/>
      <c r="I34" s="15" t="n"/>
      <c r="J34" s="15" t="n"/>
      <c r="K34" s="15" t="n"/>
      <c r="L34" s="51" t="n"/>
      <c r="N34" s="54" t="n"/>
      <c r="O34" s="74" t="n"/>
      <c r="P34" s="17" t="n"/>
      <c r="Q34" s="18" t="n"/>
      <c r="R34" s="17" t="n"/>
      <c r="S34" s="17" t="n"/>
      <c r="T34" s="17" t="n"/>
      <c r="U34" s="17" t="n"/>
      <c r="V34" s="19" t="n"/>
      <c r="W34" s="17" t="n"/>
      <c r="X34" s="19" t="n"/>
    </row>
    <row r="35">
      <c r="A35" s="30" t="inlineStr">
        <is>
          <t>01000330</t>
        </is>
      </c>
      <c r="B35" s="38" t="inlineStr">
        <is>
          <t>PIP JSB Advancing Indonesia's NDC Targets in the Energy Sector</t>
        </is>
      </c>
      <c r="C35" s="57" t="inlineStr">
        <is>
          <t>https://open.undp.org/projects/01000330</t>
        </is>
      </c>
      <c r="D35" s="60" t="n">
        <v>1976199</v>
      </c>
      <c r="E35" s="113" t="n"/>
      <c r="F35" s="113" t="n"/>
      <c r="G35" s="113" t="n"/>
      <c r="H35" s="60" t="inlineStr">
        <is>
          <t>Non-VF</t>
        </is>
      </c>
      <c r="I35" s="15" t="inlineStr">
        <is>
          <t>Capacity Building Training</t>
        </is>
      </c>
      <c r="J35" s="31" t="inlineStr">
        <is>
          <t>Number of people trained/educated/informed 
through technical transfers, dialogues, 
workshops, campaigns, and other efforts 
(disaggregated by: male, female, youth (15-24) 
and indigenous people)</t>
        </is>
      </c>
      <c r="K35" s="15" t="n">
        <v>0</v>
      </c>
      <c r="L35" s="41" t="n"/>
      <c r="M35" s="77" t="inlineStr">
        <is>
          <t>Achievement 3,726 individuals</t>
        </is>
      </c>
      <c r="N35" s="31" t="inlineStr">
        <is>
          <t>JSB</t>
        </is>
      </c>
      <c r="O35" s="46" t="inlineStr">
        <is>
          <t>38,3%</t>
        </is>
      </c>
      <c r="P35" s="32" t="n"/>
      <c r="Q35" s="33" t="inlineStr">
        <is>
          <t>Scale up energy finance</t>
        </is>
      </c>
      <c r="R35" s="32" t="inlineStr">
        <is>
          <t>Renewable Energy</t>
        </is>
      </c>
      <c r="S35" s="32" t="n"/>
      <c r="T35" s="32" t="inlineStr">
        <is>
          <t>Government Capacity-Building</t>
        </is>
      </c>
      <c r="U35" s="32" t="inlineStr">
        <is>
          <t>Digital &amp; Data</t>
        </is>
      </c>
      <c r="V35" s="34" t="n"/>
      <c r="W35" s="32" t="inlineStr">
        <is>
          <t>National</t>
        </is>
      </c>
      <c r="X35" s="34" t="n"/>
    </row>
    <row r="36" ht="45.75" customHeight="1">
      <c r="A36" s="15" t="n"/>
      <c r="B36" s="22" t="n"/>
      <c r="C36" s="55" t="n"/>
      <c r="D36" s="18" t="n"/>
      <c r="E36" s="18" t="n"/>
      <c r="F36" s="18" t="n"/>
      <c r="G36" s="18" t="n"/>
      <c r="H36" s="18" t="n"/>
      <c r="I36" s="15" t="n"/>
      <c r="J36" s="15" t="n"/>
      <c r="K36" s="15" t="n"/>
      <c r="L36" s="41" t="n"/>
      <c r="M36" s="15" t="n"/>
      <c r="N36" s="15" t="n"/>
      <c r="O36" s="41" t="n"/>
      <c r="P36" s="17" t="n"/>
      <c r="Q36" s="18" t="n"/>
      <c r="R36" s="17" t="n"/>
      <c r="S36" s="17" t="n"/>
      <c r="T36" s="17" t="n"/>
      <c r="U36" s="17" t="n"/>
      <c r="V36" s="19" t="n"/>
      <c r="W36" s="17" t="n"/>
      <c r="X36" s="19" t="n"/>
    </row>
    <row r="37">
      <c r="A37" s="15" t="n"/>
      <c r="B37" s="22" t="n"/>
      <c r="C37" s="55" t="n"/>
      <c r="D37" s="18" t="n"/>
      <c r="E37" s="18" t="n"/>
      <c r="F37" s="18" t="n"/>
      <c r="G37" s="18" t="n"/>
      <c r="H37" s="18" t="n"/>
      <c r="I37" s="15" t="n"/>
      <c r="J37" s="15" t="n"/>
      <c r="K37" s="15" t="n"/>
      <c r="L37" s="41" t="n"/>
      <c r="M37" s="15" t="n"/>
      <c r="N37" s="15" t="n"/>
      <c r="O37" s="41" t="n"/>
      <c r="P37" s="17" t="n"/>
      <c r="Q37" s="18" t="n"/>
      <c r="R37" s="17" t="n"/>
      <c r="S37" s="17" t="n"/>
      <c r="T37" s="17" t="n"/>
      <c r="U37" s="17" t="n"/>
      <c r="V37" s="19" t="n"/>
      <c r="W37" s="17" t="n"/>
      <c r="X37" s="19" t="n"/>
    </row>
    <row r="38" ht="45.75" customFormat="1" customHeight="1" s="75">
      <c r="A38" s="29" t="inlineStr">
        <is>
          <t>01000743</t>
        </is>
      </c>
      <c r="B38" s="22" t="inlineStr">
        <is>
          <t>PIP Just Energy Transition</t>
        </is>
      </c>
      <c r="C38" s="55" t="inlineStr">
        <is>
          <t>https://open.undp.org/projects/01000743</t>
        </is>
      </c>
      <c r="D38" s="56" t="n">
        <v>150000</v>
      </c>
      <c r="E38" s="109" t="n"/>
      <c r="F38" s="109" t="n"/>
      <c r="G38" s="109" t="n"/>
      <c r="H38" s="56" t="inlineStr">
        <is>
          <t>Non-VF</t>
        </is>
      </c>
      <c r="I38" s="15" t="inlineStr">
        <is>
          <t>Other</t>
        </is>
      </c>
      <c r="J38" s="20" t="inlineStr">
        <is>
          <t>Establishment of Just Transition framework within the Indonesia Just Energy Transition Partnership (JETP) Comprehensive Investment and Policy Plan (CIPP) document</t>
        </is>
      </c>
      <c r="K38" s="15" t="n">
        <v>0</v>
      </c>
      <c r="L38" s="41" t="inlineStr">
        <is>
          <t>1 document</t>
        </is>
      </c>
      <c r="M38" s="15" t="inlineStr">
        <is>
          <t>In November 2023, the Government of Indonesia launched the JETP CIPP document</t>
        </is>
      </c>
      <c r="N38" s="20" t="n"/>
      <c r="O38" s="47" t="n"/>
      <c r="P38" s="20" t="n"/>
      <c r="Q38" s="20" t="n"/>
      <c r="R38" s="20" t="n"/>
      <c r="S38" s="20" t="n"/>
      <c r="T38" s="20" t="n"/>
      <c r="U38" s="20" t="n"/>
      <c r="V38" s="20" t="n"/>
      <c r="W38" s="20" t="n"/>
      <c r="X38" s="20" t="n"/>
    </row>
    <row r="39">
      <c r="A39" s="21" t="n"/>
      <c r="B39" s="39" t="n"/>
      <c r="C39" s="58" t="n"/>
      <c r="D39" s="58" t="n"/>
      <c r="E39" s="58" t="n"/>
      <c r="F39" s="58" t="n"/>
      <c r="G39" s="58" t="n"/>
      <c r="H39" s="58" t="n"/>
      <c r="I39" s="15" t="n"/>
      <c r="J39" s="20" t="n"/>
      <c r="K39" s="15" t="n"/>
      <c r="L39" s="41" t="n"/>
      <c r="M39" s="15" t="n"/>
      <c r="N39" s="20" t="n"/>
      <c r="O39" s="47" t="n"/>
      <c r="P39" s="20" t="n"/>
      <c r="Q39" s="20" t="n"/>
      <c r="R39" s="20" t="n"/>
      <c r="S39" s="20" t="n"/>
      <c r="T39" s="20" t="n"/>
      <c r="U39" s="20" t="n"/>
      <c r="V39" s="20" t="n"/>
      <c r="W39" s="20" t="n"/>
      <c r="X39" s="20" t="n"/>
    </row>
    <row r="40" ht="321" customHeight="1">
      <c r="A40" s="16" t="inlineStr">
        <is>
          <t>01002479</t>
        </is>
      </c>
      <c r="B40" s="22" t="inlineStr">
        <is>
          <t>PIP Gender-Responsive Just Energy Transition</t>
        </is>
      </c>
      <c r="C40" s="55" t="inlineStr">
        <is>
          <t>https://open.undp.org/projects/01002479</t>
        </is>
      </c>
      <c r="D40" s="56" t="n">
        <v>150000</v>
      </c>
      <c r="E40" s="109" t="n"/>
      <c r="F40" s="109" t="n"/>
      <c r="G40" s="109" t="n"/>
      <c r="H40" s="56" t="inlineStr">
        <is>
          <t>Non-VF</t>
        </is>
      </c>
      <c r="I40" s="15" t="inlineStr">
        <is>
          <t>Campaign Participant</t>
        </is>
      </c>
      <c r="J40" s="15" t="inlineStr">
        <is>
          <t>Number of participants joining the focus group discussion on gender mainstreaming for just energy transition</t>
        </is>
      </c>
      <c r="K40" s="15" t="n">
        <v>0</v>
      </c>
      <c r="L40" s="41" t="inlineStr">
        <is>
          <t>40 participants</t>
        </is>
      </c>
      <c r="M40" s="15" t="inlineStr">
        <is>
          <t>Achievement: total 45 participants joined and 37 participant are women</t>
        </is>
      </c>
      <c r="N40" s="15" t="n"/>
      <c r="O40" s="71" t="n">
        <v>0.75</v>
      </c>
      <c r="P40" s="15" t="n"/>
      <c r="Q40" s="15" t="n"/>
      <c r="R40" s="15" t="n"/>
      <c r="S40" s="15" t="n"/>
      <c r="T40" s="15" t="n"/>
      <c r="U40" s="15" t="n"/>
      <c r="V40" s="15" t="n"/>
      <c r="W40" s="15" t="n"/>
      <c r="X40" s="15" t="n"/>
    </row>
    <row r="41">
      <c r="A41" s="20" t="n"/>
      <c r="B41" s="39" t="n"/>
      <c r="C41" s="58" t="n"/>
      <c r="D41" s="58" t="n"/>
      <c r="E41" s="58" t="n"/>
      <c r="F41" s="58" t="n"/>
      <c r="G41" s="58" t="n"/>
      <c r="H41" s="58" t="n"/>
      <c r="I41" s="15" t="n"/>
      <c r="J41" s="20" t="n"/>
      <c r="K41" s="15" t="n"/>
      <c r="L41" s="41" t="n"/>
      <c r="M41" s="15" t="n"/>
      <c r="N41" s="20" t="n"/>
      <c r="O41" s="47" t="n"/>
      <c r="P41" s="20" t="n"/>
      <c r="Q41" s="20" t="n"/>
      <c r="R41" s="20" t="n"/>
      <c r="S41" s="20" t="n"/>
      <c r="T41" s="20" t="n"/>
      <c r="U41" s="20" t="n"/>
      <c r="V41" s="20" t="n"/>
      <c r="W41" s="20" t="n"/>
      <c r="X41" s="20" t="n"/>
    </row>
    <row r="42" ht="137.25" customHeight="1">
      <c r="A42" s="16" t="inlineStr">
        <is>
          <t>00106637</t>
        </is>
      </c>
      <c r="B42" s="22" t="inlineStr">
        <is>
          <t>Partnership for Action on Green Economy</t>
        </is>
      </c>
      <c r="C42" s="55" t="inlineStr">
        <is>
          <t>https://www.un-pageindonesia.org/
https://open.undp.org/projects/00105341</t>
        </is>
      </c>
      <c r="D42" s="56" t="n">
        <v>1116810.36</v>
      </c>
      <c r="E42" s="109" t="n"/>
      <c r="F42" s="109" t="n"/>
      <c r="G42" s="109" t="n"/>
      <c r="H42" s="56" t="inlineStr">
        <is>
          <t>Non-VF</t>
        </is>
      </c>
      <c r="I42" s="15" t="inlineStr">
        <is>
          <t>Policy or Regulatory Framework</t>
        </is>
      </c>
      <c r="J42" s="20" t="inlineStr">
        <is>
          <t>The effective integration of Inclusive Green Economy (IGE) principles into Indonesia's national economic and development planning, evidenced by multi-stakeholder collaboration, sectoral and thematic reforms aligned with IGE priorities, and enhanced capacities at the individual, institutional, and planning levels for sustained IGE action</t>
        </is>
      </c>
      <c r="K42" s="15" t="n">
        <v>0</v>
      </c>
      <c r="L42" s="41" t="inlineStr">
        <is>
          <t>3 sectors
4 document</t>
        </is>
      </c>
      <c r="M42" s="15" t="inlineStr">
        <is>
          <t>From 2019 to 2024, PAGE Indonesia has provided support and interventions to facilitate Indonesia's green economy transition across three key sectors: energy, waste, and industry.
PAGE Indonesia has produced and released over four key documents, including the Circular Economy Roadmap and Action Plan, support for the development of the Low Carbon Development Plan for West Java Province, the Regional Food Loss and Waste Strategy for Bali Province, a Green Recovery Assessment focusing on circular economy in the food and beverage industry, and an Electric Vehicle (EV) assessment linked to the Green Economy Index.</t>
        </is>
      </c>
      <c r="N42" s="20" t="inlineStr">
        <is>
          <t>MPTF</t>
        </is>
      </c>
      <c r="O42" s="47" t="n"/>
      <c r="P42" s="20" t="n"/>
      <c r="Q42" s="20" t="n"/>
      <c r="R42" s="20" t="n"/>
      <c r="S42" s="20" t="inlineStr">
        <is>
          <t>Green and Circular Economy</t>
        </is>
      </c>
      <c r="T42" s="20" t="n"/>
      <c r="U42" s="20" t="n"/>
      <c r="V42" s="20" t="n"/>
      <c r="W42" s="20" t="inlineStr">
        <is>
          <t>National and Regional Level</t>
        </is>
      </c>
      <c r="X42" s="20" t="n"/>
    </row>
    <row r="43">
      <c r="A43" s="20" t="n"/>
      <c r="B43" s="39" t="n"/>
      <c r="C43" s="58" t="n"/>
      <c r="D43" s="58" t="n"/>
      <c r="E43" s="58" t="n"/>
      <c r="F43" s="58" t="n"/>
      <c r="G43" s="58" t="n"/>
      <c r="H43" s="58" t="n"/>
      <c r="I43" s="15" t="n"/>
      <c r="J43" s="20" t="n"/>
      <c r="K43" s="15" t="n"/>
      <c r="L43" s="41" t="n"/>
      <c r="M43" s="15" t="n"/>
      <c r="N43" s="20" t="n"/>
      <c r="O43" s="47" t="n"/>
      <c r="P43" s="20" t="n"/>
      <c r="Q43" s="20" t="n"/>
      <c r="R43" s="20" t="n"/>
      <c r="S43" s="20" t="n"/>
      <c r="T43" s="20" t="n"/>
      <c r="U43" s="20" t="n"/>
      <c r="V43" s="20" t="n"/>
      <c r="W43" s="20" t="n"/>
      <c r="X43" s="20" t="n"/>
    </row>
    <row r="44">
      <c r="A44" s="16" t="inlineStr">
        <is>
          <t>00131053</t>
        </is>
      </c>
      <c r="B44" s="22" t="inlineStr">
        <is>
          <t xml:space="preserve">Sustainable Infrastructure Programme in Asia </t>
        </is>
      </c>
      <c r="C44" s="55" t="inlineStr">
        <is>
          <t>https://open.undp.org/projects/00143365</t>
        </is>
      </c>
      <c r="D44" s="56" t="n">
        <v>315717.74</v>
      </c>
      <c r="E44" s="109" t="n"/>
      <c r="F44" s="109" t="n"/>
      <c r="G44" s="109" t="n"/>
      <c r="H44" s="56" t="inlineStr">
        <is>
          <t>Non-VF</t>
        </is>
      </c>
      <c r="I44" s="15" t="inlineStr">
        <is>
          <t>Policy or Regulatory Framework</t>
        </is>
      </c>
      <c r="J44" s="20" t="inlineStr">
        <is>
          <t>The indicators include the number of feasibility studies on sustainable and low-carbon infrastructure projects used to mobilize investments, the number of stakeholders (disaggregated by gender) engaged through workshops on low-carbon and nature-positive strategies, and the inclusion of women in the design and implementation of these strategies, particularly in feasibility studies.</t>
        </is>
      </c>
      <c r="K44" s="15" t="n">
        <v>0</v>
      </c>
      <c r="L44" s="41" t="inlineStr">
        <is>
          <t>4 consultation workshop
2 RDF Studies</t>
        </is>
      </c>
      <c r="M44" s="15" t="inlineStr">
        <is>
          <t>As of November 2024, the SIPA project has conducted two consultation workshops, and one RDF roadmap assessment/study is currently in progress. The remaining workshops and studies are scheduled for 2025 rest of workshop and studies will be conducted in 2025</t>
        </is>
      </c>
      <c r="N44" s="20" t="inlineStr">
        <is>
          <t>BMUV-IKI</t>
        </is>
      </c>
      <c r="O44" s="47" t="n"/>
      <c r="P44" s="20" t="n"/>
      <c r="Q44" s="20" t="n"/>
      <c r="R44" s="20" t="n"/>
      <c r="S44" s="20" t="inlineStr">
        <is>
          <t>Sustainable Infrastrcuture</t>
        </is>
      </c>
      <c r="T44" s="20" t="n"/>
      <c r="U44" s="20" t="n"/>
      <c r="V44" s="20" t="n"/>
      <c r="W44" s="20" t="inlineStr">
        <is>
          <t>National</t>
        </is>
      </c>
      <c r="X44" s="20" t="n"/>
    </row>
    <row r="45">
      <c r="A45" s="20" t="n"/>
      <c r="B45" s="39" t="n"/>
      <c r="C45" s="58" t="n"/>
      <c r="D45" s="58" t="n"/>
      <c r="E45" s="58" t="n"/>
      <c r="F45" s="58" t="n"/>
      <c r="G45" s="58" t="n"/>
      <c r="H45" s="58" t="n"/>
      <c r="I45" s="15" t="n"/>
      <c r="J45" s="20" t="n"/>
      <c r="K45" s="15" t="n"/>
      <c r="L45" s="41" t="n"/>
      <c r="M45" s="15" t="n"/>
      <c r="N45" s="20" t="n"/>
      <c r="O45" s="47" t="n"/>
      <c r="P45" s="20" t="n"/>
      <c r="Q45" s="20" t="n"/>
      <c r="R45" s="20" t="n"/>
      <c r="S45" s="20" t="n"/>
      <c r="T45" s="20" t="n"/>
      <c r="U45" s="20" t="n"/>
      <c r="V45" s="20" t="n"/>
      <c r="W45" s="20" t="n"/>
      <c r="X45" s="20" t="n"/>
    </row>
    <row r="46">
      <c r="A46" s="20" t="n"/>
      <c r="B46" s="39" t="n"/>
      <c r="C46" s="58" t="n"/>
      <c r="D46" s="58" t="n"/>
      <c r="E46" s="58" t="n"/>
      <c r="F46" s="58" t="n"/>
      <c r="G46" s="58" t="n"/>
      <c r="H46" s="58" t="n"/>
      <c r="I46" s="15" t="n"/>
      <c r="J46" s="20" t="n"/>
      <c r="K46" s="15" t="n"/>
      <c r="L46" s="41" t="n"/>
      <c r="M46" s="15" t="n"/>
      <c r="N46" s="20" t="n"/>
      <c r="O46" s="47" t="n"/>
      <c r="P46" s="20" t="n"/>
      <c r="Q46" s="20" t="n"/>
      <c r="R46" s="20" t="n"/>
      <c r="S46" s="20" t="n"/>
      <c r="T46" s="20" t="n"/>
      <c r="U46" s="20" t="n"/>
      <c r="V46" s="20" t="n"/>
      <c r="W46" s="20" t="n"/>
      <c r="X46" s="20" t="n"/>
    </row>
  </sheetData>
  <dataValidations count="10">
    <dataValidation sqref="Q2:Q35"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35" showDropDown="0" showInputMessage="1" showErrorMessage="1" allowBlank="1" type="list">
      <formula1>"AMP, PUDC, Solar4Health, Action Opportunities, Italy UNDP Energy Partnership"</formula1>
    </dataValidation>
    <dataValidation sqref="N2:N35" showDropDown="0" showInputMessage="1" showErrorMessage="1" allowBlank="1" type="list">
      <formula1>"Accelerating just energy transition, Close the gap on energy access, Scale up energy finance"</formula1>
    </dataValidation>
    <dataValidation sqref="O2:O35" showDropDown="0" showInputMessage="1" showErrorMessage="1" allowBlank="1" type="list">
      <formula1>"Electricity Access, Energy Efficiency, Clean Cooking, Renewable Energy, Overall"</formula1>
    </dataValidation>
    <dataValidation sqref="L2:L35" showDropDown="0" showInputMessage="1" showErrorMessage="1" allowBlank="1" type="list">
      <formula1>"Non-VF, VF"</formula1>
    </dataValidation>
    <dataValidation sqref="M2:M35" showDropDown="0" showInputMessage="1" showErrorMessage="1" allowBlank="1" type="list">
      <formula1>"Finance, Gender, Efficiency, Just, Health"</formula1>
    </dataValidation>
    <dataValidation sqref="T2:T35" showDropDown="0" showInputMessage="1" showErrorMessage="1" allowBlank="1" type="list">
      <formula1>"National, Regional, City, Community"</formula1>
    </dataValidation>
    <dataValidation sqref="R2:R35"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35"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12" r:id="rId2"/>
    <hyperlink xmlns:r="http://schemas.openxmlformats.org/officeDocument/2006/relationships" ref="C16" r:id="rId3"/>
    <hyperlink xmlns:r="http://schemas.openxmlformats.org/officeDocument/2006/relationships" ref="C38" r:id="rId4"/>
    <hyperlink xmlns:r="http://schemas.openxmlformats.org/officeDocument/2006/relationships" ref="C40" display="https://www.un-pageindonesia.org/" r:id="rId5"/>
    <hyperlink xmlns:r="http://schemas.openxmlformats.org/officeDocument/2006/relationships" ref="C42" r:id="rId6"/>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15"/>
  <sheetViews>
    <sheetView workbookViewId="0">
      <selection activeCell="M1" sqref="M1"/>
    </sheetView>
  </sheetViews>
  <sheetFormatPr baseColWidth="8" defaultColWidth="9.140625" defaultRowHeight="14.45"/>
  <cols>
    <col width="9.140625" customWidth="1" style="3" min="1" max="1"/>
    <col width="20.7109375" customWidth="1" style="3" min="2" max="3"/>
    <col width="9.140625" customWidth="1" style="3" min="4" max="4"/>
    <col width="20.7109375" customWidth="1" style="3" min="5" max="5"/>
    <col width="64.7109375" customWidth="1" style="3" min="6" max="6"/>
    <col width="36.7109375" customWidth="1" style="3" min="7" max="8"/>
    <col width="32.7109375" customWidth="1" style="3" min="9" max="9"/>
    <col width="9.140625" customWidth="1" style="3" min="10" max="16384"/>
  </cols>
  <sheetData>
    <row r="1">
      <c r="A1" s="2" t="inlineStr">
        <is>
          <t>Project ID</t>
        </is>
      </c>
      <c r="B1" s="2" t="inlineStr">
        <is>
          <t>Title</t>
        </is>
      </c>
      <c r="C1" s="2" t="inlineStr">
        <is>
          <t>Link</t>
        </is>
      </c>
      <c r="D1" s="2" t="inlineStr">
        <is>
          <t>Budget</t>
        </is>
      </c>
      <c r="E1" s="2" t="inlineStr">
        <is>
          <t>Beneficiary Category</t>
        </is>
      </c>
      <c r="F1" s="2" t="inlineStr">
        <is>
          <t>Indicator</t>
        </is>
      </c>
      <c r="G1" s="2" t="inlineStr">
        <is>
          <t>Baseline</t>
        </is>
      </c>
      <c r="H1" s="2" t="inlineStr">
        <is>
          <t>Target</t>
        </is>
      </c>
      <c r="I1" s="2" t="inlineStr">
        <is>
          <t>Notes</t>
        </is>
      </c>
      <c r="J1" s="2" t="inlineStr">
        <is>
          <t>Donor</t>
        </is>
      </c>
      <c r="K1" s="10" t="inlineStr">
        <is>
          <t>Gender (% female)</t>
        </is>
      </c>
      <c r="L1" s="10" t="inlineStr">
        <is>
          <t>Category</t>
        </is>
      </c>
      <c r="M1" s="10" t="n"/>
      <c r="N1" s="10" t="n"/>
      <c r="O1" s="10" t="inlineStr">
        <is>
          <t>SEH Taxonomy</t>
        </is>
      </c>
      <c r="P1" s="10" t="inlineStr">
        <is>
          <t>RISE Taxonomy</t>
        </is>
      </c>
      <c r="Q1" s="10" t="inlineStr">
        <is>
          <t>Flagship</t>
        </is>
      </c>
      <c r="R1" s="10" t="inlineStr">
        <is>
          <t>Indirect Category</t>
        </is>
      </c>
      <c r="S1" s="10" t="inlineStr">
        <is>
          <t>Indirect Taxonomy</t>
        </is>
      </c>
      <c r="T1" s="10" t="n"/>
    </row>
    <row r="2" ht="72.75" customHeight="1">
      <c r="A2" s="114" t="n">
        <v>126434</v>
      </c>
      <c r="B2" s="114" t="inlineStr">
        <is>
          <t>Accel. Clean Energy Access to Reduce Inequality (ACCESS)</t>
        </is>
      </c>
      <c r="C2" s="115" t="inlineStr">
        <is>
          <t>http://open.undp.org/projects/00126434</t>
        </is>
      </c>
      <c r="D2" s="114" t="n">
        <v>15028509</v>
      </c>
      <c r="E2" s="1" t="inlineStr">
        <is>
          <t>Electricity Access</t>
        </is>
      </c>
      <c r="F2" s="9" t="inlineStr">
        <is>
          <t xml:space="preserve">Number of households in targeted villages getting electricity supply generated from 23 solar PV off-grid power plants (total 1.2 MewaWatt capacity) constructed by project fund (disaggregated by gender) 
</t>
        </is>
      </c>
      <c r="G2" s="1" t="inlineStr">
        <is>
          <t xml:space="preserve">Baseline 2020
‘0
</t>
        </is>
      </c>
      <c r="H2" s="1" t="inlineStr">
        <is>
          <t xml:space="preserve">3,025 HH
</t>
        </is>
      </c>
      <c r="I2" s="1" t="inlineStr">
        <is>
          <t xml:space="preserve">1. Nil. The construction of 23 solar PV power plants is ongoing. Expectedly completed and provide access to electricity for 3,100 households by end of 2023.
</t>
        </is>
      </c>
      <c r="J2" s="116" t="inlineStr">
        <is>
          <t>KOICA</t>
        </is>
      </c>
      <c r="L2" s="3" t="inlineStr">
        <is>
          <t>Non-VF</t>
        </is>
      </c>
      <c r="O2" s="3" t="inlineStr">
        <is>
          <t>Accelerating just energy transition</t>
        </is>
      </c>
      <c r="P2" s="3" t="inlineStr">
        <is>
          <t>Electricity Access</t>
        </is>
      </c>
    </row>
    <row r="3" ht="57.95" customHeight="1">
      <c r="A3" s="117" t="n"/>
      <c r="B3" s="117" t="n"/>
      <c r="C3" s="117" t="n"/>
      <c r="D3" s="117" t="n"/>
      <c r="E3" s="1" t="inlineStr">
        <is>
          <t>Capacity Training</t>
        </is>
      </c>
      <c r="F3" s="1" t="inlineStr">
        <is>
          <t>Numbers of local people trained in field training on operation &amp; maintenance and passed post-test (disaggregated by gender).</t>
        </is>
      </c>
      <c r="G3" s="1" t="inlineStr">
        <is>
          <t>‘0</t>
        </is>
      </c>
      <c r="H3" s="1" t="n">
        <v>50</v>
      </c>
      <c r="I3" s="5" t="inlineStr">
        <is>
          <t>achieved – 50 (46% women)</t>
        </is>
      </c>
      <c r="J3" s="117" t="n"/>
      <c r="K3" s="11" t="n">
        <v>0.3</v>
      </c>
      <c r="L3" s="3" t="inlineStr">
        <is>
          <t>Non-VF</t>
        </is>
      </c>
      <c r="O3" s="3" t="inlineStr">
        <is>
          <t>Accelerating just energy transition</t>
        </is>
      </c>
      <c r="P3" s="3" t="inlineStr">
        <is>
          <t>Electricity Access</t>
        </is>
      </c>
    </row>
    <row r="4" ht="57.95" customHeight="1">
      <c r="A4" s="117" t="n"/>
      <c r="B4" s="117" t="n"/>
      <c r="C4" s="117" t="n"/>
      <c r="D4" s="117" t="n"/>
      <c r="E4" s="1" t="inlineStr">
        <is>
          <t>Medium Enterprises</t>
        </is>
      </c>
      <c r="F4" s="1" t="inlineStr">
        <is>
          <t>Establishment of village electricity enterprise (BUMDES Listrik Desa) or Renewable Energy Service Cooperative (RESCO).</t>
        </is>
      </c>
      <c r="G4" s="1" t="inlineStr">
        <is>
          <t>‘Seven villages in Indonesia target locations (pre-FS result)</t>
        </is>
      </c>
      <c r="H4" s="5" t="n">
        <v>21</v>
      </c>
      <c r="I4" s="5" t="inlineStr">
        <is>
          <t xml:space="preserve">21 </t>
        </is>
      </c>
      <c r="J4" s="117" t="n"/>
      <c r="L4" s="3" t="inlineStr">
        <is>
          <t>Non-VF</t>
        </is>
      </c>
      <c r="O4" s="3" t="inlineStr">
        <is>
          <t>Accelerating just energy transition</t>
        </is>
      </c>
      <c r="P4" s="3" t="inlineStr">
        <is>
          <t>Electricity Access</t>
        </is>
      </c>
    </row>
    <row r="5" ht="57.95" customHeight="1">
      <c r="A5" s="118" t="n"/>
      <c r="B5" s="118" t="n"/>
      <c r="C5" s="118" t="n"/>
      <c r="D5" s="118" t="n"/>
      <c r="E5" s="1" t="inlineStr">
        <is>
          <t>Campaign Participant</t>
        </is>
      </c>
      <c r="F5" s="1" t="inlineStr">
        <is>
          <t>Number of participants from stakeholder's institutions (government, private, donors, NGOs, regional development banks) receiving dissemination products, cumulative</t>
        </is>
      </c>
      <c r="G5" s="5" t="inlineStr">
        <is>
          <t>0</t>
        </is>
      </c>
      <c r="H5" s="5" t="n">
        <v>600</v>
      </c>
      <c r="I5" s="5" t="inlineStr">
        <is>
          <t>663</t>
        </is>
      </c>
      <c r="J5" s="118" t="n"/>
      <c r="L5" s="3" t="inlineStr">
        <is>
          <t>Non-VF</t>
        </is>
      </c>
      <c r="O5" s="3" t="inlineStr">
        <is>
          <t>Accelerating just energy transition</t>
        </is>
      </c>
      <c r="P5" s="3" t="inlineStr">
        <is>
          <t>Electricity Access</t>
        </is>
      </c>
    </row>
    <row r="6" ht="57.95" customHeight="1">
      <c r="A6" s="114" t="n">
        <v>142434</v>
      </c>
      <c r="B6" s="114" t="inlineStr">
        <is>
          <t>PIP Accelerating Robust Carbon Pricing</t>
        </is>
      </c>
      <c r="C6" s="115" t="inlineStr">
        <is>
          <t>http://open.undp.org/projects/00142434</t>
        </is>
      </c>
      <c r="D6" s="114" t="n">
        <v>1796132</v>
      </c>
      <c r="E6" s="1" t="inlineStr">
        <is>
          <t>Capacity Training</t>
        </is>
      </c>
      <c r="F6" s="1" t="inlineStr">
        <is>
          <t xml:space="preserve">#govt staffs certified as emission reduction verifiers;
</t>
        </is>
      </c>
      <c r="G6" s="5" t="inlineStr">
        <is>
          <t>0</t>
        </is>
      </c>
      <c r="H6" s="1" t="n">
        <v>10</v>
      </c>
      <c r="I6" s="1" t="n"/>
      <c r="J6" s="114" t="inlineStr">
        <is>
          <t>JSB</t>
        </is>
      </c>
      <c r="L6" s="3" t="inlineStr">
        <is>
          <t>Non-VF</t>
        </is>
      </c>
      <c r="O6" s="3" t="inlineStr">
        <is>
          <t>Accelerating just energy transition</t>
        </is>
      </c>
      <c r="P6" s="3" t="inlineStr">
        <is>
          <t>Energy Efficiency</t>
        </is>
      </c>
    </row>
    <row r="7" ht="57.95" customHeight="1">
      <c r="A7" s="117" t="n"/>
      <c r="B7" s="117" t="n"/>
      <c r="C7" s="117" t="n"/>
      <c r="D7" s="117" t="n"/>
      <c r="E7" s="1" t="inlineStr">
        <is>
          <t>Policy or Regulatory Framework</t>
        </is>
      </c>
      <c r="F7" s="1" t="inlineStr">
        <is>
          <t>#mitigation actions registered in national registry system</t>
        </is>
      </c>
      <c r="G7" s="5" t="inlineStr">
        <is>
          <t>0</t>
        </is>
      </c>
      <c r="H7" s="5" t="n">
        <v>329</v>
      </c>
      <c r="I7" s="1" t="n"/>
      <c r="J7" s="117" t="n"/>
      <c r="L7" s="3" t="inlineStr">
        <is>
          <t>Non-VF</t>
        </is>
      </c>
      <c r="O7" s="3" t="inlineStr">
        <is>
          <t>Accelerating just energy transition</t>
        </is>
      </c>
      <c r="P7" s="3" t="inlineStr">
        <is>
          <t>Energy Efficiency</t>
        </is>
      </c>
      <c r="R7" s="3" t="inlineStr">
        <is>
          <t>NDC Support</t>
        </is>
      </c>
      <c r="S7" s="3" t="inlineStr">
        <is>
          <t>Decarbonization</t>
        </is>
      </c>
    </row>
    <row r="8" ht="57.95" customHeight="1">
      <c r="A8" s="118" t="n"/>
      <c r="B8" s="118" t="n"/>
      <c r="C8" s="118" t="n"/>
      <c r="D8" s="118" t="n"/>
      <c r="E8" s="1" t="inlineStr">
        <is>
          <t>Capacity Training</t>
        </is>
      </c>
      <c r="F8" s="1" t="inlineStr">
        <is>
          <t>#people being involved in capacity building and policy dialogue</t>
        </is>
      </c>
      <c r="G8" s="5" t="inlineStr">
        <is>
          <t>0</t>
        </is>
      </c>
      <c r="H8" s="5" t="n">
        <v>350</v>
      </c>
      <c r="I8" s="1" t="n"/>
      <c r="J8" s="118" t="n"/>
      <c r="L8" s="3" t="inlineStr">
        <is>
          <t>Non-VF</t>
        </is>
      </c>
      <c r="O8" s="3" t="inlineStr">
        <is>
          <t>Accelerating just energy transition</t>
        </is>
      </c>
      <c r="P8" s="3" t="inlineStr">
        <is>
          <t>Energy Efficiency</t>
        </is>
      </c>
    </row>
    <row r="9" ht="57.95" customHeight="1">
      <c r="A9" s="4" t="n">
        <v>6333</v>
      </c>
      <c r="B9" s="4" t="inlineStr">
        <is>
          <t>Electric Vehicles in Indonesia (ENTREV)</t>
        </is>
      </c>
      <c r="C9" s="4" t="inlineStr">
        <is>
          <t>PIMS+</t>
        </is>
      </c>
      <c r="D9" s="4" t="n">
        <v>1816500</v>
      </c>
      <c r="E9" s="1" t="inlineStr">
        <is>
          <t>Other Energy Services</t>
        </is>
      </c>
      <c r="F9" s="1" t="inlineStr">
        <is>
          <t>Number of direct project beneficiaries disaggregated by gender (individual people) [GEF core indicator]</t>
        </is>
      </c>
      <c r="G9" s="1" t="n"/>
      <c r="H9" s="12" t="n">
        <v>643224</v>
      </c>
      <c r="I9" s="1" t="n"/>
      <c r="J9" s="4" t="inlineStr">
        <is>
          <t>GEF</t>
        </is>
      </c>
      <c r="K9" s="11" t="n">
        <v>0.24</v>
      </c>
      <c r="L9" s="3" t="inlineStr">
        <is>
          <t>VF</t>
        </is>
      </c>
      <c r="O9" s="3" t="inlineStr">
        <is>
          <t>Accelerating just energy transition</t>
        </is>
      </c>
      <c r="P9" s="3" t="inlineStr">
        <is>
          <t>Energy Efficiency</t>
        </is>
      </c>
    </row>
    <row r="10" ht="87" customHeight="1">
      <c r="A10" s="114" t="n">
        <v>5721</v>
      </c>
      <c r="B10" s="114" t="inlineStr">
        <is>
          <t>ADLIGHT</t>
        </is>
      </c>
      <c r="C10" s="114" t="inlineStr">
        <is>
          <t>PIMS+</t>
        </is>
      </c>
      <c r="D10" s="114" t="n">
        <v>2633372</v>
      </c>
      <c r="E10" s="1" t="inlineStr">
        <is>
          <t>Medium Enterprises</t>
        </is>
      </c>
      <c r="F10" s="1" t="inlineStr">
        <is>
          <t xml:space="preserve">
# Number of women and men participating in capacity building trainings throughout the project; 
</t>
        </is>
      </c>
      <c r="G10" s="1" t="inlineStr">
        <is>
          <t xml:space="preserve">#30/70;
</t>
        </is>
      </c>
      <c r="H10" s="1" t="n">
        <v>125</v>
      </c>
      <c r="I10" s="1" t="n"/>
      <c r="J10" s="114" t="inlineStr">
        <is>
          <t>GEF</t>
        </is>
      </c>
      <c r="K10" s="11" t="n">
        <v>0.34</v>
      </c>
      <c r="L10" s="3" t="inlineStr">
        <is>
          <t>VF</t>
        </is>
      </c>
      <c r="O10" s="3" t="inlineStr">
        <is>
          <t>Accelerating just energy transition</t>
        </is>
      </c>
      <c r="P10" s="3" t="inlineStr">
        <is>
          <t>Energy Efficiency</t>
        </is>
      </c>
    </row>
    <row r="11" ht="57.95" customHeight="1">
      <c r="A11" s="118" t="n"/>
      <c r="B11" s="118" t="n"/>
      <c r="C11" s="118" t="n"/>
      <c r="D11" s="118" t="n"/>
      <c r="E11" s="1" t="inlineStr">
        <is>
          <t>Medium Enterprises</t>
        </is>
      </c>
      <c r="F11" s="1" t="inlineStr">
        <is>
          <t>#Cumulative number of lighting manufacturers who received technical assistance to upgrade production facilities;</t>
        </is>
      </c>
      <c r="G11" s="1" t="inlineStr">
        <is>
          <t>#6 manufacturers (1 for each association)</t>
        </is>
      </c>
      <c r="H11" s="1" t="n">
        <v>10</v>
      </c>
      <c r="I11" s="1" t="n"/>
      <c r="J11" s="118" t="n"/>
      <c r="L11" s="3" t="inlineStr">
        <is>
          <t>VF</t>
        </is>
      </c>
      <c r="O11" s="3" t="inlineStr">
        <is>
          <t>Accelerating just energy transition</t>
        </is>
      </c>
      <c r="P11" s="3" t="inlineStr">
        <is>
          <t>Energy Efficiency</t>
        </is>
      </c>
    </row>
    <row r="12" ht="57.95" customHeight="1">
      <c r="A12" s="4" t="n">
        <v>4673</v>
      </c>
      <c r="B12" s="4" t="inlineStr">
        <is>
          <t>RE Market Transformation (NAMA)</t>
        </is>
      </c>
      <c r="C12" s="4" t="inlineStr">
        <is>
          <t>PIMS+</t>
        </is>
      </c>
      <c r="D12" s="4" t="n">
        <v>8025000</v>
      </c>
      <c r="E12" s="1" t="inlineStr">
        <is>
          <t>Electricity Access</t>
        </is>
      </c>
      <c r="F12" s="1" t="inlineStr">
        <is>
          <t>Cumulative number of additional households (from baseline) having access to electricity in pilot provinces</t>
        </is>
      </c>
      <c r="G12" s="5" t="inlineStr">
        <is>
          <t>80000</t>
        </is>
      </c>
      <c r="H12" s="5" t="inlineStr">
        <is>
          <t>320000 HH</t>
        </is>
      </c>
      <c r="I12" s="1" t="inlineStr">
        <is>
          <t>Achievement 327,667</t>
        </is>
      </c>
      <c r="J12" s="4" t="inlineStr">
        <is>
          <t>GEF</t>
        </is>
      </c>
      <c r="L12" s="3" t="inlineStr">
        <is>
          <t>VF</t>
        </is>
      </c>
      <c r="O12" s="3" t="inlineStr">
        <is>
          <t>Accelerating just energy transition</t>
        </is>
      </c>
      <c r="P12" s="3" t="inlineStr">
        <is>
          <t>Electricity Access</t>
        </is>
      </c>
    </row>
    <row r="15">
      <c r="A15" s="6" t="n"/>
    </row>
  </sheetData>
  <mergeCells count="15">
    <mergeCell ref="D10:D11"/>
    <mergeCell ref="B2:B5"/>
    <mergeCell ref="A2:A5"/>
    <mergeCell ref="C2:C5"/>
    <mergeCell ref="J2:J5"/>
    <mergeCell ref="J6:J8"/>
    <mergeCell ref="C10:C11"/>
    <mergeCell ref="A10:A11"/>
    <mergeCell ref="C6:C8"/>
    <mergeCell ref="A6:A8"/>
    <mergeCell ref="B10:B11"/>
    <mergeCell ref="D6:D8"/>
    <mergeCell ref="B6:B8"/>
    <mergeCell ref="D2:D5"/>
    <mergeCell ref="J10:J11"/>
  </mergeCells>
  <dataValidations count="5">
    <dataValidation sqref="O2:O12" showDropDown="0" showInputMessage="1" showErrorMessage="1" allowBlank="1" type="list">
      <formula1>"Accelerating just energy transition, Close the gap on energy access, Scale up energy finance"</formula1>
    </dataValidation>
    <dataValidation sqref="P2:P12" showDropDown="0" showInputMessage="1" showErrorMessage="1" allowBlank="1" type="list">
      <formula1>"Electricity Access, Energy Efficiency, Clean Cooking, Renewable Energy"</formula1>
    </dataValidation>
    <dataValidation sqref="Q2:Q12" showDropDown="0" showInputMessage="1" showErrorMessage="1" allowBlank="1" type="list">
      <formula1>"AMP, PUDC, Solar4Health, Action Opportunities, Italy UNDP Energy Partnership"</formula1>
    </dataValidation>
    <dataValidation sqref="R2:R12"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12"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 xmlns:r="http://schemas.openxmlformats.org/officeDocument/2006/relationships" ref="C6" r:id="rId2"/>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5"/>
  <sheetViews>
    <sheetView topLeftCell="C1" workbookViewId="0">
      <selection activeCell="G4" sqref="G4"/>
    </sheetView>
  </sheetViews>
  <sheetFormatPr baseColWidth="8" defaultColWidth="9.140625" defaultRowHeight="14.45"/>
  <cols>
    <col width="9.140625" customWidth="1" style="3" min="1" max="1"/>
    <col width="20.7109375" customWidth="1" style="3" min="2" max="3"/>
    <col width="9.140625" customWidth="1" style="3" min="4" max="5"/>
    <col width="20.7109375" customWidth="1" style="3" min="6" max="6"/>
    <col width="64.7109375" customWidth="1" style="3" min="7" max="7"/>
    <col width="36.7109375" customWidth="1" style="3" min="8" max="9"/>
    <col width="32.7109375" customWidth="1" style="3" min="10" max="10"/>
    <col width="37.42578125" customWidth="1" style="3" min="11" max="11"/>
    <col width="9.140625" customWidth="1" style="3" min="12" max="16384"/>
  </cols>
  <sheetData>
    <row r="1">
      <c r="A1" s="2" t="inlineStr">
        <is>
          <t>Project ID</t>
        </is>
      </c>
      <c r="B1" s="2" t="inlineStr">
        <is>
          <t>Title</t>
        </is>
      </c>
      <c r="C1" s="2" t="inlineStr">
        <is>
          <t>Link</t>
        </is>
      </c>
      <c r="D1" s="2" t="inlineStr">
        <is>
          <t>Budget</t>
        </is>
      </c>
      <c r="E1" s="2" t="inlineStr">
        <is>
          <t>Donor</t>
        </is>
      </c>
      <c r="F1" s="2" t="inlineStr">
        <is>
          <t>Beneficiary Category</t>
        </is>
      </c>
      <c r="G1" s="2" t="inlineStr">
        <is>
          <t>Indicator</t>
        </is>
      </c>
      <c r="H1" s="2" t="inlineStr">
        <is>
          <t>Baseline</t>
        </is>
      </c>
      <c r="I1" s="2" t="inlineStr">
        <is>
          <t>Target</t>
        </is>
      </c>
      <c r="J1" s="2" t="inlineStr">
        <is>
          <t>Notes</t>
        </is>
      </c>
      <c r="K1" s="7" t="inlineStr">
        <is>
          <t>Commensts</t>
        </is>
      </c>
    </row>
    <row r="2" ht="72.75" customHeight="1">
      <c r="A2" s="114" t="n">
        <v>126434</v>
      </c>
      <c r="B2" s="114" t="inlineStr">
        <is>
          <t>Accel. Clean Energy Access to Reduce Inequality (ACCESS)</t>
        </is>
      </c>
      <c r="C2" s="115" t="inlineStr">
        <is>
          <t>http://open.undp.org/projects/00126434</t>
        </is>
      </c>
      <c r="D2" s="114" t="n">
        <v>15028509</v>
      </c>
      <c r="E2" s="116" t="inlineStr">
        <is>
          <t>KOICA</t>
        </is>
      </c>
      <c r="F2" s="1" t="inlineStr">
        <is>
          <t>Electricity Access</t>
        </is>
      </c>
      <c r="G2" s="9" t="inlineStr">
        <is>
          <t xml:space="preserve">Number of households in targeted villages getting electricity supply generated from 23 solar PV off-grid power plants (total 1.2 MewaWatt capacity) constructed by project fund (disaggregated by gender) 
</t>
        </is>
      </c>
      <c r="H2" s="1" t="inlineStr">
        <is>
          <t xml:space="preserve">Baseline 2020
‘0
</t>
        </is>
      </c>
      <c r="I2" s="1" t="inlineStr">
        <is>
          <t xml:space="preserve">3,025
</t>
        </is>
      </c>
      <c r="J2" s="1" t="inlineStr">
        <is>
          <t xml:space="preserve">1. Nil. The construction of 23 solar PV power plants is ongoing. Expectedly completed and provide access to electricity for 3,100 households by end of 2023.
</t>
        </is>
      </c>
      <c r="K2" s="8" t="inlineStr">
        <is>
          <t>Outputs for project 126434 seem low for a $15M project focused all on energy. Can you please check it ? Is this the entire budget of the project ? What is the percentage dedicated to energy activities ? (the currency for the budget need to be in USD)  [Response: USD 9.5 million is allocated for Engineering, Procurement, and Construction of 23 solar PV power plants in 23 locations of remote villages.)</t>
        </is>
      </c>
    </row>
    <row r="3" ht="29.1" customHeight="1">
      <c r="A3" s="117" t="n"/>
      <c r="B3" s="117" t="n"/>
      <c r="C3" s="117" t="n"/>
      <c r="D3" s="117" t="n"/>
      <c r="E3" s="117" t="n"/>
      <c r="F3" s="1" t="inlineStr">
        <is>
          <t>Capacity Training</t>
        </is>
      </c>
      <c r="G3" s="1" t="inlineStr">
        <is>
          <t>Numbers of local people trained in field training on operation &amp; maintenance and passed post-test (disaggregated by gender).</t>
        </is>
      </c>
      <c r="H3" s="1" t="inlineStr">
        <is>
          <t>‘0</t>
        </is>
      </c>
      <c r="I3" s="1" t="inlineStr">
        <is>
          <t>50 (30% women)</t>
        </is>
      </c>
      <c r="J3" s="5" t="inlineStr">
        <is>
          <t>achieved – 50 (46% women)</t>
        </is>
      </c>
    </row>
    <row r="4" ht="29.1" customHeight="1">
      <c r="A4" s="117" t="n"/>
      <c r="B4" s="117" t="n"/>
      <c r="C4" s="117" t="n"/>
      <c r="D4" s="117" t="n"/>
      <c r="E4" s="117" t="n"/>
      <c r="F4" s="1" t="inlineStr">
        <is>
          <t>Medium Enterprises</t>
        </is>
      </c>
      <c r="G4" s="1" t="inlineStr">
        <is>
          <t>Establishment of village electricity enterprise (BUMDES Listrik Desa) or Renewable Energy Service Cooperative (RESCO).</t>
        </is>
      </c>
      <c r="H4" s="1" t="inlineStr">
        <is>
          <t>‘Seven villages in Indonesia target locations (pre-FS result)</t>
        </is>
      </c>
      <c r="I4" s="5" t="inlineStr">
        <is>
          <t>21</t>
        </is>
      </c>
      <c r="J4" s="5" t="inlineStr">
        <is>
          <t xml:space="preserve">21 </t>
        </is>
      </c>
    </row>
    <row r="5" ht="43.5" customHeight="1">
      <c r="A5" s="118" t="n"/>
      <c r="B5" s="118" t="n"/>
      <c r="C5" s="118" t="n"/>
      <c r="D5" s="118" t="n"/>
      <c r="E5" s="118" t="n"/>
      <c r="F5" s="1" t="inlineStr">
        <is>
          <t>Campaign Participant</t>
        </is>
      </c>
      <c r="G5" s="1" t="inlineStr">
        <is>
          <t>Number of participants from stakeholder's institutions (government, private, donors, NGOs, regional development banks) receiving dissemination products, cumulative</t>
        </is>
      </c>
      <c r="H5" s="5" t="inlineStr">
        <is>
          <t>0</t>
        </is>
      </c>
      <c r="I5" s="5" t="inlineStr">
        <is>
          <t>600 participants</t>
        </is>
      </c>
      <c r="J5" s="5" t="inlineStr">
        <is>
          <t>663</t>
        </is>
      </c>
    </row>
    <row r="6" ht="43.5" customHeight="1">
      <c r="A6" s="114" t="n">
        <v>142434</v>
      </c>
      <c r="B6" s="114" t="inlineStr">
        <is>
          <t>PIP Accelerating Robust Carbon Pricing</t>
        </is>
      </c>
      <c r="C6" s="115" t="inlineStr">
        <is>
          <t>http://open.undp.org/projects/00142434</t>
        </is>
      </c>
      <c r="D6" s="114" t="n">
        <v>1796132</v>
      </c>
      <c r="E6" s="114" t="inlineStr">
        <is>
          <t>JSB</t>
        </is>
      </c>
      <c r="F6" s="1" t="inlineStr">
        <is>
          <t>Capacity Training</t>
        </is>
      </c>
      <c r="G6" s="1" t="inlineStr">
        <is>
          <t xml:space="preserve">#govt staffs certified as emission reduction verifiers;
</t>
        </is>
      </c>
      <c r="H6" s="5" t="inlineStr">
        <is>
          <t>0</t>
        </is>
      </c>
      <c r="I6" s="1" t="inlineStr">
        <is>
          <t>10 Govt staffs</t>
        </is>
      </c>
      <c r="J6" s="1" t="n"/>
    </row>
    <row r="7">
      <c r="A7" s="117" t="n"/>
      <c r="B7" s="117" t="n"/>
      <c r="C7" s="117" t="n"/>
      <c r="D7" s="117" t="n"/>
      <c r="E7" s="117" t="n"/>
      <c r="F7" s="1" t="inlineStr">
        <is>
          <t>Other Energy Services</t>
        </is>
      </c>
      <c r="G7" s="1" t="inlineStr">
        <is>
          <t>#mitigation actions registered in national registry system</t>
        </is>
      </c>
      <c r="H7" s="5" t="inlineStr">
        <is>
          <t>0</t>
        </is>
      </c>
      <c r="I7" s="5" t="inlineStr">
        <is>
          <t>329 mitigation actions registered</t>
        </is>
      </c>
      <c r="J7" s="1" t="n"/>
    </row>
    <row r="8">
      <c r="A8" s="118" t="n"/>
      <c r="B8" s="118" t="n"/>
      <c r="C8" s="118" t="n"/>
      <c r="D8" s="118" t="n"/>
      <c r="E8" s="118" t="n"/>
      <c r="F8" s="1" t="inlineStr">
        <is>
          <t>Capacity Training</t>
        </is>
      </c>
      <c r="G8" s="1" t="inlineStr">
        <is>
          <t>#people being involved in capacity building and policy dialogue</t>
        </is>
      </c>
      <c r="H8" s="5" t="inlineStr">
        <is>
          <t>0</t>
        </is>
      </c>
      <c r="I8" s="5" t="inlineStr">
        <is>
          <t>350 people involved</t>
        </is>
      </c>
      <c r="J8" s="1" t="n"/>
    </row>
    <row r="9" ht="116.1" customHeight="1">
      <c r="A9" s="4" t="n">
        <v>6333</v>
      </c>
      <c r="B9" s="4" t="inlineStr">
        <is>
          <t>Electric Vehicles in Indonesia (ENTREV)</t>
        </is>
      </c>
      <c r="C9" s="4" t="inlineStr">
        <is>
          <t>PIMS+</t>
        </is>
      </c>
      <c r="D9" s="4" t="n">
        <v>1816500</v>
      </c>
      <c r="E9" s="4" t="inlineStr">
        <is>
          <t>GEF</t>
        </is>
      </c>
      <c r="F9" s="1" t="inlineStr">
        <is>
          <t>Other</t>
        </is>
      </c>
      <c r="G9" s="1" t="inlineStr">
        <is>
          <t>Number of direct project beneficiaries disaggregated by gender (individual people) [GEF core indicator]</t>
        </is>
      </c>
      <c r="H9" s="1" t="inlineStr">
        <is>
          <t>N/A</t>
        </is>
      </c>
      <c r="I9" s="1" t="inlineStr">
        <is>
          <t xml:space="preserve">"MT: About 3⁄4 of EoP target (241,000 of which 66,000 women)
EoP: Total of 321,612 (of which 87,851 women):
318,186 passengers, 3,246 BSS and CS staff, 180 trained technicians"
</t>
        </is>
      </c>
      <c r="J9" s="1" t="n"/>
    </row>
    <row r="10" ht="87" customHeight="1">
      <c r="A10" s="114" t="n">
        <v>5721</v>
      </c>
      <c r="B10" s="114" t="inlineStr">
        <is>
          <t>ADLIGHT</t>
        </is>
      </c>
      <c r="C10" s="114" t="inlineStr">
        <is>
          <t>PIMS+</t>
        </is>
      </c>
      <c r="D10" s="114" t="n">
        <v>2633372</v>
      </c>
      <c r="E10" s="114" t="inlineStr">
        <is>
          <t>GEF</t>
        </is>
      </c>
      <c r="F10" s="1" t="inlineStr">
        <is>
          <t>Medium Enterprises</t>
        </is>
      </c>
      <c r="G10" s="1" t="inlineStr">
        <is>
          <t xml:space="preserve">
# Number of women and men participating in capacity building trainings throughout the project; 
</t>
        </is>
      </c>
      <c r="H10" s="1" t="inlineStr">
        <is>
          <t xml:space="preserve">#30/70;
</t>
        </is>
      </c>
      <c r="I10" s="1" t="inlineStr">
        <is>
          <t xml:space="preserve">#43/82;
</t>
        </is>
      </c>
      <c r="J10" s="1" t="n"/>
    </row>
    <row r="11" ht="29.1" customHeight="1">
      <c r="A11" s="118" t="n"/>
      <c r="B11" s="118" t="n"/>
      <c r="C11" s="118" t="n"/>
      <c r="D11" s="118" t="n"/>
      <c r="E11" s="118" t="n"/>
      <c r="F11" s="1" t="inlineStr">
        <is>
          <t>Medium Enterprises</t>
        </is>
      </c>
      <c r="G11" s="1" t="inlineStr">
        <is>
          <t>#Cumulative number of lighting manufacturers who received technical assistance to upgrade production facilities;</t>
        </is>
      </c>
      <c r="H11" s="1" t="inlineStr">
        <is>
          <t>#6 manufacturers (1 for each association)</t>
        </is>
      </c>
      <c r="I11" s="1" t="inlineStr">
        <is>
          <t>#10 manufacturers received technical assistance to upgrade production facilities;</t>
        </is>
      </c>
      <c r="J11" s="1" t="n"/>
    </row>
    <row r="12" ht="43.5" customHeight="1">
      <c r="A12" s="4" t="n">
        <v>4673</v>
      </c>
      <c r="B12" s="4" t="inlineStr">
        <is>
          <t>RE Market Transformation (NAMA)</t>
        </is>
      </c>
      <c r="C12" s="4" t="inlineStr">
        <is>
          <t>PIMS+</t>
        </is>
      </c>
      <c r="D12" s="4" t="n">
        <v>8025000</v>
      </c>
      <c r="E12" s="4" t="inlineStr">
        <is>
          <t>GEF</t>
        </is>
      </c>
      <c r="F12" s="1" t="inlineStr">
        <is>
          <t>Electricity Access</t>
        </is>
      </c>
      <c r="G12" s="1" t="inlineStr">
        <is>
          <t>Cumulative number of additional households (from baseline) having access to electricity in pilot provinces</t>
        </is>
      </c>
      <c r="H12" s="5" t="inlineStr">
        <is>
          <t>80000</t>
        </is>
      </c>
      <c r="I12" s="5" t="inlineStr">
        <is>
          <t>320000</t>
        </is>
      </c>
      <c r="J12" s="1" t="inlineStr">
        <is>
          <t>Achievement 327,667</t>
        </is>
      </c>
    </row>
    <row r="15">
      <c r="A15" s="6" t="n"/>
    </row>
  </sheetData>
  <mergeCells count="15">
    <mergeCell ref="E10:E11"/>
    <mergeCell ref="D10:D11"/>
    <mergeCell ref="B2:B5"/>
    <mergeCell ref="A2:A5"/>
    <mergeCell ref="C2:C5"/>
    <mergeCell ref="A10:A11"/>
    <mergeCell ref="E2:E5"/>
    <mergeCell ref="D2:D5"/>
    <mergeCell ref="C10:C11"/>
    <mergeCell ref="B10:B11"/>
    <mergeCell ref="C6:C8"/>
    <mergeCell ref="A6:A8"/>
    <mergeCell ref="D6:D8"/>
    <mergeCell ref="B6:B8"/>
    <mergeCell ref="E6:E8"/>
  </mergeCells>
  <hyperlinks>
    <hyperlink xmlns:r="http://schemas.openxmlformats.org/officeDocument/2006/relationships" ref="C2" r:id="rId1"/>
    <hyperlink xmlns:r="http://schemas.openxmlformats.org/officeDocument/2006/relationships" ref="C6" r:id="rId2"/>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A16" workbookViewId="0">
      <pane ySplit="1" topLeftCell="A2" activePane="bottomLeft" state="frozen"/>
      <selection pane="bottomLeft" activeCell="A22" sqref="A22"/>
    </sheetView>
  </sheetViews>
  <sheetFormatPr baseColWidth="8" defaultRowHeight="14.45"/>
  <cols>
    <col width="36" customWidth="1" min="1" max="2"/>
    <col width="110" customWidth="1" min="2" max="2"/>
  </cols>
  <sheetData>
    <row r="1">
      <c r="A1" s="119" t="inlineStr">
        <is>
          <t>Beneficiary Category</t>
        </is>
      </c>
      <c r="B1" s="119" t="inlineStr">
        <is>
          <t>Indicator</t>
        </is>
      </c>
    </row>
    <row r="2" ht="43.5" customHeight="1">
      <c r="A2" s="35" t="inlineStr">
        <is>
          <t>Electricity Access</t>
        </is>
      </c>
      <c r="B2" s="35" t="inlineStr">
        <is>
          <t>Number of people, disaggregated by sex, who gain access to clean electricity (direct access to electricity, lighting, cooling, etc.).</t>
        </is>
      </c>
    </row>
    <row r="3">
      <c r="A3" s="35" t="inlineStr">
        <is>
          <t>Energy (MW added)</t>
        </is>
      </c>
      <c r="B3" s="35" t="inlineStr">
        <is>
          <t>Installed renewable or clean-energy power capacity added, in MW.</t>
        </is>
      </c>
    </row>
    <row r="4" ht="29.1" customHeight="1">
      <c r="A4" s="35" t="inlineStr">
        <is>
          <t>Energy Storage (MW)</t>
        </is>
      </c>
      <c r="B4" s="35" t="inlineStr">
        <is>
          <t>Installed energy storage power capacity added, in MW.</t>
        </is>
      </c>
    </row>
    <row r="5" ht="29.1" customHeight="1">
      <c r="A5" s="35" t="inlineStr">
        <is>
          <t>Clean Cooking</t>
        </is>
      </c>
      <c r="B5" s="35" t="inlineStr">
        <is>
          <t>Number of people who gain access to clean cooking (direct access to clean cook stoves, clean fuels, biomass, etc.).</t>
        </is>
      </c>
    </row>
    <row r="6" ht="87" customHeight="1">
      <c r="A6" s="35" t="inlineStr">
        <is>
          <t>Clean Heating</t>
        </is>
      </c>
      <c r="B6" s="35" t="inlineStr">
        <is>
          <t>Number of people who gain access to clean heating (direct access to clean electric heaters, clean fuels, etc.).</t>
        </is>
      </c>
    </row>
    <row r="7" ht="43.5" customHeight="1">
      <c r="A7" s="35" t="inlineStr">
        <is>
          <t>Agriculture and Food System</t>
        </is>
      </c>
      <c r="B7" s="35" t="inlineStr">
        <is>
          <t>Number of people who gain access to clean, affordable, and sustainable energy for agricultural and food-system activities.</t>
        </is>
      </c>
    </row>
    <row r="8" ht="43.5" customHeight="1">
      <c r="A8" s="35" t="inlineStr">
        <is>
          <t>Health Services</t>
        </is>
      </c>
      <c r="B8" s="35" t="inlineStr">
        <is>
          <t>Number of people who gain access to health care facilities through clean energy systems.</t>
        </is>
      </c>
    </row>
    <row r="9" ht="43.5" customHeight="1">
      <c r="A9" s="35" t="inlineStr">
        <is>
          <t>Water Services</t>
        </is>
      </c>
      <c r="B9" s="35" t="inlineStr">
        <is>
          <t>Number of people who gain access to water services through clean energy systems.</t>
        </is>
      </c>
    </row>
    <row r="10" ht="29.1" customHeight="1">
      <c r="A10" s="35" t="inlineStr">
        <is>
          <t>Education Services</t>
        </is>
      </c>
      <c r="B10" s="35" t="inlineStr">
        <is>
          <t>Number of people who gain access to education services through clean energy systems, including students and teachers.</t>
        </is>
      </c>
    </row>
    <row r="11" ht="29.1" customHeight="1">
      <c r="A11" s="35" t="inlineStr">
        <is>
          <t>Transportation and E-mobility Services</t>
        </is>
      </c>
      <c r="B11" s="35" t="inlineStr">
        <is>
          <t>Number of people served or energy saved from transport and e-mobility interventions, such as electric vehicles or charging stations.</t>
        </is>
      </c>
    </row>
    <row r="12" ht="43.5" customHeight="1">
      <c r="A12" s="35" t="inlineStr">
        <is>
          <t>Energy Efficiency Services</t>
        </is>
      </c>
      <c r="B12" s="35" t="inlineStr">
        <is>
          <t>Energy saved from energy-efficiency interventions, such as building or industrial efficiency.</t>
        </is>
      </c>
    </row>
    <row r="13" ht="29.1" customHeight="1">
      <c r="A13" s="35" t="inlineStr">
        <is>
          <t>Energy Infrastructure Services</t>
        </is>
      </c>
      <c r="B13" s="35" t="inlineStr">
        <is>
          <t>Number of people benefiting from energy infrastructure interventions, such as streetlights, transmission, and distribution lines.</t>
        </is>
      </c>
    </row>
    <row r="14">
      <c r="A14" s="35" t="inlineStr">
        <is>
          <t>Other Energy Services</t>
        </is>
      </c>
      <c r="B14" s="35" t="inlineStr">
        <is>
          <t>Access to other energy services not captured by the categories above.</t>
        </is>
      </c>
    </row>
    <row r="15" ht="29.1" customHeight="1">
      <c r="A15" s="35" t="inlineStr">
        <is>
          <t>Financing support</t>
        </is>
      </c>
      <c r="B15" s="35" t="inlineStr">
        <is>
          <t>Support for the development of the energy market ecosystem.</t>
        </is>
      </c>
    </row>
    <row r="16" ht="29.1" customHeight="1">
      <c r="A16" s="35" t="inlineStr">
        <is>
          <t>Medium Enterprises</t>
        </is>
      </c>
      <c r="B16" s="35" t="inlineStr">
        <is>
          <t>Support for the development of medium enterprises in the energy transition market.</t>
        </is>
      </c>
    </row>
    <row r="17" ht="29.1" customHeight="1">
      <c r="A17" s="35" t="inlineStr">
        <is>
          <t>Small Enterprises</t>
        </is>
      </c>
      <c r="B17" s="35" t="inlineStr">
        <is>
          <t>Support for the development of small enterprises in the energy transition market.</t>
        </is>
      </c>
    </row>
    <row r="18" ht="29.1" customHeight="1">
      <c r="A18" s="35" t="inlineStr">
        <is>
          <t>Capacity Building Training</t>
        </is>
      </c>
      <c r="B18" s="35" t="inlineStr">
        <is>
          <t>Number of people benefiting from training on energy business, energy finance, or related implementation capacity.</t>
        </is>
      </c>
    </row>
    <row r="19" ht="72.59999999999999" customHeight="1">
      <c r="A19" s="35" t="inlineStr">
        <is>
          <t>Entrepreneurship Training</t>
        </is>
      </c>
      <c r="B19" s="35" t="inlineStr">
        <is>
          <t>Training for enterprises on the energy business, assumed to result in direct beneficiaries.</t>
        </is>
      </c>
    </row>
    <row r="20" ht="29.1" customHeight="1">
      <c r="A20" s="35" t="inlineStr">
        <is>
          <t>Market Intervention</t>
        </is>
      </c>
      <c r="B20" s="35" t="inlineStr">
        <is>
          <t>Volume of investment leveraged or barriers removed for clean, reliable, affordable, and sustainable energy solutions.</t>
        </is>
      </c>
    </row>
    <row r="21" ht="43.5" customHeight="1">
      <c r="A21" s="35" t="inlineStr">
        <is>
          <t>Campaign Participant</t>
        </is>
      </c>
      <c r="B21" s="35" t="inlineStr">
        <is>
          <t>Individuals who participate in advocacy or awareness campaigns on energy.</t>
        </is>
      </c>
    </row>
    <row r="22" ht="29.1" customHeight="1">
      <c r="A22" s="35" t="inlineStr">
        <is>
          <t>Policy or Regulatory Framework</t>
        </is>
      </c>
      <c r="B22" s="35" t="inlineStr">
        <is>
          <t>Policies, regulations, strategies, plans, or frameworks developed, approved, implemented, or strengthened.</t>
        </is>
      </c>
    </row>
    <row r="23">
      <c r="A23" s="35" t="inlineStr">
        <is>
          <t>GHG Emissions Reduction</t>
        </is>
      </c>
      <c r="B23" s="35" t="inlineStr">
        <is>
          <t>Greenhouse gas emissions reduced or mitigated, in tCO2e.</t>
        </is>
      </c>
    </row>
    <row r="24">
      <c r="A24" s="35" t="inlineStr">
        <is>
          <t>Other</t>
        </is>
      </c>
      <c r="B24" s="35"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2026-06-10T12:20:15Z</dcterms:modified>
  <cp:lastModifiedBy>Benjamin Keller</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