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417"/>
  <workbookPr defaultThemeVersion="124226"/>
  <mc:AlternateContent xmlns:mc="http://schemas.openxmlformats.org/markup-compatibility/2006">
    <mc:Choice Requires="x15">
      <x15ac:absPath xmlns:x15ac="http://schemas.microsoft.com/office/spreadsheetml/2010/11/ac" url="/Users/ben/Documents/UNDP/Energy/CO Validation/"/>
    </mc:Choice>
  </mc:AlternateContent>
  <xr:revisionPtr revIDLastSave="162" documentId="13_ncr:1_{A8F3AF16-419A-FB44-A881-664ABD8391E6}" xr6:coauthVersionLast="47" xr6:coauthVersionMax="47" xr10:uidLastSave="{62CEC554-D49D-4A21-A40B-5FAAD5BC6611}"/>
  <bookViews>
    <workbookView xWindow="240" yWindow="740" windowWidth="16100" windowHeight="9660" xr2:uid="{00000000-000D-0000-FFFF-FFFF00000000}"/>
  </bookViews>
  <sheets>
    <sheet name="Projects (2)" sheetId="3" r:id="rId1"/>
    <sheet name="Projects" sheetId="1" r:id="rId2"/>
    <sheet name="Beneficiary Categories" sheetId="2" r:id="rId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<sst xmlns="http://schemas.openxmlformats.org/spreadsheetml/2006/main" count="174" uniqueCount="104">
  <si>
    <t>Project ID</t>
  </si>
  <si>
    <t>Title</t>
  </si>
  <si>
    <t>Link</t>
  </si>
  <si>
    <t>Budget</t>
  </si>
  <si>
    <t>Beneficiary Category</t>
  </si>
  <si>
    <t>Indicator</t>
  </si>
  <si>
    <t>Baseline</t>
  </si>
  <si>
    <t>Target</t>
  </si>
  <si>
    <t>Notes</t>
  </si>
  <si>
    <t>Donors</t>
  </si>
  <si>
    <t>Gender (% female)</t>
  </si>
  <si>
    <t>VF or Non-VF</t>
  </si>
  <si>
    <t>Tag</t>
  </si>
  <si>
    <t>SEH Taxonomy</t>
  </si>
  <si>
    <t>RISE Taxonomy</t>
  </si>
  <si>
    <t>Flagship</t>
  </si>
  <si>
    <t>Indirect Category</t>
  </si>
  <si>
    <t>Indirect Taxonomy</t>
  </si>
  <si>
    <t>Technology</t>
  </si>
  <si>
    <t>Policy or Regulatory Framework</t>
  </si>
  <si>
    <t>Policy Population</t>
  </si>
  <si>
    <t>Sudan national child project - Africa Minigrids Program (AMP)</t>
  </si>
  <si>
    <t>PIMS+</t>
  </si>
  <si>
    <t>Electricity Access</t>
  </si>
  <si>
    <t xml:space="preserve">Number of households supported to access clean energy </t>
  </si>
  <si>
    <t xml:space="preserve">the project will install about 5MW solar ssyem in 3 towns </t>
  </si>
  <si>
    <t>GEF</t>
  </si>
  <si>
    <t>VF</t>
  </si>
  <si>
    <t>Finance</t>
  </si>
  <si>
    <t>Close the gap on energy access</t>
  </si>
  <si>
    <t>AMP</t>
  </si>
  <si>
    <t>Financing Model</t>
  </si>
  <si>
    <t>Solar</t>
  </si>
  <si>
    <t>Community</t>
  </si>
  <si>
    <t>Efficient Appliances UNEP Global PFD</t>
  </si>
  <si>
    <t>Energy Efficiency Services</t>
  </si>
  <si>
    <t>Total amount of electricity saved as a result of introducing more energy efficient air conditioning units and lamps/luminaires.</t>
  </si>
  <si>
    <t>1000000 HH</t>
  </si>
  <si>
    <t>the project targted 1M households to be using more efficeint lghting and ACs</t>
  </si>
  <si>
    <t>Efficiency</t>
  </si>
  <si>
    <t>Accelerating just energy transition</t>
  </si>
  <si>
    <t>Renewable Energy</t>
  </si>
  <si>
    <t>Action Opportunities</t>
  </si>
  <si>
    <t>Government Capacity-Building</t>
  </si>
  <si>
    <t>Energy Efficiency</t>
  </si>
  <si>
    <t>Other</t>
  </si>
  <si>
    <t>National</t>
  </si>
  <si>
    <t>Solar for Agriculture Development in Sudan</t>
  </si>
  <si>
    <t>http://open.undp.org/projects/00106169</t>
  </si>
  <si>
    <t xml:space="preserve">Number of farmers gain access to solar pumps </t>
  </si>
  <si>
    <t xml:space="preserve">the project installed 350 solar pumps and a adiitional 100 to be installed by C0-fiannce through bank lending. </t>
  </si>
  <si>
    <t>KOICA</t>
  </si>
  <si>
    <t>Non-VF</t>
  </si>
  <si>
    <t>National Strategy</t>
  </si>
  <si>
    <t>Solar for Health Project</t>
  </si>
  <si>
    <t>http://open.undp.org/projects/00102733</t>
  </si>
  <si>
    <t>number of health facilities supported by solar power systems</t>
  </si>
  <si>
    <t>project is still uder formulation process</t>
  </si>
  <si>
    <t>GCF</t>
  </si>
  <si>
    <t>Health</t>
  </si>
  <si>
    <t>Solar4Health</t>
  </si>
  <si>
    <t>Sudan-Scaling Solar Applications for Agricultural Use (SSAAU)</t>
  </si>
  <si>
    <t xml:space="preserve">the project is within ISA global initiative to scale solar pump targetining installation of 272,579 solar pumps in 10 counteries. Starts with piloting25 to 50 pumps in each of the 10 selcted counteries </t>
  </si>
  <si>
    <t>IBSA</t>
  </si>
  <si>
    <t>Scale up energy finance</t>
  </si>
  <si>
    <t>Regional</t>
  </si>
  <si>
    <t>Number of people, disaggregated by sex, who gain access to clean electricity (direct access to electricity, lighting, cooling, etc.) </t>
  </si>
  <si>
    <t>Energy (MW added)</t>
  </si>
  <si>
    <t>Number of MW installed capacity</t>
  </si>
  <si>
    <t>Clean Cooking</t>
  </si>
  <si>
    <t>Number of people who gain access to clean cooking (direct access to clean cook stoves, clean fuels, biomass, etc.).</t>
  </si>
  <si>
    <t>Clean Heating</t>
  </si>
  <si>
    <t>Number of people who gain access to clean heating (direct access to clean electric heaters, clean fuels, etc.).</t>
  </si>
  <si>
    <t>Agriculture and Food System</t>
  </si>
  <si>
    <t>Number of people who gain access to clean, affordable, and sustainable electricity for agricultural and food system activities (direct access to power machines for crop, processing, milling, grinding, de-husking, pressing, canning, sealing and packaging electricity, heating, cooling, solar water pumping for irrigation etc.) </t>
  </si>
  <si>
    <t>Health Services</t>
  </si>
  <si>
    <t>Number of people who gain access to health care facilities (direct access to electricity and heating systems for clinics, hospitals, health centers etc.) </t>
  </si>
  <si>
    <t>Water Services</t>
  </si>
  <si>
    <t>Number of people who gain access to water services (powering water pumps, water distributions, waste management, etc.).  </t>
  </si>
  <si>
    <t>Education Services</t>
  </si>
  <si>
    <t>Number of people who gain access to education services through clean energy systems (including students, teachers, etc.) </t>
  </si>
  <si>
    <t>Transportation and E-mobility Services</t>
  </si>
  <si>
    <t xml:space="preserve">Number of MJ saved from transport and e-mobility interventions (e.g., electric vehicles, charging stations, etc.)  </t>
  </si>
  <si>
    <t xml:space="preserve">Number of MJ saved from energy efficiency interventions (e.g., building efficiency, industries, etc.)  </t>
  </si>
  <si>
    <t>Energy Infrastructure Services</t>
  </si>
  <si>
    <t>Number of people who benefits from energy infrastructure interventions (streetlight, transmission, and distribution lines, etc.) </t>
  </si>
  <si>
    <t>Other Energy Services</t>
  </si>
  <si>
    <t>Access to other service (electric vehicles, industries efficiency etc.)</t>
  </si>
  <si>
    <t xml:space="preserve">Financing support </t>
  </si>
  <si>
    <t xml:space="preserve">Support for the development of market ecosystem </t>
  </si>
  <si>
    <t>Medium Enterprises</t>
  </si>
  <si>
    <t>Support for the development of medium enterprises in the energy transition market</t>
  </si>
  <si>
    <t>Small Enterprises</t>
  </si>
  <si>
    <t>Support for the development of small enterprises in the energy transition market</t>
  </si>
  <si>
    <t>Capacity Building Training</t>
  </si>
  <si>
    <t>Number of people who benefits from training for enterprises on the energy business and energy finance. </t>
  </si>
  <si>
    <t>Entrepreneurship Training</t>
  </si>
  <si>
    <t>Training for enterprises on the energy business is assumed to result in at least 100 direct beneficiaries</t>
  </si>
  <si>
    <t>Market Intervention</t>
  </si>
  <si>
    <t xml:space="preserve">Volume of investment (US dollars) leverage removing barriers to private and public investment in clean, reliable, affordable, and sustainable energy solutions and energy efficiency for social infrastructure, productive use of electricity and other services </t>
  </si>
  <si>
    <t>Campaign Participant</t>
  </si>
  <si>
    <t>Individuals who participate in advocacy and campaign on energy</t>
  </si>
  <si>
    <t xml:space="preserve">Number of people supported by policy and regulatory framework development on clean, affordable, and sustainable energy </t>
  </si>
  <si>
    <t>Any other type of beneficiary (please specify justification in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</si>
</sst>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Calibri"/>
      <family val="2"/>
      <scheme val="minor"/>
    </font>
    <font>
      <sz val="11"/>
      <color theme="1"/>
      <name val="Calibri"/>
      <scheme val="minor"/>
    </font>
    <font>
      <b/>
      <sz val="11"/>
      <color theme="1"/>
      <name val="Calibri"/>
      <family val="2"/>
      <scheme val="minor"/>
    </font>
    <font>
      <u/>
      <sz val="11"/>
      <color theme="10"/>
      <name val="Calibri"/>
      <family val="2"/>
      <scheme val="minor"/>
    </font>
    <font>
      <sz val="11"/>
      <color rgb="FFFF0000"/>
      <name val="Calibri"/>
      <family val="2"/>
      <scheme val="minor"/>
    </font>
    <font>
      <b/>
      <sz val="11"/>
      <color theme="1"/>
      <name val="Calibri"/>
      <scheme val="minor"/>
    </font>
    <font>
      <sz val="11"/>
      <color rgb="FF000000"/>
      <name val="Calibri"/>
      <scheme val="minor"/>
    </font>
    <font>
      <sz val="11"/>
      <color rgb="FF000000"/>
      <name val="Calibri"/>
      <family val="2"/>
    </font>
  </fonts>
  <fills count="4">
    <fill>
      <patternFill patternType="none"/>
    </fill>
    <fill>
      <patternFill patternType="gray125"/>
    </fill>
    <fill>
      <patternFill patternType="solid">
        <fgColor rgb="FFFFE497"/>
        <bgColor indexed="64"/>
      </patternFill>
    </fill>
    <fill>
      <patternFill patternType="solid">
        <fgColor rgb="FFFFE497"/>
        <bgColor rgb="FF000000"/>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s>
  <cellStyleXfs count="2">
    <xf numFmtId="0" fontId="0" fillId="0" borderId="0"/>
    <xf numFmtId="0" fontId="3" fillId="0" borderId="0" applyNumberFormat="0" applyFill="0" applyBorder="0" applyAlignment="0" applyProtection="0"/>
  </cellStyleXfs>
  <cellXfs count="32">
    <xf numFmtId="0" fontId="0" fillId="0" borderId="0" xfId="0"/>
    <xf numFmtId="0" fontId="5" fillId="0" borderId="1" xfId="0" applyFont="1" applyBorder="1" applyAlignment="1">
      <alignment horizontal="center" vertical="top" wrapText="1"/>
    </xf>
    <xf numFmtId="0" fontId="6" fillId="0" borderId="1" xfId="0" applyFont="1" applyBorder="1" applyAlignment="1">
      <alignment wrapText="1"/>
    </xf>
    <xf numFmtId="0" fontId="2" fillId="0" borderId="1" xfId="0" applyFont="1" applyBorder="1" applyAlignment="1">
      <alignment horizontal="center"/>
    </xf>
    <xf numFmtId="0" fontId="2" fillId="0" borderId="2" xfId="0" applyFont="1" applyBorder="1" applyAlignment="1">
      <alignment horizontal="center"/>
    </xf>
    <xf numFmtId="0" fontId="2" fillId="0" borderId="3" xfId="0" applyFont="1" applyBorder="1" applyAlignment="1">
      <alignment horizontal="center"/>
    </xf>
    <xf numFmtId="0" fontId="2" fillId="0" borderId="2" xfId="0" applyFont="1" applyBorder="1"/>
    <xf numFmtId="0" fontId="0" fillId="0" borderId="1" xfId="0" applyBorder="1" applyAlignment="1">
      <alignment horizontal="center" vertical="center"/>
    </xf>
    <xf numFmtId="0" fontId="0" fillId="0" borderId="4" xfId="0" applyBorder="1" applyAlignment="1">
      <alignment horizontal="center" vertical="center" wrapText="1"/>
    </xf>
    <xf numFmtId="0" fontId="0" fillId="0" borderId="1" xfId="0" applyBorder="1" applyAlignment="1">
      <alignment vertical="center"/>
    </xf>
    <xf numFmtId="0" fontId="2" fillId="0" borderId="1" xfId="0" applyFont="1" applyBorder="1" applyAlignment="1">
      <alignment horizontal="center" vertical="top"/>
    </xf>
    <xf numFmtId="0" fontId="2" fillId="0" borderId="1" xfId="0" applyFont="1" applyBorder="1"/>
    <xf numFmtId="0" fontId="0" fillId="0" borderId="1" xfId="0" applyBorder="1"/>
    <xf numFmtId="0" fontId="0" fillId="2" borderId="1" xfId="0" applyFill="1" applyBorder="1"/>
    <xf numFmtId="0" fontId="4" fillId="0" borderId="1" xfId="0" applyFont="1" applyBorder="1"/>
    <xf numFmtId="0" fontId="3" fillId="0" borderId="1" xfId="1" applyBorder="1" applyAlignment="1" applyProtection="1"/>
    <xf numFmtId="0" fontId="2" fillId="0" borderId="4" xfId="0" applyFont="1" applyBorder="1" applyAlignment="1">
      <alignment horizontal="center"/>
    </xf>
    <xf numFmtId="0" fontId="0" fillId="0" borderId="5" xfId="0" applyBorder="1" applyAlignment="1">
      <alignment horizontal="center" vertical="center"/>
    </xf>
    <xf numFmtId="3" fontId="0" fillId="0" borderId="0" xfId="0" applyNumberFormat="1"/>
    <xf numFmtId="0" fontId="0" fillId="2" borderId="1" xfId="0" applyFill="1" applyBorder="1" applyAlignment="1">
      <alignment wrapText="1"/>
    </xf>
    <xf numFmtId="9" fontId="4" fillId="0" borderId="1" xfId="0" applyNumberFormat="1" applyFont="1" applyBorder="1"/>
    <xf numFmtId="9" fontId="4" fillId="0" borderId="1" xfId="0" applyNumberFormat="1" applyFont="1" applyBorder="1" applyAlignment="1">
      <alignment wrapText="1"/>
    </xf>
    <xf numFmtId="9" fontId="0" fillId="0" borderId="1" xfId="0" applyNumberFormat="1" applyBorder="1"/>
    <xf numFmtId="9" fontId="0" fillId="0" borderId="1" xfId="0" applyNumberFormat="1" applyBorder="1" applyAlignment="1">
      <alignment wrapText="1"/>
    </xf>
    <xf numFmtId="9" fontId="0" fillId="0" borderId="0" xfId="0" applyNumberFormat="1"/>
    <xf numFmtId="0" fontId="0" fillId="0" borderId="1" xfId="0" applyBorder="1" applyAlignment="1">
      <alignment horizontal="center" vertical="center" wrapText="1"/>
    </xf>
    <xf numFmtId="0" fontId="7" fillId="3" borderId="1" xfId="0" applyFont="1" applyFill="1" applyBorder="1"/>
    <xf numFmtId="0" fontId="7" fillId="3" borderId="4" xfId="0" applyFont="1" applyFill="1" applyBorder="1" applyAlignment="1">
      <alignment wrapText="1"/>
    </xf>
    <xf numFmtId="0" fontId="7" fillId="3" borderId="4" xfId="0" applyFont="1" applyFill="1" applyBorder="1"/>
    <xf numFmtId="0" fontId="1" fillId="0" borderId="1" xfId="0" applyFont="1" applyBorder="1" applyAlignment="1">
      <alignment horizontal="left" vertical="center" wrapText="1"/>
    </xf>
    <xf numFmtId="0" fontId="1" fillId="0" borderId="1" xfId="0" applyFont="1" applyBorder="1" applyAlignment="1">
      <alignment wrapText="1"/>
    </xf>
    <xf numFmtId="0" fontId="1" fillId="0" borderId="1" xfId="0" applyFont="1" applyBorder="1" applyAlignment="1">
      <alignment vertical="center"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open.undp.org/projects/00102733" TargetMode="External"/><Relationship Id="rId1" Type="http://schemas.openxmlformats.org/officeDocument/2006/relationships/hyperlink" Target="http://open.undp.org/projects/00106169"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http://open.undp.org/projects/00102733" TargetMode="External"/><Relationship Id="rId1" Type="http://schemas.openxmlformats.org/officeDocument/2006/relationships/hyperlink" Target="http://open.undp.org/projects/0010616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8A3FB-BFAE-4586-8F4B-3E6A6FD3731C}">
  <dimension ref="A1:U6"/>
  <sheetViews>
    <sheetView tabSelected="1" topLeftCell="C1" workbookViewId="0">
      <selection activeCell="E4" sqref="E4"/>
    </sheetView>
  </sheetViews>
  <sheetFormatPr defaultColWidth="8.85546875" defaultRowHeight="15"/>
  <cols>
    <col min="2" max="2" width="65.42578125" customWidth="1"/>
    <col min="3" max="3" width="39.5703125" customWidth="1"/>
    <col min="4" max="4" width="9.140625"/>
    <col min="5" max="6" width="20.7109375" customWidth="1"/>
    <col min="7" max="8" width="12.7109375" customWidth="1"/>
    <col min="9" max="9" width="32.7109375" customWidth="1"/>
    <col min="10" max="10" width="9.140625"/>
    <col min="11" max="11" width="18" bestFit="1" customWidth="1"/>
    <col min="12" max="12" width="12.85546875" bestFit="1" customWidth="1"/>
    <col min="13" max="13" width="9.140625"/>
    <col min="14" max="14" width="14.42578125" bestFit="1" customWidth="1"/>
    <col min="15" max="15" width="14.85546875" bestFit="1" customWidth="1"/>
    <col min="16" max="16" width="9.140625"/>
    <col min="17" max="17" width="16.5703125" bestFit="1" customWidth="1"/>
    <col min="18" max="18" width="18.140625" bestFit="1" customWidth="1"/>
    <col min="19" max="19" width="11.28515625" bestFit="1" customWidth="1"/>
    <col min="20" max="20" width="30.28515625" bestFit="1" customWidth="1"/>
    <col min="21" max="21" width="16.7109375" bestFit="1" customWidth="1"/>
  </cols>
  <sheetData>
    <row r="1" spans="1:21">
      <c r="A1" s="10" t="s">
        <v>0</v>
      </c>
      <c r="B1" s="10" t="s">
        <v>1</v>
      </c>
      <c r="C1" s="10" t="s">
        <v>2</v>
      </c>
      <c r="D1" s="10" t="s">
        <v>3</v>
      </c>
      <c r="E1" s="10" t="s">
        <v>4</v>
      </c>
      <c r="F1" s="10" t="s">
        <v>5</v>
      </c>
      <c r="G1" s="10" t="s">
        <v>6</v>
      </c>
      <c r="H1" s="10" t="s">
        <v>7</v>
      </c>
      <c r="I1" s="10" t="s">
        <v>8</v>
      </c>
      <c r="J1" s="11" t="s">
        <v>9</v>
      </c>
      <c r="K1" s="11" t="s">
        <v>10</v>
      </c>
      <c r="L1" s="16" t="s">
        <v>11</v>
      </c>
      <c r="M1" s="4" t="s">
        <v>12</v>
      </c>
      <c r="N1" s="3" t="s">
        <v>13</v>
      </c>
      <c r="O1" s="3" t="s">
        <v>14</v>
      </c>
      <c r="P1" s="4" t="s">
        <v>15</v>
      </c>
      <c r="Q1" s="4" t="s">
        <v>16</v>
      </c>
      <c r="R1" s="5" t="s">
        <v>17</v>
      </c>
      <c r="S1" s="6" t="s">
        <v>18</v>
      </c>
      <c r="T1" s="5" t="s">
        <v>19</v>
      </c>
      <c r="U1" s="6" t="s">
        <v>20</v>
      </c>
    </row>
    <row r="2" spans="1:21" ht="45.75">
      <c r="A2" s="12">
        <v>6321</v>
      </c>
      <c r="B2" s="12" t="s">
        <v>21</v>
      </c>
      <c r="C2" s="12" t="s">
        <v>22</v>
      </c>
      <c r="D2" s="12">
        <v>2637246</v>
      </c>
      <c r="E2" s="13" t="s">
        <v>23</v>
      </c>
      <c r="F2" s="19" t="s">
        <v>24</v>
      </c>
      <c r="G2" s="13">
        <v>0</v>
      </c>
      <c r="H2" s="13">
        <v>144002</v>
      </c>
      <c r="I2" s="19" t="s">
        <v>25</v>
      </c>
      <c r="J2" s="12" t="s">
        <v>26</v>
      </c>
      <c r="K2" s="20">
        <v>0.5</v>
      </c>
      <c r="L2" s="17" t="s">
        <v>27</v>
      </c>
      <c r="M2" s="7" t="s">
        <v>28</v>
      </c>
      <c r="N2" s="8" t="s">
        <v>29</v>
      </c>
      <c r="O2" s="7" t="s">
        <v>23</v>
      </c>
      <c r="P2" s="7" t="s">
        <v>30</v>
      </c>
      <c r="Q2" s="7" t="s">
        <v>31</v>
      </c>
      <c r="R2" s="7" t="s">
        <v>23</v>
      </c>
      <c r="S2" s="9" t="s">
        <v>32</v>
      </c>
      <c r="T2" s="7" t="s">
        <v>33</v>
      </c>
      <c r="U2" s="9"/>
    </row>
    <row r="3" spans="1:21" ht="91.5">
      <c r="A3" s="12">
        <v>5674</v>
      </c>
      <c r="B3" s="12" t="s">
        <v>34</v>
      </c>
      <c r="C3" s="12" t="s">
        <v>22</v>
      </c>
      <c r="D3" s="12">
        <v>1770000</v>
      </c>
      <c r="E3" s="26" t="s">
        <v>35</v>
      </c>
      <c r="F3" s="27" t="s">
        <v>36</v>
      </c>
      <c r="G3" s="28">
        <v>0</v>
      </c>
      <c r="H3" s="28" t="s">
        <v>37</v>
      </c>
      <c r="I3" s="19" t="s">
        <v>38</v>
      </c>
      <c r="J3" s="12" t="s">
        <v>26</v>
      </c>
      <c r="K3" s="21">
        <v>0.35</v>
      </c>
      <c r="L3" s="17" t="s">
        <v>27</v>
      </c>
      <c r="M3" s="7" t="s">
        <v>39</v>
      </c>
      <c r="N3" s="8" t="s">
        <v>40</v>
      </c>
      <c r="O3" s="7" t="s">
        <v>41</v>
      </c>
      <c r="P3" s="25" t="s">
        <v>42</v>
      </c>
      <c r="Q3" s="25" t="s">
        <v>43</v>
      </c>
      <c r="R3" s="7" t="s">
        <v>44</v>
      </c>
      <c r="S3" s="9" t="s">
        <v>45</v>
      </c>
      <c r="T3" s="7" t="s">
        <v>46</v>
      </c>
      <c r="U3" s="9"/>
    </row>
    <row r="4" spans="1:21" ht="57.75" customHeight="1">
      <c r="A4" s="12">
        <v>106169</v>
      </c>
      <c r="B4" s="12" t="s">
        <v>47</v>
      </c>
      <c r="C4" s="15" t="s">
        <v>48</v>
      </c>
      <c r="D4" s="12">
        <v>9129111</v>
      </c>
      <c r="E4" s="13" t="s">
        <v>23</v>
      </c>
      <c r="F4" s="19" t="s">
        <v>49</v>
      </c>
      <c r="G4" s="13">
        <v>28</v>
      </c>
      <c r="H4" s="13">
        <v>450</v>
      </c>
      <c r="I4" s="19" t="s">
        <v>50</v>
      </c>
      <c r="J4" s="12" t="s">
        <v>51</v>
      </c>
      <c r="K4" s="23">
        <v>0.35</v>
      </c>
      <c r="L4" s="17" t="s">
        <v>52</v>
      </c>
      <c r="M4" s="7" t="s">
        <v>28</v>
      </c>
      <c r="N4" s="8" t="s">
        <v>29</v>
      </c>
      <c r="O4" s="7" t="s">
        <v>23</v>
      </c>
      <c r="P4" s="25" t="s">
        <v>42</v>
      </c>
      <c r="Q4" s="7" t="s">
        <v>53</v>
      </c>
      <c r="R4" s="7" t="s">
        <v>41</v>
      </c>
      <c r="S4" s="9" t="s">
        <v>32</v>
      </c>
      <c r="T4" s="7" t="s">
        <v>33</v>
      </c>
      <c r="U4" s="9"/>
    </row>
    <row r="5" spans="1:21" ht="45.75">
      <c r="A5" s="12">
        <v>102733</v>
      </c>
      <c r="B5" s="12" t="s">
        <v>54</v>
      </c>
      <c r="C5" s="15" t="s">
        <v>55</v>
      </c>
      <c r="D5" s="12">
        <v>676621</v>
      </c>
      <c r="E5" s="13" t="s">
        <v>23</v>
      </c>
      <c r="F5" s="19" t="s">
        <v>56</v>
      </c>
      <c r="G5" s="13"/>
      <c r="H5" s="13"/>
      <c r="I5" s="19" t="s">
        <v>57</v>
      </c>
      <c r="J5" s="12" t="s">
        <v>58</v>
      </c>
      <c r="K5" s="22">
        <v>0.5</v>
      </c>
      <c r="L5" s="17" t="s">
        <v>27</v>
      </c>
      <c r="M5" s="7" t="s">
        <v>59</v>
      </c>
      <c r="N5" s="8" t="s">
        <v>29</v>
      </c>
      <c r="O5" s="7" t="s">
        <v>23</v>
      </c>
      <c r="P5" s="25" t="s">
        <v>60</v>
      </c>
      <c r="Q5" s="7" t="s">
        <v>53</v>
      </c>
      <c r="R5" s="7" t="s">
        <v>41</v>
      </c>
      <c r="S5" s="9" t="s">
        <v>32</v>
      </c>
      <c r="T5" s="7" t="s">
        <v>46</v>
      </c>
      <c r="U5" s="9"/>
    </row>
    <row r="6" spans="1:21" ht="91.5">
      <c r="A6" s="12">
        <v>1000518</v>
      </c>
      <c r="B6" s="12" t="s">
        <v>61</v>
      </c>
      <c r="D6" s="18">
        <v>200000</v>
      </c>
      <c r="E6" s="13" t="s">
        <v>23</v>
      </c>
      <c r="F6" s="19" t="s">
        <v>49</v>
      </c>
      <c r="G6" s="13">
        <v>600</v>
      </c>
      <c r="H6" s="13">
        <v>650</v>
      </c>
      <c r="I6" s="19" t="s">
        <v>62</v>
      </c>
      <c r="J6" t="s">
        <v>63</v>
      </c>
      <c r="K6" s="24">
        <v>0.35</v>
      </c>
      <c r="L6" s="17" t="s">
        <v>52</v>
      </c>
      <c r="M6" s="7" t="s">
        <v>28</v>
      </c>
      <c r="N6" s="8" t="s">
        <v>64</v>
      </c>
      <c r="O6" s="7" t="s">
        <v>23</v>
      </c>
      <c r="P6" s="25" t="s">
        <v>42</v>
      </c>
      <c r="Q6" s="7" t="s">
        <v>31</v>
      </c>
      <c r="R6" s="7" t="s">
        <v>41</v>
      </c>
      <c r="S6" s="9" t="s">
        <v>32</v>
      </c>
      <c r="T6" s="7" t="s">
        <v>65</v>
      </c>
      <c r="U6" s="9"/>
    </row>
  </sheetData>
  <dataValidations count="9">
    <dataValidation type="list" allowBlank="1" showInputMessage="1" showErrorMessage="1" sqref="S2:S6" xr:uid="{8FE61C7E-0FBA-450A-BEFF-6B895B48FC37}">
      <formula1>"Solar, Wind, Bioenergy, Hydro, Geothermal, Waste, Some Sources, Other, Unknown"</formula1>
    </dataValidation>
    <dataValidation type="list" allowBlank="1" showInputMessage="1" showErrorMessage="1" sqref="R2:R6" xr:uid="{539244DD-CCF6-42FB-AACE-764B60C8E4BE}">
      <formula1>"Electricity Access, Energy Efficiency, Renewable Energy, Infrastructure,  Transport, Digital &amp; Data, Clean Cooking, Decarbonization, Hydrogen, Off-Grid, On-Grid, Research &amp; Innovation, Grant &amp; Investment"</formula1>
    </dataValidation>
    <dataValidation type="list" allowBlank="1" showInputMessage="1" showErrorMessage="1" sqref="L2:L6" xr:uid="{59DF2B03-5ECB-4BD9-BABF-79FFF54D333C}">
      <formula1>"Non-VF, VF"</formula1>
    </dataValidation>
    <dataValidation type="list" allowBlank="1" showInputMessage="1" showErrorMessage="1" sqref="P2:P6" xr:uid="{CB174992-5E36-47DF-A3B6-597485F5AFF5}">
      <formula1>"AMP, PUDC, Solar4Health, Action Opportunities, Italy UNDP Energy Partnership"</formula1>
    </dataValidation>
    <dataValidation type="list" allowBlank="1" showInputMessage="1" showErrorMessage="1" sqref="T2:T6" xr:uid="{923E2F16-DA59-452F-9F03-9B1C13E7A8B2}">
      <formula1>"National, Regional, City, Community"</formula1>
    </dataValidation>
    <dataValidation type="list" allowBlank="1" showInputMessage="1" showErrorMessage="1" sqref="M2:M6" xr:uid="{576E506F-8D3C-4704-B25B-0A4CA3A3BF06}">
      <formula1>"Finance, Gender, Efficiency, Just, Health"</formula1>
    </dataValidation>
    <dataValidation type="list" allowBlank="1" showInputMessage="1" showErrorMessage="1" sqref="O2:O6" xr:uid="{EF62BA4B-1836-4F49-98E8-A1468AE427C4}">
      <formula1>"Electricity Access, Energy Efficiency, Clean Cooking, Renewable Energy, Overall"</formula1>
    </dataValidation>
    <dataValidation type="list" allowBlank="1" showInputMessage="1" showErrorMessage="1" sqref="N2:N6" xr:uid="{762D316F-97E1-465E-B8C6-2F8D8E61EDCD}">
      <formula1>"Accelerating just energy transition, Close the gap on energy access, Scale up energy finance"</formula1>
    </dataValidation>
    <dataValidation type="list" allowBlank="1" showInputMessage="1" showErrorMessage="1" sqref="Q2:Q6" xr:uid="{51CDE0D0-A75C-49EB-BE86-229112CC1E53}">
      <formula1>"NDC Support, National Strategy, Legal Framework,Incentives and Support, Government Capacity-Building, Carbon Pricing and Monitoring, Financing Model, Business Model"</formula1>
    </dataValidation>
  </dataValidations>
  <hyperlinks>
    <hyperlink ref="C4" r:id="rId1" xr:uid="{B607759F-2EA1-4F07-9079-2AD9CEAFBB12}"/>
    <hyperlink ref="C5" r:id="rId2" xr:uid="{69B10A48-D089-4C89-912A-7C604E0B8414}"/>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9972FBD2-9D05-4A19-9867-03F3D24727BC}">
          <x14:formula1>
            <xm:f>'Beneficiary Categories'!$A$2:$A$22</xm:f>
          </x14:formula1>
          <xm:sqref>E2 E4:E5</xm:sqref>
        </x14:dataValidation>
        <x14:dataValidation type="list" allowBlank="1" showInputMessage="1" showErrorMessage="1" xr:uid="{11312548-F840-44B5-91A4-0056FAC09407}">
          <x14:formula1>
            <xm:f>'Beneficiary Categories'!$A$2:$A$16</xm:f>
          </x14:formula1>
          <xm:sqref>E6:E7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5"/>
  <sheetViews>
    <sheetView workbookViewId="0">
      <selection activeCell="A3" sqref="A3"/>
    </sheetView>
  </sheetViews>
  <sheetFormatPr defaultColWidth="8.85546875" defaultRowHeight="15"/>
  <cols>
    <col min="2" max="2" width="65.42578125" customWidth="1"/>
    <col min="3" max="3" width="81.7109375" customWidth="1"/>
    <col min="5" max="6" width="20.7109375" customWidth="1"/>
    <col min="7" max="8" width="12.7109375" customWidth="1"/>
    <col min="9" max="9" width="32.7109375" customWidth="1"/>
    <col min="11" max="11" width="18" bestFit="1" customWidth="1"/>
    <col min="12" max="12" width="12.85546875" bestFit="1" customWidth="1"/>
    <col min="14" max="14" width="14.42578125" bestFit="1" customWidth="1"/>
    <col min="15" max="15" width="14.85546875" bestFit="1" customWidth="1"/>
    <col min="17" max="17" width="16.5703125" bestFit="1" customWidth="1"/>
    <col min="18" max="18" width="18.140625" bestFit="1" customWidth="1"/>
    <col min="19" max="19" width="11.28515625" bestFit="1" customWidth="1"/>
    <col min="20" max="20" width="30.28515625" bestFit="1" customWidth="1"/>
    <col min="21" max="21" width="16.7109375" bestFit="1" customWidth="1"/>
  </cols>
  <sheetData>
    <row r="1" spans="1:21">
      <c r="A1" s="10" t="s">
        <v>0</v>
      </c>
      <c r="B1" s="10" t="s">
        <v>1</v>
      </c>
      <c r="C1" s="10" t="s">
        <v>2</v>
      </c>
      <c r="D1" s="10" t="s">
        <v>3</v>
      </c>
      <c r="E1" s="10" t="s">
        <v>4</v>
      </c>
      <c r="F1" s="10" t="s">
        <v>5</v>
      </c>
      <c r="G1" s="10" t="s">
        <v>6</v>
      </c>
      <c r="H1" s="10" t="s">
        <v>7</v>
      </c>
      <c r="I1" s="10" t="s">
        <v>8</v>
      </c>
      <c r="J1" s="11" t="s">
        <v>9</v>
      </c>
      <c r="K1" s="11" t="s">
        <v>10</v>
      </c>
      <c r="L1" s="16" t="s">
        <v>11</v>
      </c>
      <c r="M1" s="4" t="s">
        <v>12</v>
      </c>
      <c r="N1" s="3" t="s">
        <v>13</v>
      </c>
      <c r="O1" s="3" t="s">
        <v>14</v>
      </c>
      <c r="P1" s="4" t="s">
        <v>15</v>
      </c>
      <c r="Q1" s="4" t="s">
        <v>16</v>
      </c>
      <c r="R1" s="5" t="s">
        <v>17</v>
      </c>
      <c r="S1" s="6" t="s">
        <v>18</v>
      </c>
      <c r="T1" s="5" t="s">
        <v>19</v>
      </c>
      <c r="U1" s="6" t="s">
        <v>20</v>
      </c>
    </row>
    <row r="2" spans="1:21">
      <c r="A2" s="12">
        <v>6321</v>
      </c>
      <c r="B2" s="12" t="s">
        <v>21</v>
      </c>
      <c r="C2" s="12" t="s">
        <v>22</v>
      </c>
      <c r="D2" s="12">
        <v>2637246</v>
      </c>
      <c r="E2" s="13"/>
      <c r="F2" s="13"/>
      <c r="G2" s="13"/>
      <c r="H2" s="13">
        <v>144002</v>
      </c>
      <c r="I2" s="13"/>
      <c r="J2" s="12"/>
      <c r="K2" s="14"/>
      <c r="L2" s="17" t="s">
        <v>27</v>
      </c>
      <c r="M2" s="7"/>
      <c r="N2" s="8"/>
      <c r="O2" s="7"/>
      <c r="P2" s="7" t="s">
        <v>30</v>
      </c>
      <c r="Q2" s="7"/>
      <c r="R2" s="7"/>
      <c r="S2" s="9"/>
      <c r="T2" s="7"/>
      <c r="U2" s="9"/>
    </row>
    <row r="3" spans="1:21">
      <c r="A3" s="12">
        <v>5674</v>
      </c>
      <c r="B3" s="12" t="s">
        <v>34</v>
      </c>
      <c r="C3" s="12" t="s">
        <v>22</v>
      </c>
      <c r="D3" s="12">
        <v>1770000</v>
      </c>
      <c r="E3" s="13"/>
      <c r="F3" s="13"/>
      <c r="G3" s="13"/>
      <c r="H3" s="13">
        <v>5600000</v>
      </c>
      <c r="I3" s="13"/>
      <c r="J3" s="12"/>
      <c r="K3" s="14"/>
      <c r="L3" s="17" t="s">
        <v>27</v>
      </c>
      <c r="M3" s="7"/>
      <c r="N3" s="8"/>
      <c r="O3" s="7"/>
      <c r="P3" s="7"/>
      <c r="Q3" s="7"/>
      <c r="R3" s="7"/>
      <c r="S3" s="9"/>
      <c r="T3" s="7"/>
      <c r="U3" s="9"/>
    </row>
    <row r="4" spans="1:21">
      <c r="A4" s="12">
        <v>106169</v>
      </c>
      <c r="B4" s="12" t="s">
        <v>47</v>
      </c>
      <c r="C4" s="15" t="s">
        <v>48</v>
      </c>
      <c r="D4" s="12">
        <v>9129111</v>
      </c>
      <c r="E4" s="13"/>
      <c r="F4" s="13"/>
      <c r="G4" s="13"/>
      <c r="H4" s="13"/>
      <c r="I4" s="13"/>
      <c r="J4" s="12"/>
      <c r="K4" s="12"/>
      <c r="L4" s="17" t="s">
        <v>52</v>
      </c>
      <c r="M4" s="7"/>
      <c r="N4" s="8"/>
      <c r="O4" s="7"/>
      <c r="P4" s="7"/>
      <c r="Q4" s="7"/>
      <c r="R4" s="7"/>
      <c r="S4" s="9"/>
      <c r="T4" s="7"/>
      <c r="U4" s="9"/>
    </row>
    <row r="5" spans="1:21">
      <c r="A5" s="12">
        <v>102733</v>
      </c>
      <c r="B5" s="12" t="s">
        <v>54</v>
      </c>
      <c r="C5" s="15" t="s">
        <v>55</v>
      </c>
      <c r="D5" s="12">
        <v>676621</v>
      </c>
      <c r="E5" s="13"/>
      <c r="F5" s="13"/>
      <c r="G5" s="13"/>
      <c r="H5" s="13"/>
      <c r="I5" s="13"/>
      <c r="J5" s="12"/>
      <c r="K5" s="12"/>
      <c r="L5" s="17" t="s">
        <v>52</v>
      </c>
      <c r="M5" s="7"/>
      <c r="N5" s="8"/>
      <c r="O5" s="7"/>
      <c r="P5" s="7"/>
      <c r="Q5" s="7"/>
      <c r="R5" s="7"/>
      <c r="S5" s="9"/>
      <c r="T5" s="7"/>
      <c r="U5" s="9"/>
    </row>
  </sheetData>
  <dataValidations count="9">
    <dataValidation type="list" allowBlank="1" showInputMessage="1" showErrorMessage="1" sqref="Q2:Q5" xr:uid="{04216168-7347-48CA-A9D8-2ED89CFE6FF2}">
      <formula1>"NDC Support, National Strategy, Legal Framework,Incentives and Support, Government Capacity-Building, Carbon Pricing and Monitoring, Financing Model, Business Model"</formula1>
    </dataValidation>
    <dataValidation type="list" allowBlank="1" showInputMessage="1" showErrorMessage="1" sqref="N2:N5" xr:uid="{4C03BF25-D4E1-4CFF-8048-5E84ACB3C8EE}">
      <formula1>"Accelerating just energy transition, Close the gap on energy access, Scale up energy finance"</formula1>
    </dataValidation>
    <dataValidation type="list" allowBlank="1" showInputMessage="1" showErrorMessage="1" sqref="O2:O5" xr:uid="{593D5DE0-DF09-402E-B25A-306EF4396661}">
      <formula1>"Electricity Access, Energy Efficiency, Clean Cooking, Renewable Energy, Overall"</formula1>
    </dataValidation>
    <dataValidation type="list" allowBlank="1" showInputMessage="1" showErrorMessage="1" sqref="M2:M5" xr:uid="{229A8C61-F7E1-4270-8C69-2BA94390DB27}">
      <formula1>"Finance, Gender, Efficiency, Just, Health"</formula1>
    </dataValidation>
    <dataValidation type="list" allowBlank="1" showInputMessage="1" showErrorMessage="1" sqref="T2:T5" xr:uid="{84CEA8B6-D197-474D-97B1-3BA01995490B}">
      <formula1>"National, Regional, City, Community"</formula1>
    </dataValidation>
    <dataValidation type="list" allowBlank="1" showInputMessage="1" showErrorMessage="1" sqref="P2:P5" xr:uid="{2399B02F-46C0-4A16-B94F-2406439E5D16}">
      <formula1>"AMP, PUDC, Solar4Health, Action Opportunities, Italy UNDP Energy Partnership"</formula1>
    </dataValidation>
    <dataValidation type="list" allowBlank="1" showInputMessage="1" showErrorMessage="1" sqref="L2:L5" xr:uid="{4645D383-A636-4F9B-B651-9D3D4244D97F}">
      <formula1>"Non-VF, VF"</formula1>
    </dataValidation>
    <dataValidation type="list" allowBlank="1" showInputMessage="1" showErrorMessage="1" sqref="R2:R5" xr:uid="{A3AD03D3-BBC0-4E49-BB95-3571E5BC501C}">
      <formula1>"Electricity Access, Energy Efficiency, Renewable Energy, Infrastructure,  Transport, Digital &amp; Data, Clean Cooking, Decarbonization, Hydrogen, Off-Grid, On-Grid, Research &amp; Innovation, Grant &amp; Investment"</formula1>
    </dataValidation>
    <dataValidation type="list" allowBlank="1" showInputMessage="1" showErrorMessage="1" sqref="S2:S5" xr:uid="{821486B7-5ABB-4EAD-A8F5-9FB9BA0DBCDE}">
      <formula1>"Solar, Wind, Bioenergy, Hydro, Geothermal, Waste, Some Sources, Other, Unknown"</formula1>
    </dataValidation>
  </dataValidations>
  <hyperlinks>
    <hyperlink ref="C4" r:id="rId1" xr:uid="{73E640E6-9155-7947-9F51-39DBF2319918}"/>
    <hyperlink ref="C5" r:id="rId2" xr:uid="{43C2C38E-50F9-7E4F-A3BA-7E13BDA3D4D2}"/>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000-000000000000}">
          <x14:formula1>
            <xm:f>'Beneficiary Categories'!$A$2:$A$16</xm:f>
          </x14:formula1>
          <xm:sqref>E6:E7</xm:sqref>
        </x14:dataValidation>
        <x14:dataValidation type="list" allowBlank="1" showInputMessage="1" showErrorMessage="1" xr:uid="{280CC0D3-EA66-4941-999A-FF223D21ADBD}">
          <x14:formula1>
            <xm:f>'Beneficiary Categories'!$A$2:$A$22</xm:f>
          </x14:formula1>
          <xm:sqref>E2:E5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2"/>
  <sheetViews>
    <sheetView workbookViewId="0">
      <selection activeCell="B7" sqref="B7"/>
    </sheetView>
  </sheetViews>
  <sheetFormatPr defaultColWidth="8.85546875" defaultRowHeight="15"/>
  <cols>
    <col min="1" max="2" width="52.7109375" customWidth="1"/>
  </cols>
  <sheetData>
    <row r="1" spans="1:2">
      <c r="A1" s="1" t="s">
        <v>4</v>
      </c>
      <c r="B1" s="1" t="s">
        <v>5</v>
      </c>
    </row>
    <row r="2" spans="1:2" ht="45.75">
      <c r="A2" s="29" t="s">
        <v>23</v>
      </c>
      <c r="B2" s="2" t="s">
        <v>66</v>
      </c>
    </row>
    <row r="3" spans="1:2">
      <c r="A3" s="29" t="s">
        <v>67</v>
      </c>
      <c r="B3" s="2" t="s">
        <v>68</v>
      </c>
    </row>
    <row r="4" spans="1:2" ht="30.75">
      <c r="A4" s="29" t="s">
        <v>69</v>
      </c>
      <c r="B4" s="2" t="s">
        <v>70</v>
      </c>
    </row>
    <row r="5" spans="1:2" ht="30.75">
      <c r="A5" s="29" t="s">
        <v>71</v>
      </c>
      <c r="B5" s="2" t="s">
        <v>72</v>
      </c>
    </row>
    <row r="6" spans="1:2" ht="91.5">
      <c r="A6" s="29" t="s">
        <v>73</v>
      </c>
      <c r="B6" s="2" t="s">
        <v>74</v>
      </c>
    </row>
    <row r="7" spans="1:2" ht="45.75">
      <c r="A7" s="29" t="s">
        <v>75</v>
      </c>
      <c r="B7" s="2" t="s">
        <v>76</v>
      </c>
    </row>
    <row r="8" spans="1:2" ht="45.75">
      <c r="A8" s="29" t="s">
        <v>77</v>
      </c>
      <c r="B8" s="2" t="s">
        <v>78</v>
      </c>
    </row>
    <row r="9" spans="1:2" ht="45.75">
      <c r="A9" s="29" t="s">
        <v>79</v>
      </c>
      <c r="B9" s="2" t="s">
        <v>80</v>
      </c>
    </row>
    <row r="10" spans="1:2" ht="30.75">
      <c r="A10" s="29" t="s">
        <v>81</v>
      </c>
      <c r="B10" s="30" t="s">
        <v>82</v>
      </c>
    </row>
    <row r="11" spans="1:2" ht="30.75">
      <c r="A11" s="29" t="s">
        <v>35</v>
      </c>
      <c r="B11" s="30" t="s">
        <v>83</v>
      </c>
    </row>
    <row r="12" spans="1:2" ht="45.75">
      <c r="A12" s="29" t="s">
        <v>84</v>
      </c>
      <c r="B12" s="2" t="s">
        <v>85</v>
      </c>
    </row>
    <row r="13" spans="1:2" ht="30.75">
      <c r="A13" s="29" t="s">
        <v>86</v>
      </c>
      <c r="B13" s="30" t="s">
        <v>87</v>
      </c>
    </row>
    <row r="14" spans="1:2">
      <c r="A14" s="29" t="s">
        <v>88</v>
      </c>
      <c r="B14" s="30" t="s">
        <v>89</v>
      </c>
    </row>
    <row r="15" spans="1:2" ht="30.75">
      <c r="A15" s="29" t="s">
        <v>90</v>
      </c>
      <c r="B15" s="30" t="s">
        <v>91</v>
      </c>
    </row>
    <row r="16" spans="1:2" ht="30.75">
      <c r="A16" s="29" t="s">
        <v>92</v>
      </c>
      <c r="B16" s="30" t="s">
        <v>93</v>
      </c>
    </row>
    <row r="17" spans="1:2" ht="30.75">
      <c r="A17" s="29" t="s">
        <v>94</v>
      </c>
      <c r="B17" s="2" t="s">
        <v>95</v>
      </c>
    </row>
    <row r="18" spans="1:2" ht="30.75">
      <c r="A18" s="29" t="s">
        <v>96</v>
      </c>
      <c r="B18" s="30" t="s">
        <v>97</v>
      </c>
    </row>
    <row r="19" spans="1:2" ht="76.5">
      <c r="A19" s="29" t="s">
        <v>98</v>
      </c>
      <c r="B19" s="30" t="s">
        <v>99</v>
      </c>
    </row>
    <row r="20" spans="1:2" ht="30.75">
      <c r="A20" s="29" t="s">
        <v>100</v>
      </c>
      <c r="B20" s="30" t="s">
        <v>101</v>
      </c>
    </row>
    <row r="21" spans="1:2" ht="45.75">
      <c r="A21" s="29" t="s">
        <v>19</v>
      </c>
      <c r="B21" s="31" t="s">
        <v>102</v>
      </c>
    </row>
    <row r="22" spans="1:2" ht="30.75">
      <c r="A22" s="29" t="s">
        <v>45</v>
      </c>
      <c r="B22" s="30" t="s">
        <v>103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720239d0-7d3a-4257-bb40-a2a3b1409bb2">
      <Terms xmlns="http://schemas.microsoft.com/office/infopath/2007/PartnerControls"/>
    </lcf76f155ced4ddcb4097134ff3c332f>
    <TaxCatchAll xmlns="fb9e4d32-074f-4c04-81ef-e811753dfd59" xsi:nil="true"/>
    <SharedWithUsers xmlns="fb9e4d32-074f-4c04-81ef-e811753dfd59">
      <UserInfo>
        <DisplayName>Nouralla Ahmed</DisplayName>
        <AccountId>1298</AccountId>
        <AccountType/>
      </UserInfo>
    </SharedWithUser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81A889D055969F449BCDADF9B8A9C0F0" ma:contentTypeVersion="18" ma:contentTypeDescription="Create a new document." ma:contentTypeScope="" ma:versionID="dd25160c21e587dbb66203dfb8c7aa52">
  <xsd:schema xmlns:xsd="http://www.w3.org/2001/XMLSchema" xmlns:xs="http://www.w3.org/2001/XMLSchema" xmlns:p="http://schemas.microsoft.com/office/2006/metadata/properties" xmlns:ns2="720239d0-7d3a-4257-bb40-a2a3b1409bb2" xmlns:ns3="fb9e4d32-074f-4c04-81ef-e811753dfd59" targetNamespace="http://schemas.microsoft.com/office/2006/metadata/properties" ma:root="true" ma:fieldsID="05ccd5be12d50c438f9536854e894bcb" ns2:_="" ns3:_="">
    <xsd:import namespace="720239d0-7d3a-4257-bb40-a2a3b1409bb2"/>
    <xsd:import namespace="fb9e4d32-074f-4c04-81ef-e811753dfd5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0239d0-7d3a-4257-bb40-a2a3b1409b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b9e4d32-074f-4c04-81ef-e811753dfd59"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5300f42-37b4-4000-b69c-e0298172bf57}" ma:internalName="TaxCatchAll" ma:showField="CatchAllData" ma:web="fb9e4d32-074f-4c04-81ef-e811753dfd5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9AAE280-AB55-431B-926B-78205BAD5BBE}"/>
</file>

<file path=customXml/itemProps2.xml><?xml version="1.0" encoding="utf-8"?>
<ds:datastoreItem xmlns:ds="http://schemas.openxmlformats.org/officeDocument/2006/customXml" ds:itemID="{40AD99BC-C99A-40CF-9547-57FA70D978AA}"/>
</file>

<file path=customXml/itemProps3.xml><?xml version="1.0" encoding="utf-8"?>
<ds:datastoreItem xmlns:ds="http://schemas.openxmlformats.org/officeDocument/2006/customXml" ds:itemID="{37AF7A2E-0D65-421E-BC4B-7F409114D4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Benjamin Keller</cp:lastModifiedBy>
  <cp:revision/>
  <dcterms:created xsi:type="dcterms:W3CDTF">2023-05-05T09:33:41Z</dcterms:created>
  <dcterms:modified xsi:type="dcterms:W3CDTF">2024-02-19T09:29:17Z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0x01010081A889D055969F449BCDADF9B8A9C0F0</vt:lpwstr>
  </property>
  <property fmtid="{D5CDD505-2E9C-101B-9397-08002B2CF9AE}" pid="3" name="MediaServiceImageTags">
    <vt:lpwstr/>
  </property>
</Properties>
</file>