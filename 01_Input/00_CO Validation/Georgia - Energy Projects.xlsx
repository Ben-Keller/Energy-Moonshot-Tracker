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Times New Roman"/>
      <color theme="1"/>
      <sz val="11"/>
    </font>
    <font>
      <name val="Times New Roman"/>
      <color theme="1"/>
      <sz val="10"/>
    </font>
    <font>
      <name val="Times New Roman"/>
      <color rgb="FF000000"/>
      <sz val="10"/>
    </font>
    <font>
      <name val="Times New Roman"/>
      <b val="1"/>
      <color rgb="FF000000"/>
      <sz val="10"/>
    </font>
    <font>
      <name val="Times New Roman"/>
      <i val="1"/>
      <color rgb="FF000000"/>
      <sz val="10"/>
    </font>
    <font>
      <name val="Calibri"/>
      <charset val="1"/>
      <family val="2"/>
      <color rgb="FF000000"/>
      <sz val="11"/>
    </font>
    <font>
      <name val="Calibri"/>
      <charset val="1"/>
      <color rgb="FF000000"/>
      <sz val="11"/>
    </font>
    <font>
      <name val="Calibri"/>
      <color theme="1"/>
      <sz val="11"/>
    </font>
    <font>
      <name val="Calibri"/>
      <color rgb="FF000000"/>
      <sz val="11"/>
    </font>
    <font>
      <name val="Calibri"/>
      <b val="1"/>
      <color theme="1"/>
      <sz val="11"/>
      <scheme val="minor"/>
    </font>
    <font>
      <name val="Calibri"/>
      <color rgb="FF000000"/>
      <sz val="11"/>
      <scheme val="minor"/>
    </font>
    <font>
      <b val="1"/>
    </font>
  </fonts>
  <fills count="6">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theme="9" tint="0.5999938962981048"/>
        <bgColor indexed="64"/>
      </patternFill>
    </fill>
    <fill>
      <patternFill patternType="solid">
        <fgColor rgb="00FFFF00"/>
      </patternFill>
    </fill>
  </fills>
  <borders count="2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auto="1"/>
      </left>
      <right style="medium">
        <color rgb="FF000000"/>
      </right>
      <top style="medium">
        <color rgb="FF000000"/>
      </top>
      <bottom style="thin">
        <color auto="1"/>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127">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0" fontId="6" fillId="3" borderId="5" applyAlignment="1" pivotButton="0" quotePrefix="0" xfId="0">
      <alignment vertical="center" wrapText="1"/>
    </xf>
    <xf numFmtId="0" fontId="6" fillId="3" borderId="6" applyAlignment="1" pivotButton="0" quotePrefix="0" xfId="0">
      <alignment vertical="center" wrapText="1"/>
    </xf>
    <xf numFmtId="0" fontId="5" fillId="3" borderId="4" applyAlignment="1" pivotButton="0" quotePrefix="0" xfId="0">
      <alignment vertical="center" wrapText="1"/>
    </xf>
    <xf numFmtId="0" fontId="5" fillId="3" borderId="6" applyAlignment="1" pivotButton="0" quotePrefix="0" xfId="0">
      <alignment horizontal="left" vertical="center" wrapText="1"/>
    </xf>
    <xf numFmtId="0" fontId="4" fillId="3" borderId="3" applyAlignment="1" pivotButton="0" quotePrefix="0" xfId="0">
      <alignment horizontal="center" vertical="center"/>
    </xf>
    <xf numFmtId="0" fontId="4" fillId="3" borderId="2" applyAlignment="1" pivotButton="0" quotePrefix="0" xfId="0">
      <alignment horizontal="center" vertical="center" wrapText="1"/>
    </xf>
    <xf numFmtId="0" fontId="0" fillId="0" borderId="0" applyAlignment="1" pivotButton="0" quotePrefix="0" xfId="0">
      <alignment vertical="top"/>
    </xf>
    <xf numFmtId="0" fontId="3" fillId="0" borderId="0" applyAlignment="1" pivotButton="0" quotePrefix="0" xfId="1">
      <alignment vertical="top"/>
    </xf>
    <xf numFmtId="0" fontId="6" fillId="3" borderId="9" applyAlignment="1" pivotButton="0" quotePrefix="0" xfId="0">
      <alignment horizontal="left" vertical="center" wrapText="1"/>
    </xf>
    <xf numFmtId="0" fontId="5" fillId="3" borderId="10" applyAlignment="1" pivotButton="0" quotePrefix="0" xfId="0">
      <alignment horizontal="left" vertical="center" wrapText="1"/>
    </xf>
    <xf numFmtId="0" fontId="6" fillId="3" borderId="13" applyAlignment="1" pivotButton="0" quotePrefix="0" xfId="0">
      <alignment vertical="center" wrapText="1"/>
    </xf>
    <xf numFmtId="0" fontId="4" fillId="3" borderId="12" applyAlignment="1" pivotButton="0" quotePrefix="0" xfId="0">
      <alignment horizontal="center" vertical="center" wrapText="1"/>
    </xf>
    <xf numFmtId="0" fontId="5" fillId="3" borderId="14" applyAlignment="1" pivotButton="0" quotePrefix="0" xfId="0">
      <alignment vertical="center" wrapText="1"/>
    </xf>
    <xf numFmtId="0" fontId="0" fillId="0" borderId="2" applyAlignment="1" pivotButton="0" quotePrefix="0" xfId="0">
      <alignment horizontal="center" vertical="center" wrapText="1"/>
    </xf>
    <xf numFmtId="0" fontId="0" fillId="0" borderId="2" applyAlignment="1" pivotButton="0" quotePrefix="0" xfId="0">
      <alignment horizontal="center" vertical="center"/>
    </xf>
    <xf numFmtId="3" fontId="0" fillId="0" borderId="2" applyAlignment="1" pivotButton="0" quotePrefix="0" xfId="0">
      <alignment horizontal="center" vertical="center"/>
    </xf>
    <xf numFmtId="0" fontId="3" fillId="0" borderId="2" applyAlignment="1" pivotButton="0" quotePrefix="0" xfId="1">
      <alignment vertical="center" wrapText="1"/>
    </xf>
    <xf numFmtId="0" fontId="10" fillId="0" borderId="2" applyAlignment="1" pivotButton="0" quotePrefix="0" xfId="0">
      <alignment horizontal="center" vertical="center" wrapText="1"/>
    </xf>
    <xf numFmtId="0" fontId="11" fillId="0" borderId="2" applyAlignment="1" pivotButton="0" quotePrefix="0" xfId="0">
      <alignment horizontal="center" vertical="center" wrapText="1"/>
    </xf>
    <xf numFmtId="0" fontId="12" fillId="0" borderId="0" applyAlignment="1" pivotButton="0" quotePrefix="0" xfId="0">
      <alignment wrapText="1"/>
    </xf>
    <xf numFmtId="0" fontId="0" fillId="3" borderId="2" applyAlignment="1" pivotButton="0" quotePrefix="0" xfId="0">
      <alignment vertical="top"/>
    </xf>
    <xf numFmtId="0" fontId="2" fillId="0" borderId="0" pivotButton="0" quotePrefix="0" xfId="0"/>
    <xf numFmtId="0" fontId="2" fillId="0" borderId="2" pivotButton="0" quotePrefix="0" xfId="0"/>
    <xf numFmtId="0" fontId="2" fillId="0" borderId="2" applyAlignment="1" pivotButton="0" quotePrefix="0" xfId="0">
      <alignment horizontal="center" vertical="top"/>
    </xf>
    <xf numFmtId="0" fontId="0" fillId="0" borderId="2" applyAlignment="1" pivotButton="0" quotePrefix="0" xfId="0">
      <alignment vertical="top"/>
    </xf>
    <xf numFmtId="0" fontId="3" fillId="0" borderId="2" applyAlignment="1" pivotButton="0" quotePrefix="0" xfId="1">
      <alignment vertical="top"/>
    </xf>
    <xf numFmtId="0" fontId="0" fillId="2" borderId="2" pivotButton="0" quotePrefix="0" xfId="0"/>
    <xf numFmtId="0" fontId="0" fillId="0" borderId="2" pivotButton="0" quotePrefix="0" xfId="0"/>
    <xf numFmtId="0" fontId="6" fillId="3" borderId="2" applyAlignment="1" pivotButton="0" quotePrefix="0" xfId="0">
      <alignment vertical="center" wrapText="1"/>
    </xf>
    <xf numFmtId="0" fontId="5" fillId="3" borderId="2" applyAlignment="1" pivotButton="0" quotePrefix="0" xfId="0">
      <alignment horizontal="left" vertical="center" wrapText="1"/>
    </xf>
    <xf numFmtId="0" fontId="5" fillId="3" borderId="2" applyAlignment="1" pivotButton="0" quotePrefix="0" xfId="0">
      <alignment vertical="center" wrapText="1"/>
    </xf>
    <xf numFmtId="0" fontId="12" fillId="0" borderId="2" applyAlignment="1" pivotButton="0" quotePrefix="0" xfId="0">
      <alignment wrapText="1"/>
    </xf>
    <xf numFmtId="0" fontId="0" fillId="0" borderId="2" applyAlignment="1" pivotButton="0" quotePrefix="0" xfId="0">
      <alignment vertical="center"/>
    </xf>
    <xf numFmtId="49" fontId="0" fillId="0" borderId="2" applyAlignment="1" pivotButton="0" quotePrefix="0" xfId="0">
      <alignment horizontal="center" vertical="center"/>
    </xf>
    <xf numFmtId="0" fontId="0" fillId="4" borderId="0" pivotButton="0" quotePrefix="0" xfId="0"/>
    <xf numFmtId="0" fontId="2" fillId="0" borderId="12" applyAlignment="1" pivotButton="0" quotePrefix="0" xfId="0">
      <alignment horizontal="center" vertical="top"/>
    </xf>
    <xf numFmtId="0" fontId="2" fillId="0" borderId="12" pivotButton="0" quotePrefix="0" xfId="0"/>
    <xf numFmtId="0" fontId="2" fillId="0" borderId="12" applyAlignment="1" pivotButton="0" quotePrefix="0" xfId="0">
      <alignment wrapText="1"/>
    </xf>
    <xf numFmtId="0" fontId="0" fillId="0" borderId="12" applyAlignment="1" pivotButton="0" quotePrefix="0" xfId="0">
      <alignment horizontal="center" vertical="top"/>
    </xf>
    <xf numFmtId="0" fontId="0" fillId="0" borderId="15" applyAlignment="1" pivotButton="0" quotePrefix="0" xfId="0">
      <alignment horizontal="center" vertical="top"/>
    </xf>
    <xf numFmtId="0" fontId="0" fillId="0" borderId="16" applyAlignment="1" pivotButton="0" quotePrefix="0" xfId="0">
      <alignment horizontal="center" vertical="top"/>
    </xf>
    <xf numFmtId="49" fontId="0" fillId="0" borderId="12" applyAlignment="1" pivotButton="0" quotePrefix="0" xfId="0">
      <alignment horizontal="center" vertical="center"/>
    </xf>
    <xf numFmtId="0" fontId="0" fillId="0" borderId="12" applyAlignment="1" pivotButton="0" quotePrefix="0" xfId="0">
      <alignment horizontal="center" vertical="center"/>
    </xf>
    <xf numFmtId="0" fontId="0" fillId="0" borderId="12" applyAlignment="1" pivotButton="0" quotePrefix="0" xfId="0">
      <alignment horizontal="left" vertical="top" wrapText="1"/>
    </xf>
    <xf numFmtId="3" fontId="0" fillId="0" borderId="12" applyAlignment="1" pivotButton="0" quotePrefix="0" xfId="0">
      <alignment vertical="top"/>
    </xf>
    <xf numFmtId="0" fontId="0" fillId="0" borderId="12" applyAlignment="1" pivotButton="0" quotePrefix="0" xfId="0">
      <alignment horizontal="center" vertical="center" wrapText="1"/>
    </xf>
    <xf numFmtId="0" fontId="3" fillId="0" borderId="12" applyAlignment="1" pivotButton="0" quotePrefix="0" xfId="1">
      <alignment vertical="top" wrapText="1"/>
    </xf>
    <xf numFmtId="0" fontId="6" fillId="0" borderId="2" applyAlignment="1" pivotButton="0" quotePrefix="0" xfId="0">
      <alignment vertical="center" wrapText="1"/>
    </xf>
    <xf numFmtId="0" fontId="4"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0" fillId="0" borderId="15" applyAlignment="1" pivotButton="0" quotePrefix="0" xfId="0">
      <alignment horizontal="left" vertical="top" wrapText="1"/>
    </xf>
    <xf numFmtId="0" fontId="3" fillId="0" borderId="15" applyAlignment="1" pivotButton="0" quotePrefix="0" xfId="1">
      <alignment vertical="top" wrapText="1"/>
    </xf>
    <xf numFmtId="3" fontId="0" fillId="0" borderId="15" applyAlignment="1" pivotButton="0" quotePrefix="0" xfId="0">
      <alignment vertical="top"/>
    </xf>
    <xf numFmtId="0" fontId="5" fillId="0" borderId="2" applyAlignment="1" pivotButton="0" quotePrefix="0" xfId="0">
      <alignment vertical="center" wrapText="1"/>
    </xf>
    <xf numFmtId="0" fontId="0" fillId="0" borderId="16" applyAlignment="1" pivotButton="0" quotePrefix="0" xfId="0">
      <alignment horizontal="left" vertical="top" wrapText="1"/>
    </xf>
    <xf numFmtId="0" fontId="3" fillId="0" borderId="16" applyAlignment="1" pivotButton="0" quotePrefix="0" xfId="1">
      <alignment vertical="top" wrapText="1"/>
    </xf>
    <xf numFmtId="3" fontId="0" fillId="0" borderId="16" applyAlignment="1" pivotButton="0" quotePrefix="0" xfId="0">
      <alignment vertical="top"/>
    </xf>
    <xf numFmtId="0" fontId="3" fillId="0" borderId="12" applyAlignment="1" pivotButton="0" quotePrefix="0" xfId="1">
      <alignment horizontal="center" vertical="center" wrapText="1"/>
    </xf>
    <xf numFmtId="3" fontId="0" fillId="0" borderId="12" applyAlignment="1" pivotButton="0" quotePrefix="0" xfId="0">
      <alignment horizontal="center" vertical="center"/>
    </xf>
    <xf numFmtId="0" fontId="9" fillId="0" borderId="12" applyAlignment="1" pivotButton="0" quotePrefix="0" xfId="0">
      <alignment horizontal="center" vertical="center" wrapText="1"/>
    </xf>
    <xf numFmtId="0" fontId="0" fillId="0" borderId="12" applyAlignment="1" pivotButton="0" quotePrefix="0" xfId="0">
      <alignment horizontal="center"/>
    </xf>
    <xf numFmtId="0" fontId="13" fillId="0" borderId="2" applyAlignment="1" pivotButton="0" quotePrefix="0" xfId="0">
      <alignment horizontal="center" vertical="top" wrapText="1"/>
    </xf>
    <xf numFmtId="0" fontId="14" fillId="0" borderId="2" applyAlignment="1" pivotButton="0" quotePrefix="0" xfId="0">
      <alignment wrapText="1"/>
    </xf>
    <xf numFmtId="0" fontId="2" fillId="0" borderId="2" applyAlignment="1" pivotButton="0" quotePrefix="0" xfId="0">
      <alignment horizontal="center"/>
    </xf>
    <xf numFmtId="0" fontId="2" fillId="0" borderId="12" applyAlignment="1" pivotButton="0" quotePrefix="0" xfId="0">
      <alignment horizontal="center"/>
    </xf>
    <xf numFmtId="0" fontId="2" fillId="0" borderId="17" applyAlignment="1" pivotButton="0" quotePrefix="0" xfId="0">
      <alignment horizontal="center"/>
    </xf>
    <xf numFmtId="0" fontId="0" fillId="0" borderId="18" applyAlignment="1" pivotButton="0" quotePrefix="0" xfId="0">
      <alignment horizontal="center" vertical="center"/>
    </xf>
    <xf numFmtId="0" fontId="0" fillId="0" borderId="6" applyAlignment="1" pivotButton="0" quotePrefix="0" xfId="0">
      <alignment horizontal="center" vertical="center" wrapText="1"/>
    </xf>
    <xf numFmtId="0" fontId="0" fillId="0" borderId="2" applyAlignment="1" pivotButton="0" quotePrefix="0" xfId="0">
      <alignment wrapText="1"/>
    </xf>
    <xf numFmtId="0" fontId="3" fillId="0" borderId="2" applyAlignment="1" pivotButton="0" quotePrefix="0" xfId="1">
      <alignment vertical="top"/>
    </xf>
    <xf numFmtId="0" fontId="0" fillId="0" borderId="2" applyAlignment="1" pivotButton="0" quotePrefix="0" xfId="0">
      <alignment horizontal="center" vertical="top"/>
    </xf>
    <xf numFmtId="0" fontId="0" fillId="0" borderId="2" applyAlignment="1" pivotButton="0" quotePrefix="0" xfId="0">
      <alignment horizontal="left" vertical="top" wrapText="1"/>
    </xf>
    <xf numFmtId="0" fontId="3" fillId="0" borderId="2" applyAlignment="1" pivotButton="0" quotePrefix="0" xfId="1">
      <alignment vertical="top" wrapText="1"/>
    </xf>
    <xf numFmtId="3" fontId="0" fillId="0" borderId="2" applyAlignment="1" pivotButton="0" quotePrefix="0" xfId="0">
      <alignment vertical="top"/>
    </xf>
    <xf numFmtId="49" fontId="0" fillId="0" borderId="2" applyAlignment="1" pivotButton="0" quotePrefix="0" xfId="0">
      <alignment horizontal="center" vertical="center"/>
    </xf>
    <xf numFmtId="0" fontId="0" fillId="4" borderId="2" applyAlignment="1" pivotButton="0" quotePrefix="0" xfId="0">
      <alignment horizontal="center" vertical="center" wrapText="1"/>
    </xf>
    <xf numFmtId="0" fontId="3" fillId="4" borderId="2" applyAlignment="1" pivotButton="0" quotePrefix="0" xfId="1">
      <alignment horizontal="center" vertical="center" wrapText="1"/>
    </xf>
    <xf numFmtId="3" fontId="0" fillId="4" borderId="2" applyAlignment="1" pivotButton="0" quotePrefix="0" xfId="0">
      <alignment horizontal="center" vertical="center"/>
    </xf>
    <xf numFmtId="0" fontId="0" fillId="4" borderId="2" applyAlignment="1" pivotButton="0" quotePrefix="0" xfId="0">
      <alignment horizontal="center" vertical="center"/>
    </xf>
    <xf numFmtId="0" fontId="9" fillId="4" borderId="2" applyAlignment="1" pivotButton="0" quotePrefix="0" xfId="0">
      <alignment horizontal="center" vertical="center" wrapText="1"/>
    </xf>
    <xf numFmtId="0" fontId="0" fillId="0" borderId="12" applyAlignment="1" pivotButton="0" quotePrefix="0" xfId="0">
      <alignment horizontal="center" vertical="center"/>
    </xf>
    <xf numFmtId="0" fontId="0" fillId="0" borderId="15" applyAlignment="1" pivotButton="0" quotePrefix="0" xfId="0">
      <alignment horizontal="center" vertical="center"/>
    </xf>
    <xf numFmtId="0" fontId="0" fillId="0" borderId="16" applyAlignment="1" pivotButton="0" quotePrefix="0" xfId="0">
      <alignment horizontal="center" vertical="center"/>
    </xf>
    <xf numFmtId="0" fontId="0" fillId="4" borderId="12" applyAlignment="1" pivotButton="0" quotePrefix="0" xfId="0">
      <alignment horizontal="center" vertical="center"/>
    </xf>
    <xf numFmtId="0" fontId="0" fillId="4" borderId="15" applyAlignment="1" pivotButton="0" quotePrefix="0" xfId="0">
      <alignment horizontal="center" vertical="center"/>
    </xf>
    <xf numFmtId="0" fontId="0" fillId="4" borderId="16" applyAlignment="1" pivotButton="0" quotePrefix="0" xfId="0">
      <alignment horizontal="center" vertical="center"/>
    </xf>
    <xf numFmtId="0" fontId="0" fillId="4" borderId="12" applyAlignment="1" pivotButton="0" quotePrefix="0" xfId="0">
      <alignment horizontal="center"/>
    </xf>
    <xf numFmtId="0" fontId="0" fillId="4" borderId="15" applyAlignment="1" pivotButton="0" quotePrefix="0" xfId="0">
      <alignment horizontal="center"/>
    </xf>
    <xf numFmtId="0" fontId="0" fillId="4" borderId="16" applyAlignment="1" pivotButton="0" quotePrefix="0" xfId="0">
      <alignment horizontal="center"/>
    </xf>
    <xf numFmtId="0" fontId="0" fillId="0" borderId="7" applyAlignment="1" pivotButton="0" quotePrefix="0" xfId="0">
      <alignment horizontal="center" vertical="top"/>
    </xf>
    <xf numFmtId="0" fontId="0" fillId="0" borderId="8" applyAlignment="1" pivotButton="0" quotePrefix="0" xfId="0">
      <alignment horizontal="center" vertical="top"/>
    </xf>
    <xf numFmtId="0" fontId="0" fillId="0" borderId="11" applyAlignment="1" pivotButton="0" quotePrefix="0" xfId="0">
      <alignment horizontal="center" vertical="top"/>
    </xf>
    <xf numFmtId="0" fontId="0" fillId="0" borderId="3" applyAlignment="1" pivotButton="0" quotePrefix="0" xfId="0">
      <alignment horizontal="left" vertical="top" wrapText="1"/>
    </xf>
    <xf numFmtId="0" fontId="0" fillId="0" borderId="12" applyAlignment="1" pivotButton="0" quotePrefix="0" xfId="0">
      <alignment horizontal="left" vertical="top" wrapText="1"/>
    </xf>
    <xf numFmtId="0" fontId="3" fillId="0" borderId="3" applyAlignment="1" pivotButton="0" quotePrefix="0" xfId="1">
      <alignment vertical="top" wrapText="1"/>
    </xf>
    <xf numFmtId="0" fontId="3" fillId="0" borderId="12" applyAlignment="1" pivotButton="0" quotePrefix="0" xfId="1">
      <alignment vertical="top" wrapText="1"/>
    </xf>
    <xf numFmtId="3" fontId="0" fillId="0" borderId="3" applyAlignment="1" pivotButton="0" quotePrefix="0" xfId="0">
      <alignment vertical="top"/>
    </xf>
    <xf numFmtId="3" fontId="0" fillId="0" borderId="12" applyAlignment="1" pivotButton="0" quotePrefix="0" xfId="0">
      <alignment vertical="top"/>
    </xf>
    <xf numFmtId="0" fontId="0" fillId="3" borderId="3" applyAlignment="1" pivotButton="0" quotePrefix="0" xfId="0">
      <alignment vertical="top"/>
    </xf>
    <xf numFmtId="0" fontId="0" fillId="3" borderId="2" applyAlignment="1" pivotButton="0" quotePrefix="0" xfId="0">
      <alignment vertical="top"/>
    </xf>
    <xf numFmtId="0" fontId="0" fillId="3" borderId="12" applyAlignment="1" pivotButton="0" quotePrefix="0" xfId="0">
      <alignment vertical="top"/>
    </xf>
    <xf numFmtId="0" fontId="0" fillId="0" borderId="2"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2" applyAlignment="1" pivotButton="0" quotePrefix="0" xfId="0">
      <alignment horizontal="center" vertical="center"/>
    </xf>
    <xf numFmtId="0" fontId="3" fillId="0" borderId="2" applyAlignment="1" pivotButton="0" quotePrefix="0" xfId="1">
      <alignment horizontal="center" vertical="center" wrapText="1"/>
    </xf>
    <xf numFmtId="0" fontId="3" fillId="0" borderId="12" applyAlignment="1" pivotButton="0" quotePrefix="0" xfId="1">
      <alignment horizontal="center" vertical="center" wrapText="1"/>
    </xf>
    <xf numFmtId="3" fontId="0" fillId="0" borderId="2" applyAlignment="1" pivotButton="0" quotePrefix="0" xfId="0">
      <alignment horizontal="center" vertical="center"/>
    </xf>
    <xf numFmtId="0" fontId="9" fillId="0" borderId="2" applyAlignment="1" pivotButton="0" quotePrefix="0" xfId="0">
      <alignment horizontal="center"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5" borderId="2" applyAlignment="1" pivotButton="0" quotePrefix="0" xfId="0">
      <alignment vertical="top"/>
    </xf>
    <xf numFmtId="3" fontId="0" fillId="5" borderId="12" applyAlignment="1" pivotButton="0" quotePrefix="0" xfId="0">
      <alignment vertical="top"/>
    </xf>
    <xf numFmtId="3" fontId="0" fillId="5" borderId="12" applyAlignment="1" pivotButton="0" quotePrefix="0" xfId="0">
      <alignment horizontal="center" vertical="center"/>
    </xf>
    <xf numFmtId="0" fontId="0" fillId="5" borderId="12" applyAlignment="1" pivotButton="0" quotePrefix="0" xfId="0">
      <alignment horizontal="center" vertical="center" wrapText="1"/>
    </xf>
    <xf numFmtId="3" fontId="0" fillId="5" borderId="2" applyAlignment="1" pivotButton="0" quotePrefix="0" xfId="0">
      <alignment horizontal="center" vertical="center"/>
    </xf>
    <xf numFmtId="0" fontId="11" fillId="5" borderId="2" applyAlignment="1" pivotButton="0" quotePrefix="0" xfId="0">
      <alignment horizontal="center" vertical="center" wrapText="1"/>
    </xf>
    <xf numFmtId="0" fontId="0" fillId="0" borderId="15" pivotButton="0" quotePrefix="0" xfId="0"/>
    <xf numFmtId="0" fontId="0" fillId="0" borderId="16" pivotButton="0" quotePrefix="0" xfId="0"/>
    <xf numFmtId="0" fontId="0" fillId="4" borderId="2" applyAlignment="1" pivotButton="0" quotePrefix="0" xfId="0">
      <alignment horizontal="center"/>
    </xf>
    <xf numFmtId="0" fontId="0" fillId="0" borderId="21" pivotButton="0" quotePrefix="0" xfId="0"/>
    <xf numFmtId="0" fontId="0" fillId="0" borderId="22" pivotButton="0" quotePrefix="0" xfId="0"/>
    <xf numFmtId="0" fontId="15"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9" authorId="0" shapeId="0">
      <text>
        <t>[AUTO-ADDED] Project reports access/productive-use beneficiary numbers but no MW value. Please add installed capacity (MW) or confirm not applicable.</t>
      </text>
    </comment>
    <comment ref="L9" authorId="0" shapeId="0">
      <text>
        <t>[AUTO-ADDED] Project reports access/productive-use beneficiary numbers but no MW value. Please add installed capacity (MW) or confirm not applicable.</t>
      </text>
    </comment>
    <comment ref="K11" authorId="0" shapeId="0">
      <text>
        <t>[AUTO-ADDED] Project reports access/productive-use beneficiary numbers but no MW value. Please add installed capacity (MW) or confirm not applicable.</t>
      </text>
    </comment>
    <comment ref="L11"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45011" TargetMode="External" Id="rId1"/><Relationship Type="http://schemas.openxmlformats.org/officeDocument/2006/relationships/hyperlink" Target="https://www.undp.org/georgia/projects/machakhela-forest-management" TargetMode="External" Id="rId2"/><Relationship Type="http://schemas.openxmlformats.org/officeDocument/2006/relationships/hyperlink" Target="https://www.undp.org/georgia/projects/enpard-3"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45011" TargetMode="External" Id="rId1"/><Relationship Type="http://schemas.openxmlformats.org/officeDocument/2006/relationships/hyperlink" Target="https://www.undp.org/georgia/projects/machakhela-forest-management" TargetMode="External" Id="rId2"/><Relationship Type="http://schemas.openxmlformats.org/officeDocument/2006/relationships/hyperlink" Target="https://www.undp.org/georgia/projects/enpard-3" TargetMode="External" Id="rId3"/><Relationship Type="http://schemas.openxmlformats.org/officeDocument/2006/relationships/hyperlink" Target="https://www.undp.org/georgia/projects/sustainable-forest-management" TargetMode="External" Id="rId4"/></Relationships>
</file>

<file path=xl/worksheets/_rels/sheet3.xml.rels><Relationships xmlns="http://schemas.openxmlformats.org/package/2006/relationships"><Relationship Type="http://schemas.openxmlformats.org/officeDocument/2006/relationships/hyperlink" Target="http://open.undp.org/projects/00145011" TargetMode="External" Id="rId1"/><Relationship Type="http://schemas.openxmlformats.org/officeDocument/2006/relationships/hyperlink" Target="https://www.undp.org/georgia/projects/machakhela-forest-management" TargetMode="External" Id="rId2"/><Relationship Type="http://schemas.openxmlformats.org/officeDocument/2006/relationships/hyperlink" Target="https://www.undp.org/georgia/projects/enpard-3" TargetMode="External" Id="rId3"/><Relationship Type="http://schemas.openxmlformats.org/officeDocument/2006/relationships/hyperlink" Target="https://www.undp.org/georgia/projects/sustainable-forest-management" TargetMode="External" Id="rId4"/></Relationships>
</file>

<file path=xl/worksheets/sheet1.xml><?xml version="1.0" encoding="utf-8"?>
<worksheet xmlns="http://schemas.openxmlformats.org/spreadsheetml/2006/main">
  <sheetPr>
    <outlinePr summaryBelow="1" summaryRight="1"/>
    <pageSetUpPr/>
  </sheetPr>
  <dimension ref="A1:X11"/>
  <sheetViews>
    <sheetView tabSelected="1" workbookViewId="0">
      <pane xSplit="1" ySplit="1" topLeftCell="B2" activePane="bottomRight" state="frozen"/>
      <selection pane="bottomRight" activeCell="B2" sqref="B2"/>
      <selection pane="bottomLeft" activeCell="A1" sqref="A1"/>
      <selection pane="topRight" activeCell="A1" sqref="A1"/>
    </sheetView>
  </sheetViews>
  <sheetFormatPr baseColWidth="8" defaultRowHeight="15"/>
  <cols>
    <col width="10.28515625" customWidth="1" min="1" max="1"/>
    <col width="21.28515625" customWidth="1" min="2" max="2"/>
    <col width="20.7109375" customWidth="1" min="3" max="3"/>
    <col width="9.85546875" bestFit="1" customWidth="1" min="4" max="4"/>
    <col width="12" bestFit="1" customWidth="1" min="5" max="5"/>
    <col width="12" customWidth="1" min="6" max="6"/>
    <col width="12" customWidth="1" min="7" max="7"/>
    <col width="12" customWidth="1" min="8" max="8"/>
    <col width="32.7109375" customWidth="1" min="9" max="9"/>
    <col width="16.28515625" customWidth="1" min="10" max="10"/>
    <col width="12.85546875" bestFit="1" customWidth="1" min="12" max="12"/>
    <col width="10.7109375" customWidth="1" min="13" max="13"/>
    <col width="14.42578125" bestFit="1" customWidth="1" min="14" max="14"/>
    <col width="17.5703125" bestFit="1" customWidth="1" min="15" max="15"/>
    <col width="10.140625" customWidth="1" min="16" max="16"/>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ht="45.75" customHeight="1">
      <c r="A1" s="38" t="inlineStr">
        <is>
          <t>Project ID</t>
        </is>
      </c>
      <c r="B1" s="38" t="inlineStr">
        <is>
          <t>Title</t>
        </is>
      </c>
      <c r="C1" s="38" t="inlineStr">
        <is>
          <t>Link</t>
        </is>
      </c>
      <c r="D1" s="38" t="inlineStr">
        <is>
          <t>Budget</t>
        </is>
      </c>
      <c r="E1" s="38" t="inlineStr">
        <is>
          <t>Start Year</t>
        </is>
      </c>
      <c r="F1" s="38" t="inlineStr">
        <is>
          <t>End Year</t>
        </is>
      </c>
      <c r="G1" s="38" t="inlineStr">
        <is>
          <t>Status</t>
        </is>
      </c>
      <c r="H1" s="38" t="inlineStr">
        <is>
          <t>VF or Non-VF</t>
        </is>
      </c>
      <c r="I1" s="38" t="inlineStr">
        <is>
          <t>Beneficiary Category</t>
        </is>
      </c>
      <c r="J1" s="38" t="inlineStr">
        <is>
          <t>Indicator</t>
        </is>
      </c>
      <c r="K1" s="38" t="inlineStr">
        <is>
          <t>Baseline</t>
        </is>
      </c>
      <c r="L1" s="38" t="inlineStr">
        <is>
          <t>Target</t>
        </is>
      </c>
      <c r="M1" s="38" t="inlineStr">
        <is>
          <t>Notes</t>
        </is>
      </c>
      <c r="N1" s="39" t="inlineStr">
        <is>
          <t>Donors</t>
        </is>
      </c>
      <c r="O1" s="40" t="inlineStr">
        <is>
          <t>Gender (% female)</t>
        </is>
      </c>
      <c r="P1" s="67" t="inlineStr">
        <is>
          <t>Tag</t>
        </is>
      </c>
      <c r="Q1" s="66" t="inlineStr">
        <is>
          <t>SEH Taxonomy</t>
        </is>
      </c>
      <c r="R1" s="66" t="inlineStr">
        <is>
          <t>RISE Taxonomy</t>
        </is>
      </c>
      <c r="S1" s="67" t="inlineStr">
        <is>
          <t>Flagship</t>
        </is>
      </c>
      <c r="T1" s="67" t="inlineStr">
        <is>
          <t>Indirect Category</t>
        </is>
      </c>
      <c r="U1" s="68" t="inlineStr">
        <is>
          <t>Indirect Taxonomy</t>
        </is>
      </c>
      <c r="V1" s="39" t="inlineStr">
        <is>
          <t>Technology</t>
        </is>
      </c>
      <c r="W1" s="68" t="inlineStr">
        <is>
          <t>Policy or Regulatory Framework</t>
        </is>
      </c>
      <c r="X1" s="39" t="inlineStr">
        <is>
          <t>Policy Population</t>
        </is>
      </c>
    </row>
    <row r="2" ht="106.5" customHeight="1">
      <c r="A2" s="27" t="n">
        <v>145011</v>
      </c>
      <c r="B2" s="27" t="inlineStr">
        <is>
          <t>JP Food/Energy Resilience</t>
        </is>
      </c>
      <c r="C2" s="72" t="inlineStr">
        <is>
          <t>http://open.undp.org/projects/00145011</t>
        </is>
      </c>
      <c r="D2" s="27" t="n">
        <v>99070</v>
      </c>
      <c r="E2" s="114" t="n"/>
      <c r="F2" s="114" t="n"/>
      <c r="G2" s="114" t="n"/>
      <c r="H2" s="27" t="inlineStr">
        <is>
          <t>Non-VF</t>
        </is>
      </c>
      <c r="I2" s="27" t="inlineStr">
        <is>
          <t>Policy or Regulatory Framework</t>
        </is>
      </c>
      <c r="J2" s="71" t="n"/>
      <c r="K2" s="30" t="n"/>
      <c r="L2" s="30" t="n"/>
      <c r="M2" s="71" t="inlineStr">
        <is>
          <t xml:space="preserve">Adapted analytical tools 
Dashboard for food and energy security analysis (with focus on women and vulnerable population) and forecasting  
</t>
        </is>
      </c>
      <c r="N2" s="30" t="n"/>
      <c r="O2" s="30" t="n"/>
      <c r="P2" s="106" t="n"/>
      <c r="Q2" s="70" t="inlineStr">
        <is>
          <t>Close the gap on energy access</t>
        </is>
      </c>
      <c r="R2" s="106" t="inlineStr">
        <is>
          <t>Renewable Energy</t>
        </is>
      </c>
      <c r="S2" s="106" t="n"/>
      <c r="T2" s="106" t="inlineStr">
        <is>
          <t>National Strategy</t>
        </is>
      </c>
      <c r="U2" s="106" t="inlineStr">
        <is>
          <t>Digital &amp; Data</t>
        </is>
      </c>
      <c r="V2" s="35" t="n"/>
      <c r="W2" s="106" t="inlineStr">
        <is>
          <t>National</t>
        </is>
      </c>
      <c r="X2" s="35" t="n"/>
    </row>
    <row r="3" ht="100.5" customHeight="1">
      <c r="A3" s="41" t="n">
        <v>1000347</v>
      </c>
      <c r="B3" s="96" t="inlineStr">
        <is>
          <t>Renewable Energy for Sustainable Forest Management and Community Resilience in Machakhela Protected Areas</t>
        </is>
      </c>
      <c r="C3" s="98" t="inlineStr">
        <is>
          <t>https://www.undp.org/georgia/projects/machakhela-forest-management</t>
        </is>
      </c>
      <c r="D3" s="100" t="n">
        <v>450000</v>
      </c>
      <c r="E3" s="115" t="n"/>
      <c r="F3" s="115" t="n"/>
      <c r="G3" s="115" t="n"/>
      <c r="H3" s="100" t="inlineStr">
        <is>
          <t>Non-VF</t>
        </is>
      </c>
      <c r="I3" s="27" t="inlineStr">
        <is>
          <t>Water Services</t>
        </is>
      </c>
      <c r="J3" s="50" t="inlineStr">
        <is>
          <t>Number of Machakhela Protected Landscape residents with access to the solar heated water during the warm months of the year (disaggregated by: male, female, youth (15- 24))</t>
        </is>
      </c>
      <c r="K3" s="51" t="n">
        <v>50</v>
      </c>
      <c r="L3" s="51" t="n">
        <v>1050</v>
      </c>
      <c r="M3" s="52" t="inlineStr">
        <is>
          <t>With 200 new solar water heaters installed, the total number of water heaters 210 in the Machakhela Protected Landscape (MPL) reaches at least 210 (including baseline). 1,050 MPL residents with access to the solar heatedwater during the warm months of the year</t>
        </is>
      </c>
      <c r="N3" s="30" t="n"/>
      <c r="O3" s="30" t="n"/>
      <c r="P3" s="106" t="n"/>
      <c r="Q3" s="70" t="inlineStr">
        <is>
          <t>Close the gap on energy access</t>
        </is>
      </c>
      <c r="R3" s="106" t="n"/>
      <c r="S3" s="106" t="n"/>
      <c r="T3" s="106" t="n"/>
      <c r="U3" s="106" t="n"/>
      <c r="V3" s="35" t="n"/>
      <c r="W3" s="106" t="n"/>
      <c r="X3" s="35" t="n"/>
    </row>
    <row r="4" ht="45.75" customHeight="1">
      <c r="A4" s="42" t="n"/>
      <c r="B4" s="53" t="n"/>
      <c r="C4" s="54" t="n"/>
      <c r="D4" s="55" t="n"/>
      <c r="E4" s="55" t="n"/>
      <c r="F4" s="55" t="n"/>
      <c r="G4" s="55" t="n"/>
      <c r="H4" s="55" t="n"/>
      <c r="I4" s="27" t="inlineStr">
        <is>
          <t>Energy (MW added)</t>
        </is>
      </c>
      <c r="J4" s="50" t="inlineStr">
        <is>
          <t>Number of on-grid solar power systems installed in the MPL</t>
        </is>
      </c>
      <c r="K4" s="51" t="n">
        <v>0</v>
      </c>
      <c r="L4" s="51" t="n">
        <v>0.196</v>
      </c>
      <c r="M4" s="56" t="inlineStr">
        <is>
          <t>70 on-grid solar power systems installed in the MPL (2.8kw each)</t>
        </is>
      </c>
      <c r="N4" s="30" t="n"/>
      <c r="O4" s="30" t="n"/>
      <c r="P4" s="106" t="n"/>
      <c r="Q4" s="70" t="inlineStr">
        <is>
          <t>Close the gap on energy access</t>
        </is>
      </c>
      <c r="R4" s="106" t="n"/>
      <c r="S4" s="106" t="n"/>
      <c r="T4" s="106" t="n"/>
      <c r="U4" s="106" t="n"/>
      <c r="V4" s="35" t="n"/>
      <c r="W4" s="106" t="n"/>
      <c r="X4" s="35" t="n"/>
    </row>
    <row r="5" ht="78.75" customHeight="1">
      <c r="A5" s="42" t="n"/>
      <c r="B5" s="53" t="n"/>
      <c r="C5" s="54" t="n"/>
      <c r="D5" s="55" t="n"/>
      <c r="E5" s="55" t="n"/>
      <c r="F5" s="55" t="n"/>
      <c r="G5" s="55" t="n"/>
      <c r="H5" s="55" t="n"/>
      <c r="I5" s="27" t="inlineStr">
        <is>
          <t>Other Energy Services</t>
        </is>
      </c>
      <c r="J5" s="50" t="inlineStr">
        <is>
          <t>Number of people benefiting from the on-grid solar systems with reduced electricity bill during the warm months of the year (disaggregated by: male, female, youth (15-24))</t>
        </is>
      </c>
      <c r="K5" s="51" t="n">
        <v>0</v>
      </c>
      <c r="L5" s="51" t="n">
        <v>300</v>
      </c>
      <c r="M5" s="56" t="inlineStr">
        <is>
          <t>at least 300 individuals benefiting from the on-grid_x000D_solar systems with reduced electricity bill</t>
        </is>
      </c>
      <c r="N5" s="30" t="n"/>
      <c r="O5" s="30" t="n"/>
      <c r="P5" s="106" t="n"/>
      <c r="Q5" s="70" t="inlineStr">
        <is>
          <t>Close the gap on energy access</t>
        </is>
      </c>
      <c r="R5" s="106" t="n"/>
      <c r="S5" s="106" t="n"/>
      <c r="T5" s="106" t="n"/>
      <c r="U5" s="106" t="n"/>
      <c r="V5" s="35" t="n"/>
      <c r="W5" s="106" t="n"/>
      <c r="X5" s="35" t="n"/>
    </row>
    <row r="6" ht="84.75" customHeight="1">
      <c r="A6" s="42" t="n"/>
      <c r="B6" s="53" t="n"/>
      <c r="C6" s="54" t="n"/>
      <c r="D6" s="55" t="n"/>
      <c r="E6" s="55" t="n"/>
      <c r="F6" s="55" t="n"/>
      <c r="G6" s="55" t="n"/>
      <c r="H6" s="55" t="n"/>
      <c r="I6" s="27" t="inlineStr">
        <is>
          <t>Policy or Regulatory Framework</t>
        </is>
      </c>
      <c r="J6" s="52" t="inlineStr">
        <is>
          <t>Feasibility of other alternatives (e.g. Biomass_x000D_production) assessed in the valley and/or adjacent_x000D_areas including technical, environmental, financial_x000D_management and market feasibilities</t>
        </is>
      </c>
      <c r="K6" s="51" t="n">
        <v>0</v>
      </c>
      <c r="L6" s="51" t="n"/>
      <c r="M6" s="56" t="inlineStr">
        <is>
          <t>Feasibility of other alternatives (e.g. Biomass_x000D_production) assessed in the valley and/or adjacent areas</t>
        </is>
      </c>
      <c r="N6" s="30" t="n"/>
      <c r="O6" s="30" t="n"/>
      <c r="P6" s="106" t="n"/>
      <c r="Q6" s="70" t="inlineStr">
        <is>
          <t>Close the gap on energy access</t>
        </is>
      </c>
      <c r="R6" s="106" t="inlineStr">
        <is>
          <t>Renewable Energy</t>
        </is>
      </c>
      <c r="S6" s="106" t="n"/>
      <c r="T6" s="106" t="inlineStr">
        <is>
          <t>Financing Model</t>
        </is>
      </c>
      <c r="U6" s="106" t="inlineStr">
        <is>
          <t>Renewable Energy</t>
        </is>
      </c>
      <c r="V6" s="35" t="n"/>
      <c r="W6" s="106" t="inlineStr">
        <is>
          <t>Community</t>
        </is>
      </c>
      <c r="X6" s="35" t="n">
        <v>3000</v>
      </c>
    </row>
    <row r="7" ht="90.75" customHeight="1">
      <c r="A7" s="43" t="n"/>
      <c r="B7" s="57" t="n"/>
      <c r="C7" s="58" t="n"/>
      <c r="D7" s="59" t="n"/>
      <c r="E7" s="59" t="n"/>
      <c r="F7" s="59" t="n"/>
      <c r="G7" s="59" t="n"/>
      <c r="H7" s="59" t="n"/>
      <c r="I7" s="27" t="inlineStr">
        <is>
          <t>Capacity Building Training</t>
        </is>
      </c>
      <c r="J7" s="50" t="inlineStr">
        <is>
          <t>Number of people involved in the awareness raising activities on alternative clean energy (e.g., biomass) production and utilization. (Disaggregated by: male, female, youth (15-24))</t>
        </is>
      </c>
      <c r="K7" s="51" t="n">
        <v>0</v>
      </c>
      <c r="L7" s="51" t="n">
        <v>1500</v>
      </c>
      <c r="M7" s="56" t="inlineStr">
        <is>
          <t>At least 1500, including beneficiaries of Activities 1 and 2</t>
        </is>
      </c>
      <c r="N7" s="30" t="n"/>
      <c r="O7" s="30" t="n"/>
      <c r="P7" s="106" t="n"/>
      <c r="Q7" s="70" t="inlineStr">
        <is>
          <t>Close the gap on energy access</t>
        </is>
      </c>
      <c r="R7" s="106" t="n"/>
      <c r="S7" s="106" t="n"/>
      <c r="T7" s="106" t="n"/>
      <c r="U7" s="106" t="n"/>
      <c r="V7" s="35" t="n"/>
      <c r="W7" s="106" t="n"/>
      <c r="X7" s="35" t="n"/>
    </row>
    <row r="8" ht="229.5" customHeight="1">
      <c r="A8" s="44" t="inlineStr">
        <is>
          <t>101419</t>
        </is>
      </c>
      <c r="B8" s="105" t="inlineStr">
        <is>
          <t>Improving Rural Development in Georgia (ENPARD 3)</t>
        </is>
      </c>
      <c r="C8" s="108" t="inlineStr">
        <is>
          <t>https://www.undp.org/georgia/projects/enpard-3</t>
        </is>
      </c>
      <c r="D8" s="61" t="n">
        <v>2000000</v>
      </c>
      <c r="E8" s="116" t="n"/>
      <c r="F8" s="116" t="n"/>
      <c r="G8" s="116" t="n"/>
      <c r="H8" s="61" t="inlineStr">
        <is>
          <t>Non-VF</t>
        </is>
      </c>
      <c r="I8" s="62" t="inlineStr">
        <is>
          <t>Water Services</t>
        </is>
      </c>
      <c r="J8" s="105" t="inlineStr">
        <is>
          <t>Increase Number of Households in targeted rural areas receiving direct incentives to improve energy efficiency and other climate-related benefits with support from the project</t>
        </is>
      </c>
      <c r="K8" s="105" t="n">
        <v>0</v>
      </c>
      <c r="L8" s="105" t="inlineStr">
        <is>
          <t>543 HH</t>
        </is>
      </c>
      <c r="M8" s="105" t="inlineStr">
        <is>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is>
      </c>
      <c r="N8" s="83" t="inlineStr">
        <is>
          <t>European Union, Georgia</t>
        </is>
      </c>
      <c r="O8" s="63" t="n"/>
      <c r="P8" s="106" t="n"/>
      <c r="Q8" s="70" t="inlineStr">
        <is>
          <t>Close the gap on energy access</t>
        </is>
      </c>
      <c r="R8" s="106" t="n"/>
      <c r="S8" s="106" t="n"/>
      <c r="T8" s="106" t="n"/>
      <c r="U8" s="106" t="n"/>
      <c r="V8" s="35" t="n"/>
      <c r="W8" s="106" t="n"/>
      <c r="X8" s="35" t="n"/>
    </row>
    <row r="9" ht="207" customHeight="1">
      <c r="A9" s="44" t="n"/>
      <c r="B9" s="105" t="n"/>
      <c r="C9" s="108" t="n"/>
      <c r="D9" s="61" t="n"/>
      <c r="E9" s="61" t="n"/>
      <c r="F9" s="61" t="n"/>
      <c r="G9" s="61" t="n"/>
      <c r="H9" s="61" t="n"/>
      <c r="I9" s="62" t="inlineStr">
        <is>
          <t>Energy (MW added)</t>
        </is>
      </c>
      <c r="J9" s="105" t="inlineStr">
        <is>
          <t>Installed capacity in MW for access/productive-use outputs</t>
        </is>
      </c>
      <c r="K9" s="117" t="n">
        <v>0</v>
      </c>
      <c r="L9" s="117" t="n"/>
      <c r="M9" s="105" t="n"/>
      <c r="N9" s="83" t="n"/>
      <c r="O9" s="63" t="n"/>
      <c r="P9" s="106" t="n"/>
      <c r="Q9" s="70" t="n"/>
      <c r="R9" s="106" t="n"/>
      <c r="S9" s="106" t="n"/>
      <c r="T9" s="106" t="n"/>
      <c r="U9" s="106" t="n"/>
      <c r="V9" s="35" t="n"/>
      <c r="W9" s="106" t="n"/>
      <c r="X9" s="35" t="n"/>
    </row>
    <row r="10">
      <c r="A10" s="77" t="inlineStr">
        <is>
          <t>141162</t>
        </is>
      </c>
      <c r="B10" s="104" t="inlineStr">
        <is>
          <t xml:space="preserve">Support to sustainable and climate-friendly forest management practices in Georgia  </t>
        </is>
      </c>
      <c r="C10" s="19" t="inlineStr">
        <is>
          <t>https://www.undp.org/georgia/projects/sustainable-forest-management</t>
        </is>
      </c>
      <c r="D10" s="109" t="n">
        <v>926659</v>
      </c>
      <c r="E10" s="118" t="n"/>
      <c r="F10" s="118" t="n"/>
      <c r="G10" s="118" t="n"/>
      <c r="H10" s="109" t="inlineStr">
        <is>
          <t>Non-VF</t>
        </is>
      </c>
      <c r="I10" s="20" t="inlineStr">
        <is>
          <t>Clean Cooking</t>
        </is>
      </c>
      <c r="J10" s="34" t="inlineStr">
        <is>
          <t xml:space="preserve">Public awareness campaign on the importance of SFM, BSY and energy efficiency is conducted in Mtskheta municipality ;                                  # of socially vulnerable households equipped with energy-efficient equipment/technologies and trained in the usage                  </t>
        </is>
      </c>
      <c r="K10" s="21" t="n">
        <v>0</v>
      </c>
      <c r="L10" s="21" t="inlineStr">
        <is>
          <t>50 HH</t>
        </is>
      </c>
      <c r="M10" s="21" t="inlineStr">
        <is>
          <t>Yes                             At least 50 socially vulnerable households of Mtskheta Municipality are equiped with EE stoves and trained in the usage</t>
        </is>
      </c>
      <c r="N10" s="35" t="n"/>
      <c r="O10" s="30" t="n"/>
      <c r="P10" s="106" t="n"/>
      <c r="Q10" s="70" t="inlineStr">
        <is>
          <t>Close the gap on energy access</t>
        </is>
      </c>
      <c r="R10" s="106" t="n"/>
      <c r="S10" s="106" t="n"/>
      <c r="T10" s="106" t="n"/>
      <c r="U10" s="106" t="n"/>
      <c r="V10" s="35" t="n"/>
      <c r="W10" s="106" t="n"/>
      <c r="X10" s="35" t="n"/>
    </row>
    <row r="11">
      <c r="A11" s="77" t="n"/>
      <c r="B11" s="104" t="n"/>
      <c r="C11" s="19" t="n"/>
      <c r="D11" s="109" t="n"/>
      <c r="E11" s="109" t="n"/>
      <c r="F11" s="109" t="n"/>
      <c r="G11" s="109" t="n"/>
      <c r="H11" s="109" t="n"/>
      <c r="I11" s="20" t="inlineStr">
        <is>
          <t>Energy (MW added)</t>
        </is>
      </c>
      <c r="J11" s="34" t="inlineStr">
        <is>
          <t>Installed capacity in MW for access/productive-use outputs</t>
        </is>
      </c>
      <c r="K11" s="119" t="n">
        <v>0</v>
      </c>
      <c r="L11" s="119" t="n"/>
      <c r="M11" s="21" t="n"/>
      <c r="N11" s="35" t="n"/>
      <c r="O11" s="30" t="n"/>
      <c r="P11" s="106" t="n"/>
      <c r="Q11" s="70" t="n"/>
      <c r="R11" s="106" t="n"/>
      <c r="S11" s="106" t="n"/>
      <c r="T11" s="106" t="n"/>
      <c r="U11" s="106" t="n"/>
      <c r="V11" s="35" t="n"/>
      <c r="W11" s="106" t="n"/>
      <c r="X11" s="35" t="n"/>
    </row>
  </sheetData>
  <dataValidations count="10">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 Overall"</formula1>
    </dataValidation>
    <dataValidation sqref="L2:L9" showDropDown="0" showInputMessage="1" showErrorMessage="1" allowBlank="1" type="list">
      <formula1>"Non-VF, VF"</formula1>
    </dataValidation>
    <dataValidation sqref="M2:M9" showDropDown="0" showInputMessage="1" showErrorMessage="1" allowBlank="1" type="list">
      <formula1>"Finance, Gender, Efficiency, Just, Health"</formula1>
    </dataValidation>
    <dataValidation sqref="T2:T9" showDropDown="0" showInputMessage="1" showErrorMessage="1" allowBlank="1" type="list">
      <formula1>"National, Regional, City, Community"</formula1>
    </dataValidation>
    <dataValidation sqref="P2:P9" showDropDown="0" showInputMessage="1" showErrorMessage="1" allowBlank="1" type="list">
      <formula1>"AMP, PUDC, Solar4Health, Action Opportunities, Italy UNDP Energy Partnership"</formula1>
    </dataValidation>
    <dataValidation sqref="S2:S9" showDropDown="0" showInputMessage="1" showErrorMessage="1" allowBlank="1" type="list">
      <formula1>"Solar, Wind, Bioenergy, Hydro, Geothermal, Waste, Some Sources, Other, Unknown"</formula1>
    </dataValidation>
    <dataValidation sqref="R2:R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8" r:id="rId3"/>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3" sqref="A3:A7"/>
    </sheetView>
  </sheetViews>
  <sheetFormatPr baseColWidth="8" defaultRowHeight="15"/>
  <cols>
    <col width="10.28515625" customWidth="1" min="1" max="1"/>
    <col width="21.28515625" customWidth="1" min="2" max="2"/>
    <col width="20.7109375" customWidth="1" min="3" max="3"/>
    <col width="9.85546875" bestFit="1" customWidth="1" min="4" max="4"/>
    <col width="20.7109375" customWidth="1" min="5" max="5"/>
    <col width="29" customWidth="1" min="6" max="6"/>
    <col width="12.7109375" customWidth="1" min="7" max="7"/>
    <col width="17.42578125" customWidth="1" min="8" max="8"/>
    <col width="32.7109375" customWidth="1" min="9" max="9"/>
  </cols>
  <sheetData>
    <row r="1">
      <c r="A1" s="26" t="inlineStr">
        <is>
          <t>Project ID</t>
        </is>
      </c>
      <c r="B1" s="26" t="inlineStr">
        <is>
          <t>Title</t>
        </is>
      </c>
      <c r="C1" s="26" t="inlineStr">
        <is>
          <t>Link</t>
        </is>
      </c>
      <c r="D1" s="26" t="inlineStr">
        <is>
          <t>Budget</t>
        </is>
      </c>
      <c r="E1" s="26" t="inlineStr">
        <is>
          <t>Beneficiary Category</t>
        </is>
      </c>
      <c r="F1" s="26" t="inlineStr">
        <is>
          <t>Indicator</t>
        </is>
      </c>
      <c r="G1" s="26" t="inlineStr">
        <is>
          <t>Baseline</t>
        </is>
      </c>
      <c r="H1" s="26" t="inlineStr">
        <is>
          <t>Target</t>
        </is>
      </c>
      <c r="I1" s="26" t="inlineStr">
        <is>
          <t>Notes</t>
        </is>
      </c>
      <c r="J1" s="25" t="inlineStr">
        <is>
          <t>Donors</t>
        </is>
      </c>
      <c r="K1" s="25" t="inlineStr">
        <is>
          <t>Gender (% female)</t>
        </is>
      </c>
      <c r="L1" s="25" t="inlineStr">
        <is>
          <t>Category</t>
        </is>
      </c>
    </row>
    <row r="2" ht="24" customHeight="1">
      <c r="A2" s="27" t="n">
        <v>145011</v>
      </c>
      <c r="B2" s="27" t="inlineStr">
        <is>
          <t>JP Food/Energy Resilience</t>
        </is>
      </c>
      <c r="C2" s="72" t="inlineStr">
        <is>
          <t>http://open.undp.org/projects/00145011</t>
        </is>
      </c>
      <c r="D2" s="27" t="n">
        <v>99070</v>
      </c>
      <c r="E2" s="29" t="n"/>
      <c r="F2" s="29" t="n"/>
      <c r="G2" s="29" t="n"/>
      <c r="H2" s="29" t="n"/>
      <c r="I2" s="29" t="n"/>
      <c r="J2" s="30" t="n"/>
      <c r="K2" s="30" t="n"/>
      <c r="L2" s="35" t="inlineStr">
        <is>
          <t>Non-VF</t>
        </is>
      </c>
    </row>
    <row r="3" ht="66" customHeight="1">
      <c r="A3" s="73" t="n">
        <v>1000347</v>
      </c>
      <c r="B3" s="74" t="inlineStr">
        <is>
          <t>Renewable Energy for Sustainable Forest Management and Community Resilience in Machakhela Protected Areas</t>
        </is>
      </c>
      <c r="C3" s="75" t="inlineStr">
        <is>
          <t>https://www.undp.org/georgia/projects/machakhela-forest-management</t>
        </is>
      </c>
      <c r="D3" s="76" t="n">
        <v>450000</v>
      </c>
      <c r="E3" s="102" t="inlineStr">
        <is>
          <t>Water Services</t>
        </is>
      </c>
      <c r="F3" s="31" t="inlineStr">
        <is>
          <t>Number of Machakhela Protected Landscape residents with access to the solar heated water during the warm months of the year (disaggregated by: male, female, youth (15- 24))</t>
        </is>
      </c>
      <c r="G3" s="8" t="n">
        <v>50</v>
      </c>
      <c r="H3" s="8" t="n">
        <v>1050</v>
      </c>
      <c r="I3" s="32" t="inlineStr">
        <is>
          <t>With 200 new solar water heaters installed, the total number of water heaters 210 in the Machakhela Protected Landscape (MPL) reaches at least 210 (including baseline). 1,050 MPL residents with access to the solar heatedwater during the warm months of the year</t>
        </is>
      </c>
      <c r="J3" s="30" t="n"/>
      <c r="K3" s="30" t="n"/>
      <c r="L3" s="106" t="inlineStr">
        <is>
          <t>Non-VF</t>
        </is>
      </c>
    </row>
    <row r="4" ht="38.25" customHeight="1">
      <c r="A4" s="120" t="n"/>
      <c r="B4" s="120" t="n"/>
      <c r="C4" s="120" t="n"/>
      <c r="D4" s="120" t="n"/>
      <c r="E4" s="102" t="inlineStr">
        <is>
          <t>Energy (MW added)</t>
        </is>
      </c>
      <c r="F4" s="31" t="inlineStr">
        <is>
          <t>Number of on-grid solar power systems installed in the MPL</t>
        </is>
      </c>
      <c r="G4" s="8" t="n"/>
      <c r="H4" s="8" t="inlineStr">
        <is>
          <t>Covered by other indicators</t>
        </is>
      </c>
      <c r="I4" s="33" t="inlineStr">
        <is>
          <t>70 on-grid solar power systems installed in the MPL</t>
        </is>
      </c>
      <c r="J4" s="30" t="n"/>
      <c r="K4" s="30" t="n"/>
      <c r="L4" s="120" t="n"/>
    </row>
    <row r="5" ht="78.75" customHeight="1">
      <c r="A5" s="120" t="n"/>
      <c r="B5" s="120" t="n"/>
      <c r="C5" s="120" t="n"/>
      <c r="D5" s="120" t="n"/>
      <c r="E5" s="102" t="inlineStr">
        <is>
          <t>Other Energy Services</t>
        </is>
      </c>
      <c r="F5" s="31" t="inlineStr">
        <is>
          <t>Number of people benefiting from the on-grid solar systems with reduced electricity bill during the warm months of the year (disaggregated by: male, female, youth (15-24))</t>
        </is>
      </c>
      <c r="G5" s="8" t="n">
        <v>0</v>
      </c>
      <c r="H5" s="8" t="n">
        <v>300</v>
      </c>
      <c r="I5" s="33" t="inlineStr">
        <is>
          <t>at least 300 individuals benefiting from the on-grid_x000D_solar systems with reduced electricity bill</t>
        </is>
      </c>
      <c r="J5" s="30" t="n"/>
      <c r="K5" s="30" t="n"/>
      <c r="L5" s="120" t="n"/>
    </row>
    <row r="6" ht="84.75" customHeight="1">
      <c r="A6" s="120" t="n"/>
      <c r="B6" s="120" t="n"/>
      <c r="C6" s="120" t="n"/>
      <c r="D6" s="120" t="n"/>
      <c r="E6" s="102" t="inlineStr">
        <is>
          <t>Policy or Regulatory Framework</t>
        </is>
      </c>
      <c r="F6" s="32" t="inlineStr">
        <is>
          <t>Feasibility of other alternatives (e.g. Biomass_x000D_production) assessed in the valley and/or adjacent_x000D_areas including technical, environmental, financial_x000D_management and market feasibilities</t>
        </is>
      </c>
      <c r="G6" s="8" t="n">
        <v>0</v>
      </c>
      <c r="H6" s="8" t="n"/>
      <c r="I6" s="33" t="inlineStr">
        <is>
          <t>Feasibility of other alternatives (e.g. Biomass_x000D_production) assessed in the valley and/or adjacent areas</t>
        </is>
      </c>
      <c r="J6" s="30" t="n"/>
      <c r="K6" s="30" t="n"/>
      <c r="L6" s="120" t="n"/>
    </row>
    <row r="7" ht="90.75" customHeight="1">
      <c r="A7" s="121" t="n"/>
      <c r="B7" s="121" t="n"/>
      <c r="C7" s="121" t="n"/>
      <c r="D7" s="121" t="n"/>
      <c r="E7" s="102" t="inlineStr">
        <is>
          <t>Capacity Training</t>
        </is>
      </c>
      <c r="F7" s="31" t="inlineStr">
        <is>
          <t>Number of people involved in the awareness raising activities on alternative clean energy (e.g., biomass) production and utilization. (Disaggregated by: male, female, youth (15-24))</t>
        </is>
      </c>
      <c r="G7" s="8" t="n">
        <v>0</v>
      </c>
      <c r="H7" s="8" t="n">
        <v>1500</v>
      </c>
      <c r="I7" s="33" t="inlineStr">
        <is>
          <t>At least 1500, including beneficiaries of Activities 1 and 2</t>
        </is>
      </c>
      <c r="J7" s="30" t="n"/>
      <c r="K7" s="30" t="n"/>
      <c r="L7" s="121" t="n"/>
    </row>
    <row r="8">
      <c r="A8" s="77" t="inlineStr">
        <is>
          <t>00101419</t>
        </is>
      </c>
      <c r="B8" s="78" t="inlineStr">
        <is>
          <t>Improving Rural Development in Georgia (ENPARD 3)</t>
        </is>
      </c>
      <c r="C8" s="79" t="inlineStr">
        <is>
          <t>https://www.undp.org/georgia/projects/enpard-3</t>
        </is>
      </c>
      <c r="D8" s="80" t="n">
        <v>2000000</v>
      </c>
      <c r="E8" s="82" t="inlineStr">
        <is>
          <t>Water Services</t>
        </is>
      </c>
      <c r="F8" s="78" t="inlineStr">
        <is>
          <t>Increase Number of Households in targeted rural areas receiving direct incentives to improve energy efficiency and other climate-related benefits with support from the project</t>
        </is>
      </c>
      <c r="G8" s="78" t="n">
        <v>0</v>
      </c>
      <c r="H8" s="78" t="n">
        <v>400</v>
      </c>
      <c r="I8" s="78" t="inlineStr">
        <is>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is>
      </c>
      <c r="J8" s="81" t="n"/>
      <c r="K8" s="122" t="n"/>
      <c r="L8" s="122" t="inlineStr">
        <is>
          <t>Non-VF</t>
        </is>
      </c>
    </row>
    <row r="9">
      <c r="A9" s="120" t="n"/>
      <c r="B9" s="120" t="n"/>
      <c r="C9" s="120" t="n"/>
      <c r="D9" s="120" t="n"/>
      <c r="E9" s="120" t="n"/>
      <c r="F9" s="120" t="n"/>
      <c r="G9" s="120" t="n"/>
      <c r="H9" s="120" t="n"/>
      <c r="I9" s="120" t="n"/>
      <c r="J9" s="120" t="n"/>
      <c r="K9" s="120" t="n"/>
      <c r="L9" s="120" t="n"/>
    </row>
    <row r="10">
      <c r="A10" s="120" t="n"/>
      <c r="B10" s="120" t="n"/>
      <c r="C10" s="120" t="n"/>
      <c r="D10" s="120" t="n"/>
      <c r="E10" s="120" t="n"/>
      <c r="F10" s="120" t="n"/>
      <c r="G10" s="120" t="n"/>
      <c r="H10" s="120" t="n"/>
      <c r="I10" s="120" t="n"/>
      <c r="J10" s="120" t="n"/>
      <c r="K10" s="120" t="n"/>
      <c r="L10" s="120" t="n"/>
    </row>
    <row r="11">
      <c r="A11" s="120" t="n"/>
      <c r="B11" s="120" t="n"/>
      <c r="C11" s="120" t="n"/>
      <c r="D11" s="120" t="n"/>
      <c r="E11" s="120" t="n"/>
      <c r="F11" s="120" t="n"/>
      <c r="G11" s="120" t="n"/>
      <c r="H11" s="120" t="n"/>
      <c r="I11" s="120" t="n"/>
      <c r="J11" s="120" t="n"/>
      <c r="K11" s="120" t="n"/>
      <c r="L11" s="120" t="n"/>
    </row>
    <row r="12" ht="169.5" customFormat="1" customHeight="1" s="37">
      <c r="A12" s="121" t="n"/>
      <c r="B12" s="121" t="n"/>
      <c r="C12" s="121" t="n"/>
      <c r="D12" s="121" t="n"/>
      <c r="E12" s="121" t="n"/>
      <c r="F12" s="121" t="n"/>
      <c r="G12" s="121" t="n"/>
      <c r="H12" s="121" t="n"/>
      <c r="I12" s="121" t="n"/>
      <c r="J12" s="121" t="n"/>
      <c r="K12" s="121" t="n"/>
      <c r="L12" s="121" t="n"/>
    </row>
    <row r="13" ht="207" customHeight="1">
      <c r="A13" s="77" t="inlineStr">
        <is>
          <t>00141162</t>
        </is>
      </c>
      <c r="B13" s="104" t="inlineStr">
        <is>
          <t xml:space="preserve">Support to sustainable and climate-friendly forest management practices in Georgia  </t>
        </is>
      </c>
      <c r="C13" s="19" t="inlineStr">
        <is>
          <t>https://www.undp.org/georgia/projects/sustainable-forest-management</t>
        </is>
      </c>
      <c r="D13" s="109" t="inlineStr">
        <is>
          <t>926 659</t>
        </is>
      </c>
      <c r="E13" s="20" t="inlineStr">
        <is>
          <t>Clean Cooking</t>
        </is>
      </c>
      <c r="F13" s="34" t="inlineStr">
        <is>
          <t xml:space="preserve">Public awareness campaign on the importance of SFM, BSY and energy efficiency is conducted in Mtskheta municipality ;                                  # of socially vulnerable households equipped with energy-efficient equipment/technologies and trained in the usage                  </t>
        </is>
      </c>
      <c r="G13" s="21" t="n">
        <v>0</v>
      </c>
      <c r="H13" s="21" t="n">
        <v>50</v>
      </c>
      <c r="I13" s="21" t="inlineStr">
        <is>
          <t>Yes                             At least 50 socially vulnerable households of Mtskheta Municipality are equiped with EE stoves and trained in the usage</t>
        </is>
      </c>
      <c r="J13" s="35" t="n"/>
      <c r="K13" s="30" t="n"/>
      <c r="L13" s="30" t="inlineStr">
        <is>
          <t>Non-VF</t>
        </is>
      </c>
    </row>
  </sheetData>
  <mergeCells count="17">
    <mergeCell ref="H8:H12"/>
    <mergeCell ref="D8:D12"/>
    <mergeCell ref="D3:D7"/>
    <mergeCell ref="A8:A12"/>
    <mergeCell ref="E8:E12"/>
    <mergeCell ref="C8:C12"/>
    <mergeCell ref="B8:B12"/>
    <mergeCell ref="I8:I12"/>
    <mergeCell ref="F8:F12"/>
    <mergeCell ref="G8:G12"/>
    <mergeCell ref="L3:L7"/>
    <mergeCell ref="J8:J12"/>
    <mergeCell ref="K8:K12"/>
    <mergeCell ref="L8:L12"/>
    <mergeCell ref="A3:A7"/>
    <mergeCell ref="B3:B7"/>
    <mergeCell ref="C3:C7"/>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8" display="https://www.undp.org/georgia/projects/enpard-3" r:id="rId3"/>
    <hyperlink xmlns:r="http://schemas.openxmlformats.org/officeDocument/2006/relationships" ref="C13" r:id="rId4"/>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4"/>
  <sheetViews>
    <sheetView topLeftCell="K4" workbookViewId="0">
      <selection activeCell="K4" sqref="K4"/>
    </sheetView>
  </sheetViews>
  <sheetFormatPr baseColWidth="8" defaultRowHeight="15"/>
  <cols>
    <col width="10.28515625" customWidth="1" min="1" max="1"/>
    <col width="21.28515625" customWidth="1" min="2" max="2"/>
    <col width="20.7109375" customWidth="1" min="3" max="3"/>
    <col width="9.85546875" bestFit="1" customWidth="1" min="4" max="4"/>
    <col width="20.7109375" customWidth="1" min="5" max="5"/>
    <col width="29" customWidth="1" min="6" max="6"/>
    <col width="12.7109375" customWidth="1" min="7" max="7"/>
    <col width="17.42578125" customWidth="1" min="8"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4" t="inlineStr">
        <is>
          <t>Donors</t>
        </is>
      </c>
    </row>
    <row r="2" ht="24" customHeight="1">
      <c r="A2" s="9" t="n">
        <v>145011</v>
      </c>
      <c r="B2" s="9" t="inlineStr">
        <is>
          <t>JP Food/Energy Resilience</t>
        </is>
      </c>
      <c r="C2" s="10" t="inlineStr">
        <is>
          <t>http://open.undp.org/projects/00145011</t>
        </is>
      </c>
      <c r="D2" s="9" t="n">
        <v>99070</v>
      </c>
      <c r="E2" s="2" t="n"/>
      <c r="F2" s="2" t="n"/>
      <c r="G2" s="2" t="n"/>
      <c r="H2" s="2" t="n"/>
      <c r="I2" s="2" t="n"/>
    </row>
    <row r="3" ht="66" customHeight="1">
      <c r="A3" s="92" t="n">
        <v>1000347</v>
      </c>
      <c r="B3" s="95" t="inlineStr">
        <is>
          <t>Renewable Energy for Sustainable Forest Management and Community Resilience in Machakhela Protected Areas</t>
        </is>
      </c>
      <c r="C3" s="97" t="inlineStr">
        <is>
          <t>https://www.undp.org/georgia/projects/machakhela-forest-management</t>
        </is>
      </c>
      <c r="D3" s="99" t="n">
        <v>450000</v>
      </c>
      <c r="E3" s="101" t="inlineStr">
        <is>
          <t>Energy (MW added)</t>
        </is>
      </c>
      <c r="F3" s="3" t="inlineStr">
        <is>
          <t>Number of solar water heaters installed in the Machakhela Protected Landscape (MPL)</t>
        </is>
      </c>
      <c r="G3" s="7" t="n">
        <v>10</v>
      </c>
      <c r="H3" s="7" t="n">
        <v>200</v>
      </c>
      <c r="I3" s="11" t="inlineStr">
        <is>
          <t>With 200 new solar water heaters installed, the total number of water heaters 210 in the Machakhela Protected Landscape (MPL) reaches at least 210 (including baseline)</t>
        </is>
      </c>
    </row>
    <row r="4" ht="72.75" customHeight="1">
      <c r="A4" s="123" t="n"/>
      <c r="B4" s="120" t="n"/>
      <c r="C4" s="120" t="n"/>
      <c r="D4" s="120" t="n"/>
      <c r="E4" s="120" t="n"/>
      <c r="F4" s="4" t="inlineStr">
        <is>
          <t>Number of Machakhela Protected Landscape residents with access to the solar heated water during the warm months of the year (disaggregated by: male, female, youth (15- 24))</t>
        </is>
      </c>
      <c r="G4" s="8" t="n">
        <v>50</v>
      </c>
      <c r="H4" s="8" t="n">
        <v>1050</v>
      </c>
      <c r="I4" s="12" t="inlineStr">
        <is>
          <t>1,050 MPL residents with access to the solar heated_x000D_water during the warm months of the year</t>
        </is>
      </c>
    </row>
    <row r="5" ht="35.25" customHeight="1">
      <c r="A5" s="123" t="n"/>
      <c r="B5" s="120" t="n"/>
      <c r="C5" s="120" t="n"/>
      <c r="D5" s="120" t="n"/>
      <c r="E5" s="120" t="n"/>
      <c r="F5" s="4" t="inlineStr">
        <is>
          <t>Number of on-grid solar power systems installed in the MPL</t>
        </is>
      </c>
      <c r="G5" s="8" t="n">
        <v>0</v>
      </c>
      <c r="H5" s="8" t="n">
        <v>70</v>
      </c>
      <c r="I5" s="5" t="inlineStr">
        <is>
          <t>70 on-grid solar power systems installed in the MPL</t>
        </is>
      </c>
    </row>
    <row r="6" ht="78.75" customHeight="1">
      <c r="A6" s="123" t="n"/>
      <c r="B6" s="120" t="n"/>
      <c r="C6" s="120" t="n"/>
      <c r="D6" s="120" t="n"/>
      <c r="E6" s="120" t="n"/>
      <c r="F6" s="4" t="inlineStr">
        <is>
          <t>Number of people benefiting from the on-grid solar systems with reduced electricity bill during the warm months of the year (disaggregated by: male, female, youth (15-24))</t>
        </is>
      </c>
      <c r="G6" s="8" t="n">
        <v>0</v>
      </c>
      <c r="H6" s="8" t="n">
        <v>300</v>
      </c>
      <c r="I6" s="5" t="inlineStr">
        <is>
          <t>at least 300 individuals benefiting from the on-grid_x000D_solar systems with reduced electricity bill</t>
        </is>
      </c>
    </row>
    <row r="7" ht="84.75" customHeight="1">
      <c r="A7" s="123" t="n"/>
      <c r="B7" s="120" t="n"/>
      <c r="C7" s="120" t="n"/>
      <c r="D7" s="120" t="n"/>
      <c r="E7" s="120" t="n"/>
      <c r="F7" s="6" t="inlineStr">
        <is>
          <t>Feasibility of other alternatives (e.g. Biomass_x000D_production) assessed in the valley and/or adjacent_x000D_areas including technical, environmental, financial_x000D_management and market feasibilities</t>
        </is>
      </c>
      <c r="G7" s="8" t="inlineStr">
        <is>
          <t>No</t>
        </is>
      </c>
      <c r="H7" s="8" t="inlineStr">
        <is>
          <t xml:space="preserve">Yes </t>
        </is>
      </c>
      <c r="I7" s="5" t="inlineStr">
        <is>
          <t>Feasibility of other alternatives (e.g. Biomass_x000D_production) assessed in the valley and/or adjacent areas</t>
        </is>
      </c>
    </row>
    <row r="8" ht="90.75" customHeight="1">
      <c r="A8" s="124" t="n"/>
      <c r="B8" s="121" t="n"/>
      <c r="C8" s="121" t="n"/>
      <c r="D8" s="121" t="n"/>
      <c r="E8" s="121" t="n"/>
      <c r="F8" s="13" t="inlineStr">
        <is>
          <t>Number of people involved in the awareness raising activities on alternative clean energy (e.g., biomass) production and utilization. (Disaggregated by: male, female, youth (15-24))</t>
        </is>
      </c>
      <c r="G8" s="14" t="n">
        <v>0</v>
      </c>
      <c r="H8" s="14" t="n">
        <v>1500</v>
      </c>
      <c r="I8" s="15" t="inlineStr">
        <is>
          <t>At least 1500, including beneficiaries of Activities 1 and 2</t>
        </is>
      </c>
    </row>
    <row r="9">
      <c r="A9" s="106" t="inlineStr">
        <is>
          <t>*00101419</t>
        </is>
      </c>
      <c r="B9" s="104" t="inlineStr">
        <is>
          <t>Improving Rural Development in Georgia (ENPARD 3)</t>
        </is>
      </c>
      <c r="C9" s="107" t="inlineStr">
        <is>
          <t>https://www.undp.org/georgia/projects/enpard-3</t>
        </is>
      </c>
      <c r="D9" s="109" t="n">
        <v>2000000</v>
      </c>
      <c r="E9" s="110" t="inlineStr">
        <is>
          <t>Electricity Access Energy (MW added)</t>
        </is>
      </c>
      <c r="F9" s="104" t="inlineStr">
        <is>
          <t>Increase Number of Households in targeted rural areas receiving direct incentives to improve energy efficiency and other climate-related benefits with support from the project</t>
        </is>
      </c>
      <c r="G9" s="104" t="n">
        <v>0</v>
      </c>
      <c r="H9" s="104" t="n">
        <v>400</v>
      </c>
      <c r="I9" s="104" t="inlineStr">
        <is>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5430 rural households installed various EE/RE technologies such as Solar Water Heaters, Solar Panels, and thermal insulation of the houses.</t>
        </is>
      </c>
    </row>
    <row r="10">
      <c r="A10" s="120" t="n"/>
      <c r="B10" s="120" t="n"/>
      <c r="C10" s="120" t="n"/>
      <c r="D10" s="120" t="n"/>
      <c r="E10" s="120" t="n"/>
      <c r="F10" s="120" t="n"/>
      <c r="G10" s="120" t="n"/>
      <c r="H10" s="120" t="n"/>
      <c r="I10" s="120" t="n"/>
    </row>
    <row r="11">
      <c r="A11" s="120" t="n"/>
      <c r="B11" s="120" t="n"/>
      <c r="C11" s="120" t="n"/>
      <c r="D11" s="120" t="n"/>
      <c r="E11" s="120" t="n"/>
      <c r="F11" s="120" t="n"/>
      <c r="G11" s="120" t="n"/>
      <c r="H11" s="120" t="n"/>
      <c r="I11" s="120" t="n"/>
    </row>
    <row r="12">
      <c r="A12" s="120" t="n"/>
      <c r="B12" s="120" t="n"/>
      <c r="C12" s="120" t="n"/>
      <c r="D12" s="120" t="n"/>
      <c r="E12" s="120" t="n"/>
      <c r="F12" s="120" t="n"/>
      <c r="G12" s="120" t="n"/>
      <c r="H12" s="120" t="n"/>
      <c r="I12" s="120" t="n"/>
    </row>
    <row r="13" ht="169.5" customHeight="1">
      <c r="A13" s="121" t="n"/>
      <c r="B13" s="121" t="n"/>
      <c r="C13" s="121" t="n"/>
      <c r="D13" s="121" t="n"/>
      <c r="E13" s="121" t="n"/>
      <c r="F13" s="121" t="n"/>
      <c r="G13" s="121" t="n"/>
      <c r="H13" s="121" t="n"/>
      <c r="I13" s="121" t="n"/>
    </row>
    <row r="14" ht="207" customHeight="1">
      <c r="A14" s="106" t="inlineStr">
        <is>
          <t xml:space="preserve">*00141162 </t>
        </is>
      </c>
      <c r="B14" s="104" t="inlineStr">
        <is>
          <t xml:space="preserve">Support to sustainable and climate-friendly forest management practices in Georgia  </t>
        </is>
      </c>
      <c r="C14" s="19" t="inlineStr">
        <is>
          <t>https://www.undp.org/georgia/projects/sustainable-forest-management</t>
        </is>
      </c>
      <c r="D14" s="109" t="inlineStr">
        <is>
          <t>926 659</t>
        </is>
      </c>
      <c r="E14" s="20" t="inlineStr">
        <is>
          <t>Education Services; Other Energy services</t>
        </is>
      </c>
      <c r="F14" s="22" t="inlineStr">
        <is>
          <t xml:space="preserve">Public awareness campaign on the importance of SFM, BSY and energy efficiency is conducted in Mtskheta municipality ;                                  # of socially vulnerable households equipped with energy-efficient equipment/technologies and trained in the usage                  </t>
        </is>
      </c>
      <c r="G14" s="21" t="inlineStr">
        <is>
          <t>No</t>
        </is>
      </c>
      <c r="H14" s="21" t="n">
        <v>50</v>
      </c>
      <c r="I14" s="21" t="inlineStr">
        <is>
          <t>Yes                             At least 50 socially vulnerable households of Mtskheta Municipality are equiped with EE stoves and trained in the usage</t>
        </is>
      </c>
    </row>
  </sheetData>
  <mergeCells count="14">
    <mergeCell ref="C9:C13"/>
    <mergeCell ref="D9:D13"/>
    <mergeCell ref="C3:C8"/>
    <mergeCell ref="F9:F13"/>
    <mergeCell ref="A3:A8"/>
    <mergeCell ref="A9:A13"/>
    <mergeCell ref="B9:B13"/>
    <mergeCell ref="E9:E13"/>
    <mergeCell ref="B3:B8"/>
    <mergeCell ref="I9:I13"/>
    <mergeCell ref="D3:D8"/>
    <mergeCell ref="E3:E8"/>
    <mergeCell ref="G9:G13"/>
    <mergeCell ref="H9:H13"/>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9" display="https://www.undp.org/georgia/projects/enpard-3" r:id="rId3"/>
    <hyperlink xmlns:r="http://schemas.openxmlformats.org/officeDocument/2006/relationships" ref="C14" r:id="rId4"/>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3" sqref="A13"/>
    </sheetView>
  </sheetViews>
  <sheetFormatPr baseColWidth="8" defaultRowHeight="15"/>
  <cols>
    <col width="36" customWidth="1" min="1" max="2"/>
    <col width="110" customWidth="1" min="2" max="2"/>
  </cols>
  <sheetData>
    <row r="1">
      <c r="A1" s="125" t="inlineStr">
        <is>
          <t>Beneficiary Category</t>
        </is>
      </c>
      <c r="B1" s="125" t="inlineStr">
        <is>
          <t>Indicator</t>
        </is>
      </c>
    </row>
    <row r="2" ht="45.75" customHeight="1">
      <c r="A2" s="126" t="inlineStr">
        <is>
          <t>Electricity Access</t>
        </is>
      </c>
      <c r="B2" s="126" t="inlineStr">
        <is>
          <t>Number of people, disaggregated by sex, who gain access to clean electricity (direct access to electricity, lighting, cooling, etc.).</t>
        </is>
      </c>
    </row>
    <row r="3">
      <c r="A3" s="126" t="inlineStr">
        <is>
          <t>Energy (MW added)</t>
        </is>
      </c>
      <c r="B3" s="126" t="inlineStr">
        <is>
          <t>Installed renewable or clean-energy power capacity added, in MW.</t>
        </is>
      </c>
    </row>
    <row r="4" ht="30.75" customHeight="1">
      <c r="A4" s="126" t="inlineStr">
        <is>
          <t>Energy Storage (MW)</t>
        </is>
      </c>
      <c r="B4" s="126" t="inlineStr">
        <is>
          <t>Installed energy storage power capacity added, in MW.</t>
        </is>
      </c>
    </row>
    <row r="5" ht="30.75" customHeight="1">
      <c r="A5" s="126" t="inlineStr">
        <is>
          <t>Clean Cooking</t>
        </is>
      </c>
      <c r="B5" s="126" t="inlineStr">
        <is>
          <t>Number of people who gain access to clean cooking (direct access to clean cook stoves, clean fuels, biomass, etc.).</t>
        </is>
      </c>
    </row>
    <row r="6" ht="91.5" customHeight="1">
      <c r="A6" s="126" t="inlineStr">
        <is>
          <t>Clean Heating</t>
        </is>
      </c>
      <c r="B6" s="126" t="inlineStr">
        <is>
          <t>Number of people who gain access to clean heating (direct access to clean electric heaters, clean fuels, etc.).</t>
        </is>
      </c>
    </row>
    <row r="7" ht="45.75" customHeight="1">
      <c r="A7" s="126" t="inlineStr">
        <is>
          <t>Agriculture and Food System</t>
        </is>
      </c>
      <c r="B7" s="126" t="inlineStr">
        <is>
          <t>Number of people who gain access to clean, affordable, and sustainable energy for agricultural and food-system activities.</t>
        </is>
      </c>
    </row>
    <row r="8" ht="45.75" customHeight="1">
      <c r="A8" s="126" t="inlineStr">
        <is>
          <t>Health Services</t>
        </is>
      </c>
      <c r="B8" s="126" t="inlineStr">
        <is>
          <t>Number of people who gain access to health care facilities through clean energy systems.</t>
        </is>
      </c>
    </row>
    <row r="9" ht="45.75" customHeight="1">
      <c r="A9" s="126" t="inlineStr">
        <is>
          <t>Water Services</t>
        </is>
      </c>
      <c r="B9" s="126" t="inlineStr">
        <is>
          <t>Number of people who gain access to water services through clean energy systems.</t>
        </is>
      </c>
    </row>
    <row r="10" ht="30.75" customHeight="1">
      <c r="A10" s="126" t="inlineStr">
        <is>
          <t>Education Services</t>
        </is>
      </c>
      <c r="B10" s="126" t="inlineStr">
        <is>
          <t>Number of people who gain access to education services through clean energy systems, including students and teachers.</t>
        </is>
      </c>
    </row>
    <row r="11" ht="30.75" customHeight="1">
      <c r="A11" s="126" t="inlineStr">
        <is>
          <t>Transportation and E-mobility Services</t>
        </is>
      </c>
      <c r="B11" s="126" t="inlineStr">
        <is>
          <t>Number of people served or energy saved from transport and e-mobility interventions, such as electric vehicles or charging stations.</t>
        </is>
      </c>
    </row>
    <row r="12" ht="45.75" customHeight="1">
      <c r="A12" s="126" t="inlineStr">
        <is>
          <t>Energy Efficiency Services</t>
        </is>
      </c>
      <c r="B12" s="126" t="inlineStr">
        <is>
          <t>Energy saved from energy-efficiency interventions, such as building or industrial efficiency.</t>
        </is>
      </c>
    </row>
    <row r="13" ht="30.75" customHeight="1">
      <c r="A13" s="126" t="inlineStr">
        <is>
          <t>Energy Infrastructure Services</t>
        </is>
      </c>
      <c r="B13" s="126" t="inlineStr">
        <is>
          <t>Number of people benefiting from energy infrastructure interventions, such as streetlights, transmission, and distribution lines.</t>
        </is>
      </c>
    </row>
    <row r="14">
      <c r="A14" s="126" t="inlineStr">
        <is>
          <t>Other Energy Services</t>
        </is>
      </c>
      <c r="B14" s="126" t="inlineStr">
        <is>
          <t>Access to other energy services not captured by the categories above.</t>
        </is>
      </c>
    </row>
    <row r="15" ht="30.75" customHeight="1">
      <c r="A15" s="126" t="inlineStr">
        <is>
          <t>Financing support</t>
        </is>
      </c>
      <c r="B15" s="126" t="inlineStr">
        <is>
          <t>Support for the development of the energy market ecosystem.</t>
        </is>
      </c>
    </row>
    <row r="16" ht="30.75" customHeight="1">
      <c r="A16" s="126" t="inlineStr">
        <is>
          <t>Medium Enterprises</t>
        </is>
      </c>
      <c r="B16" s="126" t="inlineStr">
        <is>
          <t>Support for the development of medium enterprises in the energy transition market.</t>
        </is>
      </c>
    </row>
    <row r="17" ht="30.75" customHeight="1">
      <c r="A17" s="126" t="inlineStr">
        <is>
          <t>Small Enterprises</t>
        </is>
      </c>
      <c r="B17" s="126" t="inlineStr">
        <is>
          <t>Support for the development of small enterprises in the energy transition market.</t>
        </is>
      </c>
    </row>
    <row r="18" ht="30.75" customHeight="1">
      <c r="A18" s="126" t="inlineStr">
        <is>
          <t>Capacity Building Training</t>
        </is>
      </c>
      <c r="B18" s="126" t="inlineStr">
        <is>
          <t>Number of people benefiting from training on energy business, energy finance, or related implementation capacity.</t>
        </is>
      </c>
    </row>
    <row r="19" ht="76.5" customHeight="1">
      <c r="A19" s="126" t="inlineStr">
        <is>
          <t>Entrepreneurship Training</t>
        </is>
      </c>
      <c r="B19" s="126" t="inlineStr">
        <is>
          <t>Training for enterprises on the energy business, assumed to result in direct beneficiaries.</t>
        </is>
      </c>
    </row>
    <row r="20" ht="30.75" customHeight="1">
      <c r="A20" s="126" t="inlineStr">
        <is>
          <t>Market Intervention</t>
        </is>
      </c>
      <c r="B20" s="126" t="inlineStr">
        <is>
          <t>Volume of investment leveraged or barriers removed for clean, reliable, affordable, and sustainable energy solutions.</t>
        </is>
      </c>
    </row>
    <row r="21" ht="45.75" customHeight="1">
      <c r="A21" s="126" t="inlineStr">
        <is>
          <t>Campaign Participant</t>
        </is>
      </c>
      <c r="B21" s="126" t="inlineStr">
        <is>
          <t>Individuals who participate in advocacy or awareness campaigns on energy.</t>
        </is>
      </c>
    </row>
    <row r="22" ht="30.75" customHeight="1">
      <c r="A22" s="126" t="inlineStr">
        <is>
          <t>Policy or Regulatory Framework</t>
        </is>
      </c>
      <c r="B22" s="126" t="inlineStr">
        <is>
          <t>Policies, regulations, strategies, plans, or frameworks developed, approved, implemented, or strengthened.</t>
        </is>
      </c>
    </row>
    <row r="23">
      <c r="A23" s="126" t="inlineStr">
        <is>
          <t>GHG Emissions Reduction</t>
        </is>
      </c>
      <c r="B23" s="126" t="inlineStr">
        <is>
          <t>Greenhouse gas emissions reduced or mitigated, in tCO2e.</t>
        </is>
      </c>
    </row>
    <row r="24">
      <c r="A24" s="126" t="inlineStr">
        <is>
          <t>Other</t>
        </is>
      </c>
      <c r="B24" s="12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2026-06-10T12:20:14Z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