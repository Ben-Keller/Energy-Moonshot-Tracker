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Remove" sheetId="4" state="visible" r:id="rId4"/>
    <sheet xmlns:r="http://schemas.openxmlformats.org/officeDocument/2006/relationships" name="Beneficiary Categorie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u val="single"/>
      <scheme val="minor"/>
    </font>
    <font>
      <name val="Arial"/>
      <charset val="1"/>
      <family val="2"/>
      <color theme="1"/>
      <sz val="11"/>
    </font>
    <font>
      <name val="Calibri"/>
      <charset val="1"/>
      <b val="1"/>
      <color rgb="FF000000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6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2" fillId="0" borderId="2" pivotButton="0" quotePrefix="0" xfId="0"/>
    <xf numFmtId="9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9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9" fontId="0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10" fillId="0" borderId="7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164" fontId="0" fillId="4" borderId="4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6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tabSelected="1" workbookViewId="0">
      <selection activeCell="J2" sqref="J2:J4"/>
    </sheetView>
  </sheetViews>
  <sheetFormatPr baseColWidth="8" defaultRowHeight="15"/>
  <cols>
    <col width="21.7109375" customWidth="1" min="2" max="2"/>
    <col width="20.7109375" customWidth="1" min="3" max="3"/>
    <col width="19.28515625" customWidth="1" min="4" max="4"/>
    <col width="19.28515625" customWidth="1" min="5" max="5"/>
    <col width="19.28515625" customWidth="1" min="6" max="6"/>
    <col width="19.28515625" customWidth="1" style="2" min="7" max="7"/>
    <col width="19.28515625" customWidth="1" style="6" min="8" max="8"/>
    <col width="36.28515625" customWidth="1" min="9" max="9"/>
    <col width="10.85546875" customWidth="1" min="11" max="11"/>
    <col width="12.85546875" bestFit="1" customWidth="1" min="12" max="12"/>
    <col width="13.85546875" customWidth="1" min="13" max="13"/>
    <col width="24.5703125" customWidth="1" min="14" max="15"/>
    <col width="21.42578125" customWidth="1" min="16" max="16"/>
    <col width="20.140625" customWidth="1" min="17" max="18"/>
    <col width="11.28515625" bestFit="1" customWidth="1" min="19" max="19"/>
    <col width="30.28515625" bestFit="1" customWidth="1" min="20" max="20"/>
  </cols>
  <sheetData>
    <row r="1" ht="30.75" customHeight="1">
      <c r="A1" s="23" t="inlineStr">
        <is>
          <t>Project ID</t>
        </is>
      </c>
      <c r="B1" s="23" t="inlineStr">
        <is>
          <t>Title</t>
        </is>
      </c>
      <c r="C1" s="23" t="inlineStr">
        <is>
          <t>Link</t>
        </is>
      </c>
      <c r="D1" s="23" t="inlineStr">
        <is>
          <t>Budget</t>
        </is>
      </c>
      <c r="E1" s="23" t="inlineStr">
        <is>
          <t>Start Year</t>
        </is>
      </c>
      <c r="F1" s="23" t="inlineStr">
        <is>
          <t>End Year</t>
        </is>
      </c>
      <c r="G1" s="23" t="inlineStr">
        <is>
          <t>Status</t>
        </is>
      </c>
      <c r="H1" s="23" t="inlineStr">
        <is>
          <t>VF or Non-VF</t>
        </is>
      </c>
      <c r="I1" s="24" t="inlineStr">
        <is>
          <t>Beneficiary Category</t>
        </is>
      </c>
      <c r="J1" s="24" t="inlineStr">
        <is>
          <t>Indicator</t>
        </is>
      </c>
      <c r="K1" s="24" t="inlineStr">
        <is>
          <t>Baseline</t>
        </is>
      </c>
      <c r="L1" s="24" t="inlineStr">
        <is>
          <t>Target</t>
        </is>
      </c>
      <c r="M1" s="24" t="inlineStr">
        <is>
          <t>Notes</t>
        </is>
      </c>
      <c r="N1" s="25" t="inlineStr">
        <is>
          <t>Donors</t>
        </is>
      </c>
      <c r="O1" s="25" t="inlineStr">
        <is>
          <t>Gender (% female)</t>
        </is>
      </c>
      <c r="P1" s="47" t="inlineStr">
        <is>
          <t>Tag</t>
        </is>
      </c>
      <c r="Q1" s="43" t="inlineStr">
        <is>
          <t>SEH Taxonomy</t>
        </is>
      </c>
      <c r="R1" s="43" t="inlineStr">
        <is>
          <t>RISE Taxonomy</t>
        </is>
      </c>
      <c r="S1" s="47" t="inlineStr">
        <is>
          <t>Flagship</t>
        </is>
      </c>
      <c r="T1" s="47" t="inlineStr">
        <is>
          <t>Indirect Category</t>
        </is>
      </c>
      <c r="U1" s="48" t="inlineStr">
        <is>
          <t>Indirect Taxonomy</t>
        </is>
      </c>
      <c r="V1" s="49" t="inlineStr">
        <is>
          <t>Technology</t>
        </is>
      </c>
      <c r="W1" s="48" t="inlineStr">
        <is>
          <t>Policy or Regulatory Framework</t>
        </is>
      </c>
      <c r="X1" s="49" t="inlineStr">
        <is>
          <t>Policy Population</t>
        </is>
      </c>
    </row>
    <row r="2" ht="60.75" customFormat="1" customHeight="1" s="2">
      <c r="A2" s="26" t="n">
        <v>6384</v>
      </c>
      <c r="B2" s="26" t="inlineStr">
        <is>
          <t>E-Mobility Strategy Peru</t>
        </is>
      </c>
      <c r="C2" s="54" t="inlineStr">
        <is>
          <t>https://co.pims.undp.org/project/view?id=6384</t>
        </is>
      </c>
      <c r="D2" s="27" t="n">
        <v>1784862</v>
      </c>
      <c r="E2" s="58" t="n"/>
      <c r="F2" s="58" t="n"/>
      <c r="G2" s="58" t="n"/>
      <c r="H2" s="27" t="inlineStr">
        <is>
          <t>VF</t>
        </is>
      </c>
      <c r="I2" s="28" t="inlineStr">
        <is>
          <t>Transportation and E-mobility Services</t>
        </is>
      </c>
      <c r="J2" s="29" t="inlineStr">
        <is>
          <t>Number of direct beneficiaries of the project disaggregated by gender</t>
        </is>
      </c>
      <c r="K2" s="30" t="n">
        <v>0</v>
      </c>
      <c r="L2" s="31" t="n">
        <v>14000</v>
      </c>
      <c r="M2" s="32" t="inlineStr">
        <is>
          <t>Target to the end of the project (14000). 8000 women and 6000 men beneficiaries.</t>
        </is>
      </c>
      <c r="N2" s="31" t="inlineStr">
        <is>
          <t>GEF</t>
        </is>
      </c>
      <c r="O2" s="33" t="n">
        <v>0.57</v>
      </c>
      <c r="P2" s="44" t="n"/>
      <c r="Q2" s="51" t="inlineStr">
        <is>
          <t>Accelerating just energy transition</t>
        </is>
      </c>
      <c r="R2" s="44" t="n"/>
      <c r="S2" s="44" t="n"/>
      <c r="T2" s="44" t="n"/>
      <c r="U2" s="44" t="n"/>
      <c r="V2" s="52" t="n"/>
      <c r="W2" s="44" t="n"/>
      <c r="X2" s="52" t="n"/>
      <c r="AB2" s="34" t="inlineStr">
        <is>
          <t>VF</t>
        </is>
      </c>
      <c r="AC2" s="31" t="n"/>
      <c r="AD2" s="31" t="n"/>
      <c r="AE2" s="31" t="n"/>
      <c r="AF2" s="31" t="inlineStr">
        <is>
          <t>Accelerating just energy transition</t>
        </is>
      </c>
      <c r="AG2" s="31" t="inlineStr">
        <is>
          <t>Energy Efficiency</t>
        </is>
      </c>
    </row>
    <row r="3" ht="63.75" customHeight="1">
      <c r="A3" s="35" t="n"/>
      <c r="B3" s="35" t="n"/>
      <c r="C3" s="36" t="n"/>
      <c r="D3" s="37" t="n"/>
      <c r="E3" s="37" t="n"/>
      <c r="F3" s="37" t="n"/>
      <c r="G3" s="37" t="n"/>
      <c r="H3" s="37" t="n"/>
      <c r="I3" s="28" t="n"/>
      <c r="J3" s="32" t="inlineStr">
        <is>
          <t>Number of indirect beneficiaries of the project disaggregated by gender</t>
        </is>
      </c>
      <c r="K3" s="31" t="n">
        <v>0</v>
      </c>
      <c r="L3" s="31">
        <f>26500*2</f>
        <v/>
      </c>
      <c r="M3" s="32" t="inlineStr">
        <is>
          <t>Target to the end of the project (53000). 26500 women and 26500 men beneficiaries.</t>
        </is>
      </c>
      <c r="N3" s="31" t="inlineStr">
        <is>
          <t>GEF</t>
        </is>
      </c>
      <c r="O3" s="38" t="n">
        <v>0.5</v>
      </c>
      <c r="P3" s="44" t="n"/>
      <c r="Q3" s="51" t="inlineStr">
        <is>
          <t>Accelerating just energy transition</t>
        </is>
      </c>
      <c r="R3" s="44" t="n"/>
      <c r="S3" s="44" t="n"/>
      <c r="T3" s="44" t="n"/>
      <c r="U3" s="44" t="n"/>
      <c r="V3" s="52" t="n"/>
      <c r="W3" s="44" t="n"/>
      <c r="X3" s="52" t="n"/>
      <c r="AB3" s="34" t="inlineStr">
        <is>
          <t>VF</t>
        </is>
      </c>
      <c r="AC3" s="39" t="inlineStr">
        <is>
          <t>to the CO: Please estimate number of direct beneficiaries.</t>
        </is>
      </c>
      <c r="AD3" s="34" t="n">
        <v>53000</v>
      </c>
      <c r="AE3" s="34" t="n"/>
      <c r="AF3" s="31" t="inlineStr">
        <is>
          <t>Accelerating just energy transition</t>
        </is>
      </c>
      <c r="AG3" s="31" t="inlineStr">
        <is>
          <t>Energy Efficiency</t>
        </is>
      </c>
    </row>
    <row r="4" ht="76.5" customHeight="1">
      <c r="A4" s="40" t="n"/>
      <c r="B4" s="40" t="n"/>
      <c r="C4" s="41" t="n"/>
      <c r="D4" s="42" t="n"/>
      <c r="E4" s="42" t="n"/>
      <c r="F4" s="42" t="n"/>
      <c r="G4" s="42" t="n"/>
      <c r="H4" s="42" t="n"/>
      <c r="I4" s="28" t="inlineStr">
        <is>
          <t>GHG Emissions Reduction</t>
        </is>
      </c>
      <c r="J4" s="32" t="inlineStr">
        <is>
          <t>Metric tones of CO2 avoided (at the moment of the measurement)</t>
        </is>
      </c>
      <c r="K4" s="31" t="n">
        <v>0</v>
      </c>
      <c r="L4" s="31" t="n">
        <v>178460</v>
      </c>
      <c r="M4" s="32" t="inlineStr">
        <is>
          <t>178,460 t CO2 (direct) at the ending of the lifespan of the project vehicles.
236,657 t (indirect) at the ending of the lifespan of the project vehicles.</t>
        </is>
      </c>
      <c r="N4" s="31" t="inlineStr">
        <is>
          <t>GEF</t>
        </is>
      </c>
      <c r="O4" s="34" t="n"/>
      <c r="P4" s="44" t="n"/>
      <c r="Q4" s="51" t="inlineStr">
        <is>
          <t>Accelerating just energy transition</t>
        </is>
      </c>
      <c r="R4" s="44" t="n"/>
      <c r="S4" s="44" t="n"/>
      <c r="T4" s="44" t="n"/>
      <c r="U4" s="44" t="n"/>
      <c r="V4" s="52" t="n"/>
      <c r="W4" s="44" t="n"/>
      <c r="X4" s="52" t="n"/>
      <c r="AB4" s="34" t="inlineStr">
        <is>
          <t>VF</t>
        </is>
      </c>
      <c r="AC4" s="34" t="n"/>
      <c r="AD4" s="34" t="n">
        <v>236657</v>
      </c>
      <c r="AE4" s="34" t="n"/>
      <c r="AF4" s="31" t="inlineStr">
        <is>
          <t>Accelerating just energy transition</t>
        </is>
      </c>
      <c r="AG4" s="31" t="inlineStr">
        <is>
          <t>Energy Efficiency</t>
        </is>
      </c>
    </row>
    <row r="5">
      <c r="A5" s="40" t="n"/>
      <c r="B5" s="40" t="n"/>
      <c r="C5" s="41" t="n"/>
      <c r="D5" s="42" t="n"/>
      <c r="E5" s="42" t="n"/>
      <c r="F5" s="42" t="n"/>
      <c r="G5" s="42" t="n"/>
      <c r="H5" s="42" t="n"/>
      <c r="I5" s="28" t="inlineStr">
        <is>
          <t>Energy (MW added)</t>
        </is>
      </c>
      <c r="J5" s="32" t="inlineStr">
        <is>
          <t>Installed capacity in MW for access/productive-use outputs</t>
        </is>
      </c>
      <c r="K5" s="31" t="n">
        <v>0</v>
      </c>
      <c r="L5" s="59" t="n"/>
      <c r="M5" s="60" t="inlineStr">
        <is>
          <t>[AUTO-ADDED] Project reports access/productive-use beneficiary numbers but no MW value. Please add installed capacity (MW) or confirm not applicable.</t>
        </is>
      </c>
      <c r="N5" s="31" t="n"/>
      <c r="O5" s="34" t="n"/>
      <c r="P5" s="44" t="n"/>
      <c r="Q5" s="51" t="n"/>
      <c r="R5" s="44" t="n"/>
      <c r="S5" s="44" t="n"/>
      <c r="T5" s="44" t="n"/>
      <c r="U5" s="44" t="n"/>
      <c r="V5" s="52" t="n"/>
      <c r="W5" s="44" t="n"/>
      <c r="X5" s="52" t="n"/>
      <c r="AB5" s="34" t="n"/>
      <c r="AC5" s="34" t="n"/>
      <c r="AD5" s="34" t="n"/>
      <c r="AE5" s="34" t="n"/>
      <c r="AF5" s="31" t="n"/>
      <c r="AG5" s="31" t="n"/>
    </row>
    <row r="6"/>
    <row r="7">
      <c r="M7" s="11" t="n"/>
      <c r="Q7" s="11" t="n"/>
      <c r="R7" s="11" t="n"/>
    </row>
    <row r="8">
      <c r="M8" s="3" t="n"/>
    </row>
    <row r="9"/>
    <row r="10"/>
    <row r="11">
      <c r="J11" s="11" t="n"/>
    </row>
    <row r="12">
      <c r="J12" s="12" t="n"/>
    </row>
  </sheetData>
  <dataValidations count="13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AD2:AD4" showDropDown="0" showInputMessage="1" showErrorMessage="1" allowBlank="1" type="list">
      <formula1>"Electricity Access, Energy Efficiency, Clean Cooking, Renewable Energy"</formula1>
    </dataValidation>
    <dataValidation sqref="N2:N4 AC2:AC4" showDropDown="0" showInputMessage="1" showErrorMessage="1" allowBlank="1" type="list">
      <formula1>"Accelerating just energy transition, Close the gap on energy access, Scale up energy finance"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L2:L4" showDropDown="0" showInputMessage="1" showErrorMessage="1" allowBlank="1" type="list">
      <formula1>"Non-VF, VF"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4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topLeftCell="H1" workbookViewId="0">
      <selection activeCell="O4" sqref="O4"/>
    </sheetView>
  </sheetViews>
  <sheetFormatPr baseColWidth="8" defaultRowHeight="15"/>
  <cols>
    <col width="21.7109375" customWidth="1" min="2" max="2"/>
    <col width="20.7109375" customWidth="1" min="3" max="3"/>
    <col width="19.28515625" customWidth="1" min="4" max="4"/>
    <col width="20.7109375" customWidth="1" min="5" max="5"/>
    <col width="23.42578125" customWidth="1" min="6" max="6"/>
    <col width="12.7109375" customWidth="1" style="2" min="7" max="7"/>
    <col width="12.7109375" customWidth="1" style="6" min="8" max="8"/>
    <col width="36.28515625" customWidth="1" min="9" max="9"/>
    <col width="38.85546875" customWidth="1" min="13" max="13"/>
    <col width="24.5703125" customWidth="1" min="14" max="1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5" t="inlineStr">
        <is>
          <t>Baseline</t>
        </is>
      </c>
      <c r="H1" s="5" t="inlineStr">
        <is>
          <t>Target</t>
        </is>
      </c>
      <c r="I1" s="1" t="inlineStr">
        <is>
          <t>Notes</t>
        </is>
      </c>
      <c r="J1" s="16" t="inlineStr">
        <is>
          <t>Donors</t>
        </is>
      </c>
      <c r="K1" s="18" t="inlineStr">
        <is>
          <t>Gender (% female)</t>
        </is>
      </c>
      <c r="L1" s="18" t="inlineStr">
        <is>
          <t>Category</t>
        </is>
      </c>
      <c r="M1" s="18" t="inlineStr">
        <is>
          <t>Comments</t>
        </is>
      </c>
      <c r="N1" s="20" t="inlineStr">
        <is>
          <t>Indirect Beneficiaries</t>
        </is>
      </c>
      <c r="O1" s="16" t="inlineStr">
        <is>
          <t>SEH Taxonomy</t>
        </is>
      </c>
      <c r="P1" s="16" t="inlineStr">
        <is>
          <t>RISE Taxonomy</t>
        </is>
      </c>
      <c r="Q1" s="16" t="inlineStr">
        <is>
          <t>Flagship</t>
        </is>
      </c>
      <c r="R1" s="16" t="inlineStr">
        <is>
          <t>Indirect Category</t>
        </is>
      </c>
      <c r="S1" s="16" t="inlineStr">
        <is>
          <t>Indirect Taxonomy</t>
        </is>
      </c>
    </row>
    <row r="2" ht="60.75" customFormat="1" customHeight="1" s="2">
      <c r="A2" s="2" t="n">
        <v>6384</v>
      </c>
      <c r="B2" s="2" t="inlineStr">
        <is>
          <t>E-Mobility Strategy Peru</t>
        </is>
      </c>
      <c r="C2" s="2" t="inlineStr">
        <is>
          <t>PIMS+</t>
        </is>
      </c>
      <c r="D2" s="10" t="n">
        <v>1784862</v>
      </c>
      <c r="E2" t="inlineStr">
        <is>
          <t>Transport Services</t>
        </is>
      </c>
      <c r="F2" s="14" t="inlineStr">
        <is>
          <t>Number of direct beneficiaries of the project disaggregated by gender</t>
        </is>
      </c>
      <c r="G2" s="8" t="n">
        <v>0</v>
      </c>
      <c r="H2" s="53" t="n">
        <v>14000</v>
      </c>
      <c r="I2" s="15" t="inlineStr">
        <is>
          <t>Target to the end of the project (14000). 8000 women and 6000 men beneficiaries.</t>
        </is>
      </c>
      <c r="K2" s="19" t="n">
        <v>0.57</v>
      </c>
      <c r="L2" s="3" t="inlineStr">
        <is>
          <t>VF</t>
        </is>
      </c>
      <c r="O2" s="2" t="inlineStr">
        <is>
          <t>Accelerating just energy transition</t>
        </is>
      </c>
      <c r="P2" s="2" t="inlineStr">
        <is>
          <t>Energy Efficiency</t>
        </is>
      </c>
    </row>
    <row r="3" ht="63.75" customHeight="1">
      <c r="C3" s="11" t="n"/>
      <c r="E3" t="inlineStr">
        <is>
          <t>Transport Services</t>
        </is>
      </c>
      <c r="F3" s="15" t="inlineStr">
        <is>
          <t>Number of indirect beneficiaries of the project disaggregated by gender</t>
        </is>
      </c>
      <c r="G3" s="53" t="n">
        <v>0</v>
      </c>
      <c r="H3" s="53" t="n"/>
      <c r="I3" s="15" t="inlineStr">
        <is>
          <t>Target to the end of the project (53000). 26500 women and 26500 men beneficiaries.</t>
        </is>
      </c>
      <c r="K3" t="n">
        <v>0.5</v>
      </c>
      <c r="L3" s="3" t="inlineStr">
        <is>
          <t>VF</t>
        </is>
      </c>
      <c r="M3" s="22" t="inlineStr">
        <is>
          <t>to the CO: Please estimate number of direct beneficiaries.</t>
        </is>
      </c>
      <c r="N3" t="n">
        <v>53000</v>
      </c>
      <c r="O3" s="2" t="inlineStr">
        <is>
          <t>Accelerating just energy transition</t>
        </is>
      </c>
      <c r="P3" s="2" t="inlineStr">
        <is>
          <t>Energy Efficiency</t>
        </is>
      </c>
      <c r="Q3" s="2" t="n"/>
      <c r="R3" s="2" t="n"/>
      <c r="S3" s="2" t="n"/>
    </row>
    <row r="4" ht="76.5" customHeight="1">
      <c r="C4" s="11" t="n"/>
      <c r="D4" s="11" t="n"/>
      <c r="E4" s="21" t="inlineStr">
        <is>
          <t>GHG Emissions Reduction</t>
        </is>
      </c>
      <c r="F4" s="15" t="inlineStr">
        <is>
          <t>Metric tones of CO2 avoided (at the moment of the measurement)</t>
        </is>
      </c>
      <c r="G4" s="53" t="n">
        <v>0</v>
      </c>
      <c r="H4" s="53" t="n">
        <v>178460</v>
      </c>
      <c r="I4" s="15" t="inlineStr">
        <is>
          <t>178,460 t CO2 (direct) at the ending of the lifespan of the project vehicles.
236,657 t (indirect) at the ending of the lifespan of the project vehicles.</t>
        </is>
      </c>
      <c r="L4" s="3" t="inlineStr">
        <is>
          <t>VF</t>
        </is>
      </c>
      <c r="N4" t="n">
        <v>236657</v>
      </c>
      <c r="O4" s="2" t="inlineStr">
        <is>
          <t>Accelerating just energy transition</t>
        </is>
      </c>
      <c r="P4" s="2" t="inlineStr">
        <is>
          <t>Energy Efficiency</t>
        </is>
      </c>
      <c r="Q4" s="2" t="n"/>
      <c r="R4" s="2" t="n"/>
      <c r="S4" s="2" t="n"/>
    </row>
    <row r="6">
      <c r="I6" s="11" t="n"/>
      <c r="N6" s="11" t="n"/>
    </row>
    <row r="7">
      <c r="I7" s="3" t="n"/>
    </row>
    <row r="10">
      <c r="F10" s="11" t="n"/>
    </row>
    <row r="11">
      <c r="F11" s="12" t="n"/>
    </row>
  </sheetData>
  <dataValidations count="5">
    <dataValidation sqref="O2:O4" showDropDown="0" showInputMessage="1" showErrorMessage="1" allowBlank="1" type="list">
      <formula1>"Accelerating just energy transition, Close the gap on energy access, Scale up energy finance"</formula1>
    </dataValidation>
    <dataValidation sqref="P2:P4" showDropDown="0" showInputMessage="1" showErrorMessage="1" allowBlank="1" type="list">
      <formula1>"Electricity Access, Energy Efficiency, Clean Cooking, Renewable Energy"</formula1>
    </dataValidation>
    <dataValidation sqref="Q2:Q4" showDropDown="0" showInputMessage="1" showErrorMessage="1" allowBlank="1" type="list">
      <formula1>"AMP, PUDC, Solar4Health, Action Opportunities, Italy UNDP Energy Partnership"</formula1>
    </dataValidation>
    <dataValidation sqref="R2:R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C2" sqref="C2"/>
    </sheetView>
  </sheetViews>
  <sheetFormatPr baseColWidth="8" defaultRowHeight="15"/>
  <cols>
    <col width="21.7109375" customWidth="1" min="2" max="2"/>
    <col width="20.7109375" customWidth="1" min="3" max="3"/>
    <col width="19.28515625" customWidth="1" min="4" max="4"/>
    <col width="20.7109375" customWidth="1" min="5" max="5"/>
    <col width="23.42578125" customWidth="1" min="6" max="6"/>
    <col width="12.7109375" customWidth="1" style="2" min="7" max="7"/>
    <col width="12.7109375" customWidth="1" style="6" min="8" max="8"/>
    <col width="36.2851562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5" t="inlineStr">
        <is>
          <t>Baseline</t>
        </is>
      </c>
      <c r="H1" s="5" t="inlineStr">
        <is>
          <t>Target</t>
        </is>
      </c>
      <c r="I1" s="1" t="inlineStr">
        <is>
          <t>Notes</t>
        </is>
      </c>
      <c r="J1" s="16" t="inlineStr">
        <is>
          <t>Donors</t>
        </is>
      </c>
    </row>
    <row r="2" ht="60.75" customFormat="1" customHeight="1" s="2">
      <c r="A2" s="2" t="n">
        <v>6384</v>
      </c>
      <c r="B2" s="2" t="inlineStr">
        <is>
          <t>E-Mobility Strategy Peru</t>
        </is>
      </c>
      <c r="C2" s="2" t="inlineStr">
        <is>
          <t>PIMS+</t>
        </is>
      </c>
      <c r="D2" s="10" t="n">
        <v>1784862</v>
      </c>
      <c r="E2" s="53" t="inlineStr">
        <is>
          <t>Other Energy Services</t>
        </is>
      </c>
      <c r="F2" s="14" t="inlineStr">
        <is>
          <t>Number of direct beneficiaries of the project disaggregated by gender</t>
        </is>
      </c>
      <c r="G2" s="8" t="n">
        <v>0</v>
      </c>
      <c r="H2" s="53" t="n">
        <v>14000</v>
      </c>
      <c r="I2" s="15" t="inlineStr">
        <is>
          <t>Target to the end of the project (14000). 8000 women and 6000 men beneficiaries.</t>
        </is>
      </c>
      <c r="L2" s="3" t="n"/>
    </row>
    <row r="3" ht="63.75" customHeight="1">
      <c r="C3" s="11" t="n"/>
      <c r="F3" s="15" t="inlineStr">
        <is>
          <t>Number of indirect beneficiaries of the project disaggregated by gender</t>
        </is>
      </c>
      <c r="G3" s="53" t="n">
        <v>0</v>
      </c>
      <c r="H3" s="53" t="n">
        <v>53000</v>
      </c>
      <c r="I3" s="15" t="inlineStr">
        <is>
          <t>Target to the end of the project (53000). 26500 women and 26500 men beneficiaries.</t>
        </is>
      </c>
      <c r="L3" s="11" t="n"/>
    </row>
    <row r="4" ht="76.5" customHeight="1">
      <c r="C4" s="11" t="n"/>
      <c r="D4" s="11" t="n"/>
      <c r="F4" s="15" t="inlineStr">
        <is>
          <t>Metric tones of CO2 avoided (at the moment of the measurement)</t>
        </is>
      </c>
      <c r="G4" s="53" t="n">
        <v>0</v>
      </c>
      <c r="H4" s="53" t="n">
        <v>178460</v>
      </c>
      <c r="I4" s="15" t="inlineStr">
        <is>
          <t>178,460 t CO2 (direct) at the ending of the lifespan of the project vehicles.
236,657 t (indirect) at the ending of the lifespan of the project vehicles.</t>
        </is>
      </c>
      <c r="L4" s="11" t="n"/>
    </row>
    <row r="6">
      <c r="I6" s="11" t="n"/>
      <c r="N6" s="11" t="n"/>
    </row>
    <row r="7">
      <c r="I7" s="3" t="n"/>
    </row>
    <row r="10">
      <c r="F10" s="11" t="n"/>
    </row>
    <row r="11">
      <c r="F11" s="12" t="n"/>
    </row>
  </sheetData>
  <mergeCells count="1">
    <mergeCell ref="E2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E6" sqref="E6"/>
    </sheetView>
  </sheetViews>
  <sheetFormatPr baseColWidth="8" defaultRowHeight="15"/>
  <cols>
    <col width="19.7109375" customWidth="1" min="2" max="2"/>
  </cols>
  <sheetData>
    <row r="1" ht="137.25" customFormat="1" customHeight="1" s="2">
      <c r="A1" s="2" t="inlineStr">
        <is>
          <t>S/N</t>
        </is>
      </c>
      <c r="B1" s="4" t="inlineStr">
        <is>
          <t>UNDP Digital Readiness Assessment for the transport sector: ACCESS Project</t>
        </is>
      </c>
      <c r="C1" s="2" t="inlineStr">
        <is>
          <t>Internal information</t>
        </is>
      </c>
      <c r="D1" s="10" t="n">
        <v>800000</v>
      </c>
      <c r="E1" s="9" t="inlineStr">
        <is>
          <t>Policy or Regulatory Framework</t>
        </is>
      </c>
      <c r="F1" s="15" t="inlineStr">
        <is>
          <t>Number of stakeholders that endorse ACCESS project digitalisation principles</t>
        </is>
      </c>
      <c r="G1" s="53" t="n">
        <v>0</v>
      </c>
      <c r="H1" s="9" t="n">
        <v>64</v>
      </c>
      <c r="I1" s="15" t="inlineStr">
        <is>
          <t>ACCESS is a joint programme of nine organisations supporting six countries in Latin America (Argentina, Brazil, Colombia, Ecuador, Mexico, Peru).
Status: Preparation for Implementation Phase.
Target value and planned date of attainment: 64 by September 2028</t>
        </is>
      </c>
      <c r="J1" s="17" t="n"/>
      <c r="K1" s="1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8" workbookViewId="0">
      <pane ySplit="1" topLeftCell="A2" activePane="bottomLeft" state="frozen"/>
      <selection pane="bottomLeft" activeCell="A1" sqref="A1:A1048576"/>
    </sheetView>
  </sheetViews>
  <sheetFormatPr baseColWidth="8" defaultRowHeight="15"/>
  <cols>
    <col width="36" customWidth="1" min="1" max="2"/>
    <col width="110" customWidth="1" min="2" max="2"/>
  </cols>
  <sheetData>
    <row r="1">
      <c r="A1" s="61" t="inlineStr">
        <is>
          <t>Beneficiary Category</t>
        </is>
      </c>
      <c r="B1" s="61" t="inlineStr">
        <is>
          <t>Indicator</t>
        </is>
      </c>
    </row>
    <row r="2" ht="45.75" customHeight="1">
      <c r="A2" s="62" t="inlineStr">
        <is>
          <t>Electricity Access</t>
        </is>
      </c>
      <c r="B2" s="62" t="inlineStr">
        <is>
          <t>Number of people, disaggregated by sex, who gain access to clean electricity (direct access to electricity, lighting, cooling, etc.).</t>
        </is>
      </c>
    </row>
    <row r="3">
      <c r="A3" s="62" t="inlineStr">
        <is>
          <t>Energy (MW added)</t>
        </is>
      </c>
      <c r="B3" s="62" t="inlineStr">
        <is>
          <t>Installed renewable or clean-energy power capacity added, in MW.</t>
        </is>
      </c>
    </row>
    <row r="4" ht="30.75" customHeight="1">
      <c r="A4" s="62" t="inlineStr">
        <is>
          <t>Energy Storage (MW)</t>
        </is>
      </c>
      <c r="B4" s="62" t="inlineStr">
        <is>
          <t>Installed energy storage power capacity added, in MW.</t>
        </is>
      </c>
    </row>
    <row r="5" ht="30.75" customHeight="1">
      <c r="A5" s="62" t="inlineStr">
        <is>
          <t>Clean Cooking</t>
        </is>
      </c>
      <c r="B5" s="62" t="inlineStr">
        <is>
          <t>Number of people who gain access to clean cooking (direct access to clean cook stoves, clean fuels, biomass, etc.).</t>
        </is>
      </c>
    </row>
    <row r="6" ht="91.5" customHeight="1">
      <c r="A6" s="62" t="inlineStr">
        <is>
          <t>Clean Heating</t>
        </is>
      </c>
      <c r="B6" s="62" t="inlineStr">
        <is>
          <t>Number of people who gain access to clean heating (direct access to clean electric heaters, clean fuels, etc.).</t>
        </is>
      </c>
    </row>
    <row r="7" ht="45.75" customHeight="1">
      <c r="A7" s="62" t="inlineStr">
        <is>
          <t>Agriculture and Food System</t>
        </is>
      </c>
      <c r="B7" s="62" t="inlineStr">
        <is>
          <t>Number of people who gain access to clean, affordable, and sustainable energy for agricultural and food-system activities.</t>
        </is>
      </c>
    </row>
    <row r="8" ht="45.75" customHeight="1">
      <c r="A8" s="62" t="inlineStr">
        <is>
          <t>Health Services</t>
        </is>
      </c>
      <c r="B8" s="62" t="inlineStr">
        <is>
          <t>Number of people who gain access to health care facilities through clean energy systems.</t>
        </is>
      </c>
    </row>
    <row r="9" ht="45.75" customHeight="1">
      <c r="A9" s="62" t="inlineStr">
        <is>
          <t>Water Services</t>
        </is>
      </c>
      <c r="B9" s="62" t="inlineStr">
        <is>
          <t>Number of people who gain access to water services through clean energy systems.</t>
        </is>
      </c>
    </row>
    <row r="10" ht="30.75" customHeight="1">
      <c r="A10" s="62" t="inlineStr">
        <is>
          <t>Education Services</t>
        </is>
      </c>
      <c r="B10" s="62" t="inlineStr">
        <is>
          <t>Number of people who gain access to education services through clean energy systems, including students and teachers.</t>
        </is>
      </c>
    </row>
    <row r="11" ht="30.75" customHeight="1">
      <c r="A11" s="62" t="inlineStr">
        <is>
          <t>Transportation and E-mobility Services</t>
        </is>
      </c>
      <c r="B11" s="6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62" t="inlineStr">
        <is>
          <t>Energy Efficiency Services</t>
        </is>
      </c>
      <c r="B12" s="62" t="inlineStr">
        <is>
          <t>Energy saved from energy-efficiency interventions, such as building or industrial efficiency.</t>
        </is>
      </c>
    </row>
    <row r="13" ht="30.75" customHeight="1">
      <c r="A13" s="62" t="inlineStr">
        <is>
          <t>Energy Infrastructure Services</t>
        </is>
      </c>
      <c r="B13" s="62" t="inlineStr">
        <is>
          <t>Number of people benefiting from energy infrastructure interventions, such as streetlights, transmission, and distribution lines.</t>
        </is>
      </c>
    </row>
    <row r="14">
      <c r="A14" s="62" t="inlineStr">
        <is>
          <t>Other Energy Services</t>
        </is>
      </c>
      <c r="B14" s="62" t="inlineStr">
        <is>
          <t>Access to other energy services not captured by the categories above.</t>
        </is>
      </c>
    </row>
    <row r="15" ht="30.75" customHeight="1">
      <c r="A15" s="62" t="inlineStr">
        <is>
          <t>Financing support</t>
        </is>
      </c>
      <c r="B15" s="62" t="inlineStr">
        <is>
          <t>Support for the development of the energy market ecosystem.</t>
        </is>
      </c>
    </row>
    <row r="16" ht="30.75" customHeight="1">
      <c r="A16" s="62" t="inlineStr">
        <is>
          <t>Medium Enterprises</t>
        </is>
      </c>
      <c r="B16" s="62" t="inlineStr">
        <is>
          <t>Support for the development of medium enterprises in the energy transition market.</t>
        </is>
      </c>
    </row>
    <row r="17" ht="30.75" customHeight="1">
      <c r="A17" s="62" t="inlineStr">
        <is>
          <t>Small Enterprises</t>
        </is>
      </c>
      <c r="B17" s="62" t="inlineStr">
        <is>
          <t>Support for the development of small enterprises in the energy transition market.</t>
        </is>
      </c>
    </row>
    <row r="18" ht="30.75" customHeight="1">
      <c r="A18" s="62" t="inlineStr">
        <is>
          <t>Capacity Building Training</t>
        </is>
      </c>
      <c r="B18" s="62" t="inlineStr">
        <is>
          <t>Number of people benefiting from training on energy business, energy finance, or related implementation capacity.</t>
        </is>
      </c>
    </row>
    <row r="19" ht="76.5" customHeight="1">
      <c r="A19" s="62" t="inlineStr">
        <is>
          <t>Entrepreneurship Training</t>
        </is>
      </c>
      <c r="B19" s="62" t="inlineStr">
        <is>
          <t>Training for enterprises on the energy business, assumed to result in direct beneficiaries.</t>
        </is>
      </c>
    </row>
    <row r="20" ht="30.75" customHeight="1">
      <c r="A20" s="62" t="inlineStr">
        <is>
          <t>Market Intervention</t>
        </is>
      </c>
      <c r="B20" s="62" t="inlineStr">
        <is>
          <t>Volume of investment leveraged or barriers removed for clean, reliable, affordable, and sustainable energy solutions.</t>
        </is>
      </c>
    </row>
    <row r="21" ht="45.75" customHeight="1">
      <c r="A21" s="62" t="inlineStr">
        <is>
          <t>Campaign Participant</t>
        </is>
      </c>
      <c r="B21" s="62" t="inlineStr">
        <is>
          <t>Individuals who participate in advocacy or awareness campaigns on energy.</t>
        </is>
      </c>
    </row>
    <row r="22" ht="30.75" customHeight="1">
      <c r="A22" s="62" t="inlineStr">
        <is>
          <t>Policy or Regulatory Framework</t>
        </is>
      </c>
      <c r="B22" s="62" t="inlineStr">
        <is>
          <t>Policies, regulations, strategies, plans, or frameworks developed, approved, implemented, or strengthened.</t>
        </is>
      </c>
    </row>
    <row r="23">
      <c r="A23" s="62" t="inlineStr">
        <is>
          <t>GHG Emissions Reduction</t>
        </is>
      </c>
      <c r="B23" s="62" t="inlineStr">
        <is>
          <t>Greenhouse gas emissions reduced or mitigated, in tCO2e.</t>
        </is>
      </c>
    </row>
    <row r="24">
      <c r="A24" s="62" t="inlineStr">
        <is>
          <t>Other</t>
        </is>
      </c>
      <c r="B24" s="6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2026-06-08T15:49:47Z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