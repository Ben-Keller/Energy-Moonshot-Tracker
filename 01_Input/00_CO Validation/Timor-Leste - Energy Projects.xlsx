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99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2">
    <numFmt numFmtId="164" formatCode="_(* #,##0_);_(* \(#,##0\);_(* &quot;-&quot;??_);_(@_)"/>
    <numFmt numFmtId="165" formatCode="&quot;$&quot;#,##0_);[Red]\(&quot;$&quot;#,##0\)"/>
  </numFmts>
  <fonts count="12">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rgb="FF1F4E78"/>
      <sz val="11"/>
      <scheme val="minor"/>
    </font>
    <font>
      <name val="Calibri"/>
      <charset val="1"/>
      <color rgb="FF000000"/>
      <sz val="11"/>
    </font>
    <font>
      <name val="Helvetica Neue"/>
      <charset val="1"/>
      <color rgb="FFFF0000"/>
      <sz val="10"/>
    </font>
    <font>
      <name val="Calibri"/>
      <b val="1"/>
      <color theme="1"/>
      <sz val="11"/>
      <scheme val="minor"/>
    </font>
    <font>
      <name val="Calibri"/>
      <color rgb="FF000000"/>
      <sz val="11"/>
      <scheme val="minor"/>
    </font>
    <font>
      <name val="Calibri"/>
      <color theme="10"/>
      <sz val="11"/>
      <u val="single"/>
    </font>
    <font>
      <name val="Calibri"/>
      <family val="2"/>
      <color rgb="FF000000"/>
      <sz val="11"/>
      <scheme val="minor"/>
    </font>
    <font>
      <b val="1"/>
    </font>
  </fonts>
  <fills count="5">
    <fill>
      <patternFill/>
    </fill>
    <fill>
      <patternFill patternType="gray125"/>
    </fill>
    <fill>
      <patternFill patternType="solid">
        <fgColor rgb="FFFFE497"/>
        <bgColor indexed="64"/>
      </patternFill>
    </fill>
    <fill>
      <patternFill patternType="solid">
        <fgColor rgb="FFFFFF00"/>
        <bgColor indexed="64"/>
      </patternFill>
    </fill>
    <fill>
      <patternFill patternType="solid">
        <fgColor rgb="00FFFF00"/>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s>
  <cellStyleXfs count="2">
    <xf numFmtId="0" fontId="0" fillId="0" borderId="0"/>
    <xf numFmtId="0" fontId="3" fillId="0" borderId="0" applyAlignment="1" applyProtection="1">
      <alignment vertical="top"/>
      <protection locked="0" hidden="0"/>
    </xf>
  </cellStyleXfs>
  <cellXfs count="129">
    <xf numFmtId="0" fontId="0" fillId="0" borderId="0" pivotButton="0" quotePrefix="0" xfId="0"/>
    <xf numFmtId="0" fontId="2" fillId="0" borderId="1" applyAlignment="1" pivotButton="0" quotePrefix="0" xfId="0">
      <alignment horizontal="center" vertical="top"/>
    </xf>
    <xf numFmtId="0" fontId="2" fillId="0" borderId="2" applyAlignment="1" pivotButton="0" quotePrefix="0" xfId="0">
      <alignment horizontal="center" vertical="top"/>
    </xf>
    <xf numFmtId="0" fontId="0" fillId="2" borderId="0" applyAlignment="1" pivotButton="0" quotePrefix="0" xfId="0">
      <alignment wrapText="1"/>
    </xf>
    <xf numFmtId="0" fontId="0" fillId="0" borderId="0" applyAlignment="1" pivotButton="0" quotePrefix="0" xfId="0">
      <alignment wrapText="1"/>
    </xf>
    <xf numFmtId="0" fontId="2" fillId="0" borderId="2" pivotButton="0" quotePrefix="0" xfId="0"/>
    <xf numFmtId="164" fontId="2" fillId="0" borderId="1" applyAlignment="1" pivotButton="0" quotePrefix="0" xfId="0">
      <alignment horizontal="center" vertical="top"/>
    </xf>
    <xf numFmtId="164" fontId="0" fillId="0" borderId="0" applyAlignment="1" pivotButton="0" quotePrefix="0" xfId="0">
      <alignment wrapText="1"/>
    </xf>
    <xf numFmtId="164" fontId="0" fillId="0" borderId="0" pivotButton="0" quotePrefix="0" xfId="0"/>
    <xf numFmtId="0" fontId="2" fillId="0" borderId="2" applyAlignment="1" pivotButton="0" quotePrefix="0" xfId="0">
      <alignment wrapText="1"/>
    </xf>
    <xf numFmtId="0" fontId="4" fillId="0" borderId="2" applyAlignment="1" pivotButton="0" quotePrefix="0" xfId="0">
      <alignment wrapText="1"/>
    </xf>
    <xf numFmtId="0" fontId="5" fillId="0" borderId="0" applyAlignment="1" pivotButton="0" quotePrefix="0" xfId="0">
      <alignment wrapText="1"/>
    </xf>
    <xf numFmtId="164" fontId="2" fillId="0" borderId="3" applyAlignment="1" pivotButton="0" quotePrefix="0" xfId="0">
      <alignment horizontal="center" vertical="top"/>
    </xf>
    <xf numFmtId="164" fontId="0" fillId="2" borderId="0" applyAlignment="1" pivotButton="0" quotePrefix="0" xfId="0">
      <alignment wrapText="1"/>
    </xf>
    <xf numFmtId="0" fontId="0" fillId="0" borderId="0" applyAlignment="1" pivotButton="0" quotePrefix="0" xfId="0">
      <alignment vertical="center"/>
    </xf>
    <xf numFmtId="0" fontId="3" fillId="0" borderId="0" applyAlignment="1" pivotButton="0" quotePrefix="0" xfId="1">
      <alignment vertical="center" wrapText="1"/>
    </xf>
    <xf numFmtId="164" fontId="0" fillId="0" borderId="2" applyAlignment="1" pivotButton="0" quotePrefix="0" xfId="0">
      <alignment wrapText="1"/>
    </xf>
    <xf numFmtId="0" fontId="0" fillId="2" borderId="2" applyAlignment="1" pivotButton="0" quotePrefix="0" xfId="0">
      <alignment wrapText="1"/>
    </xf>
    <xf numFmtId="164" fontId="0" fillId="2" borderId="2" applyAlignment="1" pivotButton="0" quotePrefix="0" xfId="0">
      <alignment wrapText="1"/>
    </xf>
    <xf numFmtId="0" fontId="0" fillId="0" borderId="2" applyAlignment="1" pivotButton="0" quotePrefix="0" xfId="0">
      <alignment wrapText="1"/>
    </xf>
    <xf numFmtId="9" fontId="0" fillId="0" borderId="2" applyAlignment="1" pivotButton="0" quotePrefix="0" xfId="0">
      <alignment wrapText="1"/>
    </xf>
    <xf numFmtId="0" fontId="0" fillId="0" borderId="2" applyAlignment="1" pivotButton="0" quotePrefix="0" xfId="0">
      <alignment horizontal="center" vertical="center" wrapText="1"/>
    </xf>
    <xf numFmtId="9" fontId="0" fillId="0" borderId="2" applyAlignment="1" pivotButton="0" quotePrefix="0" xfId="0">
      <alignment vertical="center" wrapText="1"/>
    </xf>
    <xf numFmtId="0" fontId="6" fillId="0" borderId="2" applyAlignment="1" pivotButton="0" quotePrefix="0" xfId="0">
      <alignment vertical="center" wrapText="1"/>
    </xf>
    <xf numFmtId="0" fontId="5" fillId="0" borderId="2" applyAlignment="1" pivotButton="0" quotePrefix="0" xfId="0">
      <alignment wrapText="1"/>
    </xf>
    <xf numFmtId="0" fontId="5" fillId="0" borderId="2" applyAlignment="1" pivotButton="0" quotePrefix="0" xfId="0">
      <alignment horizontal="left" wrapText="1"/>
    </xf>
    <xf numFmtId="0" fontId="2" fillId="0" borderId="2" applyAlignment="1" pivotButton="0" quotePrefix="0" xfId="0">
      <alignment horizontal="center" vertical="center" wrapText="1"/>
    </xf>
    <xf numFmtId="164" fontId="2" fillId="0" borderId="2" applyAlignment="1" pivotButton="0" quotePrefix="0" xfId="0">
      <alignment horizontal="center" vertical="center" wrapText="1"/>
    </xf>
    <xf numFmtId="0" fontId="2" fillId="0" borderId="2" applyAlignment="1" pivotButton="0" quotePrefix="0" xfId="0">
      <alignment vertical="center" wrapText="1"/>
    </xf>
    <xf numFmtId="0" fontId="0" fillId="0" borderId="5" applyAlignment="1" pivotButton="0" quotePrefix="0" xfId="0">
      <alignment wrapText="1"/>
    </xf>
    <xf numFmtId="0" fontId="0" fillId="0" borderId="6" applyAlignment="1" pivotButton="0" quotePrefix="0" xfId="0">
      <alignment horizontal="center" vertical="center" wrapText="1"/>
    </xf>
    <xf numFmtId="0" fontId="0" fillId="0" borderId="7" applyAlignment="1" pivotButton="0" quotePrefix="0" xfId="0">
      <alignment wrapText="1"/>
    </xf>
    <xf numFmtId="0" fontId="0" fillId="0" borderId="7" applyAlignment="1" pivotButton="0" quotePrefix="0" xfId="0">
      <alignment vertical="center" wrapText="1"/>
    </xf>
    <xf numFmtId="0" fontId="0" fillId="0" borderId="8" applyAlignment="1" pivotButton="0" quotePrefix="0" xfId="0">
      <alignment vertical="center" wrapText="1"/>
    </xf>
    <xf numFmtId="0" fontId="0" fillId="0" borderId="9" applyAlignment="1" pivotButton="0" quotePrefix="0" xfId="0">
      <alignment vertical="center" wrapText="1"/>
    </xf>
    <xf numFmtId="164" fontId="0" fillId="0" borderId="6" applyAlignment="1" pivotButton="0" quotePrefix="0" xfId="0">
      <alignment wrapText="1"/>
    </xf>
    <xf numFmtId="0" fontId="2" fillId="0" borderId="7"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1" applyAlignment="1" pivotButton="0" quotePrefix="0" xfId="0">
      <alignment horizontal="center" vertical="center" wrapText="1"/>
    </xf>
    <xf numFmtId="0" fontId="3" fillId="0" borderId="7" applyAlignment="1" pivotButton="0" quotePrefix="0" xfId="1">
      <alignment horizontal="center" vertical="center" wrapText="1"/>
    </xf>
    <xf numFmtId="0" fontId="3" fillId="0" borderId="9" applyAlignment="1" pivotButton="0" quotePrefix="0" xfId="1">
      <alignment horizontal="center" vertical="center" wrapText="1"/>
    </xf>
    <xf numFmtId="0" fontId="3" fillId="0" borderId="8" applyAlignment="1" pivotButton="0" quotePrefix="0" xfId="1">
      <alignment vertical="center" wrapText="1"/>
    </xf>
    <xf numFmtId="0" fontId="0" fillId="0" borderId="10" applyAlignment="1" pivotButton="0" quotePrefix="0" xfId="0">
      <alignment vertical="center" wrapText="1"/>
    </xf>
    <xf numFmtId="0" fontId="0" fillId="0" borderId="12" applyAlignment="1" pivotButton="0" quotePrefix="0" xfId="0">
      <alignment vertical="center" wrapText="1"/>
    </xf>
    <xf numFmtId="0" fontId="0" fillId="0" borderId="11" applyAlignment="1" pivotButton="0" quotePrefix="0" xfId="0">
      <alignment vertical="center" wrapText="1"/>
    </xf>
    <xf numFmtId="0" fontId="7" fillId="0" borderId="2" applyAlignment="1" pivotButton="0" quotePrefix="0" xfId="0">
      <alignment horizontal="center" vertical="top" wrapText="1"/>
    </xf>
    <xf numFmtId="0" fontId="8" fillId="0" borderId="2" applyAlignment="1" pivotButton="0" quotePrefix="0" xfId="0">
      <alignment wrapText="1"/>
    </xf>
    <xf numFmtId="0" fontId="0" fillId="0" borderId="5" applyAlignment="1" pivotButton="0" quotePrefix="0" xfId="0">
      <alignment horizontal="center" vertical="top"/>
    </xf>
    <xf numFmtId="0" fontId="2" fillId="0" borderId="7" applyAlignment="1" pivotButton="0" quotePrefix="0" xfId="0">
      <alignment horizontal="center" vertical="top" wrapText="1"/>
    </xf>
    <xf numFmtId="164" fontId="2" fillId="0" borderId="2" applyAlignment="1" pivotButton="0" quotePrefix="0" xfId="0">
      <alignment horizontal="center" vertical="top" wrapText="1"/>
    </xf>
    <xf numFmtId="0" fontId="2" fillId="0" borderId="2" applyAlignment="1" pivotButton="0" quotePrefix="0" xfId="0">
      <alignment horizontal="center" vertical="top" wrapText="1"/>
    </xf>
    <xf numFmtId="0" fontId="2" fillId="0" borderId="2" applyAlignment="1" pivotButton="0" quotePrefix="0" xfId="0">
      <alignment vertical="top" wrapText="1"/>
    </xf>
    <xf numFmtId="0" fontId="2" fillId="0" borderId="7" applyAlignment="1" pivotButton="0" quotePrefix="0" xfId="0">
      <alignment horizontal="center" vertical="top"/>
    </xf>
    <xf numFmtId="0" fontId="2" fillId="0" borderId="10" applyAlignment="1" pivotButton="0" quotePrefix="0" xfId="0">
      <alignment horizontal="center" vertical="top"/>
    </xf>
    <xf numFmtId="0" fontId="2" fillId="0" borderId="7" applyAlignment="1" pivotButton="0" quotePrefix="0" xfId="0">
      <alignment vertical="top"/>
    </xf>
    <xf numFmtId="0" fontId="0" fillId="0" borderId="0" applyAlignment="1" pivotButton="0" quotePrefix="0" xfId="0">
      <alignment vertical="top"/>
    </xf>
    <xf numFmtId="0" fontId="0" fillId="0" borderId="2" applyAlignment="1" pivotButton="0" quotePrefix="0" xfId="0">
      <alignment vertical="top" wrapText="1"/>
    </xf>
    <xf numFmtId="9" fontId="0" fillId="0" borderId="2" applyAlignment="1" pivotButton="0" quotePrefix="0" xfId="0">
      <alignment vertical="top" wrapText="1"/>
    </xf>
    <xf numFmtId="0" fontId="0" fillId="0" borderId="2" applyAlignment="1" pivotButton="0" quotePrefix="0" xfId="0">
      <alignment horizontal="center" vertical="top"/>
    </xf>
    <xf numFmtId="0" fontId="0" fillId="0" borderId="6" applyAlignment="1" pivotButton="0" quotePrefix="0" xfId="0">
      <alignment horizontal="center" vertical="top" wrapText="1"/>
    </xf>
    <xf numFmtId="0" fontId="0" fillId="0" borderId="2" applyAlignment="1" pivotButton="0" quotePrefix="0" xfId="0">
      <alignment vertical="top"/>
    </xf>
    <xf numFmtId="0" fontId="0" fillId="0" borderId="0" applyAlignment="1" pivotButton="0" quotePrefix="0" xfId="0">
      <alignment vertical="top" wrapText="1"/>
    </xf>
    <xf numFmtId="164" fontId="0" fillId="0" borderId="2" applyAlignment="1" pivotButton="0" quotePrefix="0" xfId="0">
      <alignment vertical="top" wrapText="1"/>
    </xf>
    <xf numFmtId="0" fontId="0" fillId="0" borderId="7" applyAlignment="1" pivotButton="0" quotePrefix="0" xfId="0">
      <alignment vertical="top" wrapText="1"/>
    </xf>
    <xf numFmtId="0" fontId="5" fillId="0" borderId="2" applyAlignment="1" pivotButton="0" quotePrefix="0" xfId="0">
      <alignment vertical="top" wrapText="1"/>
    </xf>
    <xf numFmtId="0" fontId="0" fillId="0" borderId="5" applyAlignment="1" pivotButton="0" quotePrefix="0" xfId="0">
      <alignment vertical="top" wrapText="1"/>
    </xf>
    <xf numFmtId="0" fontId="5" fillId="0" borderId="2" applyAlignment="1" pivotButton="0" quotePrefix="0" xfId="0">
      <alignment horizontal="left" vertical="top" wrapText="1"/>
    </xf>
    <xf numFmtId="164" fontId="0" fillId="0" borderId="0" applyAlignment="1" pivotButton="0" quotePrefix="0" xfId="0">
      <alignment vertical="top"/>
    </xf>
    <xf numFmtId="43" fontId="2" fillId="0" borderId="2" applyAlignment="1" pivotButton="0" quotePrefix="0" xfId="0">
      <alignment horizontal="center" vertical="top" wrapText="1"/>
    </xf>
    <xf numFmtId="43" fontId="0" fillId="0" borderId="6" applyAlignment="1" pivotButton="0" quotePrefix="0" xfId="0">
      <alignment vertical="top" wrapText="1"/>
    </xf>
    <xf numFmtId="43" fontId="0" fillId="0" borderId="2" applyAlignment="1" pivotButton="0" quotePrefix="0" xfId="0">
      <alignment vertical="top" wrapText="1"/>
    </xf>
    <xf numFmtId="43" fontId="0" fillId="0" borderId="0" applyAlignment="1" pivotButton="0" quotePrefix="0" xfId="0">
      <alignment vertical="top"/>
    </xf>
    <xf numFmtId="0" fontId="0" fillId="3" borderId="5" applyAlignment="1" pivotButton="0" quotePrefix="0" xfId="0">
      <alignment vertical="top" wrapText="1"/>
    </xf>
    <xf numFmtId="3" fontId="5" fillId="0" borderId="0" applyAlignment="1" pivotButton="0" quotePrefix="0" xfId="0">
      <alignment vertical="top"/>
    </xf>
    <xf numFmtId="0" fontId="8" fillId="0" borderId="2" applyAlignment="1" pivotButton="0" quotePrefix="1" xfId="0">
      <alignment vertical="top" wrapText="1"/>
    </xf>
    <xf numFmtId="0" fontId="0" fillId="0" borderId="7" applyAlignment="1" pivotButton="0" quotePrefix="0" xfId="0">
      <alignment horizontal="center" vertical="top" wrapText="1"/>
    </xf>
    <xf numFmtId="0" fontId="3" fillId="0" borderId="7" applyAlignment="1" pivotButton="0" quotePrefix="0" xfId="1">
      <alignment horizontal="left" vertical="top" wrapText="1"/>
    </xf>
    <xf numFmtId="0" fontId="9" fillId="0" borderId="7" applyAlignment="1" pivotButton="0" quotePrefix="0" xfId="1">
      <alignment horizontal="left" vertical="top" wrapText="1"/>
    </xf>
    <xf numFmtId="0" fontId="10" fillId="0" borderId="2" applyAlignment="1" pivotButton="0" quotePrefix="0" xfId="0">
      <alignment vertical="top" wrapText="1"/>
    </xf>
    <xf numFmtId="9" fontId="0" fillId="0" borderId="6" applyAlignment="1" pivotButton="0" quotePrefix="0" xfId="0">
      <alignment horizontal="center" vertical="top" wrapText="1"/>
    </xf>
    <xf numFmtId="9" fontId="10" fillId="0" borderId="2" applyAlignment="1" pivotButton="0" quotePrefix="0" xfId="0">
      <alignment vertical="top" wrapText="1"/>
    </xf>
    <xf numFmtId="0" fontId="8" fillId="0" borderId="5" applyAlignment="1" pivotButton="0" quotePrefix="0" xfId="0">
      <alignment vertical="top" wrapText="1"/>
    </xf>
    <xf numFmtId="165" fontId="10" fillId="0" borderId="2" applyAlignment="1" pivotButton="0" quotePrefix="0" xfId="0">
      <alignment horizontal="center" vertical="top" wrapText="1"/>
    </xf>
    <xf numFmtId="164" fontId="10" fillId="0" borderId="2" applyAlignment="1" pivotButton="0" quotePrefix="0" xfId="0">
      <alignment vertical="top" wrapText="1"/>
    </xf>
    <xf numFmtId="0" fontId="0" fillId="0" borderId="7"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center" vertical="top" wrapText="1"/>
    </xf>
    <xf numFmtId="165" fontId="0" fillId="0" borderId="7" applyAlignment="1" pivotButton="0" quotePrefix="0" xfId="0">
      <alignment horizontal="center" vertical="top" wrapText="1"/>
    </xf>
    <xf numFmtId="165" fontId="0" fillId="0" borderId="8" applyAlignment="1" pivotButton="0" quotePrefix="0" xfId="0">
      <alignment horizontal="center" vertical="top" wrapText="1"/>
    </xf>
    <xf numFmtId="165" fontId="0" fillId="0" borderId="9" applyAlignment="1" pivotButton="0" quotePrefix="0" xfId="0">
      <alignment horizontal="center" vertical="top" wrapText="1"/>
    </xf>
    <xf numFmtId="0" fontId="3" fillId="0" borderId="7" applyAlignment="1" pivotButton="0" quotePrefix="0" xfId="1">
      <alignment horizontal="center" vertical="top" wrapText="1"/>
    </xf>
    <xf numFmtId="0" fontId="3" fillId="0" borderId="8" applyAlignment="1" pivotButton="0" quotePrefix="0" xfId="1">
      <alignment horizontal="center" vertical="top" wrapText="1"/>
    </xf>
    <xf numFmtId="0" fontId="3" fillId="0" borderId="9" applyAlignment="1" pivotButton="0" quotePrefix="0" xfId="1">
      <alignment horizontal="center" vertical="top" wrapText="1"/>
    </xf>
    <xf numFmtId="0" fontId="3" fillId="0" borderId="7" applyAlignment="1" pivotButton="0" quotePrefix="0" xfId="1">
      <alignment horizontal="left" vertical="top" wrapText="1"/>
    </xf>
    <xf numFmtId="0" fontId="3" fillId="0" borderId="8" applyAlignment="1" pivotButton="0" quotePrefix="0" xfId="1">
      <alignment horizontal="left" vertical="top" wrapText="1"/>
    </xf>
    <xf numFmtId="0" fontId="3" fillId="0" borderId="9" applyAlignment="1" pivotButton="0" quotePrefix="0" xfId="1">
      <alignment horizontal="left" vertical="top" wrapText="1"/>
    </xf>
    <xf numFmtId="165" fontId="0" fillId="0" borderId="7" applyAlignment="1" pivotButton="0" quotePrefix="0" xfId="0">
      <alignment horizontal="center" vertical="center" wrapText="1"/>
    </xf>
    <xf numFmtId="165" fontId="0" fillId="0" borderId="8" applyAlignment="1" pivotButton="0" quotePrefix="0" xfId="0">
      <alignment horizontal="center" vertical="center" wrapText="1"/>
    </xf>
    <xf numFmtId="165" fontId="0" fillId="0" borderId="9" applyAlignment="1" pivotButton="0" quotePrefix="0" xfId="0">
      <alignment horizontal="center" vertical="center" wrapText="1"/>
    </xf>
    <xf numFmtId="0" fontId="9" fillId="0" borderId="7" applyAlignment="1" pivotButton="0" quotePrefix="0" xfId="1">
      <alignment horizontal="left" vertical="top" wrapText="1"/>
    </xf>
    <xf numFmtId="0" fontId="9" fillId="0" borderId="8" applyAlignment="1" pivotButton="0" quotePrefix="0" xfId="1">
      <alignment horizontal="left" vertical="top" wrapText="1"/>
    </xf>
    <xf numFmtId="0" fontId="9" fillId="0" borderId="9" applyAlignment="1" pivotButton="0" quotePrefix="0" xfId="1">
      <alignment horizontal="left" vertical="top" wrapText="1"/>
    </xf>
    <xf numFmtId="0" fontId="9" fillId="0" borderId="7" applyAlignment="1" pivotButton="0" quotePrefix="0" xfId="1">
      <alignment horizontal="center" vertical="top" wrapText="1"/>
    </xf>
    <xf numFmtId="0" fontId="9" fillId="0" borderId="8" applyAlignment="1" pivotButton="0" quotePrefix="0" xfId="1">
      <alignment horizontal="center" vertical="top" wrapText="1"/>
    </xf>
    <xf numFmtId="0" fontId="9" fillId="0" borderId="9" applyAlignment="1" pivotButton="0" quotePrefix="0" xfId="1">
      <alignment horizontal="center" vertical="top" wrapText="1"/>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4" applyAlignment="1" pivotButton="0" quotePrefix="0" xfId="0">
      <alignment horizontal="center" vertical="center"/>
    </xf>
    <xf numFmtId="0" fontId="3" fillId="0" borderId="4" applyAlignment="1" pivotButton="0" quotePrefix="0" xfId="1">
      <alignment horizontal="center" vertical="center" wrapText="1"/>
    </xf>
    <xf numFmtId="0" fontId="3" fillId="0" borderId="0" applyAlignment="1" pivotButton="0" quotePrefix="0" xfId="1">
      <alignment horizontal="center" vertic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0" borderId="2" applyAlignment="1" pivotButton="0" quotePrefix="0" xfId="0">
      <alignment horizontal="center" vertical="top" wrapText="1"/>
    </xf>
    <xf numFmtId="0" fontId="3" fillId="0" borderId="2" applyAlignment="1" pivotButton="0" quotePrefix="0" xfId="1">
      <alignment horizontal="center" vertical="top" wrapText="1"/>
    </xf>
    <xf numFmtId="165" fontId="0" fillId="0" borderId="2" applyAlignment="1" pivotButton="0" quotePrefix="0" xfId="0">
      <alignment horizontal="center" vertical="top" wrapText="1"/>
    </xf>
    <xf numFmtId="165" fontId="0" fillId="4" borderId="2" applyAlignment="1" pivotButton="0" quotePrefix="0" xfId="0">
      <alignment horizontal="center" vertical="top" wrapText="1"/>
    </xf>
    <xf numFmtId="0" fontId="9" fillId="0" borderId="2" applyAlignment="1" pivotButton="0" quotePrefix="0" xfId="1">
      <alignment horizontal="center" vertical="top" wrapText="1"/>
    </xf>
    <xf numFmtId="164" fontId="0" fillId="4" borderId="2" applyAlignment="1" pivotButton="0" quotePrefix="0" xfId="0">
      <alignment vertical="top" wrapText="1"/>
    </xf>
    <xf numFmtId="3" fontId="5" fillId="4" borderId="0" applyAlignment="1" pivotButton="0" quotePrefix="0" xfId="0">
      <alignment vertical="top"/>
    </xf>
    <xf numFmtId="165" fontId="10" fillId="0" borderId="2" applyAlignment="1" pivotButton="0" quotePrefix="0" xfId="0">
      <alignment horizontal="center" vertical="top" wrapText="1"/>
    </xf>
    <xf numFmtId="165" fontId="10" fillId="4" borderId="2" applyAlignment="1" pivotButton="0" quotePrefix="0" xfId="0">
      <alignment horizontal="center" vertical="top" wrapText="1"/>
    </xf>
    <xf numFmtId="164" fontId="10" fillId="4" borderId="2" applyAlignment="1" pivotButton="0" quotePrefix="0" xfId="0">
      <alignment vertical="top" wrapText="1"/>
    </xf>
    <xf numFmtId="0" fontId="3" fillId="0" borderId="2" applyAlignment="1" pivotButton="0" quotePrefix="0" xfId="1">
      <alignment horizontal="left" vertical="top" wrapText="1"/>
    </xf>
    <xf numFmtId="165" fontId="0" fillId="0" borderId="2" applyAlignment="1" pivotButton="0" quotePrefix="0" xfId="0">
      <alignment horizontal="center" vertical="center" wrapText="1"/>
    </xf>
    <xf numFmtId="165" fontId="0" fillId="4" borderId="2" applyAlignment="1" pivotButton="0" quotePrefix="0" xfId="0">
      <alignment horizontal="center" vertical="center" wrapText="1"/>
    </xf>
    <xf numFmtId="0" fontId="9" fillId="0" borderId="2" applyAlignment="1" pivotButton="0" quotePrefix="0" xfId="1">
      <alignment horizontal="left" vertical="top" wrapText="1"/>
    </xf>
    <xf numFmtId="43" fontId="0" fillId="4" borderId="2" applyAlignment="1" pivotButton="0" quotePrefix="0" xfId="0">
      <alignment vertical="top" wrapText="1"/>
    </xf>
    <xf numFmtId="0" fontId="11"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5" authorId="0" shapeId="0">
      <text>
        <t>[AUTO-ADDED] Project reports access/productive-use beneficiary numbers but no MW value. Please add installed capacity (MW) or confirm not applicable.</t>
      </text>
    </comment>
    <comment ref="L5" authorId="0" shapeId="0">
      <text>
        <t>[AUTO-ADDED] Project reports access/productive-use beneficiary numbers but no MW value. Please add installed capacity (MW) or confirm not applicable.</t>
      </text>
    </comment>
    <comment ref="K7" authorId="0" shapeId="0">
      <text>
        <t>[AUTO-ADDED] Project reports access/productive-use beneficiary numbers but no MW value. Please add installed capacity (MW) or confirm not applicable.</t>
      </text>
    </comment>
    <comment ref="L7" authorId="0" shapeId="0">
      <text>
        <t>[AUTO-ADDED] Project reports access/productive-use beneficiary numbers but no MW value. Please add installed capacity (MW) or confirm not applicable.</t>
      </text>
    </comment>
    <comment ref="K11" authorId="0" shapeId="0">
      <text>
        <t>[AUTO-ADDED] Project reports access/productive-use beneficiary numbers but no MW value. Please add installed capacity (MW) or confirm not applicable.</t>
      </text>
    </comment>
    <comment ref="L11"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26532" TargetMode="External" Id="rId1"/><Relationship Type="http://schemas.openxmlformats.org/officeDocument/2006/relationships/hyperlink" Target="https://www.undp.org/timor-leste/projects/green-transformation-project"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26532" TargetMode="External" Id="rId1"/><Relationship Type="http://schemas.openxmlformats.org/officeDocument/2006/relationships/hyperlink" Target="http://open.undp.org/projects/00145070" TargetMode="External" Id="rId2"/></Relationships>
</file>

<file path=xl/worksheets/_rels/sheet3.xml.rels><Relationships xmlns="http://schemas.openxmlformats.org/package/2006/relationships"><Relationship Type="http://schemas.openxmlformats.org/officeDocument/2006/relationships/hyperlink" Target="http://open.undp.org/projects/00126532" TargetMode="External" Id="rId1"/><Relationship Type="http://schemas.openxmlformats.org/officeDocument/2006/relationships/hyperlink" Target="http://open.undp.org/projects/00145070" TargetMode="External" Id="rId2"/></Relationships>
</file>

<file path=xl/worksheets/sheet1.xml><?xml version="1.0" encoding="utf-8"?>
<worksheet xmlns="http://schemas.openxmlformats.org/spreadsheetml/2006/main">
  <sheetPr>
    <outlinePr summaryBelow="1" summaryRight="1"/>
    <pageSetUpPr/>
  </sheetPr>
  <dimension ref="A1:AR14"/>
  <sheetViews>
    <sheetView tabSelected="1" workbookViewId="0">
      <pane ySplit="1" topLeftCell="E19" activePane="bottomLeft" state="frozen"/>
      <selection pane="bottomLeft" activeCell="I7" sqref="I7"/>
    </sheetView>
  </sheetViews>
  <sheetFormatPr baseColWidth="8" defaultColWidth="9.140625" defaultRowHeight="14.45"/>
  <cols>
    <col width="9.140625" customWidth="1" style="55" min="1" max="1"/>
    <col width="20.7109375" customWidth="1" style="55" min="2" max="3"/>
    <col width="15.42578125" customWidth="1" style="71" min="4" max="4"/>
    <col width="15.42578125" customWidth="1" style="55" min="5" max="6"/>
    <col width="15.42578125" customWidth="1" min="6" max="6"/>
    <col width="15.42578125" customWidth="1" style="67" min="7" max="8"/>
    <col width="15.42578125" customWidth="1" min="8" max="8"/>
    <col width="65.5703125" customWidth="1" style="55" min="9" max="9"/>
    <col width="9.140625" customWidth="1" style="55" min="10" max="10"/>
    <col width="12.28515625" customWidth="1" style="55" min="11" max="11"/>
    <col width="12.85546875" bestFit="1" customWidth="1" style="55" min="12" max="12"/>
    <col width="11.7109375" customWidth="1" style="61" min="13" max="13"/>
    <col width="14.42578125" bestFit="1" customWidth="1" style="55" min="14" max="14"/>
    <col width="18.140625" customWidth="1" style="55" min="15" max="15"/>
    <col width="24.7109375" customWidth="1" style="55" min="16" max="16"/>
    <col width="16.5703125" bestFit="1" customWidth="1" style="55" min="17" max="17"/>
    <col width="18.140625" bestFit="1" customWidth="1" style="55" min="18" max="18"/>
    <col width="11.85546875" customWidth="1" style="55" min="19" max="19"/>
    <col width="30.28515625" bestFit="1" customWidth="1" style="55" min="20" max="20"/>
    <col width="16.7109375" bestFit="1" customWidth="1" style="55" min="21" max="21"/>
    <col width="9.140625" customWidth="1" style="55" min="22" max="16384"/>
  </cols>
  <sheetData>
    <row r="1" ht="47.25" customHeight="1">
      <c r="A1" s="48" t="inlineStr">
        <is>
          <t>Project ID</t>
        </is>
      </c>
      <c r="B1" s="48" t="inlineStr">
        <is>
          <t>Title</t>
        </is>
      </c>
      <c r="C1" s="48" t="inlineStr">
        <is>
          <t>Link</t>
        </is>
      </c>
      <c r="D1" s="68" t="inlineStr">
        <is>
          <t>Budget</t>
        </is>
      </c>
      <c r="E1" s="68" t="inlineStr">
        <is>
          <t>Start Year</t>
        </is>
      </c>
      <c r="F1" s="68" t="inlineStr">
        <is>
          <t>End Year</t>
        </is>
      </c>
      <c r="G1" s="68" t="inlineStr">
        <is>
          <t>Status</t>
        </is>
      </c>
      <c r="H1" s="68" t="inlineStr">
        <is>
          <t>VF or Non-VF</t>
        </is>
      </c>
      <c r="I1" s="50" t="inlineStr">
        <is>
          <t>Beneficiary Category</t>
        </is>
      </c>
      <c r="J1" s="50" t="inlineStr">
        <is>
          <t>Indicator</t>
        </is>
      </c>
      <c r="K1" s="49" t="inlineStr">
        <is>
          <t>Baseline</t>
        </is>
      </c>
      <c r="L1" s="49" t="inlineStr">
        <is>
          <t>Target</t>
        </is>
      </c>
      <c r="M1" s="50" t="inlineStr">
        <is>
          <t>Notes</t>
        </is>
      </c>
      <c r="N1" s="51" t="inlineStr">
        <is>
          <t>Donors</t>
        </is>
      </c>
      <c r="O1" s="51" t="inlineStr">
        <is>
          <t>Gender (% female)</t>
        </is>
      </c>
      <c r="P1" s="52" t="inlineStr">
        <is>
          <t>Tag</t>
        </is>
      </c>
      <c r="Q1" s="2" t="inlineStr">
        <is>
          <t xml:space="preserve">  </t>
        </is>
      </c>
      <c r="R1" s="2" t="inlineStr">
        <is>
          <t>RISE Taxonomy</t>
        </is>
      </c>
      <c r="S1" s="52" t="inlineStr">
        <is>
          <t>Flagship</t>
        </is>
      </c>
      <c r="T1" s="52" t="inlineStr">
        <is>
          <t>Indirect Category</t>
        </is>
      </c>
      <c r="U1" s="53" t="inlineStr">
        <is>
          <t>Indirect Taxonomy</t>
        </is>
      </c>
      <c r="V1" s="54" t="inlineStr">
        <is>
          <t>Technology</t>
        </is>
      </c>
      <c r="W1" s="53" t="inlineStr">
        <is>
          <t>Policy or Regulatory Framework</t>
        </is>
      </c>
      <c r="X1" s="54" t="inlineStr">
        <is>
          <t>Policy Population</t>
        </is>
      </c>
    </row>
    <row r="2" ht="84" customFormat="1" customHeight="1" s="61">
      <c r="A2" s="113" t="n">
        <v>126532</v>
      </c>
      <c r="B2" s="113" t="inlineStr">
        <is>
          <t>The ACCESS project</t>
        </is>
      </c>
      <c r="C2" s="114" t="inlineStr">
        <is>
          <t>http://open.undp.org/projects/00126532</t>
        </is>
      </c>
      <c r="D2" s="115" t="n">
        <v>2970297</v>
      </c>
      <c r="E2" s="116" t="n"/>
      <c r="F2" s="116" t="n"/>
      <c r="G2" s="116" t="n"/>
      <c r="H2" s="115" t="inlineStr">
        <is>
          <t>Non-VF</t>
        </is>
      </c>
      <c r="I2" s="56" t="inlineStr">
        <is>
          <t>Energy Infrastructure Services</t>
        </is>
      </c>
      <c r="J2" s="56" t="inlineStr">
        <is>
          <t xml:space="preserve">Number of rural HH accessed to solar lightings </t>
        </is>
      </c>
      <c r="K2" s="62" t="n"/>
      <c r="L2" s="73" t="inlineStr">
        <is>
          <t>1000 HH</t>
        </is>
      </c>
      <c r="M2" s="74" t="inlineStr">
        <is>
          <t xml:space="preserve">The total number of households (HH) who benefited from this project is 1,000, comprising 2,511 females and 2,530 males. Additionally, 1,712 students benefited from the solar lamps.
1,000 HH gained access to solar lighting.
</t>
        </is>
      </c>
      <c r="N2" s="56" t="inlineStr">
        <is>
          <t>KOICA</t>
        </is>
      </c>
      <c r="O2" s="80" t="n">
        <v>0.5</v>
      </c>
      <c r="P2" s="58" t="inlineStr">
        <is>
          <t>Efficiency</t>
        </is>
      </c>
      <c r="Q2" s="59" t="inlineStr">
        <is>
          <t>Close the gap on energy access</t>
        </is>
      </c>
      <c r="R2" s="58" t="inlineStr">
        <is>
          <t>Renewable Energy</t>
        </is>
      </c>
      <c r="S2" s="58" t="inlineStr">
        <is>
          <t>Action Opportunities</t>
        </is>
      </c>
      <c r="T2" s="58" t="inlineStr">
        <is>
          <t>NDC Support</t>
        </is>
      </c>
      <c r="U2" s="58" t="inlineStr">
        <is>
          <t>Electricity Access</t>
        </is>
      </c>
      <c r="V2" s="60" t="inlineStr">
        <is>
          <t>Solar</t>
        </is>
      </c>
      <c r="W2" s="58" t="inlineStr">
        <is>
          <t>Community</t>
        </is>
      </c>
      <c r="X2" s="48" t="n"/>
      <c r="Y2" s="48" t="n"/>
      <c r="Z2" s="48" t="n"/>
      <c r="AA2" s="68" t="n"/>
      <c r="AB2" s="50" t="n"/>
      <c r="AC2" s="50" t="n"/>
      <c r="AD2" s="49" t="n"/>
      <c r="AE2" s="49" t="n"/>
      <c r="AF2" s="50" t="n"/>
      <c r="AG2" s="51" t="n"/>
      <c r="AH2" s="51" t="n"/>
      <c r="AI2" s="2" t="n"/>
      <c r="AJ2" s="52" t="n"/>
      <c r="AK2" s="2" t="n"/>
      <c r="AL2" s="2" t="n"/>
      <c r="AM2" s="52" t="n"/>
      <c r="AN2" s="52" t="n"/>
      <c r="AO2" s="53" t="n"/>
      <c r="AP2" s="54" t="n"/>
      <c r="AQ2" s="53" t="n"/>
      <c r="AR2" s="54" t="n"/>
    </row>
    <row r="3" ht="33.75" customFormat="1" customHeight="1" s="61">
      <c r="I3" s="56" t="inlineStr">
        <is>
          <t>Capacity Building Training</t>
        </is>
      </c>
      <c r="J3" s="56" t="inlineStr">
        <is>
          <t xml:space="preserve">Number of local operators for maintancence </t>
        </is>
      </c>
      <c r="K3" s="62" t="n"/>
      <c r="L3" s="62" t="n">
        <v>30</v>
      </c>
      <c r="M3" s="56" t="inlineStr">
        <is>
          <t>30 local operators trained on managing solar water pump systems, including 7 female operators.</t>
        </is>
      </c>
      <c r="N3" s="56" t="inlineStr">
        <is>
          <t>KOICA</t>
        </is>
      </c>
      <c r="O3" s="57" t="n"/>
      <c r="P3" s="58" t="inlineStr">
        <is>
          <t>Efficiency</t>
        </is>
      </c>
      <c r="Q3" s="59" t="inlineStr">
        <is>
          <t>Close the gap on energy access</t>
        </is>
      </c>
      <c r="R3" s="58" t="inlineStr">
        <is>
          <t>Renewable Energy</t>
        </is>
      </c>
      <c r="S3" s="58" t="inlineStr">
        <is>
          <t>Action Opportunities</t>
        </is>
      </c>
      <c r="T3" s="58" t="n"/>
      <c r="U3" s="58" t="inlineStr">
        <is>
          <t>Renewable Energy</t>
        </is>
      </c>
      <c r="V3" s="60" t="inlineStr">
        <is>
          <t>Solar</t>
        </is>
      </c>
      <c r="W3" s="58" t="inlineStr">
        <is>
          <t>Community</t>
        </is>
      </c>
      <c r="X3" s="113" t="n"/>
      <c r="Y3" s="113" t="n"/>
      <c r="Z3" s="117" t="n"/>
      <c r="AA3" s="115" t="n"/>
      <c r="AB3" s="56" t="n"/>
      <c r="AC3" s="56" t="n"/>
      <c r="AD3" s="62" t="n"/>
      <c r="AE3" s="73" t="n"/>
      <c r="AF3" s="78" t="n"/>
      <c r="AG3" s="56" t="n"/>
      <c r="AH3" s="57" t="n"/>
      <c r="AI3" s="47" t="n"/>
      <c r="AJ3" s="58" t="n"/>
      <c r="AK3" s="59" t="n"/>
      <c r="AL3" s="58" t="n"/>
      <c r="AM3" s="58" t="n"/>
      <c r="AN3" s="58" t="n"/>
      <c r="AO3" s="58" t="n"/>
      <c r="AP3" s="60" t="n"/>
      <c r="AQ3" s="58" t="n"/>
      <c r="AR3" s="60" t="n"/>
    </row>
    <row r="4" ht="60.75" customFormat="1" customHeight="1" s="61">
      <c r="I4" s="56" t="inlineStr">
        <is>
          <t>Water Services</t>
        </is>
      </c>
      <c r="J4" s="56" t="inlineStr">
        <is>
          <t>Number of HH accessed to water services powered by solar pump</t>
        </is>
      </c>
      <c r="K4" s="62" t="n"/>
      <c r="L4" s="73" t="n">
        <v>4321</v>
      </c>
      <c r="M4" s="56" t="inlineStr">
        <is>
          <t>Solar Water Pump System: 773 Households or 4,321 individuals (2,148 females and 2,173 males) benefited from this water system.
- 773 HH gained access to clean water through Solar Water Pump System.</t>
        </is>
      </c>
      <c r="N4" s="56" t="inlineStr">
        <is>
          <t>KOICA</t>
        </is>
      </c>
      <c r="O4" s="80" t="n">
        <v>0.5</v>
      </c>
      <c r="P4" s="58" t="inlineStr">
        <is>
          <t>Efficiency</t>
        </is>
      </c>
      <c r="Q4" s="59" t="inlineStr">
        <is>
          <t>Close the gap on energy access</t>
        </is>
      </c>
      <c r="R4" s="58" t="n"/>
      <c r="S4" s="58" t="inlineStr">
        <is>
          <t>Action Opportunities</t>
        </is>
      </c>
      <c r="T4" s="58" t="n"/>
      <c r="U4" s="58" t="inlineStr">
        <is>
          <t>Renewable Energy</t>
        </is>
      </c>
      <c r="V4" s="60" t="inlineStr">
        <is>
          <t>Solar</t>
        </is>
      </c>
      <c r="W4" s="58" t="inlineStr">
        <is>
          <t>Community</t>
        </is>
      </c>
      <c r="AB4" s="56" t="n"/>
      <c r="AC4" s="56" t="n"/>
      <c r="AD4" s="62" t="n"/>
      <c r="AE4" s="62" t="n"/>
      <c r="AF4" s="56" t="n"/>
      <c r="AG4" s="56" t="n"/>
      <c r="AH4" s="57" t="n"/>
      <c r="AI4" s="47" t="n"/>
      <c r="AJ4" s="58" t="n"/>
      <c r="AK4" s="59" t="n"/>
      <c r="AL4" s="58" t="n"/>
      <c r="AM4" s="58" t="n"/>
      <c r="AN4" s="58" t="n"/>
      <c r="AO4" s="58" t="n"/>
      <c r="AP4" s="60" t="n"/>
      <c r="AQ4" s="58" t="n"/>
      <c r="AR4" s="60" t="n"/>
    </row>
    <row r="5" ht="78" customFormat="1" customHeight="1" s="61">
      <c r="I5" s="56" t="inlineStr">
        <is>
          <t>Energy (MW added)</t>
        </is>
      </c>
      <c r="J5" s="56" t="inlineStr">
        <is>
          <t>Installed capacity in MW for access/productive-use outputs</t>
        </is>
      </c>
      <c r="K5" s="118" t="n">
        <v>0</v>
      </c>
      <c r="L5" s="119" t="n"/>
      <c r="M5" s="56" t="n"/>
      <c r="N5" s="56" t="n"/>
      <c r="O5" s="80" t="n"/>
      <c r="P5" s="58" t="n"/>
      <c r="Q5" s="59" t="n"/>
      <c r="R5" s="58" t="n"/>
      <c r="S5" s="58" t="n"/>
      <c r="T5" s="58" t="n"/>
      <c r="U5" s="58" t="n"/>
      <c r="V5" s="60" t="n"/>
      <c r="W5" s="58" t="n"/>
      <c r="AB5" s="56" t="n"/>
      <c r="AC5" s="56" t="n"/>
      <c r="AD5" s="62" t="n"/>
      <c r="AE5" s="62" t="n"/>
      <c r="AF5" s="56" t="n"/>
      <c r="AG5" s="56" t="n"/>
      <c r="AH5" s="57" t="n"/>
      <c r="AI5" s="47" t="n"/>
      <c r="AJ5" s="58" t="n"/>
      <c r="AK5" s="59" t="n"/>
      <c r="AL5" s="58" t="n"/>
      <c r="AM5" s="58" t="n"/>
      <c r="AN5" s="58" t="n"/>
      <c r="AO5" s="58" t="n"/>
      <c r="AP5" s="60" t="n"/>
      <c r="AQ5" s="58" t="n"/>
      <c r="AR5" s="60" t="n"/>
    </row>
    <row r="6" ht="60.75" customFormat="1" customHeight="1" s="61">
      <c r="A6" s="84" t="n">
        <v>145070</v>
      </c>
      <c r="B6" s="84" t="inlineStr">
        <is>
          <t>3E4Women</t>
        </is>
      </c>
      <c r="C6" s="93" t="inlineStr">
        <is>
          <t>http://open.undp.org/projects/00145070</t>
        </is>
      </c>
      <c r="D6" s="120" t="n">
        <v>280000</v>
      </c>
      <c r="E6" s="121" t="n"/>
      <c r="F6" s="121" t="n"/>
      <c r="G6" s="121" t="n"/>
      <c r="H6" s="120" t="inlineStr">
        <is>
          <t>Non-VF</t>
        </is>
      </c>
      <c r="I6" s="56" t="inlineStr">
        <is>
          <t>Small Enterprises</t>
        </is>
      </c>
      <c r="J6" s="56" t="inlineStr">
        <is>
          <t>Number of women-owned enterprises with renewable energy system installed</t>
        </is>
      </c>
      <c r="K6" s="83" t="n"/>
      <c r="L6" s="83" t="n">
        <v>100</v>
      </c>
      <c r="M6" s="56" t="n"/>
      <c r="N6" s="63" t="inlineStr">
        <is>
          <t>Joint SDG Fund</t>
        </is>
      </c>
      <c r="O6" s="57" t="n">
        <v>1</v>
      </c>
      <c r="P6" s="58" t="inlineStr">
        <is>
          <t>Efficiency</t>
        </is>
      </c>
      <c r="Q6" s="59" t="inlineStr">
        <is>
          <t>Scale up energy finance</t>
        </is>
      </c>
      <c r="R6" s="58" t="inlineStr">
        <is>
          <t>Overall</t>
        </is>
      </c>
      <c r="S6" s="58" t="n"/>
      <c r="T6" s="58" t="inlineStr">
        <is>
          <t>Financing Model</t>
        </is>
      </c>
      <c r="U6" s="58" t="inlineStr">
        <is>
          <t>Renewable Energy</t>
        </is>
      </c>
      <c r="V6" s="60" t="inlineStr">
        <is>
          <t>Solar</t>
        </is>
      </c>
      <c r="W6" s="58" t="inlineStr">
        <is>
          <t>Community</t>
        </is>
      </c>
      <c r="AB6" s="56" t="n"/>
      <c r="AC6" s="56" t="n"/>
      <c r="AD6" s="62" t="n"/>
      <c r="AE6" s="73" t="n"/>
      <c r="AF6" s="56" t="n"/>
      <c r="AG6" s="56" t="n"/>
      <c r="AH6" s="57" t="n"/>
      <c r="AI6" s="47" t="n"/>
      <c r="AJ6" s="58" t="n"/>
      <c r="AK6" s="59" t="n"/>
      <c r="AL6" s="58" t="n"/>
      <c r="AM6" s="58" t="n"/>
      <c r="AN6" s="58" t="n"/>
      <c r="AO6" s="58" t="n"/>
      <c r="AP6" s="60" t="n"/>
      <c r="AQ6" s="58" t="n"/>
      <c r="AR6" s="60" t="n"/>
    </row>
    <row r="7" ht="76.5" customFormat="1" customHeight="1" s="61">
      <c r="A7" s="84" t="n"/>
      <c r="B7" s="84" t="n"/>
      <c r="C7" s="93" t="n"/>
      <c r="D7" s="120" t="n"/>
      <c r="E7" s="120" t="n"/>
      <c r="F7" s="120" t="n"/>
      <c r="G7" s="120" t="n"/>
      <c r="H7" s="120" t="n"/>
      <c r="I7" s="56" t="inlineStr">
        <is>
          <t>Energy (MW added)</t>
        </is>
      </c>
      <c r="J7" s="56" t="inlineStr">
        <is>
          <t>Installed capacity in MW for access/productive-use outputs</t>
        </is>
      </c>
      <c r="K7" s="122" t="n">
        <v>0</v>
      </c>
      <c r="L7" s="122" t="n"/>
      <c r="M7" s="56" t="n"/>
      <c r="N7" s="63" t="n"/>
      <c r="O7" s="57" t="n"/>
      <c r="P7" s="58" t="n"/>
      <c r="Q7" s="59" t="n"/>
      <c r="R7" s="58" t="n"/>
      <c r="S7" s="58" t="n"/>
      <c r="T7" s="58" t="n"/>
      <c r="U7" s="58" t="n"/>
      <c r="V7" s="60" t="n"/>
      <c r="W7" s="58" t="n"/>
      <c r="AB7" s="56" t="n"/>
      <c r="AC7" s="56" t="n"/>
      <c r="AD7" s="62" t="n"/>
      <c r="AE7" s="73" t="n"/>
      <c r="AF7" s="56" t="n"/>
      <c r="AG7" s="56" t="n"/>
      <c r="AH7" s="57" t="n"/>
      <c r="AI7" s="47" t="n"/>
      <c r="AJ7" s="58" t="n"/>
      <c r="AK7" s="59" t="n"/>
      <c r="AL7" s="58" t="n"/>
      <c r="AM7" s="58" t="n"/>
      <c r="AN7" s="58" t="n"/>
      <c r="AO7" s="58" t="n"/>
      <c r="AP7" s="60" t="n"/>
      <c r="AQ7" s="58" t="n"/>
      <c r="AR7" s="60" t="n"/>
    </row>
    <row r="8" ht="91.5" customFormat="1" customHeight="1" s="61">
      <c r="A8" s="113" t="n">
        <v>1000417</v>
      </c>
      <c r="B8" s="113" t="inlineStr">
        <is>
          <t xml:space="preserve">Green Transformation </t>
        </is>
      </c>
      <c r="C8" s="123" t="inlineStr">
        <is>
          <t>https://www.undp.org/timor-leste/projects/green-transformation-project</t>
        </is>
      </c>
      <c r="D8" s="124" t="n">
        <v>5781240</v>
      </c>
      <c r="E8" s="125" t="n"/>
      <c r="F8" s="125" t="n"/>
      <c r="G8" s="125" t="n"/>
      <c r="H8" s="124" t="inlineStr">
        <is>
          <t>Non-VF</t>
        </is>
      </c>
      <c r="I8" s="56" t="inlineStr">
        <is>
          <t>Electricity Access</t>
        </is>
      </c>
      <c r="J8" s="64" t="inlineStr">
        <is>
          <t>Number of people benefited from solar lights and improved cooking stoves</t>
        </is>
      </c>
      <c r="K8" s="62" t="n"/>
      <c r="L8" s="62" t="n">
        <v>5000</v>
      </c>
      <c r="M8" s="65" t="inlineStr">
        <is>
          <t xml:space="preserve"> A total of 5,000 individuals (1,000 HH, with an average of 5 people per household) benefited from solar lights and improved cooking stoves.
1000 lightings and improved cooking stoves</t>
        </is>
      </c>
      <c r="N8" s="113" t="inlineStr">
        <is>
          <t>Japan</t>
        </is>
      </c>
      <c r="O8" s="79" t="n">
        <v>0.4</v>
      </c>
      <c r="P8" s="58" t="inlineStr">
        <is>
          <t>Just</t>
        </is>
      </c>
      <c r="Q8" s="59" t="inlineStr">
        <is>
          <t>Close the gap on energy access</t>
        </is>
      </c>
      <c r="R8" s="58" t="inlineStr">
        <is>
          <t>Renewable Energy</t>
        </is>
      </c>
      <c r="S8" s="58" t="n"/>
      <c r="T8" s="58" t="inlineStr">
        <is>
          <t>NDC Support</t>
        </is>
      </c>
      <c r="U8" s="58" t="inlineStr">
        <is>
          <t>Renewable Energy</t>
        </is>
      </c>
      <c r="V8" s="60" t="inlineStr">
        <is>
          <t>Solar</t>
        </is>
      </c>
      <c r="W8" s="58" t="inlineStr">
        <is>
          <t>Community</t>
        </is>
      </c>
      <c r="X8" s="84" t="n"/>
      <c r="Y8" s="84" t="n"/>
      <c r="Z8" s="99" t="n"/>
      <c r="AA8" s="70" t="n"/>
      <c r="AB8" s="56" t="n"/>
      <c r="AC8" s="56" t="n"/>
      <c r="AD8" s="62" t="n"/>
      <c r="AE8" s="62" t="n"/>
      <c r="AF8" s="56" t="n"/>
      <c r="AG8" s="63" t="n"/>
      <c r="AH8" s="57" t="n"/>
      <c r="AI8" s="47" t="n"/>
      <c r="AJ8" s="58" t="n"/>
      <c r="AK8" s="59" t="n"/>
      <c r="AL8" s="58" t="n"/>
      <c r="AM8" s="58" t="n"/>
      <c r="AN8" s="58" t="n"/>
      <c r="AO8" s="58" t="n"/>
      <c r="AP8" s="60" t="n"/>
      <c r="AQ8" s="58" t="n"/>
      <c r="AR8" s="60" t="n"/>
    </row>
    <row r="9" ht="15" customHeight="1">
      <c r="I9" s="56" t="inlineStr">
        <is>
          <t>Health Services</t>
        </is>
      </c>
      <c r="J9" s="64" t="inlineStr">
        <is>
          <t xml:space="preserve">Number of people who benefited from solarized health facilities </t>
        </is>
      </c>
      <c r="K9" s="62" t="n"/>
      <c r="L9" s="70" t="n">
        <v>750000</v>
      </c>
      <c r="M9" s="81" t="inlineStr">
        <is>
          <t xml:space="preserve">
 Solarized the National Warehouse for Medicines and Medical Equipment (INFPM) and 2 community health posts, providing solar electricity access to an estimated 750,000 people in Timor-Leste.
</t>
        </is>
      </c>
      <c r="O9" s="79" t="n">
        <v>0.4</v>
      </c>
      <c r="P9" s="58" t="inlineStr">
        <is>
          <t>Health</t>
        </is>
      </c>
      <c r="Q9" s="59" t="inlineStr">
        <is>
          <t>Accelerating just energy transition</t>
        </is>
      </c>
      <c r="R9" s="58" t="inlineStr">
        <is>
          <t>Renewable Energy</t>
        </is>
      </c>
      <c r="S9" s="58" t="n"/>
      <c r="T9" s="58" t="inlineStr">
        <is>
          <t>NDC Support</t>
        </is>
      </c>
      <c r="U9" s="58" t="inlineStr">
        <is>
          <t>Renewable Energy</t>
        </is>
      </c>
      <c r="V9" s="60" t="inlineStr">
        <is>
          <t>Solar</t>
        </is>
      </c>
      <c r="W9" s="58" t="inlineStr">
        <is>
          <t>National</t>
        </is>
      </c>
      <c r="X9" s="113" t="inlineStr">
        <is>
          <t xml:space="preserve">  </t>
        </is>
      </c>
      <c r="Y9" s="113" t="n"/>
      <c r="Z9" s="126" t="n"/>
      <c r="AA9" s="69" t="n"/>
      <c r="AB9" s="56" t="n"/>
      <c r="AC9" s="64" t="n"/>
      <c r="AD9" s="62" t="n"/>
      <c r="AE9" s="62" t="n"/>
      <c r="AF9" s="65" t="n"/>
      <c r="AG9" s="113" t="n"/>
      <c r="AH9" s="59" t="n"/>
      <c r="AI9" s="47" t="n"/>
      <c r="AJ9" s="58" t="n"/>
      <c r="AK9" s="59" t="n"/>
      <c r="AL9" s="58" t="n"/>
      <c r="AM9" s="58" t="n"/>
      <c r="AN9" s="58" t="n"/>
      <c r="AO9" s="58" t="n"/>
      <c r="AP9" s="60" t="n"/>
      <c r="AQ9" s="58" t="n"/>
      <c r="AR9" s="60" t="n"/>
    </row>
    <row r="10" ht="15" customHeight="1">
      <c r="I10" s="56" t="inlineStr">
        <is>
          <t>Education Services</t>
        </is>
      </c>
      <c r="J10" s="66" t="inlineStr">
        <is>
          <t xml:space="preserve">Number of people who benefited from solarization of ICT labs in 15 public secondary/vocation schools </t>
        </is>
      </c>
      <c r="K10" s="62" t="n"/>
      <c r="L10" s="70" t="n">
        <v>9000</v>
      </c>
      <c r="M10" s="65" t="inlineStr">
        <is>
          <t xml:space="preserve">
Solarized ICT labs in 15 public secondary/vocational schools, benefiting an estimated 9,000 students.</t>
        </is>
      </c>
      <c r="O10" s="79" t="n">
        <v>0.4</v>
      </c>
      <c r="P10" s="58" t="inlineStr">
        <is>
          <t>Just</t>
        </is>
      </c>
      <c r="Q10" s="59" t="inlineStr">
        <is>
          <t>Accelerating just energy transition</t>
        </is>
      </c>
      <c r="R10" s="58" t="inlineStr">
        <is>
          <t>Renewable Energy</t>
        </is>
      </c>
      <c r="S10" s="58" t="n"/>
      <c r="T10" s="58" t="inlineStr">
        <is>
          <t>NDC Support</t>
        </is>
      </c>
      <c r="U10" s="58" t="inlineStr">
        <is>
          <t>Renewable Energy</t>
        </is>
      </c>
      <c r="V10" s="60" t="inlineStr">
        <is>
          <t>Solar</t>
        </is>
      </c>
      <c r="W10" s="58" t="inlineStr">
        <is>
          <t>National</t>
        </is>
      </c>
      <c r="AA10" s="69" t="n"/>
      <c r="AB10" s="56" t="n"/>
      <c r="AC10" s="64" t="n"/>
      <c r="AD10" s="62" t="n"/>
      <c r="AE10" s="70" t="n"/>
      <c r="AF10" s="65" t="n"/>
      <c r="AH10" s="59" t="n"/>
      <c r="AI10" s="47" t="n"/>
      <c r="AJ10" s="58" t="n"/>
      <c r="AK10" s="59" t="n"/>
      <c r="AL10" s="58" t="n"/>
      <c r="AM10" s="58" t="n"/>
      <c r="AN10" s="58" t="n"/>
      <c r="AO10" s="58" t="n"/>
      <c r="AP10" s="60" t="n"/>
      <c r="AQ10" s="58" t="n"/>
      <c r="AR10" s="60" t="n"/>
    </row>
    <row r="11" ht="15" customHeight="1">
      <c r="I11" s="56" t="inlineStr">
        <is>
          <t>Energy (MW added)</t>
        </is>
      </c>
      <c r="J11" s="66" t="inlineStr">
        <is>
          <t>Installed capacity in MW for access/productive-use outputs</t>
        </is>
      </c>
      <c r="K11" s="118" t="n">
        <v>0</v>
      </c>
      <c r="L11" s="127" t="n"/>
      <c r="M11" s="65" t="n"/>
      <c r="O11" s="79" t="n"/>
      <c r="P11" s="58" t="n"/>
      <c r="Q11" s="59" t="n"/>
      <c r="R11" s="58" t="n"/>
      <c r="S11" s="58" t="n"/>
      <c r="T11" s="58" t="n"/>
      <c r="U11" s="58" t="n"/>
      <c r="V11" s="60" t="n"/>
      <c r="W11" s="58" t="n"/>
      <c r="AA11" s="69" t="n"/>
      <c r="AB11" s="56" t="n"/>
      <c r="AC11" s="64" t="n"/>
      <c r="AD11" s="62" t="n"/>
      <c r="AE11" s="70" t="n"/>
      <c r="AF11" s="65" t="n"/>
      <c r="AH11" s="59" t="n"/>
      <c r="AI11" s="47" t="n"/>
      <c r="AJ11" s="58" t="n"/>
      <c r="AK11" s="59" t="n"/>
      <c r="AL11" s="58" t="n"/>
      <c r="AM11" s="58" t="n"/>
      <c r="AN11" s="58" t="n"/>
      <c r="AO11" s="58" t="n"/>
      <c r="AP11" s="60" t="n"/>
      <c r="AQ11" s="58" t="n"/>
      <c r="AR11" s="60" t="n"/>
    </row>
    <row r="12">
      <c r="AA12" s="69" t="n"/>
      <c r="AB12" s="56" t="n"/>
      <c r="AC12" s="66" t="n"/>
      <c r="AD12" s="62" t="n"/>
      <c r="AE12" s="70" t="n"/>
      <c r="AF12" s="72" t="n"/>
      <c r="AH12" s="59" t="n"/>
      <c r="AI12" s="47" t="n"/>
      <c r="AJ12" s="58" t="n"/>
      <c r="AK12" s="59" t="n"/>
      <c r="AL12" s="58" t="n"/>
      <c r="AM12" s="58" t="n"/>
      <c r="AN12" s="58" t="n"/>
      <c r="AO12" s="58" t="n"/>
      <c r="AP12" s="60" t="n"/>
      <c r="AQ12" s="58" t="n"/>
      <c r="AR12" s="60" t="n"/>
    </row>
    <row r="13">
      <c r="AA13" s="71" t="n"/>
      <c r="AD13" s="67" t="n"/>
      <c r="AE13" s="67" t="n"/>
      <c r="AJ13" s="61" t="n"/>
    </row>
    <row r="14">
      <c r="AA14" s="71" t="n"/>
      <c r="AD14" s="67" t="n"/>
      <c r="AE14" s="67" t="n"/>
      <c r="AJ14" s="61" t="n"/>
    </row>
  </sheetData>
  <dataValidations count="11">
    <dataValidation sqref="Q2:Q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8" showDropDown="0" showInputMessage="1" showErrorMessage="1" allowBlank="1" type="list">
      <formula1>"AMP, PUDC, Solar4Health, Action Opportunities, Italy UNDP Energy Partnership"</formula1>
    </dataValidation>
    <dataValidation sqref="Y2:Y8" showDropDown="0" showInputMessage="1" showErrorMessage="1" allowBlank="1" type="list">
      <formula1>"Electricity Access, Energy Efficiency, Clean Cooking, Renewable Energy"</formula1>
    </dataValidation>
    <dataValidation sqref="N2:N8 X2:X8" showDropDown="0" showInputMessage="1" showErrorMessage="1" allowBlank="1" type="list">
      <formula1>"Accelerating just energy transition, Close the gap on energy access, Scale up energy finance"</formula1>
    </dataValidation>
    <dataValidation sqref="O2:O8" showDropDown="0" showInputMessage="1" showErrorMessage="1" allowBlank="1" type="list">
      <formula1>"Electricity Access, Energy Efficiency, Clean Cooking, Renewable Energy, Overall"</formula1>
    </dataValidation>
    <dataValidation sqref="M2:M8" showDropDown="0" showInputMessage="1" showErrorMessage="1" allowBlank="1" type="list">
      <formula1>"Finance, Gender, Efficiency, Just, Health"</formula1>
    </dataValidation>
    <dataValidation sqref="T2:T8" showDropDown="0" showInputMessage="1" showErrorMessage="1" allowBlank="1" type="list">
      <formula1>"National, Regional, City, Community"</formula1>
    </dataValidation>
    <dataValidation sqref="L2:L8" showDropDown="0" showInputMessage="1" showErrorMessage="1" allowBlank="1" type="list">
      <formula1>"Non-VF, VF"</formula1>
    </dataValidation>
    <dataValidation sqref="R2:R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8"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6" r:id="rId2"/>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5" activePane="bottomLeft" state="frozen"/>
      <selection pane="bottomLeft" activeCell="A5" sqref="A5"/>
    </sheetView>
  </sheetViews>
  <sheetFormatPr baseColWidth="8" defaultRowHeight="14.45"/>
  <cols>
    <col width="20.7109375" customWidth="1" min="2" max="3"/>
    <col width="12.7109375" customWidth="1" style="8" min="4" max="4"/>
    <col width="20.7109375" customWidth="1" min="5" max="6"/>
    <col width="12.7109375" customWidth="1" style="8" min="7" max="8"/>
    <col width="65.5703125" customWidth="1" min="9" max="9"/>
    <col width="12.28515625" customWidth="1" min="11" max="11"/>
    <col width="62" customWidth="1" style="4" min="13" max="13"/>
    <col width="11.5703125" customWidth="1" min="15" max="15"/>
    <col width="10.85546875" customWidth="1" min="16" max="16"/>
    <col width="11.85546875" customWidth="1" min="18" max="18"/>
    <col width="15.42578125" customWidth="1" min="19" max="19"/>
  </cols>
  <sheetData>
    <row r="1" ht="47.25" customHeight="1">
      <c r="A1" s="36" t="inlineStr">
        <is>
          <t>Project ID</t>
        </is>
      </c>
      <c r="B1" s="36" t="inlineStr">
        <is>
          <t>Title</t>
        </is>
      </c>
      <c r="C1" s="36" t="inlineStr">
        <is>
          <t>Link</t>
        </is>
      </c>
      <c r="D1" s="27" t="inlineStr">
        <is>
          <t>Budget</t>
        </is>
      </c>
      <c r="E1" s="26" t="inlineStr">
        <is>
          <t>Beneficiary Category</t>
        </is>
      </c>
      <c r="F1" s="26" t="inlineStr">
        <is>
          <t>Indicator</t>
        </is>
      </c>
      <c r="G1" s="27" t="inlineStr">
        <is>
          <t>Baseline</t>
        </is>
      </c>
      <c r="H1" s="27" t="inlineStr">
        <is>
          <t>Target</t>
        </is>
      </c>
      <c r="I1" s="26" t="inlineStr">
        <is>
          <t>Notes</t>
        </is>
      </c>
      <c r="J1" s="28" t="inlineStr">
        <is>
          <t>Donors</t>
        </is>
      </c>
      <c r="K1" s="28" t="inlineStr">
        <is>
          <t>Gender (% female)</t>
        </is>
      </c>
      <c r="L1" s="28" t="inlineStr">
        <is>
          <t>Category</t>
        </is>
      </c>
      <c r="M1" s="28" t="inlineStr">
        <is>
          <t xml:space="preserve">Comments </t>
        </is>
      </c>
      <c r="N1" s="28" t="inlineStr">
        <is>
          <t>Tag</t>
        </is>
      </c>
      <c r="O1" s="28" t="inlineStr">
        <is>
          <t>SEH Taxonomy</t>
        </is>
      </c>
      <c r="P1" s="28" t="inlineStr">
        <is>
          <t>RISE Taxonomy</t>
        </is>
      </c>
      <c r="Q1" s="28" t="inlineStr">
        <is>
          <t>Flagship</t>
        </is>
      </c>
      <c r="R1" s="28" t="inlineStr">
        <is>
          <t>Indirect Category</t>
        </is>
      </c>
      <c r="S1" s="28" t="inlineStr">
        <is>
          <t>Indirect Taxonomy</t>
        </is>
      </c>
    </row>
    <row r="2" ht="43.5" customFormat="1" customHeight="1" s="4">
      <c r="A2" s="37" t="n">
        <v>126532</v>
      </c>
      <c r="B2" s="37" t="inlineStr">
        <is>
          <t>The ACCESS project</t>
        </is>
      </c>
      <c r="C2" s="39" t="inlineStr">
        <is>
          <t>http://open.undp.org/projects/00126532</t>
        </is>
      </c>
      <c r="D2" s="35" t="n">
        <v>2700742</v>
      </c>
      <c r="E2" s="17" t="inlineStr">
        <is>
          <t>Electricity Access</t>
        </is>
      </c>
      <c r="F2" s="17" t="inlineStr">
        <is>
          <t>Number of rural HH accessed to solar lightings</t>
        </is>
      </c>
      <c r="G2" s="18" t="n">
        <v>0</v>
      </c>
      <c r="H2" s="18" t="inlineStr">
        <is>
          <t>1000 HH</t>
        </is>
      </c>
      <c r="I2" s="17" t="inlineStr">
        <is>
          <t>Total number of people benefitted from this project is 5,341 people (female: 2,511 and male: 2,830). In addition number of students benefitted from the project (1,712 people)</t>
        </is>
      </c>
      <c r="J2" s="19" t="inlineStr">
        <is>
          <t>KOICA</t>
        </is>
      </c>
      <c r="K2" s="22" t="n">
        <v>0.47</v>
      </c>
      <c r="L2" s="19" t="n"/>
      <c r="M2" s="10" t="n"/>
      <c r="N2" s="19" t="n"/>
      <c r="O2" s="19" t="inlineStr">
        <is>
          <t>Accelerating just energy transition</t>
        </is>
      </c>
      <c r="P2" s="19" t="inlineStr">
        <is>
          <t>Electricity Access</t>
        </is>
      </c>
      <c r="Q2" s="19" t="n"/>
      <c r="R2" s="19" t="n"/>
      <c r="S2" s="19" t="n"/>
    </row>
    <row r="3" ht="57.95" customFormat="1" customHeight="1" s="4">
      <c r="A3" s="38" t="n"/>
      <c r="B3" s="38" t="n"/>
      <c r="C3" s="40" t="n"/>
      <c r="D3" s="35" t="n"/>
      <c r="E3" s="17" t="inlineStr">
        <is>
          <t>Water Services</t>
        </is>
      </c>
      <c r="F3" s="17" t="inlineStr">
        <is>
          <t>Number of HH accessed to water services powered by solar pump</t>
        </is>
      </c>
      <c r="G3" s="18" t="n"/>
      <c r="H3" s="18" t="inlineStr">
        <is>
          <t>593 HH</t>
        </is>
      </c>
      <c r="I3" s="17" t="inlineStr">
        <is>
          <t>Based on the Feasbility Study in 2021, when completed, the solar water will benefit 593 households (or 2,715 people)</t>
        </is>
      </c>
      <c r="J3" s="19" t="inlineStr">
        <is>
          <t>KOICA</t>
        </is>
      </c>
      <c r="K3" s="19" t="n"/>
      <c r="L3" s="19" t="n"/>
      <c r="M3" s="10" t="n"/>
      <c r="N3" s="19" t="n"/>
      <c r="O3" s="19" t="inlineStr">
        <is>
          <t>Accelerating just energy transition</t>
        </is>
      </c>
      <c r="P3" s="19" t="inlineStr">
        <is>
          <t>Energy Efficiency</t>
        </is>
      </c>
      <c r="Q3" s="19" t="n"/>
      <c r="R3" s="19" t="n"/>
      <c r="S3" s="19" t="n"/>
    </row>
    <row r="4" ht="78" customFormat="1" customHeight="1" s="4">
      <c r="A4" s="33" t="n">
        <v>145070</v>
      </c>
      <c r="B4" s="33" t="inlineStr">
        <is>
          <t>3E4Women</t>
        </is>
      </c>
      <c r="C4" s="41" t="inlineStr">
        <is>
          <t>http://open.undp.org/projects/00145070</t>
        </is>
      </c>
      <c r="D4" s="16" t="n">
        <v>129875</v>
      </c>
      <c r="E4" s="19" t="inlineStr">
        <is>
          <t>Small Enterprises</t>
        </is>
      </c>
      <c r="F4" s="19" t="inlineStr">
        <is>
          <t>Number of women-owned enterprises with renewable energy system installed</t>
        </is>
      </c>
      <c r="G4" s="16" t="n">
        <v>0</v>
      </c>
      <c r="H4" s="16" t="n">
        <v>100</v>
      </c>
      <c r="I4" s="19" t="inlineStr">
        <is>
          <t>100 women-owned enterprises were provieded with electricity access through renewable energy fund</t>
        </is>
      </c>
      <c r="J4" s="31" t="inlineStr">
        <is>
          <t>Joint SDG Fund</t>
        </is>
      </c>
      <c r="K4" s="20" t="n">
        <v>1</v>
      </c>
      <c r="L4" s="19" t="n"/>
      <c r="M4" s="23" t="n"/>
      <c r="N4" s="19" t="n"/>
      <c r="O4" s="19" t="n"/>
      <c r="P4" s="19" t="n"/>
      <c r="Q4" s="19" t="n"/>
      <c r="R4" s="19" t="n"/>
      <c r="S4" s="19" t="n"/>
    </row>
    <row r="5" ht="30" customFormat="1" customHeight="1" s="4">
      <c r="A5" s="42" t="n">
        <v>1000417</v>
      </c>
      <c r="B5" s="42" t="inlineStr">
        <is>
          <t xml:space="preserve">Green Transformation </t>
        </is>
      </c>
      <c r="C5" s="32" t="n"/>
      <c r="D5" s="35" t="n">
        <v>700000</v>
      </c>
      <c r="E5" s="19" t="inlineStr">
        <is>
          <t>Clean Cooking</t>
        </is>
      </c>
      <c r="F5" s="24" t="inlineStr">
        <is>
          <t>Target beneficiaries benefiting from solar lights and improved cooking stoves</t>
        </is>
      </c>
      <c r="G5" s="16" t="n">
        <v>0</v>
      </c>
      <c r="H5" s="16" t="inlineStr">
        <is>
          <t>10600 HH</t>
        </is>
      </c>
      <c r="I5" s="29" t="inlineStr">
        <is>
          <t>Target beneficiaries benefiting from solar lights and improved cooking stoves is 10,600 people
1000 lightings and improved cooking stoves</t>
        </is>
      </c>
      <c r="J5" s="32" t="inlineStr">
        <is>
          <t>Japan</t>
        </is>
      </c>
      <c r="K5" s="30" t="n"/>
      <c r="L5" s="21" t="n"/>
      <c r="M5" s="19" t="n"/>
      <c r="N5" s="19" t="n"/>
      <c r="O5" s="19" t="inlineStr">
        <is>
          <t>Accelerating just energy transition</t>
        </is>
      </c>
      <c r="P5" s="19" t="inlineStr">
        <is>
          <t>Clean Cooking</t>
        </is>
      </c>
      <c r="Q5" s="19" t="n"/>
      <c r="R5" s="19" t="n"/>
      <c r="S5" s="19" t="n"/>
    </row>
    <row r="6" ht="101.45" customFormat="1" customHeight="1" s="4">
      <c r="A6" s="43" t="n"/>
      <c r="B6" s="43" t="n"/>
      <c r="C6" s="33" t="n"/>
      <c r="D6" s="35" t="n">
        <v>1000000</v>
      </c>
      <c r="E6" s="19" t="inlineStr">
        <is>
          <t>Health Services</t>
        </is>
      </c>
      <c r="F6" s="24" t="inlineStr">
        <is>
          <t>Solarization of national warehouse for medicines and medical equipment (SAMES) and 2 community health centers. Estimated beneficiaries</t>
        </is>
      </c>
      <c r="G6" s="16" t="n">
        <v>0</v>
      </c>
      <c r="H6" s="19" t="n">
        <v>650000</v>
      </c>
      <c r="I6" s="29" t="inlineStr">
        <is>
          <t>Number of health facilities accessed to solar electricity 
Solarization of national warehouse for medicines and medical equipment (SAMES) and 2 community health centers. Estimated beneficiaries (650,000 people)</t>
        </is>
      </c>
      <c r="J6" s="33" t="n"/>
      <c r="K6" s="30" t="n"/>
      <c r="L6" s="21" t="n"/>
      <c r="M6" s="19" t="n"/>
      <c r="N6" s="19" t="n"/>
      <c r="O6" s="19" t="inlineStr">
        <is>
          <t>Accelerating just energy transition</t>
        </is>
      </c>
      <c r="P6" s="19" t="inlineStr">
        <is>
          <t>Renewable Energy</t>
        </is>
      </c>
      <c r="Q6" s="19" t="n"/>
      <c r="R6" s="19" t="n"/>
      <c r="S6" s="19" t="n"/>
    </row>
    <row r="7" ht="87" customFormat="1" customHeight="1" s="4">
      <c r="A7" s="44" t="n"/>
      <c r="B7" s="44" t="n"/>
      <c r="C7" s="34" t="n"/>
      <c r="D7" s="35" t="n">
        <v>2000000</v>
      </c>
      <c r="E7" s="19" t="inlineStr">
        <is>
          <t>Education Services</t>
        </is>
      </c>
      <c r="F7" s="25" t="inlineStr">
        <is>
          <t>Solarization of ICT labs in 15 public secondary/vocation schools with estimated beneficiaries (18,060 people)</t>
        </is>
      </c>
      <c r="G7" s="16" t="n"/>
      <c r="H7" s="19" t="n">
        <v>18060</v>
      </c>
      <c r="I7" s="29" t="inlineStr">
        <is>
          <t xml:space="preserve">Solarization of ICT labs in 15 public secondary/vocation schools with estimated beneficiaries (18,060 people) 
3 ICT schools solarized  </t>
        </is>
      </c>
      <c r="J7" s="34" t="n"/>
      <c r="K7" s="30" t="n"/>
      <c r="L7" s="21" t="n"/>
      <c r="M7" s="19" t="n"/>
      <c r="N7" s="19" t="n"/>
      <c r="O7" s="19" t="inlineStr">
        <is>
          <t>Accelerating just energy transition</t>
        </is>
      </c>
      <c r="P7" s="19" t="inlineStr">
        <is>
          <t>Renewable Energy</t>
        </is>
      </c>
      <c r="Q7" s="19" t="n"/>
      <c r="R7" s="19" t="n"/>
      <c r="S7" s="19" t="n"/>
    </row>
  </sheetData>
  <dataValidations count="5">
    <dataValidation sqref="O2:O7" showDropDown="0" showInputMessage="1" showErrorMessage="1" allowBlank="1" type="list">
      <formula1>"Accelerating just energy transition, Close the gap on energy access, Scale up energy finance"</formula1>
    </dataValidation>
    <dataValidation sqref="P2:P7" showDropDown="0" showInputMessage="1" showErrorMessage="1" allowBlank="1" type="list">
      <formula1>"Electricity Access, Energy Efficiency, Clean Cooking, Renewable Energy"</formula1>
    </dataValidation>
    <dataValidation sqref="Q2:Q7" showDropDown="0" showInputMessage="1" showErrorMessage="1" allowBlank="1" type="list">
      <formula1>"AMP, PUDC, Solar4Health, Action Opportunities, Italy UNDP Energy Partnership"</formula1>
    </dataValidation>
    <dataValidation sqref="R2:R7"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7"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4"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
  <sheetViews>
    <sheetView workbookViewId="0">
      <pane ySplit="1" topLeftCell="G6" activePane="bottomLeft" state="frozen"/>
      <selection pane="bottomLeft" activeCell="G6" sqref="G6"/>
    </sheetView>
  </sheetViews>
  <sheetFormatPr baseColWidth="8" defaultRowHeight="14.45"/>
  <cols>
    <col width="20.7109375" customWidth="1" min="2" max="3"/>
    <col width="12.7109375" customWidth="1" style="8" min="4" max="4"/>
    <col width="20.7109375" customWidth="1" min="5" max="6"/>
    <col width="12.7109375" customWidth="1" style="8" min="7" max="8"/>
    <col width="32.7109375" customWidth="1" min="9" max="9"/>
    <col width="62" customWidth="1" style="4" min="11" max="11"/>
  </cols>
  <sheetData>
    <row r="1">
      <c r="A1" s="1" t="inlineStr">
        <is>
          <t>Project ID</t>
        </is>
      </c>
      <c r="B1" s="1" t="inlineStr">
        <is>
          <t>Title</t>
        </is>
      </c>
      <c r="C1" s="1" t="inlineStr">
        <is>
          <t>Link</t>
        </is>
      </c>
      <c r="D1" s="6" t="inlineStr">
        <is>
          <t>Budget</t>
        </is>
      </c>
      <c r="E1" s="1" t="inlineStr">
        <is>
          <t>Beneficiary Category</t>
        </is>
      </c>
      <c r="F1" s="1" t="inlineStr">
        <is>
          <t>Indicator</t>
        </is>
      </c>
      <c r="G1" s="6" t="inlineStr">
        <is>
          <t>Baseline</t>
        </is>
      </c>
      <c r="H1" s="12" t="inlineStr">
        <is>
          <t>Target</t>
        </is>
      </c>
      <c r="I1" s="2" t="inlineStr">
        <is>
          <t>Notes</t>
        </is>
      </c>
      <c r="J1" s="5" t="inlineStr">
        <is>
          <t>Donors</t>
        </is>
      </c>
      <c r="K1" s="9" t="inlineStr">
        <is>
          <t xml:space="preserve">Comments </t>
        </is>
      </c>
    </row>
    <row r="2" ht="87" customHeight="1">
      <c r="A2" s="107" t="n">
        <v>126532</v>
      </c>
      <c r="B2" s="107" t="inlineStr">
        <is>
          <t>The ACCESS project</t>
        </is>
      </c>
      <c r="C2" s="108" t="inlineStr">
        <is>
          <t>http://open.undp.org/projects/00126532</t>
        </is>
      </c>
      <c r="D2" s="7" t="n">
        <v>2700742</v>
      </c>
      <c r="E2" s="3" t="inlineStr">
        <is>
          <t>Electricity Access</t>
        </is>
      </c>
      <c r="F2" s="3" t="inlineStr">
        <is>
          <t>Number of rural HH accessed to solar lightings</t>
        </is>
      </c>
      <c r="G2" s="13" t="n">
        <v>0</v>
      </c>
      <c r="H2" s="13" t="n">
        <v>1000</v>
      </c>
      <c r="I2" s="3" t="inlineStr">
        <is>
          <t>Total number of people benefitted from this project is 5,341 people (female: 2,511 and male: 2,830). In addition number of students benefitted from the project (1,712 people)</t>
        </is>
      </c>
      <c r="J2" t="inlineStr">
        <is>
          <t>KOICA</t>
        </is>
      </c>
      <c r="K2" s="10" t="inlineStr">
        <is>
          <t>Can you provide information on this project?  Please note that the target number should reflect an estimate of the number of beneficiaries reached by the project. Details can be explained in the note</t>
        </is>
      </c>
    </row>
    <row r="3" ht="57.95" customHeight="1">
      <c r="D3" s="7" t="n">
        <v>2700742</v>
      </c>
      <c r="E3" s="3" t="inlineStr">
        <is>
          <t>Water Services</t>
        </is>
      </c>
      <c r="F3" s="3" t="inlineStr">
        <is>
          <t>Number of HH accessed to water services powered by solar pump</t>
        </is>
      </c>
      <c r="G3" s="13" t="n"/>
      <c r="H3" s="13" t="n">
        <v>600</v>
      </c>
      <c r="I3" s="3" t="inlineStr">
        <is>
          <t>Based on the Feasbility Study in 2021, when completed, the solar water will benefit 593 households (or 2,715 people)</t>
        </is>
      </c>
      <c r="J3" t="inlineStr">
        <is>
          <t>KOICA</t>
        </is>
      </c>
      <c r="K3" s="10" t="inlineStr">
        <is>
          <t>Can you provide information on this project?  Please note that the target number should reflect an estimate of the number of beneficiaries reached by the project. Details can be explained in the note</t>
        </is>
      </c>
    </row>
    <row r="4" ht="51" customHeight="1">
      <c r="A4" s="14" t="n">
        <v>145070</v>
      </c>
      <c r="B4" s="14" t="inlineStr">
        <is>
          <t>3E4Women</t>
        </is>
      </c>
      <c r="C4" s="15" t="inlineStr">
        <is>
          <t>http://open.undp.org/projects/00145070</t>
        </is>
      </c>
      <c r="D4" s="7" t="n">
        <v>129875</v>
      </c>
      <c r="E4" s="3" t="inlineStr">
        <is>
          <t>Electricity Access</t>
        </is>
      </c>
      <c r="F4" s="3" t="inlineStr">
        <is>
          <t>Number of women-owned enterprises with renewable energy system installed</t>
        </is>
      </c>
      <c r="G4" s="13" t="n">
        <v>0</v>
      </c>
      <c r="H4" s="13" t="inlineStr">
        <is>
          <t>As per their need</t>
        </is>
      </c>
      <c r="I4" s="3" t="inlineStr">
        <is>
          <t>100 women-owned enterprises were provieded with electricity access through renewable energy fund</t>
        </is>
      </c>
      <c r="J4" s="4" t="inlineStr">
        <is>
          <t>Joint SDG Fund</t>
        </is>
      </c>
      <c r="K4" s="10" t="inlineStr">
        <is>
          <t>Can you provide information on this project?  Please note that the target number should reflect an estimate of the number of beneficiaries reached by the project. Details can be explained in the note</t>
        </is>
      </c>
    </row>
    <row r="5" ht="30" customHeight="1">
      <c r="A5" s="105" t="n">
        <v>1000417</v>
      </c>
      <c r="B5" s="106" t="inlineStr">
        <is>
          <t xml:space="preserve">Green Transformation </t>
        </is>
      </c>
      <c r="C5" s="106" t="n"/>
      <c r="D5" s="7" t="n">
        <v>700000</v>
      </c>
      <c r="E5" s="4" t="inlineStr">
        <is>
          <t>Electricity Access</t>
        </is>
      </c>
      <c r="F5" s="11" t="inlineStr">
        <is>
          <t xml:space="preserve">Number of rural HH accessed to solar lightings and improved cooking stoves </t>
        </is>
      </c>
      <c r="G5" s="7" t="n">
        <v>0</v>
      </c>
      <c r="H5" s="7" t="n">
        <v>1000</v>
      </c>
      <c r="I5" s="4" t="inlineStr">
        <is>
          <t>Target beneficiaries benefiting from solar lights and improved cooking stoves is 10,600 people</t>
        </is>
      </c>
      <c r="J5" s="105" t="inlineStr">
        <is>
          <t>Japan</t>
        </is>
      </c>
    </row>
    <row r="6" ht="72.59999999999999" customHeight="1">
      <c r="D6" s="7" t="n">
        <v>1000000</v>
      </c>
      <c r="E6" s="4" t="inlineStr">
        <is>
          <t>Health Services</t>
        </is>
      </c>
      <c r="F6" s="4" t="inlineStr">
        <is>
          <t xml:space="preserve">Number of health facilities accessed to solar electricity </t>
        </is>
      </c>
      <c r="G6" s="7" t="n">
        <v>0</v>
      </c>
      <c r="H6" s="7" t="n">
        <v>3</v>
      </c>
      <c r="I6" s="4" t="inlineStr">
        <is>
          <t>Solarization of national warehouse for medicines and medical equipment (SAMES) and 2 community health centers. Estimated beneficiaries (650,000 people)</t>
        </is>
      </c>
    </row>
    <row r="7" ht="57.95" customHeight="1">
      <c r="D7" s="8" t="n">
        <v>2000000</v>
      </c>
      <c r="E7" t="inlineStr">
        <is>
          <t>Education Services</t>
        </is>
      </c>
      <c r="F7" s="4" t="inlineStr">
        <is>
          <t>Number of ICT schools solarized</t>
        </is>
      </c>
      <c r="G7" s="8" t="n">
        <v>3</v>
      </c>
      <c r="H7" s="8" t="n">
        <v>15</v>
      </c>
      <c r="I7" s="4" t="inlineStr">
        <is>
          <t xml:space="preserve">Solarization of ICT labs in 15 public secondary/vocation schools with estimated beneficiaries (18,060 people) </t>
        </is>
      </c>
    </row>
  </sheetData>
  <mergeCells count="7">
    <mergeCell ref="C5:C7"/>
    <mergeCell ref="A5:A7"/>
    <mergeCell ref="B2:B3"/>
    <mergeCell ref="A2:A3"/>
    <mergeCell ref="C2:C3"/>
    <mergeCell ref="J5:J7"/>
    <mergeCell ref="B5:B7"/>
  </mergeCells>
  <hyperlinks>
    <hyperlink xmlns:r="http://schemas.openxmlformats.org/officeDocument/2006/relationships" ref="C2" r:id="rId1"/>
    <hyperlink xmlns:r="http://schemas.openxmlformats.org/officeDocument/2006/relationships" ref="C4" r:id="rId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A4" workbookViewId="0">
      <pane ySplit="1" topLeftCell="A2" activePane="bottomLeft" state="frozen"/>
      <selection pane="bottomLeft" activeCell="B8" sqref="B8"/>
    </sheetView>
  </sheetViews>
  <sheetFormatPr baseColWidth="8" defaultRowHeight="14.45"/>
  <cols>
    <col width="36" customWidth="1" min="1" max="2"/>
    <col width="110" customWidth="1" min="2" max="2"/>
  </cols>
  <sheetData>
    <row r="1">
      <c r="A1" s="128" t="inlineStr">
        <is>
          <t>Beneficiary Category</t>
        </is>
      </c>
      <c r="B1" s="128" t="inlineStr">
        <is>
          <t>Indicator</t>
        </is>
      </c>
    </row>
    <row r="2" ht="43.5" customHeight="1">
      <c r="A2" s="61" t="inlineStr">
        <is>
          <t>Electricity Access</t>
        </is>
      </c>
      <c r="B2" s="61" t="inlineStr">
        <is>
          <t>Number of people, disaggregated by sex, who gain access to clean electricity (direct access to electricity, lighting, cooling, etc.).</t>
        </is>
      </c>
    </row>
    <row r="3">
      <c r="A3" s="61" t="inlineStr">
        <is>
          <t>Energy (MW added)</t>
        </is>
      </c>
      <c r="B3" s="61" t="inlineStr">
        <is>
          <t>Installed renewable or clean-energy power capacity added, in MW.</t>
        </is>
      </c>
    </row>
    <row r="4" ht="29.1" customHeight="1">
      <c r="A4" s="61" t="inlineStr">
        <is>
          <t>Energy Storage (MW)</t>
        </is>
      </c>
      <c r="B4" s="61" t="inlineStr">
        <is>
          <t>Installed energy storage power capacity added, in MW.</t>
        </is>
      </c>
    </row>
    <row r="5" ht="29.1" customHeight="1">
      <c r="A5" s="61" t="inlineStr">
        <is>
          <t>Clean Cooking</t>
        </is>
      </c>
      <c r="B5" s="61" t="inlineStr">
        <is>
          <t>Number of people who gain access to clean cooking (direct access to clean cook stoves, clean fuels, biomass, etc.).</t>
        </is>
      </c>
    </row>
    <row r="6" ht="87" customHeight="1">
      <c r="A6" s="61" t="inlineStr">
        <is>
          <t>Clean Heating</t>
        </is>
      </c>
      <c r="B6" s="61" t="inlineStr">
        <is>
          <t>Number of people who gain access to clean heating (direct access to clean electric heaters, clean fuels, etc.).</t>
        </is>
      </c>
    </row>
    <row r="7" ht="43.5" customHeight="1">
      <c r="A7" s="61" t="inlineStr">
        <is>
          <t>Agriculture and Food System</t>
        </is>
      </c>
      <c r="B7" s="61" t="inlineStr">
        <is>
          <t>Number of people who gain access to clean, affordable, and sustainable energy for agricultural and food-system activities.</t>
        </is>
      </c>
    </row>
    <row r="8" ht="43.5" customHeight="1">
      <c r="A8" s="61" t="inlineStr">
        <is>
          <t>Health Services</t>
        </is>
      </c>
      <c r="B8" s="61" t="inlineStr">
        <is>
          <t>Number of people who gain access to health care facilities through clean energy systems.</t>
        </is>
      </c>
    </row>
    <row r="9" ht="43.5" customHeight="1">
      <c r="A9" s="61" t="inlineStr">
        <is>
          <t>Water Services</t>
        </is>
      </c>
      <c r="B9" s="61" t="inlineStr">
        <is>
          <t>Number of people who gain access to water services through clean energy systems.</t>
        </is>
      </c>
    </row>
    <row r="10" ht="29.1" customHeight="1">
      <c r="A10" s="61" t="inlineStr">
        <is>
          <t>Education Services</t>
        </is>
      </c>
      <c r="B10" s="61" t="inlineStr">
        <is>
          <t>Number of people who gain access to education services through clean energy systems, including students and teachers.</t>
        </is>
      </c>
    </row>
    <row r="11" ht="29.1" customHeight="1">
      <c r="A11" s="61" t="inlineStr">
        <is>
          <t>Transportation and E-mobility Services</t>
        </is>
      </c>
      <c r="B11" s="61" t="inlineStr">
        <is>
          <t>Number of people served or energy saved from transport and e-mobility interventions, such as electric vehicles or charging stations.</t>
        </is>
      </c>
    </row>
    <row r="12" ht="43.5" customHeight="1">
      <c r="A12" s="61" t="inlineStr">
        <is>
          <t>Energy Efficiency Services</t>
        </is>
      </c>
      <c r="B12" s="61" t="inlineStr">
        <is>
          <t>Energy saved from energy-efficiency interventions, such as building or industrial efficiency.</t>
        </is>
      </c>
    </row>
    <row r="13" ht="29.1" customHeight="1">
      <c r="A13" s="61" t="inlineStr">
        <is>
          <t>Energy Infrastructure Services</t>
        </is>
      </c>
      <c r="B13" s="61" t="inlineStr">
        <is>
          <t>Number of people benefiting from energy infrastructure interventions, such as streetlights, transmission, and distribution lines.</t>
        </is>
      </c>
    </row>
    <row r="14">
      <c r="A14" s="61" t="inlineStr">
        <is>
          <t>Other Energy Services</t>
        </is>
      </c>
      <c r="B14" s="61" t="inlineStr">
        <is>
          <t>Access to other energy services not captured by the categories above.</t>
        </is>
      </c>
    </row>
    <row r="15" ht="29.1" customHeight="1">
      <c r="A15" s="61" t="inlineStr">
        <is>
          <t>Financing support</t>
        </is>
      </c>
      <c r="B15" s="61" t="inlineStr">
        <is>
          <t>Support for the development of the energy market ecosystem.</t>
        </is>
      </c>
    </row>
    <row r="16" ht="29.1" customHeight="1">
      <c r="A16" s="61" t="inlineStr">
        <is>
          <t>Medium Enterprises</t>
        </is>
      </c>
      <c r="B16" s="61" t="inlineStr">
        <is>
          <t>Support for the development of medium enterprises in the energy transition market.</t>
        </is>
      </c>
    </row>
    <row r="17" ht="29.1" customHeight="1">
      <c r="A17" s="61" t="inlineStr">
        <is>
          <t>Small Enterprises</t>
        </is>
      </c>
      <c r="B17" s="61" t="inlineStr">
        <is>
          <t>Support for the development of small enterprises in the energy transition market.</t>
        </is>
      </c>
    </row>
    <row r="18" ht="29.1" customHeight="1">
      <c r="A18" s="61" t="inlineStr">
        <is>
          <t>Capacity Building Training</t>
        </is>
      </c>
      <c r="B18" s="61" t="inlineStr">
        <is>
          <t>Number of people benefiting from training on energy business, energy finance, or related implementation capacity.</t>
        </is>
      </c>
    </row>
    <row r="19" ht="72.59999999999999" customHeight="1">
      <c r="A19" s="61" t="inlineStr">
        <is>
          <t>Entrepreneurship Training</t>
        </is>
      </c>
      <c r="B19" s="61" t="inlineStr">
        <is>
          <t>Training for enterprises on the energy business, assumed to result in direct beneficiaries.</t>
        </is>
      </c>
    </row>
    <row r="20" ht="29.1" customHeight="1">
      <c r="A20" s="61" t="inlineStr">
        <is>
          <t>Market Intervention</t>
        </is>
      </c>
      <c r="B20" s="61" t="inlineStr">
        <is>
          <t>Volume of investment leveraged or barriers removed for clean, reliable, affordable, and sustainable energy solutions.</t>
        </is>
      </c>
    </row>
    <row r="21" ht="43.5" customHeight="1">
      <c r="A21" s="61" t="inlineStr">
        <is>
          <t>Campaign Participant</t>
        </is>
      </c>
      <c r="B21" s="61" t="inlineStr">
        <is>
          <t>Individuals who participate in advocacy or awareness campaigns on energy.</t>
        </is>
      </c>
    </row>
    <row r="22" ht="29.1" customHeight="1">
      <c r="A22" s="61" t="inlineStr">
        <is>
          <t>Policy or Regulatory Framework</t>
        </is>
      </c>
      <c r="B22" s="61" t="inlineStr">
        <is>
          <t>Policies, regulations, strategies, plans, or frameworks developed, approved, implemented, or strengthened.</t>
        </is>
      </c>
    </row>
    <row r="23">
      <c r="A23" s="61" t="inlineStr">
        <is>
          <t>GHG Emissions Reduction</t>
        </is>
      </c>
      <c r="B23" s="61" t="inlineStr">
        <is>
          <t>Greenhouse gas emissions reduced or mitigated, in tCO2e.</t>
        </is>
      </c>
    </row>
    <row r="24">
      <c r="A24" s="61" t="inlineStr">
        <is>
          <t>Other</t>
        </is>
      </c>
      <c r="B24" s="6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2026-06-10T12:20:18Z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