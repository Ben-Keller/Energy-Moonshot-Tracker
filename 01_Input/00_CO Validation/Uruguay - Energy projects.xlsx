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b val="1"/>
      <color rgb="FFFF0000"/>
      <sz val="11"/>
    </font>
    <font>
      <name val="Calibri"/>
      <family val="2"/>
      <b val="1"/>
      <color rgb="FFFF0000"/>
      <sz val="11"/>
      <scheme val="minor"/>
    </font>
    <font>
      <name val="Calibri"/>
      <charset val="1"/>
      <color rgb="FF000000"/>
      <sz val="11"/>
    </font>
    <font>
      <name val="Calibri"/>
      <b val="1"/>
      <color theme="1"/>
      <sz val="11"/>
      <scheme val="minor"/>
    </font>
    <font>
      <name val="Calibri"/>
      <color rgb="FF000000"/>
      <sz val="11"/>
      <scheme val="minor"/>
    </font>
    <font>
      <name val="Calibri"/>
      <family val="2"/>
      <color rgb="FF000000"/>
      <sz val="11"/>
    </font>
    <font>
      <name val="Calibri"/>
      <family val="2"/>
      <color rgb="FF000000"/>
      <sz val="11"/>
      <scheme val="minor"/>
    </font>
    <font>
      <b val="1"/>
    </font>
  </fonts>
  <fills count="3">
    <fill>
      <patternFill/>
    </fill>
    <fill>
      <patternFill patternType="gray125"/>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cellStyleXfs>
  <cellXfs count="104">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43" fontId="2" fillId="0" borderId="1" applyAlignment="1" pivotButton="0" quotePrefix="0" xfId="0">
      <alignment horizontal="center" vertical="top"/>
    </xf>
    <xf numFmtId="43" fontId="0" fillId="0" borderId="0" applyAlignment="1" pivotButton="0" quotePrefix="0" xfId="0">
      <alignment vertical="top"/>
    </xf>
    <xf numFmtId="0" fontId="3" fillId="0" borderId="0" pivotButton="0" quotePrefix="0" xfId="1"/>
    <xf numFmtId="0" fontId="0" fillId="0" borderId="0" applyAlignment="1" pivotButton="0" quotePrefix="0" xfId="0">
      <alignment wrapText="1"/>
    </xf>
    <xf numFmtId="0" fontId="2" fillId="0" borderId="0" applyAlignment="1" pivotButton="0" quotePrefix="0" xfId="0">
      <alignment vertical="top"/>
    </xf>
    <xf numFmtId="43" fontId="0" fillId="0" borderId="0"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4" fillId="0" borderId="0" applyAlignment="1" pivotButton="0" quotePrefix="0" xfId="0">
      <alignment wrapText="1"/>
    </xf>
    <xf numFmtId="0" fontId="5" fillId="0" borderId="0" applyAlignment="1" pivotButton="0" quotePrefix="0" xfId="0">
      <alignment vertical="top"/>
    </xf>
    <xf numFmtId="3" fontId="0" fillId="0" borderId="0" applyAlignment="1" pivotButton="0" quotePrefix="0" xfId="0">
      <alignment horizontal="left" vertical="center" wrapText="1"/>
    </xf>
    <xf numFmtId="0" fontId="2" fillId="0" borderId="0" pivotButton="0" quotePrefix="0" xfId="0"/>
    <xf numFmtId="0" fontId="2" fillId="0" borderId="1" applyAlignment="1" pivotButton="0" quotePrefix="0" xfId="0">
      <alignment vertical="top"/>
    </xf>
    <xf numFmtId="0" fontId="2" fillId="0" borderId="1" pivotButton="0" quotePrefix="0" xfId="0"/>
    <xf numFmtId="0" fontId="0" fillId="0" borderId="1" applyAlignment="1" pivotButton="0" quotePrefix="0" xfId="0">
      <alignment horizontal="left" vertical="center" wrapText="1"/>
    </xf>
    <xf numFmtId="3" fontId="0" fillId="0" borderId="1" applyAlignment="1" pivotButton="0" quotePrefix="0" xfId="0">
      <alignment horizontal="left" vertical="center" wrapText="1"/>
    </xf>
    <xf numFmtId="0" fontId="2" fillId="0" borderId="3" applyAlignment="1" pivotButton="0" quotePrefix="0" xfId="0">
      <alignment horizontal="center" vertical="top"/>
    </xf>
    <xf numFmtId="43" fontId="2" fillId="0" borderId="3" applyAlignment="1" pivotButton="0" quotePrefix="0" xfId="0">
      <alignment horizontal="center" vertical="top"/>
    </xf>
    <xf numFmtId="0" fontId="0" fillId="0" borderId="4" applyAlignment="1" pivotButton="0" quotePrefix="0" xfId="0">
      <alignment vertical="center" wrapText="1"/>
    </xf>
    <xf numFmtId="0" fontId="3" fillId="0" borderId="4" applyAlignment="1" pivotButton="0" quotePrefix="0" xfId="1">
      <alignment vertical="center" wrapText="1"/>
    </xf>
    <xf numFmtId="43" fontId="0" fillId="0" borderId="3" applyAlignment="1" pivotButton="0" quotePrefix="0" xfId="0">
      <alignment vertical="center" wrapText="1"/>
    </xf>
    <xf numFmtId="0" fontId="0" fillId="0" borderId="2" applyAlignment="1" pivotButton="0" quotePrefix="0" xfId="0">
      <alignment vertical="center" wrapText="1"/>
    </xf>
    <xf numFmtId="0" fontId="6" fillId="0" borderId="1" applyAlignment="1" pivotButton="0" quotePrefix="0" xfId="0">
      <alignment vertical="center" wrapText="1"/>
    </xf>
    <xf numFmtId="0" fontId="0" fillId="0" borderId="1" applyAlignment="1" pivotButton="0" quotePrefix="0" xfId="0">
      <alignment vertical="center" wrapText="1"/>
    </xf>
    <xf numFmtId="0" fontId="5" fillId="0" borderId="1" applyAlignment="1" pivotButton="0" quotePrefix="0" xfId="0">
      <alignment vertical="center" wrapText="1"/>
    </xf>
    <xf numFmtId="0" fontId="0" fillId="0" borderId="5" applyAlignment="1" pivotButton="0" quotePrefix="0" xfId="0">
      <alignment vertical="center" wrapText="1"/>
    </xf>
    <xf numFmtId="43" fontId="0" fillId="0" borderId="7" applyAlignment="1" pivotButton="0" quotePrefix="0" xfId="0">
      <alignment vertical="center" wrapText="1"/>
    </xf>
    <xf numFmtId="0" fontId="0" fillId="0" borderId="6" applyAlignment="1" pivotButton="0" quotePrefix="0" xfId="0">
      <alignment vertical="center" wrapText="1"/>
    </xf>
    <xf numFmtId="43" fontId="0" fillId="0" borderId="8" applyAlignment="1" pivotButton="0" quotePrefix="0" xfId="0">
      <alignment vertical="center" wrapText="1"/>
    </xf>
    <xf numFmtId="0" fontId="2"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0" fillId="0" borderId="1" applyAlignment="1" pivotButton="0" quotePrefix="0" xfId="0">
      <alignment horizontal="center" vertical="center"/>
    </xf>
    <xf numFmtId="0" fontId="7" fillId="0" borderId="1" applyAlignment="1" pivotButton="0" quotePrefix="0" xfId="0">
      <alignment horizontal="center" vertical="top" wrapText="1"/>
    </xf>
    <xf numFmtId="0" fontId="8"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9" applyAlignment="1" pivotButton="0" quotePrefix="0" xfId="0">
      <alignment horizontal="center" vertical="center"/>
    </xf>
    <xf numFmtId="0" fontId="0" fillId="0" borderId="2" applyAlignment="1" pivotButton="0" quotePrefix="0" xfId="0">
      <alignment horizontal="center" vertical="center" wrapText="1"/>
    </xf>
    <xf numFmtId="0" fontId="0" fillId="0" borderId="1" applyAlignment="1" pivotButton="0" quotePrefix="0" xfId="0">
      <alignment vertical="center"/>
    </xf>
    <xf numFmtId="164" fontId="2" fillId="0" borderId="3" applyAlignment="1" pivotButton="0" quotePrefix="0" xfId="0">
      <alignment horizontal="center" vertical="center" wrapText="1"/>
    </xf>
    <xf numFmtId="164" fontId="0" fillId="0" borderId="0" applyAlignment="1" pivotButton="0" quotePrefix="0" xfId="0">
      <alignment vertical="top"/>
    </xf>
    <xf numFmtId="0" fontId="9" fillId="0" borderId="1" pivotButton="0" quotePrefix="0" xfId="0"/>
    <xf numFmtId="0" fontId="0" fillId="0" borderId="1" applyAlignment="1" pivotButton="0" quotePrefix="0" xfId="0">
      <alignment vertical="top"/>
    </xf>
    <xf numFmtId="0" fontId="0" fillId="0" borderId="10"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horizontal="center" vertical="center"/>
    </xf>
    <xf numFmtId="0" fontId="0" fillId="0" borderId="3" applyAlignment="1" pivotButton="0" quotePrefix="0" xfId="0">
      <alignment horizontal="center" vertical="center"/>
    </xf>
    <xf numFmtId="0" fontId="0" fillId="0" borderId="10" applyAlignment="1" pivotButton="0" quotePrefix="0" xfId="0">
      <alignment horizontal="center" vertical="center" wrapText="1"/>
    </xf>
    <xf numFmtId="0" fontId="0" fillId="0" borderId="3" applyAlignment="1" pivotButton="0" quotePrefix="0" xfId="0">
      <alignment vertical="center"/>
    </xf>
    <xf numFmtId="0" fontId="0" fillId="0" borderId="9" applyAlignment="1" pivotButton="0" quotePrefix="0" xfId="0">
      <alignment vertical="center"/>
    </xf>
    <xf numFmtId="0" fontId="0" fillId="0" borderId="4" applyAlignment="1" pivotButton="0" quotePrefix="0" xfId="0">
      <alignment vertical="center"/>
    </xf>
    <xf numFmtId="0" fontId="0" fillId="0" borderId="9" applyAlignment="1" pivotButton="0" quotePrefix="0" xfId="0">
      <alignment vertical="top"/>
    </xf>
    <xf numFmtId="0" fontId="2" fillId="0" borderId="4" pivotButton="0" quotePrefix="0" xfId="0"/>
    <xf numFmtId="0" fontId="0" fillId="0" borderId="8" applyAlignment="1" pivotButton="0" quotePrefix="0" xfId="0">
      <alignment vertical="top"/>
    </xf>
    <xf numFmtId="0" fontId="0" fillId="0" borderId="1" applyAlignment="1" pivotButton="0" quotePrefix="0" xfId="0">
      <alignment horizontal="center" vertical="center" wrapText="1"/>
    </xf>
    <xf numFmtId="0" fontId="9" fillId="0" borderId="1" applyAlignment="1" pivotButton="0" quotePrefix="0" xfId="0">
      <alignment wrapText="1"/>
    </xf>
    <xf numFmtId="0" fontId="0" fillId="0" borderId="3" applyAlignment="1" pivotButton="0" quotePrefix="0" xfId="0">
      <alignment horizontal="center" vertical="center" wrapText="1"/>
    </xf>
    <xf numFmtId="0" fontId="0" fillId="0" borderId="2" applyAlignment="1" pivotButton="0" quotePrefix="0" xfId="0">
      <alignment vertical="top"/>
    </xf>
    <xf numFmtId="9" fontId="10" fillId="0" borderId="1" applyAlignment="1" pivotButton="0" quotePrefix="0" xfId="0">
      <alignment horizontal="center" vertical="center" wrapText="1"/>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3" fillId="0" borderId="3" applyAlignment="1" pivotButton="0" quotePrefix="0" xfId="1">
      <alignment vertical="center" wrapText="1"/>
    </xf>
    <xf numFmtId="0" fontId="10" fillId="0" borderId="3" applyAlignment="1" pivotButton="0" quotePrefix="0" xfId="1">
      <alignment vertical="center" wrapText="1"/>
    </xf>
    <xf numFmtId="43" fontId="0" fillId="0" borderId="4" applyAlignment="1" pivotButton="0" quotePrefix="0" xfId="0">
      <alignment vertical="center" wrapText="1"/>
    </xf>
    <xf numFmtId="0" fontId="0" fillId="0" borderId="7" applyAlignment="1" pivotButton="0" quotePrefix="0" xfId="0">
      <alignment vertical="center" wrapText="1"/>
    </xf>
    <xf numFmtId="0" fontId="3" fillId="0" borderId="7" applyAlignment="1" pivotButton="0" quotePrefix="0" xfId="1">
      <alignment vertical="center" wrapText="1"/>
    </xf>
    <xf numFmtId="0" fontId="10" fillId="0" borderId="7" applyAlignment="1" pivotButton="0" quotePrefix="0" xfId="1">
      <alignment vertical="center" wrapText="1"/>
    </xf>
    <xf numFmtId="43" fontId="0" fillId="0" borderId="5" applyAlignment="1" pivotButton="0" quotePrefix="0" xfId="0">
      <alignment vertical="center" wrapText="1"/>
    </xf>
    <xf numFmtId="0" fontId="0" fillId="0" borderId="8" applyAlignment="1" pivotButton="0" quotePrefix="0" xfId="0">
      <alignment vertical="center" wrapText="1"/>
    </xf>
    <xf numFmtId="0" fontId="3" fillId="0" borderId="8" applyAlignment="1" pivotButton="0" quotePrefix="0" xfId="1">
      <alignment vertical="center" wrapText="1"/>
    </xf>
    <xf numFmtId="0" fontId="10" fillId="0" borderId="8" applyAlignment="1" pivotButton="0" quotePrefix="0" xfId="1">
      <alignment vertical="center" wrapText="1"/>
    </xf>
    <xf numFmtId="43" fontId="0" fillId="0" borderId="6" applyAlignment="1" pivotButton="0" quotePrefix="0" xfId="0">
      <alignment vertical="center" wrapText="1"/>
    </xf>
    <xf numFmtId="0" fontId="9" fillId="0" borderId="3" applyAlignment="1" pivotButton="0" quotePrefix="0" xfId="0">
      <alignment vertical="center"/>
    </xf>
    <xf numFmtId="0" fontId="9" fillId="0" borderId="3" applyAlignment="1" pivotButton="0" quotePrefix="0" xfId="0">
      <alignment vertical="center" wrapText="1"/>
    </xf>
    <xf numFmtId="0" fontId="3" fillId="0" borderId="3" applyAlignment="1" pivotButton="0" quotePrefix="0" xfId="1">
      <alignment vertical="center" wrapText="1"/>
    </xf>
    <xf numFmtId="0" fontId="10" fillId="0" borderId="3" applyAlignment="1" pivotButton="0" quotePrefix="0" xfId="1">
      <alignment vertical="center" wrapText="1"/>
    </xf>
    <xf numFmtId="43" fontId="9" fillId="0" borderId="3" applyAlignment="1" pivotButton="0" quotePrefix="0" xfId="0">
      <alignment vertical="center"/>
    </xf>
    <xf numFmtId="0" fontId="9" fillId="0" borderId="7" applyAlignment="1" pivotButton="0" quotePrefix="0" xfId="0">
      <alignment vertical="center"/>
    </xf>
    <xf numFmtId="0" fontId="9" fillId="0" borderId="7" applyAlignment="1" pivotButton="0" quotePrefix="0" xfId="0">
      <alignment vertical="center" wrapText="1"/>
    </xf>
    <xf numFmtId="0" fontId="3" fillId="0" borderId="7" applyAlignment="1" pivotButton="0" quotePrefix="0" xfId="1">
      <alignment vertical="center" wrapText="1"/>
    </xf>
    <xf numFmtId="0" fontId="10" fillId="0" borderId="7" applyAlignment="1" pivotButton="0" quotePrefix="0" xfId="1">
      <alignment vertical="center" wrapText="1"/>
    </xf>
    <xf numFmtId="43" fontId="9" fillId="0" borderId="7" applyAlignment="1" pivotButton="0" quotePrefix="0" xfId="0">
      <alignment vertical="center"/>
    </xf>
    <xf numFmtId="0" fontId="9" fillId="0" borderId="8" applyAlignment="1" pivotButton="0" quotePrefix="0" xfId="0">
      <alignment vertical="center"/>
    </xf>
    <xf numFmtId="0" fontId="9" fillId="0" borderId="8" applyAlignment="1" pivotButton="0" quotePrefix="0" xfId="0">
      <alignment vertical="center" wrapText="1"/>
    </xf>
    <xf numFmtId="0" fontId="3" fillId="0" borderId="8" applyAlignment="1" pivotButton="0" quotePrefix="0" xfId="1">
      <alignment vertical="center" wrapText="1"/>
    </xf>
    <xf numFmtId="0" fontId="10" fillId="0" borderId="8" applyAlignment="1" pivotButton="0" quotePrefix="0" xfId="1">
      <alignment vertical="center" wrapText="1"/>
    </xf>
    <xf numFmtId="43" fontId="9" fillId="0" borderId="8" applyAlignment="1" pivotButton="0" quotePrefix="0" xfId="0">
      <alignment vertical="center"/>
    </xf>
    <xf numFmtId="164" fontId="0" fillId="0" borderId="7" applyAlignment="1" pivotButton="0" quotePrefix="0" xfId="0">
      <alignment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2" borderId="4" applyAlignment="1" pivotButton="0" quotePrefix="0" xfId="0">
      <alignment vertical="center" wrapText="1"/>
    </xf>
    <xf numFmtId="0" fontId="9" fillId="2" borderId="1" pivotButton="0" quotePrefix="0" xfId="0"/>
    <xf numFmtId="43" fontId="9" fillId="2" borderId="3" applyAlignment="1" pivotButton="0" quotePrefix="0" xfId="0">
      <alignment vertical="center"/>
    </xf>
    <xf numFmtId="0" fontId="11"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L7" authorId="0" shapeId="0">
      <text>
        <t>[AUTO-ADDED] Project reports access/productive-use beneficiary numbers but no MW value. Please add installed capacity (MW) or confirm not applicable.</t>
      </text>
    </comment>
    <comment ref="M7" authorId="0" shapeId="0">
      <text>
        <t>[AUTO-ADDED] Project reports access/productive-use beneficiary numbers but no MW value. Please add installed capacity (MW) or confirm not applicable.</t>
      </text>
    </comment>
    <comment ref="L14" authorId="0" shapeId="0">
      <text>
        <t>[AUTO-ADDED] Project reports access/productive-use beneficiary numbers but no MW value. Please add installed capacity (MW) or confirm not applicable.</t>
      </text>
    </comment>
    <comment ref="M14"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37005"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pen.undp.org/projects/00137005" TargetMode="External" Id="rId1"/></Relationships>
</file>

<file path=xl/worksheets/_rels/sheet3.xml.rels><Relationships xmlns="http://schemas.openxmlformats.org/package/2006/relationships"><Relationship Type="http://schemas.openxmlformats.org/officeDocument/2006/relationships/hyperlink" Target="https://open.undp.org/projects/00137005" TargetMode="External" Id="rId1"/></Relationships>
</file>

<file path=xl/worksheets/sheet1.xml><?xml version="1.0" encoding="utf-8"?>
<worksheet xmlns="http://schemas.openxmlformats.org/spreadsheetml/2006/main">
  <sheetPr>
    <outlinePr summaryBelow="1" summaryRight="1"/>
    <pageSetUpPr/>
  </sheetPr>
  <dimension ref="A1:Z14"/>
  <sheetViews>
    <sheetView tabSelected="1" zoomScale="70" zoomScaleNormal="70" workbookViewId="0">
      <pane ySplit="1" topLeftCell="B2" activePane="bottomLeft" state="frozen"/>
      <selection pane="bottomLeft" activeCell="I7" sqref="I7"/>
    </sheetView>
  </sheetViews>
  <sheetFormatPr baseColWidth="8" defaultColWidth="8.85546875" defaultRowHeight="15"/>
  <cols>
    <col width="15.7109375" customWidth="1" style="2" min="1" max="1"/>
    <col width="41.7109375" customWidth="1" style="2" min="2" max="4"/>
    <col width="14.7109375" bestFit="1" customWidth="1" style="49" min="5" max="5"/>
    <col width="14.7109375" customWidth="1" style="2" min="6" max="6"/>
    <col width="14.7109375" customWidth="1" style="1" min="7" max="7"/>
    <col width="14.7109375" bestFit="1" customWidth="1" style="3" min="8" max="8"/>
    <col width="14.7109375" bestFit="1" customWidth="1" style="1" min="9" max="9"/>
    <col width="21.42578125" customWidth="1" style="2" min="10" max="10"/>
    <col width="15" customWidth="1" style="2" min="11" max="11"/>
    <col width="10.7109375" customWidth="1" style="2" min="12" max="12"/>
    <col width="12.85546875" bestFit="1" customWidth="1" style="2" min="13" max="13"/>
    <col width="8.42578125" customWidth="1" style="2" min="14" max="14"/>
    <col width="14.42578125" bestFit="1" customWidth="1" style="2" min="15" max="15"/>
    <col width="17.5703125" bestFit="1" customWidth="1" style="2" min="16" max="16"/>
    <col width="11.7109375" customWidth="1" style="2" min="17" max="17"/>
    <col width="16.5703125" bestFit="1" customWidth="1" style="2" min="18" max="18"/>
    <col width="18.140625" bestFit="1" customWidth="1" style="2" min="19" max="19"/>
    <col width="11" customWidth="1" style="2" min="20" max="20"/>
    <col width="29" customWidth="1" style="2" min="21" max="21"/>
    <col width="20.140625" customWidth="1" style="2" min="22" max="22"/>
    <col width="14.7109375" bestFit="1" customWidth="1" style="2" min="23" max="23"/>
    <col width="8.85546875" customWidth="1" style="2" min="24" max="16384"/>
  </cols>
  <sheetData>
    <row r="1" ht="30.75" customHeight="1">
      <c r="A1" s="35" t="inlineStr">
        <is>
          <t>Project ID</t>
        </is>
      </c>
      <c r="B1" s="35" t="inlineStr">
        <is>
          <t>Title</t>
        </is>
      </c>
      <c r="C1" s="35" t="inlineStr">
        <is>
          <t>Link</t>
        </is>
      </c>
      <c r="D1" s="35" t="inlineStr">
        <is>
          <t>Project Description</t>
        </is>
      </c>
      <c r="E1" s="48" t="inlineStr">
        <is>
          <t>Budget</t>
        </is>
      </c>
      <c r="F1" s="48" t="inlineStr">
        <is>
          <t>Start Year</t>
        </is>
      </c>
      <c r="G1" s="48" t="inlineStr">
        <is>
          <t>End Year</t>
        </is>
      </c>
      <c r="H1" s="48" t="inlineStr">
        <is>
          <t>Status</t>
        </is>
      </c>
      <c r="I1" s="48" t="inlineStr">
        <is>
          <t>VF or Non-VF</t>
        </is>
      </c>
      <c r="J1" s="36" t="inlineStr">
        <is>
          <t>Beneficiary Category</t>
        </is>
      </c>
      <c r="K1" s="36" t="inlineStr">
        <is>
          <t>Indicator</t>
        </is>
      </c>
      <c r="L1" s="36" t="inlineStr">
        <is>
          <t>Baseline</t>
        </is>
      </c>
      <c r="M1" s="36" t="inlineStr">
        <is>
          <t>Target</t>
        </is>
      </c>
      <c r="N1" s="37" t="inlineStr">
        <is>
          <t>Notes</t>
        </is>
      </c>
      <c r="O1" s="37" t="inlineStr">
        <is>
          <t>Donors</t>
        </is>
      </c>
      <c r="P1" s="37" t="inlineStr">
        <is>
          <t>Gender (% female)</t>
        </is>
      </c>
      <c r="Q1" s="42" t="inlineStr">
        <is>
          <t>Tag</t>
        </is>
      </c>
      <c r="R1" s="41" t="inlineStr">
        <is>
          <t>SEH Taxonomy</t>
        </is>
      </c>
      <c r="S1" s="41" t="inlineStr">
        <is>
          <t>RISE Taxonomy</t>
        </is>
      </c>
      <c r="T1" s="42" t="inlineStr">
        <is>
          <t>Flagship</t>
        </is>
      </c>
      <c r="U1" s="42" t="inlineStr">
        <is>
          <t>Indirect Category</t>
        </is>
      </c>
      <c r="V1" s="43" t="inlineStr">
        <is>
          <t>Indirect Taxonomy</t>
        </is>
      </c>
      <c r="W1" s="44" t="inlineStr">
        <is>
          <t>Technology</t>
        </is>
      </c>
      <c r="X1" s="43" t="inlineStr">
        <is>
          <t>Policy or Regulatory Framework</t>
        </is>
      </c>
      <c r="Y1" s="61" t="inlineStr">
        <is>
          <t>Policy Population</t>
        </is>
      </c>
      <c r="Z1" s="19" t="inlineStr">
        <is>
          <t>Gender Marker</t>
        </is>
      </c>
    </row>
    <row r="2" ht="74.25" customHeight="1">
      <c r="A2" s="53" t="n">
        <v>127688</v>
      </c>
      <c r="B2" s="53" t="inlineStr">
        <is>
          <t xml:space="preserve">ONU/21/001 Innovative Finance for Clean Tech Solutions in Uruguay´s Renewable Energy Sector: The Renewable Energy Innovation Fund (REIF)
</t>
        </is>
      </c>
      <c r="C2" s="83" t="inlineStr">
        <is>
          <t>https://open.undp.org/projects/00137005</t>
        </is>
      </c>
      <c r="D2" s="84" t="inlineStr">
        <is>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is>
      </c>
      <c r="E2" s="72" t="n">
        <v>804250</v>
      </c>
      <c r="F2" s="100" t="n"/>
      <c r="G2" s="100" t="n"/>
      <c r="H2" s="100" t="n"/>
      <c r="I2" s="72" t="inlineStr">
        <is>
          <t>Non-VF</t>
        </is>
      </c>
      <c r="J2" s="27" t="inlineStr">
        <is>
          <t>Transportation and E-mobility Services</t>
        </is>
      </c>
      <c r="K2" s="28" t="inlineStr">
        <is>
          <t>1,000,000 anual users of the public transport system that would be positively impacted with the new electric buses</t>
        </is>
      </c>
      <c r="L2" s="50" t="n">
        <v>0</v>
      </c>
      <c r="M2" s="50" t="n">
        <v>1000000</v>
      </c>
      <c r="N2" s="26" t="inlineStr">
        <is>
          <t>JP:10000000
UNDP: 804250</t>
        </is>
      </c>
      <c r="O2" s="29" t="inlineStr">
        <is>
          <t>Joint SDG Fund</t>
        </is>
      </c>
      <c r="P2" s="67" t="n">
        <v>0.61</v>
      </c>
      <c r="Q2" s="38" t="n"/>
      <c r="R2" s="46" t="inlineStr">
        <is>
          <t>Close the gap on energy access</t>
        </is>
      </c>
      <c r="S2" s="38" t="inlineStr">
        <is>
          <t>Energy Efficiency</t>
        </is>
      </c>
      <c r="T2" s="38" t="n"/>
      <c r="U2" s="63" t="inlineStr">
        <is>
          <t>Incentives and Support</t>
        </is>
      </c>
      <c r="V2" s="38" t="n"/>
      <c r="W2" s="47" t="n"/>
      <c r="X2" s="38" t="n"/>
      <c r="Y2" s="58" t="n"/>
      <c r="Z2" s="62" t="inlineStr">
        <is>
          <t>GEN2</t>
        </is>
      </c>
    </row>
    <row r="3" ht="45.75" customHeight="1">
      <c r="A3" s="73" t="n"/>
      <c r="B3" s="73" t="n"/>
      <c r="C3" s="88" t="n"/>
      <c r="D3" s="89" t="n"/>
      <c r="E3" s="76" t="n"/>
      <c r="F3" s="76" t="n"/>
      <c r="G3" s="76" t="n"/>
      <c r="H3" s="76" t="n"/>
      <c r="I3" s="76" t="n"/>
      <c r="J3" s="27" t="inlineStr">
        <is>
          <t>Electricity Access</t>
        </is>
      </c>
      <c r="K3" s="28" t="inlineStr">
        <is>
          <t>5000 people vinculated to the hydrogen development</t>
        </is>
      </c>
      <c r="L3" s="50" t="n">
        <v>0</v>
      </c>
      <c r="M3" s="50" t="n">
        <v>5000</v>
      </c>
      <c r="N3" s="21" t="n"/>
      <c r="O3" s="29" t="n"/>
      <c r="P3" s="30" t="n"/>
      <c r="Q3" s="38" t="n"/>
      <c r="R3" s="46" t="inlineStr">
        <is>
          <t>Close the gap on energy access</t>
        </is>
      </c>
      <c r="S3" s="38" t="inlineStr">
        <is>
          <t>Renewable Energy</t>
        </is>
      </c>
      <c r="T3" s="38" t="n"/>
      <c r="U3" s="63" t="inlineStr">
        <is>
          <t>National Strategy</t>
        </is>
      </c>
      <c r="V3" s="38" t="n"/>
      <c r="W3" s="47" t="inlineStr">
        <is>
          <t>Other</t>
        </is>
      </c>
      <c r="X3" s="38" t="n"/>
      <c r="Y3" s="58" t="n"/>
      <c r="Z3" s="51" t="inlineStr">
        <is>
          <t>GEN2</t>
        </is>
      </c>
    </row>
    <row r="4" ht="60.75" customHeight="1">
      <c r="A4" s="73" t="n"/>
      <c r="B4" s="73" t="n"/>
      <c r="C4" s="88" t="n"/>
      <c r="D4" s="89" t="n"/>
      <c r="E4" s="76" t="n"/>
      <c r="F4" s="76" t="n"/>
      <c r="G4" s="76" t="n"/>
      <c r="H4" s="76" t="n"/>
      <c r="I4" s="76" t="n"/>
      <c r="J4" s="27" t="inlineStr">
        <is>
          <t>Energy Efficiency Services</t>
        </is>
      </c>
      <c r="K4" s="28" t="inlineStr">
        <is>
          <t>100,000 approximated stakeholders related to the activity areas of feasibility studies</t>
        </is>
      </c>
      <c r="L4" s="50" t="n">
        <v>0</v>
      </c>
      <c r="M4" s="50" t="n">
        <v>100000</v>
      </c>
      <c r="N4" s="20" t="inlineStr">
        <is>
          <t>100,000 approximated stakeholders related to the activity areas of feasibility studies</t>
        </is>
      </c>
      <c r="O4" s="29" t="n"/>
      <c r="P4" s="67" t="n">
        <v>0.35</v>
      </c>
      <c r="Q4" s="38" t="n"/>
      <c r="R4" s="46" t="inlineStr">
        <is>
          <t>Close the gap on energy access</t>
        </is>
      </c>
      <c r="S4" s="38" t="inlineStr">
        <is>
          <t>Energy Efficiency</t>
        </is>
      </c>
      <c r="T4" s="38" t="n"/>
      <c r="U4" s="63" t="inlineStr">
        <is>
          <t>Incentives and Support</t>
        </is>
      </c>
      <c r="V4" s="38" t="n"/>
      <c r="W4" s="47" t="n"/>
      <c r="X4" s="38" t="n"/>
      <c r="Y4" s="58" t="n"/>
      <c r="Z4" s="51" t="inlineStr">
        <is>
          <t>GEN2</t>
        </is>
      </c>
    </row>
    <row r="5" ht="106.5" customHeight="1">
      <c r="A5" s="77" t="n"/>
      <c r="B5" s="77" t="n"/>
      <c r="C5" s="93" t="n"/>
      <c r="D5" s="94" t="n"/>
      <c r="E5" s="80" t="n"/>
      <c r="F5" s="80" t="n"/>
      <c r="G5" s="80" t="n"/>
      <c r="H5" s="80" t="n"/>
      <c r="I5" s="80" t="n"/>
      <c r="J5" s="52" t="inlineStr">
        <is>
          <t>Policy or Regulatory Framework</t>
        </is>
      </c>
      <c r="K5" s="53" t="inlineStr">
        <is>
          <t>Financing leveraged by REIF from local financial institutions (USD)</t>
        </is>
      </c>
      <c r="L5" s="50" t="n">
        <v>0</v>
      </c>
      <c r="M5" s="50" t="n">
        <v>5670350</v>
      </c>
      <c r="N5" s="53" t="inlineStr">
        <is>
          <t>n/a since it depends on the type of investment projects pending to be approved by the fund. However, we estimate 10 private projects during the first year</t>
        </is>
      </c>
      <c r="O5" s="53" t="n"/>
      <c r="P5" s="67" t="n">
        <v>0.31</v>
      </c>
      <c r="Q5" s="55" t="n"/>
      <c r="R5" s="56" t="inlineStr">
        <is>
          <t>Close the gap on energy access</t>
        </is>
      </c>
      <c r="S5" s="55" t="inlineStr">
        <is>
          <t>Renewable Energy</t>
        </is>
      </c>
      <c r="T5" s="55" t="n"/>
      <c r="U5" s="65" t="inlineStr">
        <is>
          <t>Financing Model</t>
        </is>
      </c>
      <c r="V5" s="55" t="inlineStr">
        <is>
          <t>Renewable Energy</t>
        </is>
      </c>
      <c r="W5" s="57" t="n"/>
      <c r="X5" s="55" t="n"/>
      <c r="Y5" s="59" t="n"/>
      <c r="Z5" s="51" t="inlineStr">
        <is>
          <t>GEN2</t>
        </is>
      </c>
    </row>
    <row r="6">
      <c r="A6" s="73" t="n"/>
      <c r="B6" s="73" t="n"/>
      <c r="C6" s="88" t="n"/>
      <c r="D6" s="89" t="n"/>
      <c r="E6" s="76" t="n"/>
      <c r="F6" s="76" t="n"/>
      <c r="G6" s="76" t="n"/>
      <c r="H6" s="76" t="n"/>
      <c r="I6" s="76" t="n"/>
      <c r="J6" s="96" t="inlineStr">
        <is>
          <t>GHG Emissions Reduction</t>
        </is>
      </c>
      <c r="K6" s="53" t="inlineStr">
        <is>
          <t>kt of CO2 equivalent</t>
        </is>
      </c>
      <c r="L6" s="50" t="n"/>
      <c r="M6" s="50" t="n">
        <v>24658</v>
      </c>
      <c r="N6" s="53" t="n"/>
      <c r="O6" s="53" t="n"/>
      <c r="P6" s="67" t="n"/>
      <c r="Q6" s="55" t="n"/>
      <c r="R6" s="56" t="n"/>
      <c r="S6" s="55" t="n"/>
      <c r="T6" s="55" t="n"/>
      <c r="U6" s="65" t="n"/>
      <c r="V6" s="55" t="n"/>
      <c r="W6" s="57" t="n"/>
      <c r="X6" s="55" t="n"/>
      <c r="Y6" s="59" t="n"/>
      <c r="Z6" s="51" t="n"/>
    </row>
    <row r="7" ht="60.75" customHeight="1">
      <c r="A7" s="73" t="n"/>
      <c r="B7" s="73" t="n"/>
      <c r="C7" s="88" t="n"/>
      <c r="D7" s="89" t="n"/>
      <c r="E7" s="76" t="n"/>
      <c r="F7" s="76" t="n"/>
      <c r="G7" s="76" t="n"/>
      <c r="H7" s="76" t="n"/>
      <c r="I7" s="76" t="n"/>
      <c r="J7" s="96" t="inlineStr">
        <is>
          <t>Energy (MW added)</t>
        </is>
      </c>
      <c r="K7" s="53" t="inlineStr">
        <is>
          <t>Installed capacity in MW for access/productive-use outputs</t>
        </is>
      </c>
      <c r="L7" s="101" t="n">
        <v>0</v>
      </c>
      <c r="M7" s="101" t="n"/>
      <c r="N7" s="53" t="n"/>
      <c r="O7" s="53" t="n"/>
      <c r="P7" s="67" t="n"/>
      <c r="Q7" s="55" t="n"/>
      <c r="R7" s="56" t="n"/>
      <c r="S7" s="55" t="n"/>
      <c r="T7" s="55" t="n"/>
      <c r="U7" s="65" t="n"/>
      <c r="V7" s="55" t="n"/>
      <c r="W7" s="57" t="n"/>
      <c r="X7" s="55" t="n"/>
      <c r="Y7" s="59" t="n"/>
      <c r="Z7" s="51" t="n"/>
    </row>
    <row r="8" ht="76.5" customHeight="1">
      <c r="A8" s="81" t="n">
        <v>101784</v>
      </c>
      <c r="B8" s="82" t="inlineStr">
        <is>
          <t>URU/17/G32 MOVÉS: Towards a sustainable and efficient urban mobility system in Uruguay</t>
        </is>
      </c>
      <c r="C8" s="83" t="inlineStr">
        <is>
          <t>https://www.undp.org/es/uruguay/proyectos/moves-hacia-un-sistema-de-movilidad-urbana-sostenible-y-eficiente-en-uruguay</t>
        </is>
      </c>
      <c r="D8" s="84" t="inlineStr">
        <is>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is>
      </c>
      <c r="E8" s="85" t="n">
        <v>1720933</v>
      </c>
      <c r="F8" s="102" t="n"/>
      <c r="G8" s="102" t="n"/>
      <c r="H8" s="102" t="n"/>
      <c r="I8" s="85" t="inlineStr">
        <is>
          <t>VF</t>
        </is>
      </c>
      <c r="J8" s="29" t="inlineStr">
        <is>
          <t>Energy Efficiency Services</t>
        </is>
      </c>
      <c r="K8" s="64" t="inlineStr">
        <is>
          <t>13 new partnerships developed for improving energy efficiency in transport</t>
        </is>
      </c>
      <c r="L8" s="50" t="n">
        <v>0</v>
      </c>
      <c r="M8" s="50" t="n">
        <v>13</v>
      </c>
      <c r="N8" s="64" t="inlineStr">
        <is>
          <t>Partnerships signed between government and companies interested in using EVs.</t>
        </is>
      </c>
      <c r="O8" s="64" t="inlineStr">
        <is>
          <t>Global Environment Fund Truste</t>
        </is>
      </c>
      <c r="P8" s="50" t="n"/>
      <c r="Q8" s="50" t="n"/>
      <c r="R8" s="69" t="inlineStr">
        <is>
          <t>Accelerating Just Energy Transition</t>
        </is>
      </c>
      <c r="S8" s="38" t="inlineStr">
        <is>
          <t>Energy Efficiency</t>
        </is>
      </c>
      <c r="T8" s="51" t="n"/>
      <c r="U8" s="65" t="inlineStr">
        <is>
          <t>Incentives and Support</t>
        </is>
      </c>
      <c r="V8" s="51" t="n"/>
      <c r="W8" s="51" t="n"/>
      <c r="X8" s="51" t="n"/>
      <c r="Y8" s="60" t="n"/>
      <c r="Z8" s="51" t="inlineStr">
        <is>
          <t>GEN2</t>
        </is>
      </c>
    </row>
    <row r="9" ht="60.75" customHeight="1">
      <c r="A9" s="86" t="n"/>
      <c r="B9" s="87" t="n"/>
      <c r="C9" s="88" t="n"/>
      <c r="D9" s="89" t="n"/>
      <c r="E9" s="90" t="n"/>
      <c r="F9" s="90" t="n"/>
      <c r="G9" s="90" t="n"/>
      <c r="H9" s="90" t="n"/>
      <c r="I9" s="90" t="n"/>
      <c r="J9" s="29" t="inlineStr">
        <is>
          <t xml:space="preserve">Financing support </t>
        </is>
      </c>
      <c r="K9" s="64" t="inlineStr">
        <is>
          <t>Number of e-buses co-financed and operational</t>
        </is>
      </c>
      <c r="L9" s="50" t="n">
        <v>5</v>
      </c>
      <c r="M9" s="50" t="n">
        <v>32</v>
      </c>
      <c r="N9" s="64" t="inlineStr">
        <is>
          <t>New e-bus subsidy increased from original scope of 5 to 32 e-buses now in use, with $14M co-investments.</t>
        </is>
      </c>
      <c r="O9" s="64" t="n"/>
      <c r="P9" s="50" t="n"/>
      <c r="Q9" s="50" t="n"/>
      <c r="R9" s="69" t="inlineStr">
        <is>
          <t>Accelerating Just Energy Transition</t>
        </is>
      </c>
      <c r="S9" s="38" t="inlineStr">
        <is>
          <t>Energy Efficiency</t>
        </is>
      </c>
      <c r="T9" s="51" t="n"/>
      <c r="U9" s="65" t="inlineStr">
        <is>
          <t>Financing Model</t>
        </is>
      </c>
      <c r="V9" s="51" t="n"/>
      <c r="W9" s="51" t="n"/>
      <c r="X9" s="51" t="n"/>
      <c r="Y9" s="60" t="n"/>
      <c r="Z9" s="51" t="inlineStr">
        <is>
          <t>GEN2</t>
        </is>
      </c>
    </row>
    <row r="10" ht="76.5" customHeight="1">
      <c r="A10" s="86" t="n"/>
      <c r="B10" s="87" t="n"/>
      <c r="C10" s="88" t="n"/>
      <c r="D10" s="89" t="n"/>
      <c r="E10" s="90" t="n"/>
      <c r="F10" s="90" t="n"/>
      <c r="G10" s="90" t="n"/>
      <c r="H10" s="90" t="n"/>
      <c r="I10" s="90" t="n"/>
      <c r="J10" s="29" t="inlineStr">
        <is>
          <t>Transportation and E-mobility Services</t>
        </is>
      </c>
      <c r="K10" s="64" t="inlineStr">
        <is>
          <t>Number of companies participating in e-vehicle trials</t>
        </is>
      </c>
      <c r="L10" s="50" t="n">
        <v>0</v>
      </c>
      <c r="M10" s="50" t="n">
        <v>130</v>
      </c>
      <c r="N10" s="64" t="inlineStr">
        <is>
          <t>Rental trials for e-bikes/tricycles in logistics. 3 years of 100% EV sales growth.</t>
        </is>
      </c>
      <c r="O10" s="64" t="n"/>
      <c r="P10" s="50" t="n"/>
      <c r="Q10" s="50" t="n"/>
      <c r="R10" s="69" t="inlineStr">
        <is>
          <t>Accelerating Just Energy Transition</t>
        </is>
      </c>
      <c r="S10" s="38" t="inlineStr">
        <is>
          <t>Renewable Energy</t>
        </is>
      </c>
      <c r="T10" s="51" t="n"/>
      <c r="U10" s="65" t="inlineStr">
        <is>
          <t>Incentives and Support</t>
        </is>
      </c>
      <c r="V10" s="51" t="n"/>
      <c r="W10" s="51" t="n"/>
      <c r="X10" s="51" t="n"/>
      <c r="Y10" s="60" t="n"/>
      <c r="Z10" s="51" t="inlineStr">
        <is>
          <t>GEN2</t>
        </is>
      </c>
    </row>
    <row r="11" ht="76.5" customHeight="1">
      <c r="A11" s="86" t="n"/>
      <c r="B11" s="87" t="n"/>
      <c r="C11" s="88" t="n"/>
      <c r="D11" s="89" t="n"/>
      <c r="E11" s="90" t="n"/>
      <c r="F11" s="90" t="n"/>
      <c r="G11" s="90" t="n"/>
      <c r="H11" s="90" t="n"/>
      <c r="I11" s="90" t="n"/>
      <c r="J11" s="29" t="inlineStr">
        <is>
          <t>Policy or Regulatory Framework</t>
        </is>
      </c>
      <c r="K11" s="64" t="inlineStr">
        <is>
          <t>Number of formalized coordination bodies on transport energy efficiency</t>
        </is>
      </c>
      <c r="L11" s="50" t="n">
        <v>0</v>
      </c>
      <c r="M11" s="50" t="n">
        <v>1</v>
      </c>
      <c r="N11" s="64" t="inlineStr">
        <is>
          <t>Established National Commission on Transport Energy Efficiency to ensure sustainability of results.</t>
        </is>
      </c>
      <c r="O11" s="64" t="n"/>
      <c r="P11" s="50" t="n"/>
      <c r="Q11" s="50" t="n"/>
      <c r="R11" s="69" t="inlineStr">
        <is>
          <t>Accelerating Just Energy Transition</t>
        </is>
      </c>
      <c r="S11" s="38" t="inlineStr">
        <is>
          <t>Energy Efficiency</t>
        </is>
      </c>
      <c r="T11" s="51" t="n"/>
      <c r="U11" s="65" t="inlineStr">
        <is>
          <t>National Strategy</t>
        </is>
      </c>
      <c r="V11" s="51" t="n"/>
      <c r="W11" s="51" t="n"/>
      <c r="X11" s="51" t="n"/>
      <c r="Y11" s="60" t="n"/>
      <c r="Z11" s="51" t="inlineStr">
        <is>
          <t>GEN2</t>
        </is>
      </c>
    </row>
    <row r="12">
      <c r="A12" s="91" t="n"/>
      <c r="B12" s="92" t="n"/>
      <c r="C12" s="93" t="n"/>
      <c r="D12" s="94" t="n"/>
      <c r="E12" s="95" t="n"/>
      <c r="F12" s="95" t="n"/>
      <c r="G12" s="95" t="n"/>
      <c r="H12" s="95" t="n"/>
      <c r="I12" s="95" t="n"/>
      <c r="J12" s="29" t="inlineStr">
        <is>
          <t>Policy or Regulatory Framework</t>
        </is>
      </c>
      <c r="K12" s="64" t="inlineStr">
        <is>
          <t>Number of revised regulations supporting e-mobility</t>
        </is>
      </c>
      <c r="L12" s="50" t="n">
        <v>4</v>
      </c>
      <c r="M12" s="50" t="n">
        <v>8</v>
      </c>
      <c r="N12" s="64" t="inlineStr">
        <is>
          <t>Revised policies on tax, incentives, vehicle labeling, battery/ end-of-life management, etc.</t>
        </is>
      </c>
      <c r="O12" s="64" t="n"/>
      <c r="P12" s="50" t="n"/>
      <c r="Q12" s="50" t="n"/>
      <c r="R12" s="69" t="inlineStr">
        <is>
          <t>Accelerating Just Energy Transition</t>
        </is>
      </c>
      <c r="S12" s="38" t="inlineStr">
        <is>
          <t>Renewable Energy</t>
        </is>
      </c>
      <c r="T12" s="60" t="n"/>
      <c r="U12" s="63" t="inlineStr">
        <is>
          <t>National Strategy</t>
        </is>
      </c>
      <c r="V12" s="66" t="n"/>
      <c r="W12" s="51" t="n"/>
      <c r="X12" s="51" t="n"/>
      <c r="Y12" s="60" t="n"/>
      <c r="Z12" s="51" t="inlineStr">
        <is>
          <t>GEN2</t>
        </is>
      </c>
    </row>
    <row r="13">
      <c r="A13" s="73" t="n"/>
      <c r="B13" s="73" t="n"/>
      <c r="C13" s="88" t="n"/>
      <c r="D13" s="89" t="n"/>
      <c r="E13" s="76" t="n"/>
      <c r="F13" s="76" t="n"/>
      <c r="G13" s="76" t="n"/>
      <c r="H13" s="76" t="n"/>
      <c r="I13" s="76" t="n"/>
      <c r="J13" s="96" t="inlineStr">
        <is>
          <t>GHG Emissions Reduction</t>
        </is>
      </c>
      <c r="K13" s="53" t="inlineStr">
        <is>
          <t>kt of CO2 equivalent</t>
        </is>
      </c>
      <c r="L13" s="50" t="n"/>
      <c r="M13" s="50" t="n">
        <v>5816</v>
      </c>
      <c r="N13" s="53" t="n"/>
      <c r="O13" s="53" t="n"/>
      <c r="P13" s="67" t="n"/>
      <c r="Q13" s="55" t="n"/>
      <c r="R13" s="56" t="n"/>
      <c r="S13" s="55" t="n"/>
      <c r="T13" s="55" t="n"/>
      <c r="U13" s="65" t="n"/>
      <c r="V13" s="55" t="n"/>
      <c r="W13" s="57" t="n"/>
      <c r="X13" s="55" t="n"/>
      <c r="Y13" s="59" t="n"/>
      <c r="Z13" s="51" t="n"/>
    </row>
    <row r="14">
      <c r="A14" s="73" t="n"/>
      <c r="B14" s="73" t="n"/>
      <c r="C14" s="88" t="n"/>
      <c r="D14" s="89" t="n"/>
      <c r="E14" s="76" t="n"/>
      <c r="F14" s="76" t="n"/>
      <c r="G14" s="76" t="n"/>
      <c r="H14" s="76" t="n"/>
      <c r="I14" s="76" t="n"/>
      <c r="J14" s="96" t="inlineStr">
        <is>
          <t>Energy (MW added)</t>
        </is>
      </c>
      <c r="K14" s="53" t="inlineStr">
        <is>
          <t>Installed capacity in MW for access/productive-use outputs</t>
        </is>
      </c>
      <c r="L14" s="101" t="n">
        <v>0</v>
      </c>
      <c r="M14" s="101" t="n"/>
      <c r="N14" s="53" t="n"/>
      <c r="O14" s="53" t="n"/>
      <c r="P14" s="67" t="n"/>
      <c r="Q14" s="55" t="n"/>
      <c r="R14" s="56" t="n"/>
      <c r="S14" s="55" t="n"/>
      <c r="T14" s="55" t="n"/>
      <c r="U14" s="65" t="n"/>
      <c r="V14" s="55" t="n"/>
      <c r="W14" s="57" t="n"/>
      <c r="X14" s="55" t="n"/>
      <c r="Y14" s="59" t="n"/>
      <c r="Z14" s="51" t="n"/>
    </row>
  </sheetData>
  <dataValidations count="10">
    <dataValidation sqref="R2:R1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6 Q12" showDropDown="0" showInputMessage="1" showErrorMessage="1" allowBlank="1" type="list">
      <formula1>"AMP, PUDC, Solar4Health, Action Opportunities, Italy UNDP Energy Partnership"</formula1>
    </dataValidation>
    <dataValidation sqref="O2:O6 O12" showDropDown="0" showInputMessage="1" showErrorMessage="1" allowBlank="1" type="list">
      <formula1>"Accelerating just energy transition, Close the gap on energy access, Scale up energy finance"</formula1>
    </dataValidation>
    <dataValidation sqref="P2:P12" showDropDown="0" showInputMessage="1" showErrorMessage="1" allowBlank="1" type="list">
      <formula1>"Electricity Access, Energy Efficiency, Clean Cooking, Renewable Energy, Overall"</formula1>
    </dataValidation>
    <dataValidation sqref="N2:N6 N12" showDropDown="0" showInputMessage="1" showErrorMessage="1" allowBlank="1" type="list">
      <formula1>"Finance, Gender, Efficiency, Just, Health"</formula1>
    </dataValidation>
    <dataValidation sqref="U2:U6 U12" showDropDown="0" showInputMessage="1" showErrorMessage="1" allowBlank="1" type="list">
      <formula1>"National, Regional, City, Community"</formula1>
    </dataValidation>
    <dataValidation sqref="M2:M6 M12" showDropDown="0" showInputMessage="1" showErrorMessage="1" allowBlank="1" type="list">
      <formula1>"Non-VF, VF"</formula1>
    </dataValidation>
    <dataValidation sqref="S2:S6 S1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6 T12" showDropDown="0" showInputMessage="1" showErrorMessage="1" allowBlank="1" type="list">
      <formula1>"Solar, Wind, Bioenergy, Hydro, Geothermal, Waste, Some Sources, Other, Unknown"</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horizontalDpi="0"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9"/>
  <sheetViews>
    <sheetView zoomScale="70" zoomScaleNormal="70" workbookViewId="0">
      <pane ySplit="1" topLeftCell="D2" activePane="bottomLeft" state="frozen"/>
      <selection pane="bottomLeft" activeCell="D2" sqref="D2"/>
    </sheetView>
  </sheetViews>
  <sheetFormatPr baseColWidth="8" defaultColWidth="8.85546875" defaultRowHeight="15"/>
  <cols>
    <col width="15.7109375" customWidth="1" style="2" min="1" max="1"/>
    <col width="41.7109375" customWidth="1" style="2" min="2" max="3"/>
    <col width="23.85546875" customWidth="1" style="7" min="4" max="4"/>
    <col width="28.5703125" customWidth="1" style="2" min="5" max="5"/>
    <col width="47.85546875" customWidth="1" style="1" min="6" max="6"/>
    <col width="19.85546875" customWidth="1" style="3" min="7" max="7"/>
    <col width="15.85546875" customWidth="1" style="1" min="8" max="8"/>
    <col width="21.42578125" customWidth="1" style="2" min="9" max="9"/>
    <col width="23.85546875" customWidth="1" style="2" min="10" max="10"/>
    <col width="8.85546875" customWidth="1" style="2" min="11" max="17"/>
    <col width="11" customWidth="1" style="2" min="18" max="18"/>
    <col width="29" customWidth="1" style="2" min="19" max="19"/>
    <col width="8.85546875" customWidth="1" style="2" min="20" max="16384"/>
  </cols>
  <sheetData>
    <row r="1">
      <c r="A1" s="22" t="inlineStr">
        <is>
          <t>Project ID</t>
        </is>
      </c>
      <c r="B1" s="22" t="inlineStr">
        <is>
          <t>Title</t>
        </is>
      </c>
      <c r="C1" s="22" t="inlineStr">
        <is>
          <t>Link</t>
        </is>
      </c>
      <c r="D1" s="23" t="inlineStr">
        <is>
          <t>Budget</t>
        </is>
      </c>
      <c r="E1" s="4" t="inlineStr">
        <is>
          <t>Beneficiary Category</t>
        </is>
      </c>
      <c r="F1" s="5" t="inlineStr">
        <is>
          <t>Indicator</t>
        </is>
      </c>
      <c r="G1" s="4" t="inlineStr">
        <is>
          <t>Baseline</t>
        </is>
      </c>
      <c r="H1" s="5" t="inlineStr">
        <is>
          <t>Target</t>
        </is>
      </c>
      <c r="I1" s="18" t="inlineStr">
        <is>
          <t>Notes</t>
        </is>
      </c>
      <c r="J1" s="18" t="inlineStr">
        <is>
          <t>Donors</t>
        </is>
      </c>
      <c r="K1" s="19" t="inlineStr">
        <is>
          <t>Gender (% female)</t>
        </is>
      </c>
      <c r="L1" s="19" t="inlineStr">
        <is>
          <t>Category</t>
        </is>
      </c>
      <c r="M1" s="19" t="inlineStr">
        <is>
          <t>Comments</t>
        </is>
      </c>
      <c r="N1" s="19" t="n"/>
      <c r="O1" s="19" t="inlineStr">
        <is>
          <t>SEH Taxonomy</t>
        </is>
      </c>
      <c r="P1" s="19" t="inlineStr">
        <is>
          <t>RISE Taxonomy</t>
        </is>
      </c>
      <c r="Q1" s="19" t="inlineStr">
        <is>
          <t>Flagship</t>
        </is>
      </c>
      <c r="R1" s="19" t="inlineStr">
        <is>
          <t>Indirect Category</t>
        </is>
      </c>
      <c r="S1" s="19" t="inlineStr">
        <is>
          <t>Indirect Taxonomy</t>
        </is>
      </c>
      <c r="T1" s="17" t="n"/>
    </row>
    <row r="2" ht="60.75" customHeight="1">
      <c r="A2" s="24" t="n">
        <v>127688</v>
      </c>
      <c r="B2" s="24" t="inlineStr">
        <is>
          <t>ONU/21/001 Financiación innovadora para soluciones de tecnología limpia en el sector de las energías renovables de Uruguay: El Fondo de Innovación de Energías Renovables (REIF)</t>
        </is>
      </c>
      <c r="C2" s="25" t="inlineStr">
        <is>
          <t>https://open.undp.org/projects/00137005</t>
        </is>
      </c>
      <c r="D2" s="26" t="inlineStr">
        <is>
          <t>JP:10000000
UNDP: 804250</t>
        </is>
      </c>
      <c r="E2" s="27" t="inlineStr">
        <is>
          <t>Other Energy Services</t>
        </is>
      </c>
      <c r="F2" s="28" t="inlineStr">
        <is>
          <t>1,000,000 anual users of the public transport system that would be positively impacted with the new electric buses</t>
        </is>
      </c>
      <c r="G2" s="20" t="n"/>
      <c r="H2" s="20" t="n">
        <v>1000000</v>
      </c>
      <c r="I2" s="29" t="n"/>
      <c r="J2" s="29" t="inlineStr">
        <is>
          <t>Joint SDG Fund</t>
        </is>
      </c>
      <c r="K2" s="30" t="n"/>
      <c r="L2" s="29" t="inlineStr">
        <is>
          <t>Non-VF</t>
        </is>
      </c>
      <c r="M2" s="29" t="n"/>
      <c r="N2" s="29" t="n"/>
      <c r="O2" s="29" t="inlineStr">
        <is>
          <t>Scale up energy finance</t>
        </is>
      </c>
      <c r="P2" s="29" t="inlineStr">
        <is>
          <t>Energy Efficiency</t>
        </is>
      </c>
      <c r="Q2" s="29" t="n"/>
      <c r="R2" s="29" t="n"/>
      <c r="S2" s="29" t="n"/>
    </row>
    <row r="3" ht="45.75" customHeight="1">
      <c r="A3" s="31" t="n"/>
      <c r="B3" s="31" t="n"/>
      <c r="C3" s="31" t="n"/>
      <c r="D3" s="32" t="n"/>
      <c r="E3" s="27" t="inlineStr">
        <is>
          <t>Policy or Regulatory Framework</t>
        </is>
      </c>
      <c r="F3" s="28" t="inlineStr">
        <is>
          <t>5000 people vinculated to the hydrogen development</t>
        </is>
      </c>
      <c r="G3" s="20" t="n">
        <v>0</v>
      </c>
      <c r="H3" s="20" t="n">
        <v>5000</v>
      </c>
      <c r="I3" s="21" t="n"/>
      <c r="J3" s="29" t="inlineStr">
        <is>
          <t>Joint SDG Fund</t>
        </is>
      </c>
      <c r="K3" s="30" t="n"/>
      <c r="L3" s="29" t="inlineStr">
        <is>
          <t>Non-VF</t>
        </is>
      </c>
      <c r="M3" s="29" t="n"/>
      <c r="N3" s="29" t="n"/>
      <c r="O3" s="29" t="inlineStr">
        <is>
          <t>Scale up energy finance</t>
        </is>
      </c>
      <c r="P3" s="29" t="inlineStr">
        <is>
          <t>Energy Efficiency</t>
        </is>
      </c>
      <c r="Q3" s="29" t="n"/>
      <c r="R3" s="29" t="inlineStr">
        <is>
          <t>Incentives and Support</t>
        </is>
      </c>
      <c r="S3" s="29" t="inlineStr">
        <is>
          <t>Hydrogen</t>
        </is>
      </c>
    </row>
    <row r="4" ht="60.75" customHeight="1">
      <c r="A4" s="31" t="n"/>
      <c r="B4" s="31" t="n"/>
      <c r="C4" s="31" t="n"/>
      <c r="D4" s="32" t="n"/>
      <c r="E4" s="27" t="inlineStr">
        <is>
          <t>Policy or Regulatory Framework</t>
        </is>
      </c>
      <c r="F4" s="28" t="inlineStr">
        <is>
          <t>100,000 approximated stakeholders related to the activity areas of feasibility studies</t>
        </is>
      </c>
      <c r="G4" s="20" t="n">
        <v>0</v>
      </c>
      <c r="H4" s="20" t="n">
        <v>100000</v>
      </c>
      <c r="I4" s="20" t="inlineStr">
        <is>
          <t>100,000 approximated stakeholders related to the activity areas of feasibility studies</t>
        </is>
      </c>
      <c r="J4" s="29" t="inlineStr">
        <is>
          <t>Joint SDG Fund</t>
        </is>
      </c>
      <c r="K4" s="30" t="n"/>
      <c r="L4" s="29" t="inlineStr">
        <is>
          <t>Non-VF</t>
        </is>
      </c>
      <c r="M4" s="29" t="n"/>
      <c r="N4" s="29" t="n"/>
      <c r="O4" s="29" t="inlineStr">
        <is>
          <t>Scale up energy finance</t>
        </is>
      </c>
      <c r="P4" s="29" t="inlineStr">
        <is>
          <t>Energy Efficiency</t>
        </is>
      </c>
      <c r="Q4" s="29" t="n"/>
      <c r="R4" s="29" t="inlineStr">
        <is>
          <t>Incentives and Support</t>
        </is>
      </c>
      <c r="S4" s="29" t="inlineStr">
        <is>
          <t>Transport</t>
        </is>
      </c>
    </row>
    <row r="5" ht="106.5" customHeight="1">
      <c r="A5" s="33" t="n"/>
      <c r="B5" s="33" t="n"/>
      <c r="C5" s="33" t="n"/>
      <c r="D5" s="34" t="n"/>
      <c r="E5" s="27" t="inlineStr">
        <is>
          <t>Policy or Regulatory Framework</t>
        </is>
      </c>
      <c r="F5" s="29" t="inlineStr">
        <is>
          <t>Financing leveraged by REIF from local financial institutions (USD)</t>
        </is>
      </c>
      <c r="G5" s="20" t="n">
        <v>0</v>
      </c>
      <c r="H5" s="20" t="n"/>
      <c r="I5" s="29" t="inlineStr">
        <is>
          <t>n/a since it depends on the type of investment projects pending to be approved by the fund. However, we estimate 10 private projects during the first year</t>
        </is>
      </c>
      <c r="J5" s="29" t="inlineStr">
        <is>
          <t>Joint SDG Fund</t>
        </is>
      </c>
      <c r="K5" s="30" t="n"/>
      <c r="L5" s="29" t="inlineStr">
        <is>
          <t>Non-VF</t>
        </is>
      </c>
      <c r="M5" s="29" t="n"/>
      <c r="N5" s="29" t="n"/>
      <c r="O5" s="29" t="inlineStr">
        <is>
          <t>Scale up energy finance</t>
        </is>
      </c>
      <c r="P5" s="29" t="inlineStr">
        <is>
          <t>Energy Efficiency</t>
        </is>
      </c>
      <c r="Q5" s="29" t="n"/>
      <c r="R5" s="29" t="inlineStr">
        <is>
          <t>Incentives and Support</t>
        </is>
      </c>
      <c r="S5" s="29" t="inlineStr">
        <is>
          <t>Renewable EnergyEnergy Infrastructure</t>
        </is>
      </c>
    </row>
    <row r="8">
      <c r="B8" s="14" t="n"/>
    </row>
    <row r="9">
      <c r="B9" s="15" t="n"/>
    </row>
  </sheetData>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K9"/>
  <sheetViews>
    <sheetView zoomScale="70" zoomScaleNormal="70" workbookViewId="0">
      <pane ySplit="1" topLeftCell="C2" activePane="bottomLeft" state="frozen"/>
      <selection pane="bottomLeft" activeCell="C2" sqref="C2"/>
    </sheetView>
  </sheetViews>
  <sheetFormatPr baseColWidth="8" defaultColWidth="8.85546875" defaultRowHeight="14.45"/>
  <cols>
    <col width="15.7109375" customWidth="1" style="2" min="1" max="1"/>
    <col width="41.7109375" customWidth="1" style="2" min="2" max="3"/>
    <col width="23.85546875" customWidth="1" style="7" min="4" max="4"/>
    <col width="28.5703125" customWidth="1" style="2" min="5" max="5"/>
    <col width="35" customWidth="1" style="1" min="6" max="6"/>
    <col width="19.85546875" customWidth="1" style="3" min="7" max="7"/>
    <col width="15.85546875" customWidth="1" style="1" min="8" max="8"/>
    <col width="21.42578125" customWidth="1" style="2" min="9" max="9"/>
    <col width="8.85546875" customWidth="1" style="2" min="10" max="16384"/>
  </cols>
  <sheetData>
    <row r="1" ht="15" customHeight="1">
      <c r="A1" s="4" t="inlineStr">
        <is>
          <t>Project ID</t>
        </is>
      </c>
      <c r="B1" s="4" t="inlineStr">
        <is>
          <t>Title</t>
        </is>
      </c>
      <c r="C1" s="4" t="inlineStr">
        <is>
          <t>Link</t>
        </is>
      </c>
      <c r="D1" s="6" t="inlineStr">
        <is>
          <t>Budget</t>
        </is>
      </c>
      <c r="E1" s="4" t="inlineStr">
        <is>
          <t>Beneficiary Category</t>
        </is>
      </c>
      <c r="F1" s="5" t="inlineStr">
        <is>
          <t>Indicator</t>
        </is>
      </c>
      <c r="G1" s="4" t="inlineStr">
        <is>
          <t>Baseline</t>
        </is>
      </c>
      <c r="H1" s="5" t="inlineStr">
        <is>
          <t>Target</t>
        </is>
      </c>
      <c r="I1" s="10" t="inlineStr">
        <is>
          <t>Notes</t>
        </is>
      </c>
      <c r="J1" s="10" t="inlineStr">
        <is>
          <t>Donors</t>
        </is>
      </c>
    </row>
    <row r="2" ht="91.5" customHeight="1">
      <c r="A2" t="n">
        <v>127688</v>
      </c>
      <c r="B2" s="9" t="inlineStr">
        <is>
          <t>ONU/21/001 Financiación innovadora para soluciones de tecnología limpia en el sector de las energías renovables de Uruguay: El Fondo de Innovación de Energías Renovables (REIF)</t>
        </is>
      </c>
      <c r="C2" s="8" t="inlineStr">
        <is>
          <t>https://open.undp.org/projects/00137005</t>
        </is>
      </c>
      <c r="D2" s="11" t="inlineStr">
        <is>
          <t>JP:10000000
UNDP: 804250</t>
        </is>
      </c>
      <c r="E2" t="inlineStr">
        <is>
          <t>Other</t>
        </is>
      </c>
      <c r="F2" t="inlineStr">
        <is>
          <t>Cumulative number of electric buses</t>
        </is>
      </c>
      <c r="G2" s="12" t="n">
        <v>33</v>
      </c>
      <c r="H2" s="12" t="n">
        <v>150</v>
      </c>
      <c r="I2" s="1" t="inlineStr">
        <is>
          <t>1,000,000 anual users of the public transport system that would be positively impacted with the new electric buses</t>
        </is>
      </c>
      <c r="J2" s="2" t="inlineStr">
        <is>
          <t>Joint SDG Fund</t>
        </is>
      </c>
      <c r="K2" s="15" t="inlineStr">
        <is>
          <t xml:space="preserve">Can you please provide in the Notes an estimate of number of beneficiaries that you can reach trough this indicator ? </t>
        </is>
      </c>
    </row>
    <row r="3" ht="60.75" customHeight="1">
      <c r="E3" t="inlineStr">
        <is>
          <t>Policy or Regulatory Framework</t>
        </is>
      </c>
      <c r="F3" s="1" t="inlineStr">
        <is>
          <t>Green hydrogen strategy and regulation development (gender-responsive). Number of regulatory needs assessment completed</t>
        </is>
      </c>
      <c r="G3" s="12" t="n">
        <v>0</v>
      </c>
      <c r="H3" s="13" t="n">
        <v>2</v>
      </c>
      <c r="I3" s="16" t="inlineStr">
        <is>
          <t>5000 people vinculated to the hydrogen development</t>
        </is>
      </c>
      <c r="J3" s="2" t="inlineStr">
        <is>
          <t>Joint SDG Fund</t>
        </is>
      </c>
      <c r="K3" s="15" t="inlineStr">
        <is>
          <t xml:space="preserve">Can you please provide in the Notes an estimate of number of beneficiaries that you can reach trough this indicator ? </t>
        </is>
      </c>
    </row>
    <row r="4" ht="60.75" customHeight="1">
      <c r="E4" t="inlineStr">
        <is>
          <t>Policy or Regulatory Framework</t>
        </is>
      </c>
      <c r="F4" s="1" t="inlineStr">
        <is>
          <t>Electromobility technology knowledge and capacities developed. Number of feasibility studies for electric vehicles penetration in different activity sectors</t>
        </is>
      </c>
      <c r="G4" s="12" t="n">
        <v>0</v>
      </c>
      <c r="H4" s="13" t="n">
        <v>3</v>
      </c>
      <c r="I4" s="13" t="inlineStr">
        <is>
          <t>100,000 approximated stakeholders related to the activity areas of feasibility studies</t>
        </is>
      </c>
      <c r="J4" s="2" t="inlineStr">
        <is>
          <t>Joint SDG Fund</t>
        </is>
      </c>
      <c r="K4" s="15" t="inlineStr">
        <is>
          <t xml:space="preserve">Can you please provide in the Notes an estimate of number of beneficiaries that you can reach trough this indicator ? </t>
        </is>
      </c>
    </row>
    <row r="5" ht="106.5" customHeight="1">
      <c r="E5" t="inlineStr">
        <is>
          <t>Capacity Training</t>
        </is>
      </c>
      <c r="F5" s="1" t="inlineStr">
        <is>
          <t>Financing leveraged by REIF from local financial institutions (USD)</t>
        </is>
      </c>
      <c r="G5" s="12" t="n">
        <v>0</v>
      </c>
      <c r="H5" s="13" t="n">
        <v>14000000</v>
      </c>
      <c r="I5" s="1" t="inlineStr">
        <is>
          <t>n/a since it depends on the type of investment projects pending to be approved by the fund. However, we estimate 10 private projects during the first year</t>
        </is>
      </c>
      <c r="J5" s="2" t="inlineStr">
        <is>
          <t>Joint SDG Fund</t>
        </is>
      </c>
      <c r="K5" s="15" t="inlineStr">
        <is>
          <t xml:space="preserve">Can you please provide in the Notes an estimate of number of beneficiaries that you can reach trough this indicator ? </t>
        </is>
      </c>
    </row>
    <row r="8" ht="45.75" customHeight="1">
      <c r="B8" s="14" t="inlineStr">
        <is>
          <t xml:space="preserve">Needs beneficiary estimates listed in target for policies, with explanation to Notes.
</t>
        </is>
      </c>
    </row>
    <row r="9" ht="15" customHeight="1">
      <c r="B9" s="15" t="n"/>
    </row>
  </sheetData>
  <hyperlinks>
    <hyperlink xmlns:r="http://schemas.openxmlformats.org/officeDocument/2006/relationships" ref="C2" r:id="rId1"/>
  </hyperlinks>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1" sqref="B21"/>
    </sheetView>
  </sheetViews>
  <sheetFormatPr baseColWidth="8" defaultColWidth="8.85546875" defaultRowHeight="15" customHeight="1"/>
  <cols>
    <col width="36" customWidth="1" min="1" max="1"/>
    <col width="110" customWidth="1" min="2" max="2"/>
  </cols>
  <sheetData>
    <row r="1">
      <c r="A1" s="103" t="inlineStr">
        <is>
          <t>Beneficiary Category</t>
        </is>
      </c>
      <c r="B1" s="103"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2026-06-10T12:20:19Z</dcterms:modified>
  <cp:lastModifiedBy>Florencia Cedeira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