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915" yWindow="-163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family val="2"/>
      <color rgb="FFFF0000"/>
      <sz val="11"/>
      <scheme val="minor"/>
    </font>
    <font>
      <name val="Calibri"/>
      <color rgb="FFFF0000"/>
      <sz val="11"/>
    </font>
    <font>
      <name val="Calibri"/>
      <family val="2"/>
      <color rgb="FF00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Alignment="1" applyProtection="1">
      <alignment vertical="top"/>
      <protection locked="0" hidden="0"/>
    </xf>
  </cellStyleXfs>
  <cellXfs count="87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4" fillId="0" borderId="0" applyAlignment="1" pivotButton="0" quotePrefix="0" xfId="0">
      <alignment vertical="top"/>
    </xf>
    <xf numFmtId="0" fontId="5" fillId="0" borderId="0" pivotButton="0" quotePrefix="0" xfId="1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1">
      <alignment horizontal="left" vertical="center" wrapText="1"/>
    </xf>
    <xf numFmtId="4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 wrapText="1"/>
    </xf>
    <xf numFmtId="4" fontId="7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3" fillId="0" borderId="0" pivotButton="0" quotePrefix="0" xfId="1"/>
    <xf numFmtId="3" fontId="6" fillId="0" borderId="0" applyAlignment="1" pivotButton="0" quotePrefix="0" xfId="0">
      <alignment vertical="center" wrapText="1"/>
    </xf>
    <xf numFmtId="0" fontId="8" fillId="0" borderId="0" pivotButton="0" quotePrefix="0" xfId="0"/>
    <xf numFmtId="0" fontId="2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3" fillId="0" borderId="2" pivotButton="0" quotePrefix="0" xfId="1"/>
    <xf numFmtId="43" fontId="0" fillId="0" borderId="2" pivotButton="0" quotePrefix="0" xfId="0"/>
    <xf numFmtId="0" fontId="0" fillId="2" borderId="2" pivotButton="0" quotePrefix="0" xfId="0"/>
    <xf numFmtId="0" fontId="0" fillId="2" borderId="2" applyAlignment="1" pivotButton="0" quotePrefix="0" xfId="0">
      <alignment wrapText="1"/>
    </xf>
    <xf numFmtId="0" fontId="5" fillId="0" borderId="2" pivotButton="0" quotePrefix="0" xfId="1"/>
    <xf numFmtId="0" fontId="0" fillId="3" borderId="2" pivotButton="0" quotePrefix="0" xfId="0"/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3" fontId="6" fillId="0" borderId="2" applyAlignment="1" pivotButton="0" quotePrefix="0" xfId="0">
      <alignment vertical="center" wrapText="1"/>
    </xf>
    <xf numFmtId="0" fontId="8" fillId="0" borderId="2" pivotButton="0" quotePrefix="0" xfId="0"/>
    <xf numFmtId="0" fontId="11" fillId="0" borderId="2" applyAlignment="1" pivotButton="0" quotePrefix="0" xfId="0">
      <alignment vertical="top"/>
    </xf>
    <xf numFmtId="0" fontId="6" fillId="0" borderId="2" applyAlignment="1" pivotButton="0" quotePrefix="0" xfId="0">
      <alignment horizontal="right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top"/>
    </xf>
    <xf numFmtId="164" fontId="0" fillId="0" borderId="2" pivotButton="0" quotePrefix="0" xfId="0"/>
    <xf numFmtId="164" fontId="0" fillId="0" borderId="0" pivotButton="0" quotePrefix="0" xfId="0"/>
    <xf numFmtId="164" fontId="6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top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center" vertical="top"/>
    </xf>
    <xf numFmtId="164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vertical="top" wrapText="1"/>
    </xf>
    <xf numFmtId="0" fontId="14" fillId="0" borderId="2" pivotButton="0" quotePrefix="0" xfId="0"/>
    <xf numFmtId="0" fontId="14" fillId="0" borderId="5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14" fillId="0" borderId="3" pivotButton="0" quotePrefix="0" xfId="0"/>
    <xf numFmtId="0" fontId="15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164" fontId="9" fillId="4" borderId="2" applyAlignment="1" pivotButton="0" quotePrefix="0" xfId="0">
      <alignment horizontal="center" vertical="top"/>
    </xf>
    <xf numFmtId="164" fontId="0" fillId="4" borderId="2" pivotButton="0" quotePrefix="0" xfId="0"/>
    <xf numFmtId="0" fontId="0" fillId="4" borderId="2" pivotButton="0" quotePrefix="0" xfId="0"/>
    <xf numFmtId="0" fontId="0" fillId="4" borderId="2" applyAlignment="1" pivotButton="0" quotePrefix="0" xfId="0">
      <alignment wrapText="1"/>
    </xf>
    <xf numFmtId="0" fontId="6" fillId="4" borderId="2" applyAlignment="1" pivotButton="0" quotePrefix="0" xfId="0">
      <alignment vertical="center" wrapText="1"/>
    </xf>
    <xf numFmtId="3" fontId="6" fillId="4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4" authorId="0" shapeId="0">
      <text>
        <t>[AUTO-ADDED] Project reports access/productive-use beneficiary numbers but no MW value. Please add installed capacity (MW) or confirm not applicable.</t>
      </text>
    </comment>
    <comment ref="L4" authorId="0" shapeId="0">
      <text>
        <t>[AUTO-ADDED] Project reports access/productive-use beneficiary numbers but no MW value. Please add installed capacity (MW) or confirm not applicable.</t>
      </text>
    </comment>
    <comment ref="K6" authorId="0" shapeId="0">
      <text>
        <t>[AUTO-ADDED] Project reports access/productive-use beneficiary numbers but no MW value. Please add installed capacity (MW) or confirm not applicable.</t>
      </text>
    </comment>
    <comment ref="L6" authorId="0" shapeId="0">
      <text>
        <t>[AUTO-ADDED] Project reports access/productive-use beneficiary numbers but no MW value. Please add installed capacity (MW) or confirm not applicable.</t>
      </text>
    </comment>
    <comment ref="K8" authorId="0" shapeId="0">
      <text>
        <t>[AUTO-ADDED] Project reports access/productive-use beneficiary numbers but no MW value. Please add installed capacity (MW) or confirm not applicable.</t>
      </text>
    </comment>
    <comment ref="L8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tabSelected="1" zoomScale="70" zoomScaleNormal="70" workbookViewId="0">
      <pane xSplit="3" ySplit="1" topLeftCell="D5" activePane="bottomRight" state="frozen"/>
      <selection pane="bottomRight" activeCell="C6" sqref="C6"/>
      <selection pane="bottomLeft" activeCell="A1" sqref="A1"/>
      <selection pane="topRight" activeCell="A1" sqref="A1"/>
    </sheetView>
  </sheetViews>
  <sheetFormatPr baseColWidth="8" defaultColWidth="8.85546875" defaultRowHeight="15"/>
  <cols>
    <col width="15.7109375" customWidth="1" style="3" min="1" max="1"/>
    <col width="41.7109375" customWidth="1" style="3" min="2" max="2"/>
    <col width="10.7109375" customWidth="1" style="3" min="3" max="3"/>
    <col width="23.85546875" customWidth="1" style="63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12.28515625" customWidth="1" style="3" min="10" max="10"/>
    <col width="9.140625" customWidth="1" style="3" min="11" max="13"/>
    <col width="23.85546875" customWidth="1" style="3" min="14" max="14"/>
    <col width="41" customWidth="1" style="3" min="15" max="15"/>
    <col width="19.5703125" customWidth="1" style="3" min="16" max="16"/>
    <col width="16.5703125" bestFit="1" customWidth="1" style="3" min="17" max="17"/>
    <col width="18.140625" bestFit="1" customWidth="1" style="3" min="18" max="18"/>
    <col width="11.28515625" bestFit="1" customWidth="1" style="3" min="19" max="19"/>
    <col width="30.28515625" bestFit="1" customWidth="1" style="3" min="20" max="20"/>
    <col width="16.7109375" bestFit="1" customWidth="1" style="3" min="21" max="21"/>
    <col width="8.85546875" customWidth="1" style="3" min="22" max="16384"/>
  </cols>
  <sheetData>
    <row r="1">
      <c r="A1" s="31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58" t="inlineStr">
        <is>
          <t>Budget</t>
        </is>
      </c>
      <c r="E1" s="58" t="inlineStr">
        <is>
          <t>Start Year</t>
        </is>
      </c>
      <c r="F1" s="58" t="inlineStr">
        <is>
          <t>End Year</t>
        </is>
      </c>
      <c r="G1" s="58" t="inlineStr">
        <is>
          <t>Status</t>
        </is>
      </c>
      <c r="H1" s="58" t="inlineStr">
        <is>
          <t>VF or Non-VF</t>
        </is>
      </c>
      <c r="I1" s="31" t="inlineStr">
        <is>
          <t>Beneficiary Category</t>
        </is>
      </c>
      <c r="J1" s="31" t="inlineStr">
        <is>
          <t>Indicator</t>
        </is>
      </c>
      <c r="K1" s="31" t="inlineStr">
        <is>
          <t>Baseline</t>
        </is>
      </c>
      <c r="L1" s="31" t="inlineStr">
        <is>
          <t>Target</t>
        </is>
      </c>
      <c r="M1" s="31" t="inlineStr">
        <is>
          <t>Notes</t>
        </is>
      </c>
      <c r="N1" s="32" t="inlineStr">
        <is>
          <t>Donor</t>
        </is>
      </c>
      <c r="O1" s="48" t="inlineStr">
        <is>
          <t>Gender (% female)</t>
        </is>
      </c>
      <c r="P1" s="53" t="inlineStr">
        <is>
          <t>Tag</t>
        </is>
      </c>
      <c r="Q1" s="49" t="inlineStr">
        <is>
          <t>SEH Taxonomy</t>
        </is>
      </c>
      <c r="R1" s="49" t="inlineStr">
        <is>
          <t>RISE Taxonomy</t>
        </is>
      </c>
      <c r="S1" s="53" t="inlineStr">
        <is>
          <t>Flagship</t>
        </is>
      </c>
      <c r="T1" s="53" t="inlineStr">
        <is>
          <t>Indirect Category</t>
        </is>
      </c>
      <c r="U1" s="54" t="inlineStr">
        <is>
          <t>Indirect Taxonomy</t>
        </is>
      </c>
      <c r="V1" s="55" t="inlineStr">
        <is>
          <t>Technology</t>
        </is>
      </c>
      <c r="W1" s="54" t="inlineStr">
        <is>
          <t>Policy or Regulatory Framework</t>
        </is>
      </c>
      <c r="X1" s="55" t="inlineStr">
        <is>
          <t>Policy Population</t>
        </is>
      </c>
    </row>
    <row r="2" ht="93" customFormat="1" customHeight="1" s="29">
      <c r="A2" s="64" t="inlineStr">
        <is>
          <t>MAF2024_O0547</t>
        </is>
      </c>
      <c r="B2" s="65" t="inlineStr">
        <is>
          <t>Accelerating Decarbonization: Closing the Energy Gap through Market-Driven Solar Power Solutions</t>
        </is>
      </c>
      <c r="C2" s="66" t="n"/>
      <c r="D2" s="67" t="n">
        <v>19000000</v>
      </c>
      <c r="E2" s="80" t="n"/>
      <c r="F2" s="80" t="n"/>
      <c r="G2" s="80" t="n"/>
      <c r="H2" s="67" t="inlineStr">
        <is>
          <t>Non-VF</t>
        </is>
      </c>
      <c r="I2" s="76" t="inlineStr">
        <is>
          <t>Energy (MW added)</t>
        </is>
      </c>
      <c r="J2" s="52" t="inlineStr">
        <is>
          <t>Number of MW installed capacity</t>
        </is>
      </c>
      <c r="K2" s="66" t="n">
        <v>0</v>
      </c>
      <c r="L2" s="66" t="n">
        <v>30</v>
      </c>
      <c r="M2" s="65" t="inlineStr">
        <is>
          <t>Build a structure with the financial sector to derisk lending to ESCOs for installing solar at Bhutan health facilities.</t>
        </is>
      </c>
      <c r="N2" s="68" t="inlineStr">
        <is>
          <t>Mitigation Action Facility</t>
        </is>
      </c>
      <c r="O2" s="69" t="n"/>
      <c r="P2" s="71" t="n"/>
      <c r="Q2" s="72" t="n"/>
      <c r="R2" s="73" t="n"/>
      <c r="S2" s="71" t="n"/>
      <c r="T2" s="71" t="n"/>
      <c r="U2" s="74" t="n"/>
      <c r="V2" s="75" t="n"/>
      <c r="W2" s="74" t="n"/>
      <c r="X2" s="75" t="n"/>
    </row>
    <row r="3" ht="65.25" customHeight="1">
      <c r="A3" s="34" t="n">
        <v>98606</v>
      </c>
      <c r="B3" s="35" t="inlineStr">
        <is>
          <t>Bhutan Sustainable Low Urban Transport Systems</t>
        </is>
      </c>
      <c r="C3" s="36" t="inlineStr">
        <is>
          <t>GEF</t>
        </is>
      </c>
      <c r="D3" s="59" t="n">
        <v>3000000</v>
      </c>
      <c r="E3" s="81" t="n"/>
      <c r="F3" s="81" t="n"/>
      <c r="G3" s="81" t="n"/>
      <c r="H3" s="59" t="inlineStr">
        <is>
          <t>VF</t>
        </is>
      </c>
      <c r="I3" s="34" t="inlineStr">
        <is>
          <t>Transportation and E-mobility Services</t>
        </is>
      </c>
      <c r="J3" s="35" t="inlineStr">
        <is>
          <t xml:space="preserve">Number of electric vehicles </t>
        </is>
      </c>
      <c r="K3" s="34" t="n">
        <v>0</v>
      </c>
      <c r="L3" s="34" t="n">
        <v>300</v>
      </c>
      <c r="M3" s="34" t="inlineStr">
        <is>
          <t xml:space="preserve">Conversion of 300 fossil based to electric taxis </t>
        </is>
      </c>
      <c r="N3" s="46" t="inlineStr">
        <is>
          <t>GEF</t>
        </is>
      </c>
      <c r="O3" s="33" t="n"/>
      <c r="P3" s="50" t="n"/>
      <c r="Q3" s="57" t="inlineStr">
        <is>
          <t>Accelerating just energy transition</t>
        </is>
      </c>
      <c r="R3" s="50" t="n"/>
      <c r="S3" s="50" t="n"/>
      <c r="T3" s="50" t="n"/>
      <c r="U3" s="50" t="n"/>
      <c r="V3" s="42" t="n"/>
      <c r="W3" s="50" t="n"/>
      <c r="X3" s="42" t="n"/>
    </row>
    <row r="4" ht="57.75" customFormat="1" customHeight="1" s="5">
      <c r="A4" s="34" t="n"/>
      <c r="B4" s="35" t="n"/>
      <c r="C4" s="36" t="n"/>
      <c r="D4" s="59" t="n"/>
      <c r="E4" s="59" t="n"/>
      <c r="F4" s="59" t="n"/>
      <c r="G4" s="59" t="n"/>
      <c r="H4" s="59" t="n"/>
      <c r="I4" s="34" t="inlineStr">
        <is>
          <t>Energy (MW added)</t>
        </is>
      </c>
      <c r="J4" s="35" t="inlineStr">
        <is>
          <t>Installed capacity in MW for access/productive-use outputs</t>
        </is>
      </c>
      <c r="K4" s="82" t="n">
        <v>0</v>
      </c>
      <c r="L4" s="82" t="n"/>
      <c r="M4" s="34" t="n"/>
      <c r="N4" s="46" t="n"/>
      <c r="O4" s="33" t="n"/>
      <c r="P4" s="50" t="n"/>
      <c r="Q4" s="57" t="n"/>
      <c r="R4" s="50" t="n"/>
      <c r="S4" s="50" t="n"/>
      <c r="T4" s="50" t="n"/>
      <c r="U4" s="50" t="n"/>
      <c r="V4" s="42" t="n"/>
      <c r="W4" s="50" t="n"/>
      <c r="X4" s="42" t="n"/>
    </row>
    <row r="5" ht="91.5" customHeight="1">
      <c r="A5" s="34" t="n">
        <v>128990</v>
      </c>
      <c r="B5" s="35" t="inlineStr">
        <is>
          <t>Leveraging Nationally Determined Contributions (NDCs) to achieve net-zero emissions and climate-resilient development, in response to the climate emergency</t>
        </is>
      </c>
      <c r="C5" s="40" t="inlineStr">
        <is>
          <t>JSB</t>
        </is>
      </c>
      <c r="D5" s="59" t="n">
        <v>1145424</v>
      </c>
      <c r="E5" s="81" t="n"/>
      <c r="F5" s="81" t="n"/>
      <c r="G5" s="81" t="n"/>
      <c r="H5" s="59" t="inlineStr">
        <is>
          <t>Non-VF</t>
        </is>
      </c>
      <c r="I5" s="34" t="inlineStr">
        <is>
          <t>Transportation and E-mobility Services</t>
        </is>
      </c>
      <c r="J5" s="34" t="inlineStr">
        <is>
          <t xml:space="preserve">Number of electric vehicles </t>
        </is>
      </c>
      <c r="K5" s="34" t="n">
        <v>44</v>
      </c>
      <c r="L5" s="35" t="n">
        <v>63</v>
      </c>
      <c r="M5" s="35" t="inlineStr">
        <is>
          <t xml:space="preserve">Introduction of 19 EVs in the Government fleet </t>
        </is>
      </c>
      <c r="N5" s="42" t="inlineStr">
        <is>
          <t>JSB</t>
        </is>
      </c>
      <c r="O5" s="42" t="n"/>
      <c r="P5" s="50" t="n"/>
      <c r="Q5" s="57" t="inlineStr">
        <is>
          <t>Accelerating just energy transition</t>
        </is>
      </c>
      <c r="R5" s="50" t="n"/>
      <c r="S5" s="50" t="n"/>
      <c r="T5" s="50" t="n"/>
      <c r="U5" s="50" t="n"/>
      <c r="V5" s="42" t="n"/>
      <c r="W5" s="50" t="n"/>
      <c r="X5" s="42" t="n"/>
    </row>
    <row r="6" ht="30.75" customHeight="1">
      <c r="A6" s="34" t="n"/>
      <c r="B6" s="35" t="n"/>
      <c r="C6" s="40" t="n"/>
      <c r="D6" s="59" t="n"/>
      <c r="E6" s="59" t="n"/>
      <c r="F6" s="59" t="n"/>
      <c r="G6" s="59" t="n"/>
      <c r="H6" s="59" t="n"/>
      <c r="I6" s="34" t="inlineStr">
        <is>
          <t>Energy (MW added)</t>
        </is>
      </c>
      <c r="J6" s="34" t="inlineStr">
        <is>
          <t>Installed capacity in MW for access/productive-use outputs</t>
        </is>
      </c>
      <c r="K6" s="82" t="n">
        <v>0</v>
      </c>
      <c r="L6" s="83" t="n"/>
      <c r="M6" s="35" t="n"/>
      <c r="N6" s="42" t="n"/>
      <c r="O6" s="42" t="n"/>
      <c r="P6" s="50" t="n"/>
      <c r="Q6" s="57" t="n"/>
      <c r="R6" s="50" t="n"/>
      <c r="S6" s="50" t="n"/>
      <c r="T6" s="50" t="n"/>
      <c r="U6" s="50" t="n"/>
      <c r="V6" s="42" t="n"/>
      <c r="W6" s="50" t="n"/>
      <c r="X6" s="42" t="n"/>
    </row>
    <row r="7">
      <c r="A7" s="34" t="n">
        <v>76640</v>
      </c>
      <c r="B7" s="35" t="inlineStr">
        <is>
          <t>Removal of barriers to sustainable utilization of available biomass resources in the country; and application of biomass energy technologies that can support the economic and social development in the country’s rural sector</t>
        </is>
      </c>
      <c r="C7" s="34" t="inlineStr">
        <is>
          <t>GEF</t>
        </is>
      </c>
      <c r="D7" s="59" t="n">
        <v>1903000</v>
      </c>
      <c r="E7" s="81" t="n"/>
      <c r="F7" s="81" t="n"/>
      <c r="G7" s="81" t="n"/>
      <c r="H7" s="59" t="inlineStr">
        <is>
          <t>VF</t>
        </is>
      </c>
      <c r="I7" s="34" t="inlineStr">
        <is>
          <t>Clean Cooking</t>
        </is>
      </c>
      <c r="J7" s="43" t="inlineStr">
        <is>
          <t xml:space="preserve">Number of improved cook stoves </t>
        </is>
      </c>
      <c r="K7" s="43" t="n">
        <v>0</v>
      </c>
      <c r="L7" s="44" t="inlineStr">
        <is>
          <t>13500 HH</t>
        </is>
      </c>
      <c r="M7" s="43" t="inlineStr">
        <is>
          <t xml:space="preserve">Design and promotion of improved heating and cook stoves </t>
        </is>
      </c>
      <c r="N7" s="33" t="inlineStr">
        <is>
          <t>GEF</t>
        </is>
      </c>
      <c r="O7" s="33" t="n"/>
      <c r="P7" s="50" t="n"/>
      <c r="Q7" s="57" t="inlineStr">
        <is>
          <t>Accelerating just energy transition</t>
        </is>
      </c>
      <c r="R7" s="50" t="n"/>
      <c r="S7" s="50" t="n"/>
      <c r="T7" s="50" t="n"/>
      <c r="U7" s="50" t="n"/>
      <c r="V7" s="42" t="n"/>
      <c r="W7" s="50" t="n"/>
      <c r="X7" s="42" t="n"/>
    </row>
    <row r="8">
      <c r="A8" s="34" t="n"/>
      <c r="B8" s="35" t="n"/>
      <c r="C8" s="34" t="n"/>
      <c r="D8" s="59" t="n"/>
      <c r="E8" s="59" t="n"/>
      <c r="F8" s="59" t="n"/>
      <c r="G8" s="59" t="n"/>
      <c r="H8" s="59" t="n"/>
      <c r="I8" s="34" t="inlineStr">
        <is>
          <t>Energy (MW added)</t>
        </is>
      </c>
      <c r="J8" s="43" t="inlineStr">
        <is>
          <t>Installed capacity in MW for access/productive-use outputs</t>
        </is>
      </c>
      <c r="K8" s="84" t="n">
        <v>0</v>
      </c>
      <c r="L8" s="85" t="n"/>
      <c r="M8" s="43" t="n"/>
      <c r="N8" s="33" t="n"/>
      <c r="O8" s="33" t="n"/>
      <c r="P8" s="50" t="n"/>
      <c r="Q8" s="57" t="n"/>
      <c r="R8" s="50" t="n"/>
      <c r="S8" s="50" t="n"/>
      <c r="T8" s="50" t="n"/>
      <c r="U8" s="50" t="n"/>
      <c r="V8" s="42" t="n"/>
      <c r="W8" s="50" t="n"/>
      <c r="X8" s="42" t="n"/>
    </row>
    <row r="9">
      <c r="A9" s="45" t="n">
        <v>129029</v>
      </c>
      <c r="B9" s="34" t="inlineStr">
        <is>
          <t xml:space="preserve">Solar photovoltaic project </t>
        </is>
      </c>
      <c r="C9" s="34" t="inlineStr">
        <is>
          <t>JSB</t>
        </is>
      </c>
      <c r="D9" s="59" t="n">
        <v>210000</v>
      </c>
      <c r="E9" s="81" t="n"/>
      <c r="F9" s="81" t="n"/>
      <c r="G9" s="81" t="n"/>
      <c r="H9" s="59" t="inlineStr">
        <is>
          <t>Non-VF</t>
        </is>
      </c>
      <c r="I9" s="34" t="inlineStr">
        <is>
          <t>Energy (MW added)</t>
        </is>
      </c>
      <c r="J9" s="43" t="inlineStr">
        <is>
          <t>Installed capacity mW</t>
        </is>
      </c>
      <c r="K9" s="43" t="n">
        <v>0</v>
      </c>
      <c r="L9" s="47" t="n">
        <v>0.18</v>
      </c>
      <c r="M9" s="43" t="inlineStr">
        <is>
          <t xml:space="preserve">Commissioning of first grid tied Solar plant in Bhutan </t>
        </is>
      </c>
      <c r="N9" s="33" t="inlineStr">
        <is>
          <t>JSB</t>
        </is>
      </c>
      <c r="O9" s="33" t="n"/>
      <c r="P9" s="50" t="n"/>
      <c r="Q9" s="57" t="inlineStr">
        <is>
          <t>Accelerating just energy transition</t>
        </is>
      </c>
      <c r="R9" s="50" t="n"/>
      <c r="S9" s="50" t="n"/>
      <c r="T9" s="50" t="n"/>
      <c r="U9" s="50" t="n"/>
      <c r="V9" s="42" t="inlineStr">
        <is>
          <t>Solar</t>
        </is>
      </c>
      <c r="W9" s="50" t="n"/>
      <c r="X9" s="42" t="n"/>
    </row>
    <row r="10">
      <c r="D10" s="60" t="n"/>
      <c r="E10" s="60" t="n"/>
      <c r="F10" s="60" t="n"/>
      <c r="G10" s="60" t="n"/>
      <c r="H10" s="60" t="n"/>
      <c r="J10" s="20" t="n"/>
      <c r="K10" s="20" t="n"/>
      <c r="L10" s="20" t="n"/>
      <c r="M10" s="20" t="n"/>
    </row>
    <row r="11">
      <c r="A11" s="13" t="n"/>
      <c r="B11" s="30" t="n"/>
      <c r="C11" s="15" t="n"/>
      <c r="D11" s="61" t="n"/>
      <c r="E11" s="61" t="n"/>
      <c r="F11" s="61" t="n"/>
      <c r="G11" s="61" t="n"/>
      <c r="H11" s="61" t="n"/>
      <c r="I11" s="14" t="n"/>
      <c r="J11" s="17" t="n"/>
      <c r="K11" s="13" t="n"/>
      <c r="L11" s="13" t="n"/>
      <c r="M11" s="18" t="n"/>
    </row>
    <row r="12">
      <c r="A12" s="13" t="n"/>
      <c r="B12" s="14" t="n"/>
      <c r="C12" s="15" t="n"/>
      <c r="D12" s="61" t="n"/>
      <c r="E12" s="61" t="n"/>
      <c r="F12" s="61" t="n"/>
      <c r="G12" s="61" t="n"/>
      <c r="H12" s="61" t="n"/>
      <c r="I12" s="19" t="n"/>
      <c r="J12" s="20" t="n"/>
      <c r="K12" s="19" t="n"/>
      <c r="L12" s="19" t="n"/>
      <c r="M12" s="18" t="n"/>
    </row>
    <row r="13">
      <c r="A13" s="13" t="n"/>
      <c r="B13" s="14" t="n"/>
      <c r="C13" s="15" t="n"/>
      <c r="D13" s="61" t="n"/>
      <c r="E13" s="61" t="n"/>
      <c r="F13" s="61" t="n"/>
      <c r="G13" s="61" t="n"/>
      <c r="H13" s="61" t="n"/>
      <c r="I13" s="19" t="n"/>
      <c r="J13" s="20" t="n"/>
      <c r="K13" s="19" t="n"/>
      <c r="L13" s="19" t="n"/>
    </row>
    <row r="14">
      <c r="A14" s="21" t="n"/>
      <c r="B14" s="21" t="n"/>
      <c r="C14" s="22" t="n"/>
      <c r="D14" s="62" t="n"/>
      <c r="E14" s="62" t="n"/>
      <c r="F14" s="62" t="n"/>
      <c r="G14" s="62" t="n"/>
      <c r="H14" s="62" t="n"/>
      <c r="I14" s="19" t="n"/>
      <c r="J14" s="20" t="n"/>
      <c r="K14" s="19" t="n"/>
      <c r="L14" s="19" t="n"/>
      <c r="M14" s="18" t="n"/>
    </row>
    <row r="15"/>
    <row r="16"/>
    <row r="17"/>
    <row r="18">
      <c r="B18" s="11" t="n"/>
    </row>
  </sheetData>
  <dataValidations count="10">
    <dataValidation sqref="Q3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3:P6" showDropDown="0" showInputMessage="1" showErrorMessage="1" allowBlank="1" type="list">
      <formula1>"AMP, PUDC, Solar4Health, Action Opportunities, Italy UNDP Energy Partnership"</formula1>
    </dataValidation>
    <dataValidation sqref="N3:N6" showDropDown="0" showInputMessage="1" showErrorMessage="1" allowBlank="1" type="list">
      <formula1>"Accelerating just energy transition, Close the gap on energy access, Scale up energy finance"</formula1>
    </dataValidation>
    <dataValidation sqref="O3:O6" showDropDown="0" showInputMessage="1" showErrorMessage="1" allowBlank="1" type="list">
      <formula1>"Electricity Access, Energy Efficiency, Clean Cooking, Renewable Energy, Overall"</formula1>
    </dataValidation>
    <dataValidation sqref="L3:L6" showDropDown="0" showInputMessage="1" showErrorMessage="1" allowBlank="1" type="list">
      <formula1>"Non-VF, VF"</formula1>
    </dataValidation>
    <dataValidation sqref="M3:M6" showDropDown="0" showInputMessage="1" showErrorMessage="1" allowBlank="1" type="list">
      <formula1>"Finance, Gender, Efficiency, Just, Health"</formula1>
    </dataValidation>
    <dataValidation sqref="T3:T6" showDropDown="0" showInputMessage="1" showErrorMessage="1" allowBlank="1" type="list">
      <formula1>"National, Regional, City, Community"</formula1>
    </dataValidation>
    <dataValidation sqref="S3:S6" showDropDown="0" showInputMessage="1" showErrorMessage="1" allowBlank="1" type="list">
      <formula1>"Solar, Wind, Bioenergy, Hydro, Geothermal, Waste, Other, Unknown"</formula1>
    </dataValidation>
    <dataValidation sqref="R3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zoomScale="70" zoomScaleNormal="70" workbookViewId="0">
      <pane ySplit="1" topLeftCell="E10" activePane="bottomLeft" state="frozen"/>
      <selection pane="bottomLeft" activeCell="E10" sqref="E10"/>
    </sheetView>
  </sheetViews>
  <sheetFormatPr baseColWidth="8" defaultColWidth="8.85546875" defaultRowHeight="15"/>
  <cols>
    <col width="15.7109375" customWidth="1" style="3" min="1" max="1"/>
    <col width="41.7109375" customWidth="1" style="3" min="2" max="2"/>
    <col width="10.7109375" customWidth="1" style="3" min="3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3"/>
    <col width="23.85546875" customWidth="1" style="3" min="14" max="14"/>
    <col width="41" customWidth="1" style="3" min="15" max="15"/>
    <col width="8.85546875" customWidth="1" style="3" min="16" max="16384"/>
  </cols>
  <sheetData>
    <row r="1">
      <c r="A1" s="31" t="inlineStr">
        <is>
          <t>Project ID</t>
        </is>
      </c>
      <c r="B1" s="31" t="inlineStr">
        <is>
          <t>Title</t>
        </is>
      </c>
      <c r="C1" s="31" t="inlineStr">
        <is>
          <t>Link</t>
        </is>
      </c>
      <c r="D1" s="31" t="inlineStr">
        <is>
          <t>Budget</t>
        </is>
      </c>
      <c r="E1" s="31" t="inlineStr">
        <is>
          <t>Beneficiary Category</t>
        </is>
      </c>
      <c r="F1" s="31" t="inlineStr">
        <is>
          <t>Indicator</t>
        </is>
      </c>
      <c r="G1" s="31" t="inlineStr">
        <is>
          <t>Baseline</t>
        </is>
      </c>
      <c r="H1" s="31" t="inlineStr">
        <is>
          <t>Target</t>
        </is>
      </c>
      <c r="I1" s="31" t="inlineStr">
        <is>
          <t>Notes</t>
        </is>
      </c>
      <c r="J1" s="32" t="inlineStr">
        <is>
          <t>Donor</t>
        </is>
      </c>
      <c r="K1" s="48" t="inlineStr">
        <is>
          <t>Gender (% female)</t>
        </is>
      </c>
      <c r="L1" s="48" t="inlineStr">
        <is>
          <t>Category</t>
        </is>
      </c>
      <c r="M1" s="48" t="inlineStr">
        <is>
          <t>Tag</t>
        </is>
      </c>
      <c r="N1" s="48" t="inlineStr">
        <is>
          <t>SEH Taxonomy</t>
        </is>
      </c>
      <c r="O1" s="48" t="inlineStr">
        <is>
          <t>RISE Taxonomy</t>
        </is>
      </c>
      <c r="P1" s="48" t="inlineStr">
        <is>
          <t>Flagship</t>
        </is>
      </c>
      <c r="Q1" s="48" t="inlineStr">
        <is>
          <t>Indirect Category</t>
        </is>
      </c>
      <c r="R1" s="48" t="inlineStr">
        <is>
          <t>Indirect Taxonomy</t>
        </is>
      </c>
      <c r="S1" s="33" t="n"/>
    </row>
    <row r="2" ht="65.25" customHeight="1">
      <c r="A2" s="34" t="n">
        <v>98606</v>
      </c>
      <c r="B2" s="35" t="inlineStr">
        <is>
          <t>Bhutan Sustainable Low Urban Transport Systems</t>
        </is>
      </c>
      <c r="C2" s="36" t="inlineStr">
        <is>
          <t>GEF</t>
        </is>
      </c>
      <c r="D2" s="37" t="n">
        <v>3000000</v>
      </c>
      <c r="E2" s="38" t="inlineStr">
        <is>
          <t>Other Energy Services</t>
        </is>
      </c>
      <c r="F2" s="39" t="inlineStr">
        <is>
          <t xml:space="preserve">Number of electric vehicles </t>
        </is>
      </c>
      <c r="G2" s="38" t="n">
        <v>0</v>
      </c>
      <c r="H2" s="38" t="n">
        <v>300</v>
      </c>
      <c r="I2" s="38" t="inlineStr">
        <is>
          <t xml:space="preserve">Conversion of 300 fossil based to electric taxis </t>
        </is>
      </c>
      <c r="J2" s="46" t="inlineStr">
        <is>
          <t>GEF</t>
        </is>
      </c>
      <c r="K2" s="33" t="n"/>
      <c r="L2" s="33" t="inlineStr">
        <is>
          <t>VF</t>
        </is>
      </c>
      <c r="M2" s="33" t="n"/>
      <c r="N2" s="33" t="inlineStr">
        <is>
          <t>Accelerating just energy transition</t>
        </is>
      </c>
      <c r="O2" s="33" t="inlineStr">
        <is>
          <t>Electricity Access</t>
        </is>
      </c>
      <c r="P2" s="33" t="n"/>
      <c r="Q2" s="33" t="n"/>
      <c r="R2" s="33" t="n"/>
      <c r="S2" s="33" t="n"/>
    </row>
    <row r="3" ht="57.75" customFormat="1" customHeight="1" s="5">
      <c r="A3" s="34" t="n">
        <v>128990</v>
      </c>
      <c r="B3" s="35" t="inlineStr">
        <is>
          <t>Leveraging Nationally Determined Contributions (NDCs) to achieve net-zero emissions and climate-resilient development, in response to the climate emergency</t>
        </is>
      </c>
      <c r="C3" s="40" t="inlineStr">
        <is>
          <t>JSB</t>
        </is>
      </c>
      <c r="D3" s="37" t="n">
        <v>1145424</v>
      </c>
      <c r="E3" s="38" t="inlineStr">
        <is>
          <t>Other Energy Services</t>
        </is>
      </c>
      <c r="F3" s="41" t="inlineStr">
        <is>
          <t xml:space="preserve">Number of electric vehicles </t>
        </is>
      </c>
      <c r="G3" s="41" t="n">
        <v>44</v>
      </c>
      <c r="H3" s="39" t="n">
        <v>63</v>
      </c>
      <c r="I3" s="39" t="inlineStr">
        <is>
          <t xml:space="preserve">Introduction of 19 EVs in the Government fleet </t>
        </is>
      </c>
      <c r="J3" s="42" t="inlineStr">
        <is>
          <t>JSB</t>
        </is>
      </c>
      <c r="K3" s="42" t="n"/>
      <c r="L3" s="33" t="inlineStr">
        <is>
          <t>VF</t>
        </is>
      </c>
      <c r="M3" s="33" t="n"/>
      <c r="N3" s="33" t="inlineStr">
        <is>
          <t>Accelerating just energy transition</t>
        </is>
      </c>
      <c r="O3" s="33" t="inlineStr">
        <is>
          <t>Electricity Access</t>
        </is>
      </c>
      <c r="P3" s="42" t="n"/>
      <c r="Q3" s="42" t="n"/>
      <c r="R3" s="42" t="n"/>
      <c r="S3" s="42" t="n"/>
    </row>
    <row r="4" ht="91.5" customHeight="1">
      <c r="A4" s="34" t="n">
        <v>76640</v>
      </c>
      <c r="B4" s="35" t="inlineStr">
        <is>
          <t>Removal of barriers to sustainable utilization of available biomass resources in the country; and application of biomass energy technologies that can support the economic and social development in the country’s rural sector</t>
        </is>
      </c>
      <c r="C4" s="34" t="inlineStr">
        <is>
          <t>GEF</t>
        </is>
      </c>
      <c r="D4" s="37" t="n">
        <v>1903000</v>
      </c>
      <c r="E4" s="34" t="inlineStr">
        <is>
          <t xml:space="preserve">Clean Cooking </t>
        </is>
      </c>
      <c r="F4" s="43" t="inlineStr">
        <is>
          <t xml:space="preserve">Number of improved cook stoves </t>
        </is>
      </c>
      <c r="G4" s="43" t="n">
        <v>0</v>
      </c>
      <c r="H4" s="44" t="n">
        <v>13500</v>
      </c>
      <c r="I4" s="43" t="inlineStr">
        <is>
          <t xml:space="preserve">Design and promotion of improved heating and cook stoves </t>
        </is>
      </c>
      <c r="J4" s="33" t="inlineStr">
        <is>
          <t>GEF</t>
        </is>
      </c>
      <c r="K4" s="33" t="n"/>
      <c r="L4" s="33" t="inlineStr">
        <is>
          <t>VF</t>
        </is>
      </c>
      <c r="M4" s="33" t="n"/>
      <c r="N4" s="33" t="inlineStr">
        <is>
          <t>Accelerating just energy transition</t>
        </is>
      </c>
      <c r="O4" s="33" t="inlineStr">
        <is>
          <t>Clean Cooking</t>
        </is>
      </c>
      <c r="P4" s="33" t="n"/>
      <c r="Q4" s="33" t="n"/>
      <c r="R4" s="33" t="n"/>
      <c r="S4" s="33" t="n"/>
    </row>
    <row r="5">
      <c r="A5" s="45" t="n">
        <v>129029</v>
      </c>
      <c r="B5" s="34" t="inlineStr">
        <is>
          <t xml:space="preserve">Solar photovoltaic project </t>
        </is>
      </c>
      <c r="C5" s="34" t="inlineStr">
        <is>
          <t>JSB</t>
        </is>
      </c>
      <c r="D5" s="37" t="n">
        <v>210000</v>
      </c>
      <c r="E5" s="34" t="inlineStr">
        <is>
          <t>Energy Access (MW Added)</t>
        </is>
      </c>
      <c r="F5" s="43" t="inlineStr">
        <is>
          <t>Installed capacity kW</t>
        </is>
      </c>
      <c r="G5" s="43" t="n">
        <v>0</v>
      </c>
      <c r="H5" s="47" t="n">
        <v>0.18</v>
      </c>
      <c r="I5" s="43" t="inlineStr">
        <is>
          <t xml:space="preserve">Commissioning of first grid tied Solar plant in Bhutan </t>
        </is>
      </c>
      <c r="J5" s="33" t="inlineStr">
        <is>
          <t>JSB</t>
        </is>
      </c>
      <c r="K5" s="33" t="n"/>
      <c r="L5" s="33" t="inlineStr">
        <is>
          <t>VF</t>
        </is>
      </c>
      <c r="M5" s="33" t="n"/>
      <c r="N5" s="33" t="inlineStr">
        <is>
          <t>Close the gap on energy access</t>
        </is>
      </c>
      <c r="O5" s="33" t="inlineStr">
        <is>
          <t>Renewable Energy</t>
        </is>
      </c>
      <c r="P5" s="33" t="n"/>
      <c r="Q5" s="33" t="n"/>
      <c r="R5" s="33" t="n"/>
      <c r="S5" s="33" t="n"/>
    </row>
    <row r="6">
      <c r="D6" s="7" t="n"/>
      <c r="F6" s="20" t="n"/>
      <c r="G6" s="20" t="n"/>
      <c r="H6" s="20" t="n"/>
      <c r="I6" s="20" t="n"/>
    </row>
    <row r="7">
      <c r="A7" s="13" t="n"/>
      <c r="B7" s="30" t="n"/>
      <c r="C7" s="15" t="n"/>
      <c r="D7" s="16" t="n"/>
      <c r="E7" s="14" t="n"/>
      <c r="F7" s="17" t="n"/>
      <c r="G7" s="13" t="n"/>
      <c r="H7" s="13" t="n"/>
      <c r="I7" s="18" t="n"/>
    </row>
    <row r="8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>
      <c r="A9" s="13" t="n"/>
      <c r="B9" s="14" t="n"/>
      <c r="C9" s="15" t="n"/>
      <c r="D9" s="16" t="n"/>
      <c r="E9" s="19" t="n"/>
      <c r="F9" s="20" t="n"/>
      <c r="G9" s="19" t="n"/>
      <c r="H9" s="19" t="n"/>
    </row>
    <row r="10">
      <c r="A10" s="21" t="n"/>
      <c r="B10" s="21" t="n"/>
      <c r="C10" s="22" t="n"/>
      <c r="D10" s="23" t="n"/>
      <c r="E10" s="19" t="n"/>
      <c r="F10" s="20" t="n"/>
      <c r="G10" s="19" t="n"/>
      <c r="H10" s="19" t="n"/>
      <c r="I10" s="18" t="n"/>
    </row>
    <row r="14">
      <c r="B14" s="11" t="n"/>
    </row>
  </sheetData>
  <dataValidations count="5"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zoomScale="70" zoomScaleNormal="70" workbookViewId="0">
      <pane ySplit="1" topLeftCell="K2" activePane="bottomLeft" state="frozen"/>
      <selection pane="bottomLeft" activeCell="K1" sqref="K1"/>
    </sheetView>
  </sheetViews>
  <sheetFormatPr baseColWidth="8" defaultColWidth="8.85546875" defaultRowHeight="15"/>
  <cols>
    <col width="15.7109375" customWidth="1" style="3" min="1" max="1"/>
    <col width="41.7109375" customWidth="1" style="3" min="2" max="2"/>
    <col width="10.7109375" customWidth="1" style="3" min="3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8" t="inlineStr">
        <is>
          <t>Donor</t>
        </is>
      </c>
    </row>
    <row r="2" ht="65.25" customHeight="1">
      <c r="A2" t="n">
        <v>98606</v>
      </c>
      <c r="B2" s="24" t="inlineStr">
        <is>
          <t>Bhutan Sustainable Low Urban Transport Systems</t>
        </is>
      </c>
      <c r="C2" s="25" t="inlineStr">
        <is>
          <t>GEF</t>
        </is>
      </c>
      <c r="D2" s="7" t="n">
        <v>3000000</v>
      </c>
      <c r="E2" s="8" t="inlineStr">
        <is>
          <t>Other Energy Services</t>
        </is>
      </c>
      <c r="F2" s="10" t="inlineStr">
        <is>
          <t xml:space="preserve">Number of electric vehicles </t>
        </is>
      </c>
      <c r="G2" s="8" t="n">
        <v>0</v>
      </c>
      <c r="H2" s="8" t="n">
        <v>300</v>
      </c>
      <c r="I2" s="8" t="inlineStr">
        <is>
          <t xml:space="preserve">Conversion of 300 fossil based to electric taxis </t>
        </is>
      </c>
      <c r="J2" s="29" t="n"/>
    </row>
    <row r="3" ht="57.75" customFormat="1" customHeight="1" s="5">
      <c r="A3" t="n">
        <v>128990</v>
      </c>
      <c r="B3" s="24" t="inlineStr">
        <is>
          <t>Leveraging Nationally Determined Contributions (NDCs) to achieve net-zero emissions and climate-resilient development, in response to the climate emergency</t>
        </is>
      </c>
      <c r="C3" s="12" t="inlineStr">
        <is>
          <t>JSB</t>
        </is>
      </c>
      <c r="D3" s="7" t="n">
        <v>1145424</v>
      </c>
      <c r="E3" s="8" t="inlineStr">
        <is>
          <t>Other Energy Services</t>
        </is>
      </c>
      <c r="F3" s="9" t="inlineStr">
        <is>
          <t xml:space="preserve">Number of electric vehicles </t>
        </is>
      </c>
      <c r="G3" s="9" t="n">
        <v>44</v>
      </c>
      <c r="H3" s="10" t="n">
        <v>63</v>
      </c>
      <c r="I3" s="10" t="inlineStr">
        <is>
          <t xml:space="preserve">Introduction of 19 EVs in the Government fleet </t>
        </is>
      </c>
    </row>
    <row r="4" ht="90" customHeight="1">
      <c r="A4" t="n">
        <v>76640</v>
      </c>
      <c r="B4" s="24" t="inlineStr">
        <is>
          <t>Removal of barriers to sustainable utilization of available biomass resources in the country; and application of biomass energy technologies that can support the economic and social development in the country’s rural sector</t>
        </is>
      </c>
      <c r="C4" t="inlineStr">
        <is>
          <t>GEF</t>
        </is>
      </c>
      <c r="D4" s="7" t="n">
        <v>1903000</v>
      </c>
      <c r="E4" t="inlineStr">
        <is>
          <t xml:space="preserve">Clean cooking </t>
        </is>
      </c>
      <c r="F4" s="20" t="inlineStr">
        <is>
          <t xml:space="preserve">Number of improved cook stoves </t>
        </is>
      </c>
      <c r="G4" s="20" t="n">
        <v>0</v>
      </c>
      <c r="H4" s="26" t="n">
        <v>13500</v>
      </c>
      <c r="I4" s="20" t="inlineStr">
        <is>
          <t xml:space="preserve">Design and promotion of improved heating and cook stoves </t>
        </is>
      </c>
    </row>
    <row r="5">
      <c r="A5" s="27" t="n">
        <v>129029</v>
      </c>
      <c r="B5" t="inlineStr">
        <is>
          <t xml:space="preserve">Solar photovoltaic project </t>
        </is>
      </c>
      <c r="C5" t="inlineStr">
        <is>
          <t>JSB</t>
        </is>
      </c>
      <c r="D5" s="7" t="n">
        <v>210000</v>
      </c>
      <c r="E5" t="inlineStr">
        <is>
          <t>Energy Access</t>
        </is>
      </c>
      <c r="F5" s="20" t="inlineStr">
        <is>
          <t xml:space="preserve">Installed capacity </t>
        </is>
      </c>
      <c r="G5" s="20" t="n">
        <v>0</v>
      </c>
      <c r="H5" s="20" t="n">
        <v>0.18</v>
      </c>
      <c r="I5" s="20" t="inlineStr">
        <is>
          <t xml:space="preserve">Commissioning of first grid tied Solar plant in Bhutan </t>
        </is>
      </c>
    </row>
    <row r="6">
      <c r="D6" s="7" t="n"/>
      <c r="F6" s="20" t="n"/>
      <c r="G6" s="20" t="n"/>
      <c r="H6" s="20" t="n"/>
      <c r="I6" s="20" t="n"/>
    </row>
    <row r="7">
      <c r="A7" s="13" t="n"/>
      <c r="B7" s="30" t="n"/>
      <c r="C7" s="15" t="n"/>
      <c r="D7" s="16" t="n"/>
      <c r="E7" s="14" t="n"/>
      <c r="F7" s="17" t="n"/>
      <c r="G7" s="13" t="n"/>
      <c r="H7" s="13" t="n"/>
      <c r="I7" s="18" t="n"/>
    </row>
    <row r="8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>
      <c r="A9" s="13" t="n"/>
      <c r="B9" s="14" t="n"/>
      <c r="C9" s="15" t="n"/>
      <c r="D9" s="16" t="n"/>
      <c r="E9" s="19" t="n"/>
      <c r="F9" s="20" t="n"/>
      <c r="G9" s="19" t="n"/>
      <c r="H9" s="19" t="n"/>
    </row>
    <row r="10">
      <c r="A10" s="21" t="n"/>
      <c r="B10" s="21" t="n"/>
      <c r="C10" s="22" t="n"/>
      <c r="D10" s="23" t="n"/>
      <c r="E10" s="19" t="n"/>
      <c r="F10" s="20" t="n"/>
      <c r="G10" s="19" t="n"/>
      <c r="H10" s="19" t="n"/>
      <c r="I10" s="18" t="n"/>
    </row>
    <row r="14">
      <c r="B14" s="1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86" t="inlineStr">
        <is>
          <t>Beneficiary Category</t>
        </is>
      </c>
      <c r="B1" s="86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2026-06-10T12:20:12Z</dcterms:modified>
  <cp:lastModifiedBy>Folashade Jaiyeola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