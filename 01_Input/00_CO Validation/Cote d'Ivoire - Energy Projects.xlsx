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Projects (3)" sheetId="1" state="visible" r:id="rId1"/>
    <sheet xmlns:r="http://schemas.openxmlformats.org/officeDocument/2006/relationships" name="Beneficiary Categories" sheetId="2" state="visible" r:id="rId2"/>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charset val="1"/>
      <family val="2"/>
      <color theme="1"/>
      <sz val="11"/>
    </font>
    <font>
      <name val="Calibri"/>
      <b val="1"/>
      <color rgb="FFFF0000"/>
      <sz val="11"/>
    </font>
    <font>
      <name val="Calibri"/>
      <color rgb="FF000000"/>
      <sz val="11"/>
    </font>
    <font>
      <name val="Calibri"/>
      <family val="2"/>
      <color rgb="FF000000"/>
      <sz val="11"/>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4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2" fillId="0" borderId="0" applyAlignment="1" pivotButton="0" quotePrefix="0" xfId="0">
      <alignment vertical="top"/>
    </xf>
    <xf numFmtId="0" fontId="4" fillId="0" borderId="0" applyAlignment="1" pivotButton="0" quotePrefix="0" xfId="0">
      <alignment horizontal="right" vertical="center"/>
    </xf>
    <xf numFmtId="0" fontId="4" fillId="0" borderId="0" applyAlignment="1" pivotButton="0" quotePrefix="0" xfId="0">
      <alignment horizontal="left" vertical="center"/>
    </xf>
    <xf numFmtId="0" fontId="3" fillId="0" borderId="0" applyAlignment="1" pivotButton="0" quotePrefix="0" xfId="1">
      <alignment horizontal="left" vertical="center" wrapText="1"/>
    </xf>
    <xf numFmtId="4" fontId="4" fillId="0" borderId="0" applyAlignment="1" pivotButton="0" quotePrefix="0" xfId="0">
      <alignment horizontal="right" vertical="center"/>
    </xf>
    <xf numFmtId="0" fontId="4" fillId="0" borderId="0"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vertical="center" wrapText="1"/>
    </xf>
    <xf numFmtId="0" fontId="3" fillId="0" borderId="0" applyAlignment="1" pivotButton="0" quotePrefix="0" xfId="1">
      <alignment vertical="center" wrapText="1"/>
    </xf>
    <xf numFmtId="0" fontId="0" fillId="0" borderId="0" applyAlignment="1" pivotButton="0" quotePrefix="0" xfId="0">
      <alignment wrapText="1"/>
    </xf>
    <xf numFmtId="3" fontId="4" fillId="0" borderId="0" applyAlignment="1" pivotButton="0" quotePrefix="0" xfId="0">
      <alignment vertical="center" wrapText="1"/>
    </xf>
    <xf numFmtId="0" fontId="5" fillId="0" borderId="0" pivotButton="0" quotePrefix="0" xfId="0"/>
    <xf numFmtId="4" fontId="4" fillId="0" borderId="0" applyAlignment="1" pivotButton="0" quotePrefix="0" xfId="0">
      <alignment vertical="center"/>
    </xf>
    <xf numFmtId="0" fontId="1" fillId="0" borderId="2" applyAlignment="1" pivotButton="0" quotePrefix="0" xfId="0">
      <alignment horizontal="center" vertical="top"/>
    </xf>
    <xf numFmtId="0" fontId="1" fillId="0" borderId="0" pivotButton="0" quotePrefix="0" xfId="0"/>
    <xf numFmtId="0" fontId="0" fillId="0" borderId="1" applyAlignment="1" pivotButton="0" quotePrefix="0" xfId="0">
      <alignment vertical="center"/>
    </xf>
    <xf numFmtId="0" fontId="0" fillId="0" borderId="1" applyAlignment="1" pivotButton="0" quotePrefix="0" xfId="0">
      <alignment vertical="center" wrapText="1"/>
    </xf>
    <xf numFmtId="0" fontId="3" fillId="0" borderId="1" applyAlignment="1" pivotButton="0" quotePrefix="0" xfId="1">
      <alignment vertical="center" wrapText="1"/>
    </xf>
    <xf numFmtId="43" fontId="0" fillId="0" borderId="1" applyAlignment="1" pivotButton="0" quotePrefix="0" xfId="0">
      <alignment vertical="center"/>
    </xf>
    <xf numFmtId="0" fontId="0" fillId="2" borderId="1" applyAlignment="1" pivotButton="0" quotePrefix="0" xfId="0">
      <alignment vertical="center"/>
    </xf>
    <xf numFmtId="0" fontId="0" fillId="2" borderId="1" applyAlignment="1" pivotButton="0" quotePrefix="0" xfId="0">
      <alignment vertical="center" wrapText="1"/>
    </xf>
    <xf numFmtId="0" fontId="1" fillId="0" borderId="1" applyAlignment="1" pivotButton="0" quotePrefix="0" xfId="0">
      <alignment wrapText="1"/>
    </xf>
    <xf numFmtId="0" fontId="0" fillId="0" borderId="3" applyAlignment="1" pivotButton="0" quotePrefix="0" xfId="0">
      <alignment vertical="center"/>
    </xf>
    <xf numFmtId="0" fontId="0" fillId="0" borderId="1" applyAlignment="1" pivotButton="0" quotePrefix="0" xfId="0">
      <alignment vertical="top" wrapText="1"/>
    </xf>
    <xf numFmtId="0" fontId="6" fillId="0" borderId="1" applyAlignment="1" pivotButton="0" quotePrefix="0" xfId="0">
      <alignment vertical="center" wrapText="1"/>
    </xf>
    <xf numFmtId="9" fontId="0" fillId="0" borderId="1" applyAlignment="1" pivotButton="0" quotePrefix="0" xfId="0">
      <alignment vertical="top"/>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4" applyAlignment="1" pivotButton="0" quotePrefix="0" xfId="0">
      <alignment horizontal="center"/>
    </xf>
    <xf numFmtId="0" fontId="1" fillId="0" borderId="3" applyAlignment="1" pivotButton="0" quotePrefix="0" xfId="0">
      <alignment horizontal="center"/>
    </xf>
    <xf numFmtId="0" fontId="1" fillId="0" borderId="1" pivotButton="0" quotePrefix="0" xfId="0"/>
    <xf numFmtId="0" fontId="0" fillId="0" borderId="5" applyAlignment="1" pivotButton="0" quotePrefix="0" xfId="0">
      <alignment horizontal="center" vertical="center" wrapText="1"/>
    </xf>
    <xf numFmtId="0" fontId="0" fillId="0" borderId="3" applyAlignment="1" pivotButton="0" quotePrefix="0" xfId="0">
      <alignment horizontal="center" vertical="center"/>
    </xf>
    <xf numFmtId="0" fontId="1" fillId="0" borderId="1" applyAlignment="1" pivotButton="0" quotePrefix="0" xfId="0">
      <alignment horizontal="center" vertical="top" wrapText="1"/>
    </xf>
    <xf numFmtId="0" fontId="0" fillId="0" borderId="1" applyAlignment="1" pivotButton="0" quotePrefix="0" xfId="0">
      <alignment horizontal="left" vertical="center" wrapText="1"/>
    </xf>
    <xf numFmtId="0" fontId="8" fillId="0" borderId="1" applyAlignment="1" pivotButton="0" quotePrefix="0" xfId="0">
      <alignment wrapText="1"/>
    </xf>
    <xf numFmtId="0" fontId="0" fillId="0" borderId="1" applyAlignment="1" pivotButton="0" quotePrefix="0" xfId="0">
      <alignment wrapText="1"/>
    </xf>
    <xf numFmtId="3" fontId="0" fillId="2" borderId="1" applyAlignment="1" pivotButton="0" quotePrefix="0" xfId="0">
      <alignment vertical="center"/>
    </xf>
    <xf numFmtId="43" fontId="0" fillId="3" borderId="1" applyAlignment="1" pivotButton="0" quotePrefix="0" xfId="0">
      <alignment vertical="center"/>
    </xf>
    <xf numFmtId="0" fontId="0" fillId="3" borderId="1" applyAlignment="1" pivotButton="0" quotePrefix="0" xfId="0">
      <alignment vertical="center"/>
    </xf>
    <xf numFmtId="3" fontId="0" fillId="3" borderId="1" applyAlignment="1" pivotButton="0" quotePrefix="0" xfId="0">
      <alignment vertical="center"/>
    </xf>
    <xf numFmtId="0" fontId="9"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14"/>
  <sheetViews>
    <sheetView tabSelected="1" zoomScale="70" zoomScaleNormal="70" workbookViewId="0">
      <pane ySplit="1" topLeftCell="G2" activePane="bottomLeft" state="frozen"/>
      <selection pane="bottomLeft" activeCell="K2" sqref="K2"/>
    </sheetView>
  </sheetViews>
  <sheetFormatPr baseColWidth="8" defaultColWidth="8.85546875" defaultRowHeight="15" customHeight="1"/>
  <cols>
    <col width="28.42578125" customWidth="1" style="2" min="1" max="1"/>
    <col width="41.7109375" customWidth="1" style="2" min="2" max="3"/>
    <col width="23.85546875" customWidth="1" style="4" min="4" max="4"/>
    <col width="23.85546875" customWidth="1" style="2" min="5" max="5"/>
    <col width="23.85546875" customWidth="1" style="1" min="6" max="6"/>
    <col width="23.85546875" customWidth="1" style="3" min="7" max="7"/>
    <col width="23.85546875" customWidth="1" style="1" min="8" max="8"/>
    <col width="65.140625" customWidth="1" style="1" min="9" max="9"/>
    <col width="10.7109375" customWidth="1" style="2" min="10" max="10"/>
    <col width="36.7109375" customWidth="1" style="2" min="11" max="11"/>
    <col width="8.85546875" customWidth="1" style="2" min="12" max="14"/>
    <col width="14.42578125" bestFit="1" customWidth="1" style="2" min="15" max="15"/>
    <col width="14.85546875" bestFit="1" customWidth="1" style="2" min="16" max="16"/>
    <col width="8.85546875" customWidth="1" style="2" min="17" max="17"/>
    <col width="16.5703125" bestFit="1" customWidth="1" style="2" min="18" max="18"/>
    <col width="18.140625" bestFit="1" customWidth="1" style="2" min="19" max="19"/>
    <col width="11.28515625" bestFit="1" customWidth="1" style="2" min="20" max="20"/>
    <col width="30.28515625" bestFit="1" customWidth="1" style="2" min="21" max="21"/>
    <col width="16.7109375" bestFit="1" customWidth="1" style="2" min="22" max="22"/>
    <col width="8.85546875" customWidth="1" style="2" min="23" max="16384"/>
  </cols>
  <sheetData>
    <row r="1" ht="45.75" customHeight="1">
      <c r="A1" s="20" t="inlineStr">
        <is>
          <t>Project ID</t>
        </is>
      </c>
      <c r="B1" s="20" t="inlineStr">
        <is>
          <t>Title</t>
        </is>
      </c>
      <c r="C1" s="20" t="inlineStr">
        <is>
          <t>Link</t>
        </is>
      </c>
      <c r="D1" s="20" t="inlineStr">
        <is>
          <t>Budget</t>
        </is>
      </c>
      <c r="E1" s="20" t="inlineStr">
        <is>
          <t>Start Year</t>
        </is>
      </c>
      <c r="F1" s="20" t="inlineStr">
        <is>
          <t>End Year</t>
        </is>
      </c>
      <c r="G1" s="20" t="inlineStr">
        <is>
          <t>Status</t>
        </is>
      </c>
      <c r="H1" s="20" t="inlineStr">
        <is>
          <t>VF or Non-VF</t>
        </is>
      </c>
      <c r="I1" s="20" t="inlineStr">
        <is>
          <t>Beneficiary Category</t>
        </is>
      </c>
      <c r="J1" s="20" t="inlineStr">
        <is>
          <t>Indicator</t>
        </is>
      </c>
      <c r="K1" s="20" t="inlineStr">
        <is>
          <t>Baseline</t>
        </is>
      </c>
      <c r="L1" s="20" t="inlineStr">
        <is>
          <t>Target</t>
        </is>
      </c>
      <c r="M1" s="20" t="inlineStr">
        <is>
          <t>Notes</t>
        </is>
      </c>
      <c r="N1" s="21" t="inlineStr">
        <is>
          <t>Donors</t>
        </is>
      </c>
      <c r="O1" s="30" t="inlineStr">
        <is>
          <t>Comments</t>
        </is>
      </c>
      <c r="P1" s="28" t="inlineStr">
        <is>
          <t>Gender (% female)</t>
        </is>
      </c>
      <c r="Q1" s="35" t="inlineStr">
        <is>
          <t>Tag</t>
        </is>
      </c>
      <c r="R1" s="34" t="inlineStr">
        <is>
          <t>SEH Taxonomy</t>
        </is>
      </c>
      <c r="S1" s="34" t="inlineStr">
        <is>
          <t>RISE Taxonomy</t>
        </is>
      </c>
      <c r="T1" s="34" t="inlineStr">
        <is>
          <t>Flagship</t>
        </is>
      </c>
      <c r="U1" s="34" t="inlineStr">
        <is>
          <t>Indirect Category</t>
        </is>
      </c>
      <c r="V1" s="36" t="inlineStr">
        <is>
          <t>Indirect Taxonomy</t>
        </is>
      </c>
      <c r="W1" s="37" t="inlineStr">
        <is>
          <t>Technology</t>
        </is>
      </c>
      <c r="X1" s="36" t="inlineStr">
        <is>
          <t>Policy or Regulatory Framework</t>
        </is>
      </c>
      <c r="Y1" s="37" t="inlineStr">
        <is>
          <t>Policy Population</t>
        </is>
      </c>
    </row>
    <row r="2" ht="154.5" customHeight="1">
      <c r="A2" s="22" t="inlineStr">
        <is>
          <t>CIV10- CIV10-00131158</t>
        </is>
      </c>
      <c r="B2" s="23" t="inlineStr">
        <is>
          <t>Engagement des jeunes et des femmes pour la prévention des crises, la stabilité sociale, la consolidation de la paix et la réduction de la violence communautaire dans le nord de la Côte d'Ivoire</t>
        </is>
      </c>
      <c r="C2" s="24" t="inlineStr">
        <is>
          <t>https://undp.sharepoint.com/:w:/r/teams/CIV/Archive/Unite%20Programme/Portfeuille%20gouvernance/Prodoc_PVE_RC_Version%20du%2008042022_finale.doc?d=w3ccf70e3a98f49ed99731f086fb1f089&amp;csf=1&amp;web=1&amp;e=mlUAt4</t>
        </is>
      </c>
      <c r="D2" s="25" t="inlineStr">
        <is>
          <t>USD 106,283</t>
        </is>
      </c>
      <c r="E2" s="45" t="n"/>
      <c r="F2" s="45" t="n"/>
      <c r="G2" s="45" t="n"/>
      <c r="H2" s="25" t="inlineStr">
        <is>
          <t>Non-VF</t>
        </is>
      </c>
      <c r="I2" s="26" t="inlineStr">
        <is>
          <t>Electricity Access</t>
        </is>
      </c>
      <c r="J2" s="27" t="inlineStr">
        <is>
          <t>Numbers of persons benefiting of the Solar Kits</t>
        </is>
      </c>
      <c r="K2" s="26" t="n">
        <v>0</v>
      </c>
      <c r="L2" s="44" t="n">
        <v>50000</v>
      </c>
      <c r="M2" s="27" t="inlineStr">
        <is>
          <t>5 pompes solaires avec cuve d’eau de 10 000 M3 dans 5 villages d’environ 5 000 habitants chacun,  soit près de 50 000 bénéficaires en accès à l’eau et pour faciliter le développement de l’agriculture.</t>
        </is>
      </c>
      <c r="N2" s="29" t="inlineStr">
        <is>
          <t>Allemagne</t>
        </is>
      </c>
      <c r="O2" s="31" t="inlineStr">
        <is>
          <t xml:space="preserve">Can you please provide the % of the budget 
The budget of the project in 2024 is 2,023,036 USD and 106 283 USD, i.e. 5,2% is dedicated to support acces to solar energy through solar kits distribution. </t>
        </is>
      </c>
      <c r="P2" s="32" t="n">
        <v>0.5</v>
      </c>
      <c r="Q2" s="33" t="n"/>
      <c r="R2" s="38" t="inlineStr">
        <is>
          <t>Close the gap on energy access</t>
        </is>
      </c>
      <c r="S2" s="33" t="n"/>
      <c r="T2" s="33" t="n"/>
      <c r="U2" s="33" t="n"/>
      <c r="V2" s="33" t="n"/>
      <c r="W2" s="22" t="inlineStr">
        <is>
          <t>Solar</t>
        </is>
      </c>
      <c r="X2" s="39" t="n"/>
      <c r="Y2" s="22" t="n"/>
    </row>
    <row r="3">
      <c r="A3" s="22" t="n"/>
      <c r="B3" s="23" t="n"/>
      <c r="C3" s="24" t="n"/>
      <c r="D3" s="25" t="n"/>
      <c r="E3" s="25" t="n"/>
      <c r="F3" s="25" t="n"/>
      <c r="G3" s="25" t="n"/>
      <c r="H3" s="25" t="n"/>
      <c r="I3" s="26" t="inlineStr">
        <is>
          <t>Energy (MW added)</t>
        </is>
      </c>
      <c r="J3" s="27" t="inlineStr">
        <is>
          <t>Installed capacity in MW for access/productive-use outputs</t>
        </is>
      </c>
      <c r="K3" s="46" t="n">
        <v>0</v>
      </c>
      <c r="L3" s="47" t="n"/>
      <c r="M3" s="27" t="n"/>
      <c r="N3" s="29" t="n"/>
      <c r="O3" s="31" t="n"/>
      <c r="P3" s="32" t="n"/>
      <c r="Q3" s="33" t="n"/>
      <c r="R3" s="38" t="n"/>
      <c r="S3" s="33" t="n"/>
      <c r="T3" s="33" t="n"/>
      <c r="U3" s="33" t="n"/>
      <c r="V3" s="33" t="n"/>
      <c r="W3" s="22" t="n"/>
      <c r="X3" s="39" t="n"/>
      <c r="Y3" s="22" t="n"/>
    </row>
    <row r="4">
      <c r="B4" s="16" t="n"/>
      <c r="D4" s="5" t="n"/>
      <c r="E4" s="5" t="n"/>
      <c r="F4" s="5" t="n"/>
      <c r="G4" s="5" t="n"/>
      <c r="H4" s="5" t="n"/>
      <c r="J4" s="14" t="n"/>
      <c r="K4" s="14" t="n"/>
      <c r="L4" s="17" t="n"/>
      <c r="M4" s="14" t="n"/>
    </row>
    <row r="5">
      <c r="A5" s="18" t="n"/>
      <c r="D5" s="5" t="n"/>
      <c r="E5" s="5" t="n"/>
      <c r="F5" s="5" t="n"/>
      <c r="G5" s="5" t="n"/>
      <c r="H5" s="5" t="n"/>
      <c r="J5" s="14" t="n"/>
      <c r="K5" s="14" t="n"/>
      <c r="L5" s="14" t="n"/>
      <c r="M5" s="14" t="n"/>
    </row>
    <row r="6">
      <c r="D6" s="5" t="n"/>
      <c r="E6" s="5" t="n"/>
      <c r="F6" s="5" t="n"/>
      <c r="G6" s="5" t="n"/>
      <c r="H6" s="5" t="n"/>
      <c r="J6" s="14" t="n"/>
      <c r="K6" s="14" t="n"/>
      <c r="L6" s="14" t="n"/>
      <c r="M6" s="14" t="n"/>
    </row>
    <row r="7">
      <c r="A7" s="7" t="n"/>
      <c r="B7" s="8" t="n"/>
      <c r="C7" s="9" t="n"/>
      <c r="D7" s="10" t="n"/>
      <c r="E7" s="10" t="n"/>
      <c r="F7" s="10" t="n"/>
      <c r="G7" s="10" t="n"/>
      <c r="H7" s="10" t="n"/>
      <c r="I7" s="8" t="n"/>
      <c r="J7" s="11" t="n"/>
      <c r="K7" s="7" t="n"/>
      <c r="L7" s="7" t="n"/>
      <c r="M7" s="12" t="n"/>
    </row>
    <row r="8">
      <c r="A8" s="7" t="n"/>
      <c r="B8" s="8" t="n"/>
      <c r="C8" s="9" t="n"/>
      <c r="D8" s="10" t="n"/>
      <c r="E8" s="10" t="n"/>
      <c r="F8" s="10" t="n"/>
      <c r="G8" s="10" t="n"/>
      <c r="H8" s="10" t="n"/>
      <c r="I8" s="13" t="n"/>
      <c r="J8" s="14" t="n"/>
      <c r="K8" s="13" t="n"/>
      <c r="L8" s="13" t="n"/>
      <c r="M8" s="12" t="n"/>
    </row>
    <row r="9">
      <c r="A9" s="7" t="n"/>
      <c r="B9" s="8" t="n"/>
      <c r="C9" s="9" t="n"/>
      <c r="D9" s="10" t="n"/>
      <c r="E9" s="10" t="n"/>
      <c r="F9" s="10" t="n"/>
      <c r="G9" s="10" t="n"/>
      <c r="H9" s="10" t="n"/>
      <c r="I9" s="13" t="n"/>
      <c r="J9" s="14" t="n"/>
      <c r="K9" s="13" t="n"/>
      <c r="L9" s="13" t="n"/>
    </row>
    <row r="10">
      <c r="A10" s="13" t="n"/>
      <c r="B10" s="13" t="n"/>
      <c r="C10" s="15" t="n"/>
      <c r="D10" s="19" t="n"/>
      <c r="E10" s="19" t="n"/>
      <c r="F10" s="19" t="n"/>
      <c r="G10" s="19" t="n"/>
      <c r="H10" s="19" t="n"/>
      <c r="I10" s="13" t="n"/>
      <c r="J10" s="14" t="n"/>
      <c r="K10" s="13" t="n"/>
      <c r="L10" s="13" t="n"/>
      <c r="M10" s="12" t="n"/>
    </row>
    <row r="11"/>
    <row r="12"/>
    <row r="13"/>
    <row r="14">
      <c r="B14" s="6" t="n"/>
    </row>
  </sheetData>
  <dataValidations count="10">
    <dataValidation sqref="R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 showDropDown="0" showInputMessage="1" showErrorMessage="1" allowBlank="1" type="list">
      <formula1>"AMP, PUDC, Solar4Health, Action Opportunities, Italy UNDP Energy Partnership"</formula1>
    </dataValidation>
    <dataValidation sqref="O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"Electricity Access, Energy Efficiency, Clean Cooking, Renewable Energy, Overall"</formula1>
    </dataValidation>
    <dataValidation sqref="U2" showDropDown="0" showInputMessage="1" showErrorMessage="1" allowBlank="1" type="list">
      <formula1>"National, Regional, City, Community"</formula1>
    </dataValidation>
    <dataValidation sqref="N2" showDropDown="0" showInputMessage="1" showErrorMessage="1" allowBlank="1" type="list">
      <formula1>"Finance, Gender, Efficiency, Just, Health"</formula1>
    </dataValidation>
    <dataValidation sqref="T2" showDropDown="0" showInputMessage="1" showErrorMessage="1" allowBlank="1" type="list">
      <formula1>"Solar, Wind, Bioenergy, Hydro, Geothermal, Waste, Some Sources, Other, Unknown"</formula1>
    </dataValidation>
    <dataValidation sqref="S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M2" showDropDown="0" showInputMessage="1" showErrorMessage="1" allowBlank="1" type="list">
      <formula1>"Non-VF, VF"</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6" sqref="B6"/>
    </sheetView>
  </sheetViews>
  <sheetFormatPr baseColWidth="8" defaultColWidth="8.85546875" defaultRowHeight="15" customHeight="1"/>
  <cols>
    <col width="36" customWidth="1" min="1" max="1"/>
    <col width="110" customWidth="1" min="2" max="2"/>
  </cols>
  <sheetData>
    <row r="1">
      <c r="A1" s="48" t="inlineStr">
        <is>
          <t>Beneficiary Category</t>
        </is>
      </c>
      <c r="B1" s="48"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Bernard Brou</dc:creator>
  <dcterms:created xmlns:dcterms="http://purl.org/dc/terms/" xmlns:xsi="http://www.w3.org/2001/XMLSchema-instance" xsi:type="dcterms:W3CDTF">2023-05-05T09:33:41Z</dcterms:created>
  <dcterms:modified xmlns:dcterms="http://purl.org/dc/terms/" xmlns:xsi="http://www.w3.org/2001/XMLSchema-instance" xsi:type="dcterms:W3CDTF">2026-06-10T12:20:13Z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