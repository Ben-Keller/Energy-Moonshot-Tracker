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2">
    <numFmt numFmtId="164" formatCode="_(* #,##0_);_(* \(#,##0\);_(* &quot;-&quot;??_);_(@_)"/>
    <numFmt numFmtId="165" formatCode="0.0%"/>
  </numFmts>
  <fonts count="21">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theme="1"/>
      <sz val="11"/>
      <u val="single"/>
      <scheme val="minor"/>
    </font>
    <font>
      <name val="Calibri"/>
      <family val="2"/>
      <color theme="10"/>
      <sz val="11"/>
      <u val="single"/>
    </font>
    <font>
      <name val="Calibri"/>
      <family val="2"/>
      <color rgb="FF000000"/>
      <sz val="11"/>
    </font>
    <font>
      <name val="Calibri"/>
      <family val="2"/>
      <sz val="11"/>
      <scheme val="minor"/>
    </font>
    <font>
      <name val="Calibri"/>
      <b val="1"/>
      <color rgb="FFFF0000"/>
      <sz val="11"/>
    </font>
    <font>
      <name val="Calibri"/>
      <b val="1"/>
      <color rgb="FF000000"/>
      <sz val="11"/>
    </font>
    <font>
      <name val="Calibri"/>
      <b val="1"/>
      <color rgb="FF000000"/>
      <sz val="11"/>
      <scheme val="minor"/>
    </font>
    <font>
      <name val="Calibri"/>
      <color rgb="FF000000"/>
      <sz val="11"/>
      <scheme val="minor"/>
    </font>
    <font>
      <name val="Calibri"/>
      <charset val="1"/>
      <family val="2"/>
      <color rgb="FF444444"/>
      <sz val="11"/>
    </font>
    <font>
      <name val="Calibri"/>
      <b val="1"/>
      <color theme="1"/>
      <sz val="11"/>
      <scheme val="minor"/>
    </font>
    <font>
      <name val="Calibri"/>
      <family val="2"/>
      <color theme="1"/>
      <sz val="11"/>
      <scheme val="minor"/>
    </font>
    <font>
      <name val="Calibri"/>
      <family val="2"/>
      <b val="1"/>
      <sz val="11"/>
      <scheme val="minor"/>
    </font>
    <font>
      <name val="Calibri"/>
      <family val="2"/>
      <b val="1"/>
      <color rgb="FF000000"/>
      <sz val="11"/>
    </font>
    <font>
      <name val="Calibri"/>
      <family val="2"/>
      <b val="1"/>
      <sz val="11"/>
    </font>
    <font>
      <name val="Calibri"/>
      <family val="2"/>
      <sz val="11"/>
    </font>
    <font>
      <name val="Calibri"/>
      <color rgb="FF000000"/>
      <sz val="11"/>
    </font>
    <font>
      <b val="1"/>
    </font>
  </fonts>
  <fills count="4">
    <fill>
      <patternFill/>
    </fill>
    <fill>
      <patternFill patternType="gray125"/>
    </fill>
    <fill>
      <patternFill patternType="solid">
        <fgColor theme="0"/>
        <bgColor indexed="64"/>
      </patternFill>
    </fill>
    <fill>
      <patternFill patternType="solid">
        <fgColor rgb="00FFFF00"/>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bottom/>
      <diagonal/>
    </border>
    <border>
      <left style="thin">
        <color rgb="FF000000"/>
      </left>
      <right style="thin">
        <color rgb="FF000000"/>
      </right>
      <top/>
      <bottom/>
      <diagonal/>
    </border>
    <border>
      <left style="thin">
        <color auto="1"/>
      </left>
      <right/>
      <top/>
      <bottom/>
      <diagonal/>
    </border>
    <border>
      <left style="thin">
        <color auto="1"/>
      </left>
      <right style="thin">
        <color auto="1"/>
      </right>
      <top/>
      <bottom style="thin">
        <color rgb="FF000000"/>
      </bottom>
      <diagonal/>
    </border>
  </borders>
  <cellStyleXfs count="4">
    <xf numFmtId="0" fontId="14" fillId="0" borderId="0"/>
    <xf numFmtId="43" fontId="14" fillId="0" borderId="0"/>
    <xf numFmtId="9" fontId="14" fillId="0" borderId="0"/>
    <xf numFmtId="0" fontId="3" fillId="0" borderId="0"/>
  </cellStyleXfs>
  <cellXfs count="161">
    <xf numFmtId="0" fontId="0" fillId="0" borderId="0" pivotButton="0" quotePrefix="0" xfId="0"/>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2" borderId="6" applyAlignment="1" pivotButton="0" quotePrefix="0" xfId="0">
      <alignment horizontal="center" vertical="center"/>
    </xf>
    <xf numFmtId="0" fontId="0" fillId="2" borderId="6" applyAlignment="1" pivotButton="0" quotePrefix="0" xfId="0">
      <alignment horizontal="center" vertical="center" wrapText="1"/>
    </xf>
    <xf numFmtId="0" fontId="13" fillId="0" borderId="6" applyAlignment="1" pivotButton="0" quotePrefix="0" xfId="0">
      <alignment horizontal="center" vertical="top" wrapText="1"/>
    </xf>
    <xf numFmtId="0" fontId="11" fillId="0" borderId="6" applyAlignment="1" pivotButton="0" quotePrefix="0" xfId="0">
      <alignment wrapText="1"/>
    </xf>
    <xf numFmtId="0" fontId="0" fillId="2" borderId="6" applyAlignment="1" pivotButton="0" quotePrefix="0" xfId="0">
      <alignment vertical="center"/>
    </xf>
    <xf numFmtId="0" fontId="0" fillId="2" borderId="8" applyAlignment="1" pivotButton="0" quotePrefix="0" xfId="0">
      <alignment horizontal="center" vertical="center"/>
    </xf>
    <xf numFmtId="0" fontId="0" fillId="2" borderId="9" applyAlignment="1" pivotButton="0" quotePrefix="0" xfId="0">
      <alignment horizontal="center" vertical="center" wrapText="1"/>
    </xf>
    <xf numFmtId="0" fontId="0" fillId="2" borderId="6" applyAlignment="1" pivotButton="0" quotePrefix="0" xfId="0">
      <alignment horizontal="left" vertical="center"/>
    </xf>
    <xf numFmtId="0" fontId="0" fillId="2" borderId="6" applyAlignment="1" pivotButton="0" quotePrefix="0" xfId="0">
      <alignment horizontal="left" vertical="center" wrapText="1"/>
    </xf>
    <xf numFmtId="0" fontId="0" fillId="2" borderId="1" applyAlignment="1" pivotButton="0" quotePrefix="0" xfId="0">
      <alignment vertical="center" wrapText="1"/>
    </xf>
    <xf numFmtId="4" fontId="6" fillId="2" borderId="0" applyAlignment="1" pivotButton="0" quotePrefix="0" xfId="0">
      <alignment vertical="center"/>
    </xf>
    <xf numFmtId="0" fontId="6" fillId="2" borderId="0" applyAlignment="1" pivotButton="0" quotePrefix="0" xfId="0">
      <alignment horizontal="left" vertical="center"/>
    </xf>
    <xf numFmtId="0" fontId="5" fillId="2" borderId="0" applyAlignment="1" pivotButton="0" quotePrefix="0" xfId="3">
      <alignment horizontal="left" vertical="center" wrapText="1"/>
    </xf>
    <xf numFmtId="0" fontId="6" fillId="2" borderId="0" applyAlignment="1" pivotButton="0" quotePrefix="0" xfId="0">
      <alignment horizontal="left" vertical="center" wrapText="1"/>
    </xf>
    <xf numFmtId="0" fontId="0" fillId="2" borderId="0" applyAlignment="1" pivotButton="0" quotePrefix="0" xfId="0">
      <alignment vertical="center" wrapText="1"/>
    </xf>
    <xf numFmtId="0" fontId="6" fillId="2" borderId="0" applyAlignment="1" pivotButton="0" quotePrefix="0" xfId="0">
      <alignment vertical="center"/>
    </xf>
    <xf numFmtId="0" fontId="6" fillId="2" borderId="0" applyAlignment="1" pivotButton="0" quotePrefix="0" xfId="0">
      <alignment vertical="center" wrapText="1"/>
    </xf>
    <xf numFmtId="0" fontId="5" fillId="2" borderId="0" applyAlignment="1" pivotButton="0" quotePrefix="0" xfId="3">
      <alignment vertical="center" wrapText="1"/>
    </xf>
    <xf numFmtId="0" fontId="0" fillId="2" borderId="0" applyAlignment="1" pivotButton="0" quotePrefix="0" xfId="0">
      <alignment vertical="center"/>
    </xf>
    <xf numFmtId="0" fontId="2" fillId="0" borderId="6" applyAlignment="1" pivotButton="0" quotePrefix="0" xfId="0">
      <alignment horizontal="center" vertical="center"/>
    </xf>
    <xf numFmtId="0" fontId="2" fillId="0" borderId="6" applyAlignment="1" pivotButton="0" quotePrefix="0" xfId="0">
      <alignment vertical="center"/>
    </xf>
    <xf numFmtId="0" fontId="2" fillId="0" borderId="6" applyAlignment="1" pivotButton="0" quotePrefix="0" xfId="0">
      <alignment vertical="center" wrapText="1"/>
    </xf>
    <xf numFmtId="0" fontId="11" fillId="2" borderId="6" applyAlignment="1" pivotButton="0" quotePrefix="0" xfId="0">
      <alignment vertical="center" wrapText="1"/>
    </xf>
    <xf numFmtId="0" fontId="4" fillId="2" borderId="0" applyAlignment="1" pivotButton="0" quotePrefix="0" xfId="0">
      <alignment vertical="center"/>
    </xf>
    <xf numFmtId="43" fontId="0" fillId="2" borderId="0" applyAlignment="1" pivotButton="0" quotePrefix="0" xfId="0">
      <alignment vertical="center"/>
    </xf>
    <xf numFmtId="0" fontId="0" fillId="2" borderId="0" applyAlignment="1" pivotButton="0" quotePrefix="0" xfId="0">
      <alignment horizontal="center" vertical="center"/>
    </xf>
    <xf numFmtId="0" fontId="0" fillId="2" borderId="6" applyAlignment="1" pivotButton="0" quotePrefix="0" xfId="0">
      <alignment vertical="center" wrapText="1"/>
    </xf>
    <xf numFmtId="0" fontId="0" fillId="2" borderId="7" applyAlignment="1" pivotButton="0" quotePrefix="0" xfId="0">
      <alignment vertical="center" wrapText="1"/>
    </xf>
    <xf numFmtId="0" fontId="3" fillId="2" borderId="6" applyAlignment="1" pivotButton="0" quotePrefix="0" xfId="3">
      <alignment vertical="center"/>
    </xf>
    <xf numFmtId="0" fontId="5" fillId="2" borderId="0" applyAlignment="1" pivotButton="0" quotePrefix="0" xfId="3">
      <alignment vertical="center" wrapText="1"/>
    </xf>
    <xf numFmtId="0" fontId="6" fillId="2" borderId="0" applyAlignment="1" pivotButton="0" quotePrefix="0" xfId="0">
      <alignment horizontal="center" vertical="center"/>
    </xf>
    <xf numFmtId="0" fontId="0" fillId="2" borderId="0" applyAlignment="1" pivotButton="0" quotePrefix="0" xfId="0">
      <alignment horizontal="center" vertical="center" wrapText="1"/>
    </xf>
    <xf numFmtId="0" fontId="2" fillId="2" borderId="6" applyAlignment="1" pivotButton="0" quotePrefix="0" xfId="0">
      <alignment horizontal="left" vertical="center"/>
    </xf>
    <xf numFmtId="0" fontId="0" fillId="2" borderId="0" applyAlignment="1" pivotButton="0" quotePrefix="0" xfId="0">
      <alignment horizontal="left" vertical="center"/>
    </xf>
    <xf numFmtId="0" fontId="0" fillId="2" borderId="8" applyAlignment="1" pivotButton="0" quotePrefix="0" xfId="0">
      <alignment vertical="center"/>
    </xf>
    <xf numFmtId="0" fontId="3" fillId="2" borderId="6" applyAlignment="1" pivotButton="0" quotePrefix="0" xfId="3">
      <alignment horizontal="left" vertical="center" wrapText="1"/>
    </xf>
    <xf numFmtId="0" fontId="6" fillId="2" borderId="6" applyAlignment="1" pivotButton="0" quotePrefix="0" xfId="0">
      <alignment horizontal="left" vertical="center" wrapText="1"/>
    </xf>
    <xf numFmtId="0" fontId="11" fillId="2" borderId="6" applyAlignment="1" pivotButton="0" quotePrefix="0" xfId="0">
      <alignment horizontal="left" vertical="center" wrapText="1"/>
    </xf>
    <xf numFmtId="0" fontId="0" fillId="2" borderId="0" applyAlignment="1" pivotButton="0" quotePrefix="0" xfId="0">
      <alignment horizontal="left" vertical="center" wrapText="1"/>
    </xf>
    <xf numFmtId="0" fontId="5" fillId="2" borderId="0" applyAlignment="1" pivotButton="0" quotePrefix="0" xfId="3">
      <alignment horizontal="left" vertical="center" wrapText="1"/>
    </xf>
    <xf numFmtId="0" fontId="4" fillId="2" borderId="0" applyAlignment="1" pivotButton="0" quotePrefix="0" xfId="0">
      <alignment horizontal="left" vertical="center"/>
    </xf>
    <xf numFmtId="0" fontId="12" fillId="2" borderId="0" applyAlignment="1" pivotButton="0" quotePrefix="0" xfId="0">
      <alignment horizontal="left" vertical="center"/>
    </xf>
    <xf numFmtId="0" fontId="0" fillId="2" borderId="1" applyAlignment="1" pivotButton="0" quotePrefix="0" xfId="0">
      <alignment horizontal="left" vertical="center"/>
    </xf>
    <xf numFmtId="0" fontId="0" fillId="2" borderId="1" applyAlignment="1" pivotButton="0" quotePrefix="0" xfId="0">
      <alignment horizontal="left" vertical="center" wrapText="1"/>
    </xf>
    <xf numFmtId="0" fontId="6" fillId="2" borderId="1" applyAlignment="1" pivotButton="0" quotePrefix="0" xfId="0">
      <alignment horizontal="left" vertical="center" wrapText="1"/>
    </xf>
    <xf numFmtId="0" fontId="2" fillId="0" borderId="1" applyAlignment="1" pivotButton="0" quotePrefix="0" xfId="0">
      <alignment horizontal="left" vertical="center"/>
    </xf>
    <xf numFmtId="49" fontId="2" fillId="0" borderId="1" applyAlignment="1" pivotButton="0" quotePrefix="0" xfId="1">
      <alignment horizontal="right" vertical="center"/>
    </xf>
    <xf numFmtId="49" fontId="6" fillId="2" borderId="0" applyAlignment="1" pivotButton="0" quotePrefix="0" xfId="1">
      <alignment horizontal="right" vertical="center"/>
    </xf>
    <xf numFmtId="49" fontId="0" fillId="2" borderId="0" applyAlignment="1" pivotButton="0" quotePrefix="0" xfId="1">
      <alignment horizontal="right" vertical="center"/>
    </xf>
    <xf numFmtId="49" fontId="0" fillId="0" borderId="1" applyAlignment="1" pivotButton="0" quotePrefix="0" xfId="1">
      <alignment horizontal="left" vertical="center" wrapText="1"/>
    </xf>
    <xf numFmtId="49" fontId="2" fillId="2" borderId="6" applyAlignment="1" pivotButton="0" quotePrefix="0" xfId="0">
      <alignment horizontal="left" vertical="center"/>
    </xf>
    <xf numFmtId="49" fontId="0" fillId="2" borderId="6" applyAlignment="1" pivotButton="0" quotePrefix="0" xfId="0">
      <alignment horizontal="left" vertical="center"/>
    </xf>
    <xf numFmtId="49" fontId="6" fillId="2" borderId="0" applyAlignment="1" pivotButton="0" quotePrefix="0" xfId="0">
      <alignment horizontal="left" vertical="center"/>
    </xf>
    <xf numFmtId="49" fontId="0" fillId="2" borderId="0" applyAlignment="1" pivotButton="0" quotePrefix="0" xfId="0">
      <alignment horizontal="left" vertical="center"/>
    </xf>
    <xf numFmtId="49" fontId="2" fillId="0" borderId="6" applyAlignment="1" pivotButton="0" quotePrefix="0" xfId="0">
      <alignment horizontal="left" vertical="center"/>
    </xf>
    <xf numFmtId="49" fontId="2" fillId="0" borderId="1" applyAlignment="1" pivotButton="0" quotePrefix="0" xfId="0">
      <alignment horizontal="left" vertical="center"/>
    </xf>
    <xf numFmtId="49" fontId="0" fillId="0" borderId="1" applyAlignment="1" pivotButton="0" quotePrefix="0" xfId="0">
      <alignment horizontal="left" vertical="center"/>
    </xf>
    <xf numFmtId="0" fontId="3" fillId="0" borderId="1" applyAlignment="1" pivotButton="0" quotePrefix="0" xfId="3">
      <alignment horizontal="left" vertical="center"/>
    </xf>
    <xf numFmtId="0" fontId="0" fillId="2" borderId="8" applyAlignment="1" pivotButton="0" quotePrefix="0" xfId="0">
      <alignment horizontal="center" vertical="center" wrapText="1"/>
    </xf>
    <xf numFmtId="9" fontId="0" fillId="2" borderId="6" applyAlignment="1" pivotButton="0" quotePrefix="0" xfId="0">
      <alignment horizontal="center" vertical="center" wrapText="1"/>
    </xf>
    <xf numFmtId="0" fontId="2" fillId="2" borderId="6"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8" applyAlignment="1" pivotButton="0" quotePrefix="0" xfId="0">
      <alignment horizontal="center" vertical="center" wrapText="1"/>
    </xf>
    <xf numFmtId="0" fontId="0" fillId="2" borderId="11" applyAlignment="1" pivotButton="0" quotePrefix="0" xfId="0">
      <alignment horizontal="center" vertical="center" wrapText="1"/>
    </xf>
    <xf numFmtId="0" fontId="0" fillId="2" borderId="7" applyAlignment="1" pivotButton="0" quotePrefix="0" xfId="0">
      <alignment horizontal="center" vertical="center" wrapText="1"/>
    </xf>
    <xf numFmtId="0" fontId="0" fillId="2" borderId="12" applyAlignment="1" pivotButton="0" quotePrefix="0" xfId="0">
      <alignment horizontal="center" vertical="center"/>
    </xf>
    <xf numFmtId="164" fontId="2" fillId="0" borderId="6" applyAlignment="1" pivotButton="0" quotePrefix="0" xfId="1">
      <alignment horizontal="center" vertical="center"/>
    </xf>
    <xf numFmtId="164" fontId="0" fillId="2" borderId="6" applyAlignment="1" pivotButton="0" quotePrefix="0" xfId="1">
      <alignment horizontal="center" vertical="center" wrapText="1"/>
    </xf>
    <xf numFmtId="164" fontId="6" fillId="2" borderId="6" applyAlignment="1" pivotButton="0" quotePrefix="0" xfId="1">
      <alignment horizontal="center" vertical="center" wrapText="1"/>
    </xf>
    <xf numFmtId="164" fontId="0" fillId="2" borderId="6" applyAlignment="1" pivotButton="0" quotePrefix="0" xfId="1">
      <alignment horizontal="center" vertical="center"/>
    </xf>
    <xf numFmtId="164" fontId="6" fillId="2" borderId="0" applyAlignment="1" pivotButton="0" quotePrefix="0" xfId="1">
      <alignment horizontal="center" vertical="center"/>
    </xf>
    <xf numFmtId="164" fontId="12" fillId="2" borderId="0" applyAlignment="1" pivotButton="0" quotePrefix="0" xfId="1">
      <alignment horizontal="center" vertical="center"/>
    </xf>
    <xf numFmtId="164" fontId="0" fillId="2" borderId="0" applyAlignment="1" pivotButton="0" quotePrefix="0" xfId="1">
      <alignment horizontal="center" vertical="center" wrapText="1"/>
    </xf>
    <xf numFmtId="164" fontId="2" fillId="2" borderId="6" applyAlignment="1" pivotButton="0" quotePrefix="0" xfId="1">
      <alignment horizontal="left" vertical="center"/>
    </xf>
    <xf numFmtId="0" fontId="2" fillId="0" borderId="7" applyAlignment="1" pivotButton="0" quotePrefix="0" xfId="0">
      <alignment horizontal="center" vertical="center" wrapText="1"/>
    </xf>
    <xf numFmtId="9" fontId="0" fillId="2" borderId="1" applyAlignment="1" pivotButton="0" quotePrefix="0" xfId="0">
      <alignment vertical="center" wrapText="1"/>
    </xf>
    <xf numFmtId="9" fontId="6" fillId="2" borderId="0" applyAlignment="1" pivotButton="0" quotePrefix="0" xfId="2">
      <alignment vertical="center"/>
    </xf>
    <xf numFmtId="0" fontId="16" fillId="2" borderId="6" applyAlignment="1" pivotButton="0" quotePrefix="0" xfId="0">
      <alignment vertical="center" wrapText="1"/>
    </xf>
    <xf numFmtId="165" fontId="0" fillId="2" borderId="0" applyAlignment="1" pivotButton="0" quotePrefix="0" xfId="2">
      <alignment vertical="center"/>
    </xf>
    <xf numFmtId="0" fontId="16" fillId="0" borderId="1" applyAlignment="1" pivotButton="0" quotePrefix="0" xfId="0">
      <alignment horizontal="left" vertical="center" wrapText="1"/>
    </xf>
    <xf numFmtId="0" fontId="16" fillId="2" borderId="6" applyAlignment="1" pivotButton="0" quotePrefix="0" xfId="0">
      <alignment horizontal="left" vertical="center" wrapText="1"/>
    </xf>
    <xf numFmtId="0" fontId="0" fillId="2" borderId="15" applyAlignment="1" pivotButton="0" quotePrefix="0" xfId="0">
      <alignment horizontal="left" vertical="center" wrapText="1"/>
    </xf>
    <xf numFmtId="49" fontId="19" fillId="2" borderId="6" applyAlignment="1" pivotButton="0" quotePrefix="0" xfId="0">
      <alignment horizontal="left" vertical="center" wrapText="1"/>
    </xf>
    <xf numFmtId="2" fontId="0" fillId="2" borderId="6" applyAlignment="1" pivotButton="0" quotePrefix="0" xfId="0">
      <alignment horizontal="left" vertical="center" wrapText="1"/>
    </xf>
    <xf numFmtId="2" fontId="19" fillId="2" borderId="6" applyAlignment="1" pivotButton="0" quotePrefix="0" xfId="0">
      <alignment horizontal="left" vertical="center" wrapText="1"/>
    </xf>
    <xf numFmtId="49" fontId="11" fillId="2" borderId="6" applyAlignment="1" pivotButton="0" quotePrefix="0" xfId="0">
      <alignment vertical="center" wrapText="1"/>
    </xf>
    <xf numFmtId="43" fontId="0" fillId="2" borderId="6" applyAlignment="1" pivotButton="0" quotePrefix="0" xfId="0">
      <alignment horizontal="left" vertical="center" wrapText="1"/>
    </xf>
    <xf numFmtId="0" fontId="3" fillId="2" borderId="6" applyAlignment="1" pivotButton="0" quotePrefix="0" xfId="3">
      <alignment horizontal="left" vertical="center"/>
    </xf>
    <xf numFmtId="0" fontId="9" fillId="2" borderId="6" applyAlignment="1" pivotButton="0" quotePrefix="0" xfId="0">
      <alignment horizontal="left" vertical="center" wrapText="1"/>
    </xf>
    <xf numFmtId="0" fontId="0" fillId="0" borderId="1" applyAlignment="1" pivotButton="0" quotePrefix="0" xfId="0">
      <alignment vertical="center" wrapText="1"/>
    </xf>
    <xf numFmtId="49" fontId="0" fillId="0" borderId="7" applyAlignment="1" pivotButton="0" quotePrefix="0" xfId="0">
      <alignment horizontal="left" vertical="center"/>
    </xf>
    <xf numFmtId="49" fontId="0" fillId="0" borderId="10" applyAlignment="1" pivotButton="0" quotePrefix="0" xfId="0">
      <alignment horizontal="left" vertical="center"/>
    </xf>
    <xf numFmtId="0" fontId="0" fillId="0" borderId="7" applyAlignment="1" pivotButton="0" quotePrefix="0" xfId="0">
      <alignment vertical="center"/>
    </xf>
    <xf numFmtId="0" fontId="0" fillId="0" borderId="10" applyAlignment="1" pivotButton="0" quotePrefix="0" xfId="0">
      <alignment vertical="center"/>
    </xf>
    <xf numFmtId="0" fontId="3" fillId="0" borderId="7" applyAlignment="1" pivotButton="0" quotePrefix="0" xfId="3">
      <alignment vertical="center" wrapText="1"/>
    </xf>
    <xf numFmtId="0" fontId="3" fillId="0" borderId="10" applyAlignment="1" pivotButton="0" quotePrefix="0" xfId="3">
      <alignment vertical="center" wrapText="1"/>
    </xf>
    <xf numFmtId="0" fontId="6" fillId="2" borderId="7" applyAlignment="1" pivotButton="0" quotePrefix="0" xfId="0">
      <alignment vertical="center" wrapText="1"/>
    </xf>
    <xf numFmtId="0" fontId="6" fillId="2" borderId="10" applyAlignment="1" pivotButton="0" quotePrefix="0" xfId="0">
      <alignment vertical="center" wrapText="1"/>
    </xf>
    <xf numFmtId="0" fontId="16" fillId="0" borderId="7" applyAlignment="1" pivotButton="0" quotePrefix="0" xfId="0">
      <alignment vertical="center" wrapText="1"/>
    </xf>
    <xf numFmtId="0" fontId="9" fillId="0" borderId="10" applyAlignment="1" pivotButton="0" quotePrefix="0" xfId="0">
      <alignment vertical="center" wrapText="1"/>
    </xf>
    <xf numFmtId="0" fontId="9" fillId="0" borderId="13" applyAlignment="1" pivotButton="0" quotePrefix="0" xfId="0">
      <alignment vertical="center" wrapText="1"/>
    </xf>
    <xf numFmtId="0" fontId="9" fillId="0" borderId="14" applyAlignment="1" pivotButton="0" quotePrefix="0" xfId="0">
      <alignment vertical="center" wrapText="1"/>
    </xf>
    <xf numFmtId="9" fontId="0" fillId="0" borderId="1" applyAlignment="1" pivotButton="0" quotePrefix="0" xfId="0">
      <alignment vertical="center" wrapText="1"/>
    </xf>
    <xf numFmtId="49" fontId="11" fillId="0" borderId="7" applyAlignment="1" pivotButton="0" quotePrefix="0" xfId="0">
      <alignment vertical="center" wrapText="1"/>
    </xf>
    <xf numFmtId="49" fontId="7" fillId="0" borderId="10" applyAlignment="1" pivotButton="0" quotePrefix="0" xfId="0">
      <alignment vertical="center"/>
    </xf>
    <xf numFmtId="49" fontId="0" fillId="0" borderId="7" applyAlignment="1" pivotButton="0" quotePrefix="0" xfId="0">
      <alignment horizontal="left" vertical="center" wrapText="1"/>
    </xf>
    <xf numFmtId="0" fontId="0" fillId="2" borderId="7" applyAlignment="1" pivotButton="0" quotePrefix="0" xfId="0">
      <alignment vertical="center" wrapText="1"/>
    </xf>
    <xf numFmtId="0" fontId="0" fillId="2" borderId="10" applyAlignment="1" pivotButton="0" quotePrefix="0" xfId="0">
      <alignment vertical="center" wrapText="1"/>
    </xf>
    <xf numFmtId="0" fontId="8" fillId="0" borderId="10" applyAlignment="1" pivotButton="0" quotePrefix="0" xfId="0">
      <alignment vertical="center" wrapText="1"/>
    </xf>
    <xf numFmtId="0" fontId="8" fillId="0" borderId="14" applyAlignment="1" pivotButton="0" quotePrefix="0" xfId="0">
      <alignment vertical="center" wrapText="1"/>
    </xf>
    <xf numFmtId="0" fontId="3" fillId="0" borderId="2" applyAlignment="1" pivotButton="0" quotePrefix="0" xfId="3">
      <alignment horizontal="left" vertical="center" wrapText="1"/>
    </xf>
    <xf numFmtId="0" fontId="3" fillId="0" borderId="3" applyAlignment="1" pivotButton="0" quotePrefix="0" xfId="3">
      <alignment horizontal="left" vertical="center" wrapText="1"/>
    </xf>
    <xf numFmtId="0" fontId="0" fillId="0" borderId="1" applyAlignment="1" pivotButton="0" quotePrefix="0" xfId="0">
      <alignment horizontal="left" vertical="center"/>
    </xf>
    <xf numFmtId="49" fontId="0" fillId="0" borderId="1" applyAlignment="1" pivotButton="0" quotePrefix="0" xfId="0">
      <alignment horizontal="left" vertical="center"/>
    </xf>
    <xf numFmtId="0" fontId="0" fillId="2" borderId="2" applyAlignment="1" pivotButton="0" quotePrefix="0" xfId="0">
      <alignment horizontal="left" vertical="center" wrapText="1"/>
    </xf>
    <xf numFmtId="0" fontId="0" fillId="2" borderId="3" applyAlignment="1" pivotButton="0" quotePrefix="0" xfId="0">
      <alignment horizontal="left" vertical="center" wrapText="1"/>
    </xf>
    <xf numFmtId="0" fontId="6" fillId="2" borderId="1" applyAlignment="1" pivotButton="0" quotePrefix="0" xfId="0">
      <alignment horizontal="left" vertical="center" wrapText="1"/>
    </xf>
    <xf numFmtId="0" fontId="3" fillId="0" borderId="4" applyAlignment="1" pivotButton="0" quotePrefix="0" xfId="3">
      <alignment horizontal="left" vertical="center" wrapText="1"/>
    </xf>
    <xf numFmtId="0" fontId="3" fillId="0" borderId="5" applyAlignment="1" pivotButton="0" quotePrefix="0" xfId="3">
      <alignment horizontal="left" vertical="center" wrapText="1"/>
    </xf>
    <xf numFmtId="49" fontId="7" fillId="0" borderId="2" applyAlignment="1" pivotButton="0" quotePrefix="0" xfId="1">
      <alignment horizontal="left" vertical="center" wrapText="1"/>
    </xf>
    <xf numFmtId="49" fontId="7" fillId="0" borderId="3" applyAlignment="1" pivotButton="0" quotePrefix="0" xfId="1">
      <alignment horizontal="left" vertical="center"/>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16" fillId="0" borderId="2" applyAlignment="1" pivotButton="0" quotePrefix="0" xfId="0">
      <alignment horizontal="left" vertical="center" wrapText="1"/>
    </xf>
    <xf numFmtId="0" fontId="9" fillId="0" borderId="3" applyAlignment="1" pivotButton="0" quotePrefix="0" xfId="0">
      <alignment horizontal="left" vertical="center" wrapText="1"/>
    </xf>
    <xf numFmtId="0" fontId="17" fillId="0" borderId="2" applyAlignment="1" pivotButton="0" quotePrefix="0" xfId="0">
      <alignment horizontal="left" vertical="center" wrapText="1"/>
    </xf>
    <xf numFmtId="0" fontId="17" fillId="0" borderId="3" applyAlignment="1" pivotButton="0" quotePrefix="0" xfId="0">
      <alignment horizontal="left" vertical="center" wrapText="1"/>
    </xf>
    <xf numFmtId="0" fontId="8" fillId="0" borderId="2" applyAlignment="1" pivotButton="0" quotePrefix="0" xfId="0">
      <alignment horizontal="center" vertical="center" wrapText="1"/>
    </xf>
    <xf numFmtId="0" fontId="8" fillId="0" borderId="3" applyAlignment="1" pivotButton="0" quotePrefix="0" xfId="0">
      <alignment horizontal="center" vertical="center" wrapText="1"/>
    </xf>
    <xf numFmtId="49" fontId="0" fillId="0" borderId="1" applyAlignment="1" pivotButton="0" quotePrefix="0" xfId="1">
      <alignment horizontal="left" vertical="center" wrapText="1"/>
    </xf>
    <xf numFmtId="49" fontId="0" fillId="0" borderId="1" applyAlignment="1" pivotButton="0" quotePrefix="0" xfId="1">
      <alignment horizontal="left" vertical="center"/>
    </xf>
    <xf numFmtId="0" fontId="1" fillId="0" borderId="6" applyAlignment="1" pivotButton="0" quotePrefix="0" xfId="0">
      <alignment horizontal="left" vertical="center" wrapText="1"/>
    </xf>
    <xf numFmtId="0" fontId="1" fillId="0" borderId="6" applyAlignment="1" pivotButton="0" quotePrefix="0" xfId="0">
      <alignment wrapText="1"/>
    </xf>
    <xf numFmtId="0" fontId="1" fillId="0" borderId="6" applyAlignment="1" pivotButton="0" quotePrefix="0" xfId="0">
      <alignment vertical="center" wrapText="1"/>
    </xf>
    <xf numFmtId="43" fontId="0" fillId="3" borderId="6" applyAlignment="1" pivotButton="0" quotePrefix="0" xfId="0">
      <alignment horizontal="left" vertical="center" wrapText="1"/>
    </xf>
    <xf numFmtId="0" fontId="6" fillId="3" borderId="0" applyAlignment="1" pivotButton="0" quotePrefix="0" xfId="0">
      <alignment horizontal="left" vertical="center"/>
    </xf>
    <xf numFmtId="0" fontId="14" fillId="0" borderId="0" pivotButton="0" quotePrefix="0" xfId="0"/>
    <xf numFmtId="0" fontId="14" fillId="2" borderId="15" applyAlignment="1" pivotButton="0" quotePrefix="0" xfId="0">
      <alignment horizontal="left" vertical="center" wrapText="1"/>
    </xf>
    <xf numFmtId="49" fontId="0" fillId="0" borderId="6" applyAlignment="1" pivotButton="0" quotePrefix="0" xfId="0">
      <alignment horizontal="left" vertical="center"/>
    </xf>
    <xf numFmtId="0" fontId="0" fillId="0" borderId="6" applyAlignment="1" pivotButton="0" quotePrefix="0" xfId="0">
      <alignment vertical="center"/>
    </xf>
    <xf numFmtId="0" fontId="3" fillId="0" borderId="6" applyAlignment="1" pivotButton="0" quotePrefix="0" xfId="3">
      <alignment vertical="center" wrapText="1"/>
    </xf>
    <xf numFmtId="49" fontId="0" fillId="0" borderId="6" applyAlignment="1" pivotButton="0" quotePrefix="0" xfId="0">
      <alignment horizontal="left" vertical="center" wrapText="1"/>
    </xf>
    <xf numFmtId="0" fontId="16" fillId="0" borderId="6" applyAlignment="1" pivotButton="0" quotePrefix="0" xfId="0">
      <alignment vertical="center" wrapText="1"/>
    </xf>
    <xf numFmtId="0" fontId="9" fillId="0" borderId="8" applyAlignment="1" pivotButton="0" quotePrefix="0" xfId="0">
      <alignment vertical="center" wrapText="1"/>
    </xf>
    <xf numFmtId="0" fontId="0" fillId="0" borderId="10" pivotButton="0" quotePrefix="0" xfId="0"/>
    <xf numFmtId="0" fontId="0" fillId="0" borderId="14" pivotButton="0" quotePrefix="0" xfId="0"/>
    <xf numFmtId="0" fontId="0" fillId="0" borderId="3" pivotButton="0" quotePrefix="0" xfId="0"/>
    <xf numFmtId="49" fontId="11" fillId="0" borderId="6" applyAlignment="1" pivotButton="0" quotePrefix="0" xfId="0">
      <alignment vertical="center" wrapText="1"/>
    </xf>
    <xf numFmtId="0" fontId="6" fillId="2" borderId="6" applyAlignment="1" pivotButton="0" quotePrefix="0" xfId="0">
      <alignment vertical="center" wrapText="1"/>
    </xf>
    <xf numFmtId="0" fontId="3" fillId="0" borderId="1" applyAlignment="1" pivotButton="0" quotePrefix="0" xfId="3">
      <alignment horizontal="left" vertical="center" wrapText="1"/>
    </xf>
    <xf numFmtId="0" fontId="17"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3" fillId="0" borderId="19" applyAlignment="1" pivotButton="0" quotePrefix="0" xfId="3">
      <alignment horizontal="left" vertical="center" wrapText="1"/>
    </xf>
    <xf numFmtId="49" fontId="7" fillId="0" borderId="1" applyAlignment="1" pivotButton="0" quotePrefix="0" xfId="1">
      <alignment horizontal="left" vertical="center" wrapText="1"/>
    </xf>
    <xf numFmtId="0" fontId="9" fillId="0" borderId="1" applyAlignment="1" pivotButton="0" quotePrefix="0" xfId="0">
      <alignment horizontal="center" vertical="center" wrapText="1"/>
    </xf>
    <xf numFmtId="0" fontId="0" fillId="0" borderId="19" pivotButton="0" quotePrefix="0" xfId="0"/>
    <xf numFmtId="0" fontId="20" fillId="0" borderId="0" applyAlignment="1" pivotButton="0" quotePrefix="0" xfId="0">
      <alignment vertical="top" wrapText="1"/>
    </xf>
    <xf numFmtId="0" fontId="0" fillId="0" borderId="0" applyAlignment="1" pivotButton="0" quotePrefix="0" xfId="0">
      <alignment vertical="top" wrapText="1"/>
    </xf>
  </cellXfs>
  <cellStyles count="4">
    <cellStyle name="Normal" xfId="0" builtinId="0"/>
    <cellStyle name="Comma" xfId="1" builtinId="3"/>
    <cellStyle name="Percent" xfId="2" builtinId="5"/>
    <cellStyle name="Hyperlink" xfId="3"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L6" authorId="0" shapeId="0">
      <text>
        <t>[AUTO-ADDED] Project reports access/productive-use beneficiary numbers but no MW value. Please add installed capacity (MW) or confirm not applicable.</t>
      </text>
    </comment>
    <comment ref="M6"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dp.org/es/colombia/news/en-la-guajira-mujeres-rurales-lideran-tiendas-comunitarias-para-su-empoderamiento-econ%C3%B3mico" TargetMode="External" Id="rId1"/><Relationship Type="http://schemas.openxmlformats.org/officeDocument/2006/relationships/hyperlink" Target="https://pnudcolombia.exposure.co/juntas-y-poderosas" TargetMode="External" Id="rId2"/><Relationship Type="http://schemas.openxmlformats.org/officeDocument/2006/relationships/hyperlink" Target="https://open.undp.org/projects/00098331"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undp.org/es/colombia/news/en-la-guajira-mujeres-rurales-lideran-tiendas-comunitarias-para-su-empoderamiento-econ%C3%B3mico" TargetMode="External" Id="rId1"/><Relationship Type="http://schemas.openxmlformats.org/officeDocument/2006/relationships/hyperlink" Target="https://pnudcolombia.exposure.co/juntas-y-poderosas" TargetMode="External" Id="rId2"/><Relationship Type="http://schemas.openxmlformats.org/officeDocument/2006/relationships/hyperlink" Target="https://open.undp.org/projects/00098331" TargetMode="External" Id="rId3"/></Relationships>
</file>

<file path=xl/worksheets/_rels/sheet3.xml.rels><Relationships xmlns="http://schemas.openxmlformats.org/package/2006/relationships"><Relationship Type="http://schemas.openxmlformats.org/officeDocument/2006/relationships/hyperlink" Target="https://www.undp.org/es/colombia/news/en-la-guajira-mujeres-rurales-lideran-tiendas-comunitarias-para-su-empoderamiento-econ%C3%B3mico" TargetMode="External" Id="rId1"/><Relationship Type="http://schemas.openxmlformats.org/officeDocument/2006/relationships/hyperlink" Target="https://pnudcolombia.exposure.co/juntas-y-poderosas" TargetMode="External" Id="rId2"/><Relationship Type="http://schemas.openxmlformats.org/officeDocument/2006/relationships/hyperlink" Target="https://open.undp.org/projects/00098331" TargetMode="External" Id="rId3"/></Relationships>
</file>

<file path=xl/worksheets/sheet1.xml><?xml version="1.0" encoding="utf-8"?>
<worksheet xmlns="http://schemas.openxmlformats.org/spreadsheetml/2006/main">
  <sheetPr>
    <outlinePr summaryBelow="1" summaryRight="1"/>
    <pageSetUpPr/>
  </sheetPr>
  <dimension ref="A1:Y12"/>
  <sheetViews>
    <sheetView tabSelected="1" topLeftCell="C1" zoomScale="70" zoomScaleNormal="70" workbookViewId="0">
      <pane ySplit="1" topLeftCell="D3" activePane="bottomLeft" state="frozen"/>
      <selection pane="bottomLeft" activeCell="I4" sqref="I4"/>
    </sheetView>
  </sheetViews>
  <sheetFormatPr baseColWidth="8" defaultColWidth="8.85546875" defaultRowHeight="15" customHeight="1"/>
  <cols>
    <col width="15.7109375" customWidth="1" style="56" min="1" max="1"/>
    <col width="41.7109375" customWidth="1" style="36" min="2" max="3"/>
    <col width="30.7109375" customWidth="1" style="36" min="4" max="4"/>
    <col width="30.7109375" customWidth="1" style="56" min="5" max="5"/>
    <col width="30.7109375" customWidth="1" style="36" min="6" max="6"/>
    <col width="30.7109375" customWidth="1" style="41" min="7" max="7"/>
    <col width="30.7109375" bestFit="1" customWidth="1" style="36" min="8" max="8"/>
    <col width="6.85546875" bestFit="1" customWidth="1" style="41" min="9" max="9"/>
    <col width="129.42578125" customWidth="1" style="41" min="10" max="10"/>
    <col width="35.28515625" bestFit="1" customWidth="1" style="36" min="11" max="11"/>
    <col width="18" bestFit="1" customWidth="1" style="34" min="12" max="12"/>
    <col width="13" bestFit="1" customWidth="1" style="34" min="13" max="13"/>
    <col width="9.7109375" bestFit="1" customWidth="1" style="34" min="14" max="14"/>
    <col width="14" bestFit="1" customWidth="1" style="34" min="15" max="15"/>
    <col width="14.28515625" bestFit="1" customWidth="1" style="34" min="16" max="16"/>
    <col width="13.7109375" bestFit="1" customWidth="1" style="34" min="17" max="17"/>
    <col width="16.42578125" bestFit="1" customWidth="1" style="34" min="18" max="18"/>
    <col width="17.5703125" bestFit="1" customWidth="1" style="34" min="19" max="19"/>
    <col width="11.140625" bestFit="1" customWidth="1" style="34" min="20" max="20"/>
    <col width="21.140625" customWidth="1" style="34" min="21" max="21"/>
    <col width="16.5703125" bestFit="1" customWidth="1" style="34" min="22" max="22"/>
    <col width="8.85546875" customWidth="1" style="36" min="23" max="16384"/>
  </cols>
  <sheetData>
    <row r="1" ht="40.5" customHeight="1">
      <c r="A1" s="53" t="inlineStr">
        <is>
          <t>Project ID</t>
        </is>
      </c>
      <c r="B1" s="35" t="inlineStr">
        <is>
          <t>Title</t>
        </is>
      </c>
      <c r="C1" s="35" t="inlineStr">
        <is>
          <t>Link</t>
        </is>
      </c>
      <c r="D1" s="35" t="inlineStr">
        <is>
          <t>Budget</t>
        </is>
      </c>
      <c r="E1" s="35" t="inlineStr">
        <is>
          <t>Start Year</t>
        </is>
      </c>
      <c r="F1" s="35" t="inlineStr">
        <is>
          <t>End Year</t>
        </is>
      </c>
      <c r="G1" s="35" t="inlineStr">
        <is>
          <t>Status</t>
        </is>
      </c>
      <c r="H1" s="35" t="inlineStr">
        <is>
          <t>VF or Non-VF</t>
        </is>
      </c>
      <c r="I1" s="53" t="inlineStr">
        <is>
          <t>Budget (Notes)</t>
        </is>
      </c>
      <c r="J1" s="35" t="inlineStr">
        <is>
          <t>Beneficiary Category</t>
        </is>
      </c>
      <c r="K1" s="35" t="inlineStr">
        <is>
          <t>Indicator</t>
        </is>
      </c>
      <c r="L1" s="35" t="inlineStr">
        <is>
          <t>Baseline</t>
        </is>
      </c>
      <c r="M1" s="76" t="inlineStr">
        <is>
          <t>Target</t>
        </is>
      </c>
      <c r="N1" s="35" t="inlineStr">
        <is>
          <t>Notes</t>
        </is>
      </c>
      <c r="O1" s="35" t="inlineStr">
        <is>
          <t>Donors</t>
        </is>
      </c>
      <c r="P1" s="63" t="inlineStr">
        <is>
          <t>Gender (% female)</t>
        </is>
      </c>
      <c r="Q1" s="64" t="inlineStr">
        <is>
          <t>Tag</t>
        </is>
      </c>
      <c r="R1" s="63" t="inlineStr">
        <is>
          <t>SEH Taxonomy</t>
        </is>
      </c>
      <c r="S1" s="63" t="inlineStr">
        <is>
          <t>RISE Taxonomy</t>
        </is>
      </c>
      <c r="T1" s="63" t="inlineStr">
        <is>
          <t>Flagship</t>
        </is>
      </c>
      <c r="U1" s="63" t="inlineStr">
        <is>
          <t>Indirect Category</t>
        </is>
      </c>
      <c r="V1" s="65" t="inlineStr">
        <is>
          <t>Indirect Taxonomy</t>
        </is>
      </c>
      <c r="W1" s="63" t="inlineStr">
        <is>
          <t>Technology</t>
        </is>
      </c>
      <c r="X1" s="65" t="inlineStr">
        <is>
          <t>Policy or Regulatory Framework</t>
        </is>
      </c>
      <c r="Y1" s="63" t="inlineStr">
        <is>
          <t>Policy Population</t>
        </is>
      </c>
    </row>
    <row r="2" ht="201" customHeight="1">
      <c r="A2" s="54" t="inlineStr">
        <is>
          <t>132166</t>
        </is>
      </c>
      <c r="B2" s="10" t="inlineStr">
        <is>
          <t>Tiendas Comunitarias - La Guajira</t>
        </is>
      </c>
      <c r="C2" s="38" t="inlineStr">
        <is>
          <t>https://www.undp.org/es/colombia/news/en-la-guajira-mujeres-rurales-lideran-tiendas-comunitarias-para-su-empoderamiento-econ%C3%B3mico
https://www.youtube.com/watch?v=6vtlQRzqaUw
https://open.undp.org/projects/00132166</t>
        </is>
      </c>
      <c r="D2" s="89" t="n">
        <v>14780</v>
      </c>
      <c r="E2" s="137" t="n"/>
      <c r="F2" s="137" t="n"/>
      <c r="G2" s="137" t="n"/>
      <c r="H2" s="89" t="inlineStr">
        <is>
          <t>Non-VF</t>
        </is>
      </c>
      <c r="I2" s="86" t="inlineStr">
        <is>
          <t xml:space="preserve">"Project Budget 00132166: 
USD 340.151
Output Budget 00124835: 
USD 176.162 
Initiative Budget: 
USD 14,780 (8% of the total approved budget) "
</t>
        </is>
      </c>
      <c r="J2" s="10" t="inlineStr">
        <is>
          <t>Energy Efficiency Services</t>
        </is>
      </c>
      <c r="K2" s="11" t="inlineStr">
        <is>
          <t>Number of people benefited with photovoltaic systems in the rural stores</t>
        </is>
      </c>
      <c r="L2" s="10" t="n">
        <v>0</v>
      </c>
      <c r="M2" s="11" t="n">
        <v>69</v>
      </c>
      <c r="N2" s="11" t="inlineStr">
        <is>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
Project Budget 00132166: 
USD 340.151
Output Budget 00124835: 
USD 176.162 
Initiative Budget: 
USD 14,780 (8% of the total approved budget) </t>
        </is>
      </c>
      <c r="O2" s="35" t="n"/>
      <c r="P2" s="62" t="n">
        <v>0.72</v>
      </c>
      <c r="Q2" s="4" t="inlineStr">
        <is>
          <t>Efficiency</t>
        </is>
      </c>
      <c r="R2" s="9" t="inlineStr">
        <is>
          <t>Accelerating just energy transition</t>
        </is>
      </c>
      <c r="S2" s="4" t="inlineStr">
        <is>
          <t>Electricity Access</t>
        </is>
      </c>
      <c r="T2" s="4" t="inlineStr">
        <is>
          <t>Action Opportunities</t>
        </is>
      </c>
      <c r="U2" s="61" t="inlineStr">
        <is>
          <t>Incentives and Support</t>
        </is>
      </c>
      <c r="V2" s="4" t="inlineStr">
        <is>
          <t>Electricity Access</t>
        </is>
      </c>
      <c r="W2" s="4" t="inlineStr">
        <is>
          <t>Solar</t>
        </is>
      </c>
      <c r="X2" s="66" t="inlineStr">
        <is>
          <t>Community</t>
        </is>
      </c>
      <c r="Y2" s="4" t="inlineStr">
        <is>
          <t>Not applicable</t>
        </is>
      </c>
    </row>
    <row r="3" ht="208.5" customHeight="1">
      <c r="A3" s="54" t="inlineStr">
        <is>
          <t>123292</t>
        </is>
      </c>
      <c r="B3" s="10" t="inlineStr">
        <is>
          <t>Tiendas Comunitarias - Chocó</t>
        </is>
      </c>
      <c r="C3" s="38" t="inlineStr">
        <is>
          <t>https://pnudcolombia.exposure.co/juntas-y-poderosas
https://www.youtube.com/watch?v=h6buc3MubaY
https://open.undp.org/projects/00123292</t>
        </is>
      </c>
      <c r="D3" s="89" t="n">
        <v>9217</v>
      </c>
      <c r="E3" s="137" t="n"/>
      <c r="F3" s="137" t="n"/>
      <c r="G3" s="137" t="n"/>
      <c r="H3" s="89" t="inlineStr">
        <is>
          <t>Non-VF</t>
        </is>
      </c>
      <c r="I3" s="85" t="inlineStr">
        <is>
          <t xml:space="preserve">Project Budget 00123292: 
USD 11.631.345
Output Budget 00118585: 
Total USD 2.213.905,35
TRAC 55.946,27
MPTF 2.056.069,02 
Initiative Budget: 
USD 9.217  (0.4% of the total approved budget) </t>
        </is>
      </c>
      <c r="J3" s="10" t="inlineStr">
        <is>
          <t>Energy Infrastructure Services</t>
        </is>
      </c>
      <c r="K3" s="11" t="inlineStr">
        <is>
          <t>Number of people benefited with photovoltaic systems in the rural stores</t>
        </is>
      </c>
      <c r="L3" s="10" t="n">
        <v>0</v>
      </c>
      <c r="M3" s="39" t="n">
        <v>56</v>
      </c>
      <c r="N3" s="39" t="inlineStr">
        <is>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Project Budget 00123292: 
USD 11,631,345
Output Budget 00118585: 
Total USD 2,213,905.35
TRAC 55,946.27
MPTF 2,056,069.02 
Initiative Budget: 
USD 9,217  (0.4% of the total approved budget) </t>
        </is>
      </c>
      <c r="O3" s="91" t="inlineStr">
        <is>
          <t>Donor 00012: UNDP's Rapid Response Facility (RRF2) program https://www.undp.org/press-releases/covid-19-30-million-rapid-response-facility-launched-vulnerable-countries
Donor 00012: CO UNDP Funding
https://www.undp.org/es/colombia</t>
        </is>
      </c>
      <c r="P3" s="62" t="n">
        <v>0.2</v>
      </c>
      <c r="Q3" s="3" t="inlineStr">
        <is>
          <t>Efficiency</t>
        </is>
      </c>
      <c r="R3" s="9" t="inlineStr">
        <is>
          <t>Accelerating just energy transition</t>
        </is>
      </c>
      <c r="S3" s="4" t="inlineStr">
        <is>
          <t>Electricity Access</t>
        </is>
      </c>
      <c r="T3" s="4" t="inlineStr">
        <is>
          <t>Action Opportunities</t>
        </is>
      </c>
      <c r="U3" s="61" t="inlineStr">
        <is>
          <t>Incentives and Support</t>
        </is>
      </c>
      <c r="V3" s="67" t="inlineStr">
        <is>
          <t>Electricity Access</t>
        </is>
      </c>
      <c r="W3" s="109" t="inlineStr">
        <is>
          <t>Solar</t>
        </is>
      </c>
      <c r="X3" s="68" t="inlineStr">
        <is>
          <t>Community</t>
        </is>
      </c>
      <c r="Y3" s="4" t="inlineStr">
        <is>
          <t>Not applicable</t>
        </is>
      </c>
    </row>
    <row r="4" ht="381.75" customHeight="1">
      <c r="A4" s="54" t="inlineStr">
        <is>
          <t>98331</t>
        </is>
      </c>
      <c r="B4" s="11" t="inlineStr">
        <is>
          <t xml:space="preserve">
Implement collective reparation measures in 7 ethnic communities and one non-ethnic community in photovoltaic power lines and definition of sustainability strategy</t>
        </is>
      </c>
      <c r="C4" s="90" t="inlineStr">
        <is>
          <t>https://open.undp.org/projects/00098331</t>
        </is>
      </c>
      <c r="D4" s="89" t="n">
        <v>3627</v>
      </c>
      <c r="E4" s="137" t="n"/>
      <c r="F4" s="137" t="n"/>
      <c r="G4" s="137" t="n"/>
      <c r="H4" s="89" t="inlineStr">
        <is>
          <t>Non-VF</t>
        </is>
      </c>
      <c r="I4" s="87" t="inlineStr">
        <is>
          <t xml:space="preserve">Project Budget:
USD 16.67M
Output Budget: 
USD 2.567.174
Initiative Budget: 
USD 3.627  (0.1% of the total approved budget) </t>
        </is>
      </c>
      <c r="J4" s="10" t="inlineStr">
        <is>
          <t>Electricity Access</t>
        </is>
      </c>
      <c r="K4" s="11" t="inlineStr">
        <is>
          <t xml:space="preserve">Number of victims of the army conflict with solutions for collective use for social appropriation </t>
        </is>
      </c>
      <c r="L4" s="10" t="n">
        <v>0</v>
      </c>
      <c r="M4" s="10" t="n">
        <v>16571</v>
      </c>
      <c r="N4" s="40" t="inlineStr">
        <is>
          <t xml:space="preserve">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Project Budget:
USD 16.67M
Output Budget: 
USD 2,567,174
Initiative Budget: 
USD 3,627  (0.1% of the total approved budget) </t>
        </is>
      </c>
      <c r="O4" s="83" t="inlineStr">
        <is>
          <t>Donor 12641: The United Nations Multi-Partner Trust Fund for Sustaining Peace in Colombia / (Previously Known As Mptf-Colombia Post-Conflict Unmptf)
https://mptf.undp.org/
Donor 00012: CO UNDP Funding
https://www.undp.org/es/colombia</t>
        </is>
      </c>
      <c r="P4" s="62" t="n">
        <v>0.2</v>
      </c>
      <c r="Q4" s="3" t="inlineStr">
        <is>
          <t>Efficiency</t>
        </is>
      </c>
      <c r="R4" s="9" t="inlineStr">
        <is>
          <t>Close the gap on energy access</t>
        </is>
      </c>
      <c r="S4" s="4" t="inlineStr">
        <is>
          <t>Energy Efficiency</t>
        </is>
      </c>
      <c r="T4" s="4" t="inlineStr">
        <is>
          <t>Action Opportunities</t>
        </is>
      </c>
      <c r="U4" s="61" t="inlineStr">
        <is>
          <t>National Strategy</t>
        </is>
      </c>
      <c r="V4" s="4" t="inlineStr">
        <is>
          <t>Renewable Energy</t>
        </is>
      </c>
      <c r="W4" s="29" t="inlineStr">
        <is>
          <t>Solar</t>
        </is>
      </c>
      <c r="X4" s="4" t="inlineStr">
        <is>
          <t>Community</t>
        </is>
      </c>
      <c r="Y4" s="4" t="inlineStr">
        <is>
          <t>Not applicable</t>
        </is>
      </c>
    </row>
    <row r="5" ht="106.5" customHeight="1">
      <c r="A5" s="55" t="n"/>
      <c r="B5" s="14" t="n"/>
      <c r="C5" s="42" t="n"/>
      <c r="D5" s="42" t="n"/>
      <c r="E5" s="42" t="n"/>
      <c r="F5" s="42" t="n"/>
      <c r="G5" s="42" t="n"/>
      <c r="H5" s="42" t="n"/>
      <c r="I5" s="55" t="n"/>
      <c r="J5" s="14" t="n"/>
      <c r="K5" s="16" t="n"/>
      <c r="L5" s="14" t="n"/>
      <c r="M5" s="14" t="n"/>
      <c r="O5" s="84" t="inlineStr">
        <is>
          <t>Donor 12844 Victims Unit (Government of Colombia) 
https://www.unidadvictimas.gov.co/es/
Donor 10503: Norwegian Government
https://www.regjeringen.no/en/id4/</t>
        </is>
      </c>
    </row>
    <row r="6">
      <c r="A6" s="55" t="n"/>
      <c r="B6" s="14" t="n"/>
      <c r="C6" s="42" t="n"/>
      <c r="D6" s="42" t="n"/>
      <c r="E6" s="42" t="n"/>
      <c r="F6" s="42" t="n"/>
      <c r="G6" s="42" t="n"/>
      <c r="H6" s="42" t="n"/>
      <c r="I6" s="55" t="n"/>
      <c r="J6" s="14" t="inlineStr">
        <is>
          <t>Energy (MW added)</t>
        </is>
      </c>
      <c r="K6" s="16" t="inlineStr">
        <is>
          <t>Installed capacity in MW for access/productive-use outputs</t>
        </is>
      </c>
      <c r="L6" s="138" t="n">
        <v>0</v>
      </c>
      <c r="M6" s="138" t="n"/>
      <c r="N6" s="139" t="n"/>
      <c r="O6" s="140" t="n"/>
      <c r="P6" s="139" t="n"/>
      <c r="Q6" s="139" t="n"/>
      <c r="R6" s="139" t="n"/>
      <c r="S6" s="139" t="n"/>
      <c r="T6" s="139" t="n"/>
      <c r="U6" s="139" t="n"/>
      <c r="V6" s="139" t="n"/>
      <c r="W6" s="139" t="n"/>
      <c r="X6" s="139" t="n"/>
      <c r="Y6" s="139" t="n"/>
    </row>
    <row r="7">
      <c r="A7" s="55" t="n"/>
      <c r="C7" s="42" t="n"/>
      <c r="D7" s="42" t="n"/>
      <c r="E7" s="42" t="n"/>
      <c r="F7" s="42" t="n"/>
      <c r="G7" s="42" t="n"/>
      <c r="H7" s="42" t="n"/>
      <c r="I7" s="55" t="n"/>
      <c r="J7" s="14" t="n"/>
      <c r="K7" s="16" t="n"/>
      <c r="L7" s="14" t="n"/>
      <c r="M7" s="14" t="n"/>
    </row>
    <row r="8">
      <c r="A8" s="55" t="n"/>
      <c r="B8" s="14" t="n"/>
      <c r="C8" s="42" t="n"/>
      <c r="D8" s="42" t="n"/>
      <c r="E8" s="42" t="n"/>
      <c r="F8" s="42" t="n"/>
      <c r="G8" s="42" t="n"/>
      <c r="H8" s="42" t="n"/>
      <c r="I8" s="55" t="n"/>
      <c r="J8" s="14" t="n"/>
      <c r="K8" s="16" t="n"/>
      <c r="L8" s="14" t="n"/>
      <c r="M8" s="14" t="n"/>
    </row>
    <row r="9"/>
    <row r="10"/>
    <row r="11"/>
    <row r="12">
      <c r="B12" s="43" t="n"/>
      <c r="M12" s="44" t="n"/>
    </row>
  </sheetData>
  <dataValidations count="10">
    <dataValidation sqref="R2:R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4" showDropDown="0" showInputMessage="1" showErrorMessage="1" allowBlank="1" type="list">
      <formula1>"AMP, PUDC, Solar4Health, Action Opportunities, Italy UNDP Energy Partnership"</formula1>
    </dataValidation>
    <dataValidation sqref="O2:O4" showDropDown="0" showInputMessage="1" showErrorMessage="1" allowBlank="1" type="list">
      <formula1>"Accelerating just energy transition, Close the gap on energy access, Scale up energy finance"</formula1>
    </dataValidation>
    <dataValidation sqref="P2:P4" showDropDown="0" showInputMessage="1" showErrorMessage="1" allowBlank="1" type="list">
      <formula1>"Electricity Access, Energy Efficiency, Clean Cooking, Renewable Energy, Overall"</formula1>
    </dataValidation>
    <dataValidation sqref="U2:U4" showDropDown="0" showInputMessage="1" showErrorMessage="1" allowBlank="1" type="list">
      <formula1>"National, Regional, City, Community"</formula1>
    </dataValidation>
    <dataValidation sqref="N2:N4" showDropDown="0" showInputMessage="1" showErrorMessage="1" allowBlank="1" type="list">
      <formula1>"Finance, Gender, Efficiency, Just, Health"</formula1>
    </dataValidation>
    <dataValidation sqref="M2:M4" showDropDown="0" showInputMessage="1" showErrorMessage="1" allowBlank="1" type="list">
      <formula1>"Non-VF, VF"</formula1>
    </dataValidation>
    <dataValidation sqref="T2:T4" showDropDown="0" showInputMessage="1" showErrorMessage="1" allowBlank="1" type="list">
      <formula1>"Solar, Wind, Bioenergy, Hydro, Geothermal, Waste, Some Sources, Other, Unknown"</formula1>
    </dataValidation>
    <dataValidation sqref="S2:S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display="https://www.undp.org/es/colombia/news/en-la-guajira-mujeres-rurales-lideran-tiendas-comunitarias-para-su-empoderamiento-econ%C3%B3mico_x000a__x000a_https://www.youtube.com/watch?v=6vtlQRzqaUw" r:id="rId1"/>
    <hyperlink xmlns:r="http://schemas.openxmlformats.org/officeDocument/2006/relationships" ref="C3" display="https://pnudcolombia.exposure.co/juntas-y-poderosas_x000a__x000a_https://www.youtube.com/watch?v=h6buc3MubaY" r:id="rId2"/>
    <hyperlink xmlns:r="http://schemas.openxmlformats.org/officeDocument/2006/relationships" ref="C4" r:id="rId3"/>
  </hyperlink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16"/>
  <sheetViews>
    <sheetView topLeftCell="H1" zoomScale="78" zoomScaleNormal="70" workbookViewId="0">
      <pane ySplit="1" topLeftCell="A6" activePane="bottomLeft" state="frozen"/>
      <selection pane="bottomLeft" activeCell="D6" sqref="D6"/>
    </sheetView>
  </sheetViews>
  <sheetFormatPr baseColWidth="8" defaultColWidth="8.85546875" defaultRowHeight="15"/>
  <cols>
    <col width="15.7109375" customWidth="1" style="56" min="1" max="1"/>
    <col width="41.7109375" customWidth="1" style="21" min="2" max="3"/>
    <col width="31.140625" customWidth="1" style="27" min="4" max="4"/>
    <col width="28.5703125" customWidth="1" style="21" min="5" max="5"/>
    <col width="35" customWidth="1" style="17" min="6" max="6"/>
    <col width="8.5703125" bestFit="1" customWidth="1" style="28" min="7" max="7"/>
    <col width="11.140625" bestFit="1" customWidth="1" style="75" min="8" max="8"/>
    <col width="65.140625" customWidth="1" style="17" min="9" max="9"/>
    <col width="35.28515625" bestFit="1" customWidth="1" style="21" min="10" max="10"/>
    <col width="16.140625" customWidth="1" style="21" min="11" max="11"/>
    <col width="8.85546875" customWidth="1" style="21" min="12" max="13"/>
    <col width="12.140625" customWidth="1" style="21" min="14" max="14"/>
    <col width="8.85546875" customWidth="1" style="21" min="15" max="15"/>
    <col width="12.85546875" customWidth="1" style="21" min="16" max="16"/>
    <col width="11.85546875" customWidth="1" style="21" min="17" max="17"/>
    <col width="15.85546875" customWidth="1" style="21" min="18" max="18"/>
    <col width="15.7109375" customWidth="1" style="21" min="19" max="19"/>
    <col width="13.28515625" customWidth="1" style="21" min="20" max="20"/>
    <col width="8.85546875" customWidth="1" style="21" min="21" max="16384"/>
  </cols>
  <sheetData>
    <row r="1" ht="45" customHeight="1">
      <c r="A1" s="57" t="inlineStr">
        <is>
          <t>Project ID</t>
        </is>
      </c>
      <c r="B1" s="23" t="inlineStr">
        <is>
          <t>Title</t>
        </is>
      </c>
      <c r="C1" s="23" t="inlineStr">
        <is>
          <t>Link</t>
        </is>
      </c>
      <c r="D1" s="23" t="inlineStr">
        <is>
          <t>Budget (USD)</t>
        </is>
      </c>
      <c r="E1" s="23" t="inlineStr">
        <is>
          <t>Beneficiary Category</t>
        </is>
      </c>
      <c r="F1" s="24" t="inlineStr">
        <is>
          <t>Indicator</t>
        </is>
      </c>
      <c r="G1" s="22" t="inlineStr">
        <is>
          <t>Baseline</t>
        </is>
      </c>
      <c r="H1" s="69" t="inlineStr">
        <is>
          <t>Target</t>
        </is>
      </c>
      <c r="I1" s="23" t="inlineStr">
        <is>
          <t>Notes</t>
        </is>
      </c>
      <c r="J1" s="23" t="inlineStr">
        <is>
          <t>Donors</t>
        </is>
      </c>
      <c r="K1" s="23" t="inlineStr">
        <is>
          <t xml:space="preserve">Comments </t>
        </is>
      </c>
      <c r="L1" s="77" t="inlineStr">
        <is>
          <t>Gender (% female)</t>
        </is>
      </c>
      <c r="M1" s="77" t="inlineStr">
        <is>
          <t>Category</t>
        </is>
      </c>
      <c r="N1" s="77" t="inlineStr">
        <is>
          <t>Comments</t>
        </is>
      </c>
      <c r="O1" s="77" t="inlineStr">
        <is>
          <t>Tag</t>
        </is>
      </c>
      <c r="P1" s="77" t="inlineStr">
        <is>
          <t>SEH Taxonomy</t>
        </is>
      </c>
      <c r="Q1" s="77" t="inlineStr">
        <is>
          <t>RISE Taxonomy</t>
        </is>
      </c>
      <c r="R1" s="77" t="inlineStr">
        <is>
          <t>Flagship</t>
        </is>
      </c>
      <c r="S1" s="77" t="inlineStr">
        <is>
          <t>Indirect Category</t>
        </is>
      </c>
      <c r="T1" s="77" t="inlineStr">
        <is>
          <t>Indirect Taxonomy</t>
        </is>
      </c>
    </row>
    <row r="2" ht="141.75" customHeight="1">
      <c r="A2" s="141" t="inlineStr">
        <is>
          <t>00124835</t>
        </is>
      </c>
      <c r="B2" s="142" t="inlineStr">
        <is>
          <t>Tiendas Comunitarias - La Guajira</t>
        </is>
      </c>
      <c r="C2" s="143" t="inlineStr">
        <is>
          <t>https://www.undp.org/es/colombia/news/en-la-guajira-mujeres-rurales-lideran-tiendas-comunitarias-para-su-empoderamiento-econ%C3%B3mico
https://www.youtube.com/watch?v=6vtlQRzqaUw
https://open.undp.org/projects/00132166</t>
        </is>
      </c>
      <c r="D2" s="144" t="inlineStr">
        <is>
          <t xml:space="preserve">Project Budget 00132166: 
USD 340.151
Output Budget 00124835: 
USD 176.162 
Initiative Budget: 
USD 14,780 (8% of the total approved budget) </t>
        </is>
      </c>
      <c r="E2" s="7" t="inlineStr">
        <is>
          <t>Other Energy Services</t>
        </is>
      </c>
      <c r="F2" s="29" t="inlineStr">
        <is>
          <t>Number of stores in operation with photovoltaic system</t>
        </is>
      </c>
      <c r="G2" s="4" t="n">
        <v>0</v>
      </c>
      <c r="H2" s="70" t="n">
        <v>2</v>
      </c>
      <c r="I2" s="29" t="inlineStr">
        <is>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t>
        </is>
      </c>
      <c r="J2" s="145" t="inlineStr">
        <is>
          <t>Donor 00012: UNDP's Rapid Response Facility (RRF2) program https://www.undp.org/press-releases/covid-19-30-million-rapid-response-facility-launched-vulnerable-countries
Donor 00012: CO UNDP Funding
https://www.undp.org/es/colombia</t>
        </is>
      </c>
      <c r="K2" s="146" t="n"/>
      <c r="L2" s="105" t="n">
        <v>0.72</v>
      </c>
      <c r="M2" s="92" t="n"/>
      <c r="N2" s="92" t="n"/>
      <c r="O2" s="92" t="inlineStr">
        <is>
          <t>Efficiency</t>
        </is>
      </c>
      <c r="P2" s="92" t="inlineStr">
        <is>
          <t>Accelerating just energy transition</t>
        </is>
      </c>
      <c r="Q2" s="92" t="inlineStr">
        <is>
          <t>Electricity Access</t>
        </is>
      </c>
      <c r="R2" s="92" t="inlineStr">
        <is>
          <t>Action Opportunities</t>
        </is>
      </c>
      <c r="S2" s="92" t="inlineStr">
        <is>
          <t>Incentives and Support</t>
        </is>
      </c>
      <c r="T2" s="92" t="inlineStr">
        <is>
          <t>Electricity Access</t>
        </is>
      </c>
    </row>
    <row r="3" ht="30" customHeight="1">
      <c r="A3" s="147" t="n"/>
      <c r="B3" s="147" t="n"/>
      <c r="C3" s="147" t="n"/>
      <c r="D3" s="147" t="n"/>
      <c r="E3" s="7" t="inlineStr">
        <is>
          <t>Other Energy Services</t>
        </is>
      </c>
      <c r="F3" s="29" t="inlineStr">
        <is>
          <t>Number of people benefited from the stores</t>
        </is>
      </c>
      <c r="G3" s="3" t="n">
        <v>0</v>
      </c>
      <c r="H3" s="70" t="n">
        <v>69</v>
      </c>
      <c r="I3" s="147" t="n"/>
      <c r="J3" s="147" t="n"/>
      <c r="K3" s="148" t="n"/>
      <c r="L3" s="149" t="n"/>
      <c r="M3" s="149" t="n"/>
      <c r="N3" s="149" t="n"/>
      <c r="O3" s="149" t="n"/>
      <c r="P3" s="149" t="n"/>
      <c r="Q3" s="149" t="n"/>
      <c r="R3" s="149" t="n"/>
      <c r="S3" s="149" t="n"/>
      <c r="T3" s="149" t="n"/>
    </row>
    <row r="4" ht="165" customHeight="1">
      <c r="A4" s="141" t="inlineStr">
        <is>
          <t xml:space="preserve">00118585 </t>
        </is>
      </c>
      <c r="B4" s="142" t="inlineStr">
        <is>
          <t>Tiendas Comunitarias - Chocó</t>
        </is>
      </c>
      <c r="C4" s="143" t="inlineStr">
        <is>
          <t>https://pnudcolombia.exposure.co/juntas-y-poderosas
https://www.youtube.com/watch?v=h6buc3MubaY
https://open.undp.org/projects/00123292</t>
        </is>
      </c>
      <c r="D4" s="150" t="inlineStr">
        <is>
          <t xml:space="preserve">Project Budget 00123292: 
USD 11.631.345
Output Budget 00118585: 
Total USD 2.213.905,35
TRAC 55.946,27
MPTF 2.056.069,02 
Initiative Budget: 
USD 9.217  (0.4% of the total approved budget) </t>
        </is>
      </c>
      <c r="E4" s="7" t="inlineStr">
        <is>
          <t>Other Energy Services</t>
        </is>
      </c>
      <c r="F4" s="29" t="inlineStr">
        <is>
          <t>Number of stores in operation with photovoltaic system</t>
        </is>
      </c>
      <c r="G4" s="4" t="n">
        <v>0</v>
      </c>
      <c r="H4" s="71" t="n">
        <v>1</v>
      </c>
      <c r="I4" s="151" t="inlineStr">
        <is>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t>
        </is>
      </c>
      <c r="J4" s="145" t="inlineStr">
        <is>
          <t>Donor 12641: The United Nations Multi-Partner Trust Fund for Sustaining Peace in Colombia / (Previously Known As Mptf-Colombia Post-Conflict Unmptf)
https://mptf.undp.org/
Donor 00012: CO UNDP Funding
https://www.undp.org/es/colombia</t>
        </is>
      </c>
      <c r="K4" s="146" t="n"/>
      <c r="L4" s="105" t="n">
        <v>0.2</v>
      </c>
      <c r="M4" s="92" t="n"/>
      <c r="N4" s="92" t="n"/>
      <c r="O4" s="92" t="inlineStr">
        <is>
          <t>Efficiency</t>
        </is>
      </c>
      <c r="P4" s="92" t="inlineStr">
        <is>
          <t>Accelerating just energy transition</t>
        </is>
      </c>
      <c r="Q4" s="92" t="inlineStr">
        <is>
          <t>Electricity Access</t>
        </is>
      </c>
      <c r="R4" s="92" t="inlineStr">
        <is>
          <t>Action Opportunities</t>
        </is>
      </c>
      <c r="S4" s="92" t="inlineStr">
        <is>
          <t>Incentives and Support</t>
        </is>
      </c>
      <c r="T4" s="92" t="inlineStr">
        <is>
          <t>Electricity Access</t>
        </is>
      </c>
    </row>
    <row r="5" ht="30" customHeight="1">
      <c r="A5" s="147" t="n"/>
      <c r="B5" s="147" t="n"/>
      <c r="C5" s="147" t="n"/>
      <c r="D5" s="147" t="n"/>
      <c r="E5" s="7" t="inlineStr">
        <is>
          <t>Other Energy Services</t>
        </is>
      </c>
      <c r="F5" s="29" t="inlineStr">
        <is>
          <t>Number of people benefited from the stores</t>
        </is>
      </c>
      <c r="G5" s="3" t="n">
        <v>0</v>
      </c>
      <c r="H5" s="71" t="n">
        <v>56</v>
      </c>
      <c r="I5" s="147" t="n"/>
      <c r="J5" s="147" t="n"/>
      <c r="K5" s="148" t="n"/>
      <c r="L5" s="149" t="n"/>
      <c r="M5" s="149" t="n"/>
      <c r="N5" s="149" t="n"/>
      <c r="O5" s="149" t="n"/>
      <c r="P5" s="149" t="n"/>
      <c r="Q5" s="149" t="n"/>
      <c r="R5" s="149" t="n"/>
      <c r="S5" s="149" t="n"/>
      <c r="T5" s="149" t="n"/>
    </row>
    <row r="6" ht="409.5" customHeight="1">
      <c r="A6" s="54" t="inlineStr">
        <is>
          <t>00101702</t>
        </is>
      </c>
      <c r="B6" s="29" t="inlineStr">
        <is>
          <t xml:space="preserve">
Implement collective reparation measures in 7 ethnic communities and one non-ethnic community in photovoltaic power lines and definition of sustainability strategy</t>
        </is>
      </c>
      <c r="C6" s="31" t="inlineStr">
        <is>
          <t>https://open.undp.org/projects/00098331</t>
        </is>
      </c>
      <c r="D6" s="88" t="inlineStr">
        <is>
          <t xml:space="preserve">Project Budget:
USD 16.67M
Output Budget: 
USD 2.567.174
Initiative Budget: 
USD 3.627  (0.1% of the total approved budget) </t>
        </is>
      </c>
      <c r="E6" s="7" t="inlineStr">
        <is>
          <t>Energy (MW added)</t>
        </is>
      </c>
      <c r="F6" s="29" t="inlineStr">
        <is>
          <t xml:space="preserve">Number of victims of the army conflict with solutions for collective use for social appropriation </t>
        </is>
      </c>
      <c r="G6" s="3" t="n">
        <v>0</v>
      </c>
      <c r="H6" s="72" t="n">
        <v>16571</v>
      </c>
      <c r="I6" s="25" t="inlineStr">
        <is>
          <t>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Budget: initially 3.627 USD</t>
        </is>
      </c>
      <c r="J6" s="80" t="inlineStr">
        <is>
          <t>Donor 12844 Victims Unit (Government of Colombia) 
https://www.unidadvictimas.gov.co/es/
Donor 10503: Norwegian Government
https://www.regjeringen.no/en/id4/</t>
        </is>
      </c>
      <c r="K6" s="37" t="n"/>
      <c r="L6" s="78" t="n">
        <v>0.2</v>
      </c>
      <c r="M6" s="12" t="n"/>
      <c r="N6" s="12" t="n"/>
      <c r="O6" s="12" t="inlineStr">
        <is>
          <t>Efficiency</t>
        </is>
      </c>
      <c r="P6" s="12" t="inlineStr">
        <is>
          <t>Accelerating just energy transition</t>
        </is>
      </c>
      <c r="Q6" s="12" t="inlineStr">
        <is>
          <t>Electricity Access</t>
        </is>
      </c>
      <c r="R6" s="12" t="inlineStr">
        <is>
          <t>Action Opportunities</t>
        </is>
      </c>
      <c r="S6" s="12" t="inlineStr">
        <is>
          <t>National Strategy</t>
        </is>
      </c>
      <c r="T6" s="12" t="inlineStr">
        <is>
          <t>Electricity Access</t>
        </is>
      </c>
    </row>
    <row r="7">
      <c r="A7" s="55" t="n"/>
      <c r="B7" s="18" t="n"/>
      <c r="C7" s="32" t="n"/>
      <c r="D7" s="13" t="n"/>
      <c r="E7" s="18" t="n"/>
      <c r="F7" s="19" t="n"/>
      <c r="G7" s="33" t="n"/>
      <c r="H7" s="73" t="n"/>
    </row>
    <row r="8">
      <c r="A8" s="55" t="n"/>
      <c r="B8" s="18" t="n"/>
      <c r="C8" s="32" t="n"/>
      <c r="D8" s="13" t="n"/>
      <c r="E8" s="18" t="n"/>
      <c r="F8" s="19" t="n"/>
      <c r="G8" s="33" t="n"/>
      <c r="H8" s="73" t="n"/>
    </row>
    <row r="9">
      <c r="A9" s="55" t="n"/>
      <c r="C9" s="32" t="n"/>
      <c r="D9" s="79" t="n"/>
      <c r="E9" s="18" t="n"/>
      <c r="F9" s="19" t="n"/>
      <c r="G9" s="33" t="n"/>
      <c r="H9" s="73" t="n"/>
    </row>
    <row r="10">
      <c r="A10" s="55" t="n"/>
      <c r="B10" s="18" t="n"/>
      <c r="C10" s="32" t="n"/>
      <c r="D10" s="13" t="n"/>
      <c r="E10" s="18" t="n"/>
      <c r="F10" s="19" t="n"/>
      <c r="G10" s="33" t="n"/>
      <c r="H10" s="73" t="n"/>
    </row>
    <row r="11">
      <c r="D11" s="27" t="n">
        <v>723600</v>
      </c>
      <c r="E11" s="81" t="n">
        <v>0.001412837618330507</v>
      </c>
    </row>
    <row r="12">
      <c r="D12" s="27" t="n">
        <v>122417</v>
      </c>
    </row>
    <row r="13">
      <c r="D13" s="27" t="n">
        <v>1150000</v>
      </c>
    </row>
    <row r="14">
      <c r="B14" s="26" t="n"/>
      <c r="D14" s="27" t="n">
        <v>571157</v>
      </c>
      <c r="H14" s="74" t="n"/>
    </row>
    <row r="16">
      <c r="D16" s="27" t="n">
        <v>2567174</v>
      </c>
    </row>
  </sheetData>
  <mergeCells count="32">
    <mergeCell ref="R4:R5"/>
    <mergeCell ref="C4:C5"/>
    <mergeCell ref="T4:T5"/>
    <mergeCell ref="O4:O5"/>
    <mergeCell ref="M2:M3"/>
    <mergeCell ref="B2:B3"/>
    <mergeCell ref="N2:N3"/>
    <mergeCell ref="D2:D3"/>
    <mergeCell ref="P2:P3"/>
    <mergeCell ref="Q4:Q5"/>
    <mergeCell ref="D4:D5"/>
    <mergeCell ref="J4:J5"/>
    <mergeCell ref="L4:L5"/>
    <mergeCell ref="A2:A3"/>
    <mergeCell ref="T2:T3"/>
    <mergeCell ref="C2:C3"/>
    <mergeCell ref="K2:K3"/>
    <mergeCell ref="A4:A5"/>
    <mergeCell ref="I4:I5"/>
    <mergeCell ref="K4:K5"/>
    <mergeCell ref="O2:O3"/>
    <mergeCell ref="S4:S5"/>
    <mergeCell ref="Q2:Q3"/>
    <mergeCell ref="R2:R3"/>
    <mergeCell ref="J2:J3"/>
    <mergeCell ref="L2:L3"/>
    <mergeCell ref="M4:M5"/>
    <mergeCell ref="B4:B5"/>
    <mergeCell ref="N4:N5"/>
    <mergeCell ref="P4:P5"/>
    <mergeCell ref="S2:S3"/>
    <mergeCell ref="I2:I3"/>
  </mergeCells>
  <hyperlinks>
    <hyperlink xmlns:r="http://schemas.openxmlformats.org/officeDocument/2006/relationships" ref="C2" display="https://www.undp.org/es/colombia/news/en-la-guajira-mujeres-rurales-lideran-tiendas-comunitarias-para-su-empoderamiento-econ%C3%B3mico_x000a__x000a_https://www.youtube.com/watch?v=6vtlQRzqaUw" r:id="rId1"/>
    <hyperlink xmlns:r="http://schemas.openxmlformats.org/officeDocument/2006/relationships" ref="C4" display="https://pnudcolombia.exposure.co/juntas-y-poderosas_x000a__x000a_https://www.youtube.com/watch?v=h6buc3MubaY" r:id="rId2"/>
    <hyperlink xmlns:r="http://schemas.openxmlformats.org/officeDocument/2006/relationships" ref="C6" r:id="rId3"/>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K14"/>
  <sheetViews>
    <sheetView topLeftCell="E1" zoomScale="70" zoomScaleNormal="70" workbookViewId="0">
      <pane ySplit="1" topLeftCell="A2" activePane="bottomLeft" state="frozen"/>
      <selection pane="bottomLeft" activeCell="J2" sqref="J2:J3"/>
    </sheetView>
  </sheetViews>
  <sheetFormatPr baseColWidth="8" defaultColWidth="8.85546875" defaultRowHeight="15"/>
  <cols>
    <col width="15.7109375" customWidth="1" style="56" min="1" max="1"/>
    <col width="41.7109375" customWidth="1" style="36" min="2" max="3"/>
    <col width="23.85546875" customWidth="1" style="51" min="4" max="4"/>
    <col width="28.5703125" customWidth="1" style="36" min="5" max="5"/>
    <col width="35" customWidth="1" style="41" min="6" max="6"/>
    <col width="19.85546875" customWidth="1" style="36" min="7" max="7"/>
    <col width="21.5703125" customWidth="1" style="41" min="8" max="8"/>
    <col width="65.140625" customWidth="1" style="41" min="9" max="9"/>
    <col width="35.28515625" bestFit="1" customWidth="1" style="36" min="10" max="10"/>
    <col width="53.28515625" customWidth="1" style="36" min="11" max="11"/>
    <col width="8.85546875" customWidth="1" style="36" min="12" max="16384"/>
  </cols>
  <sheetData>
    <row r="1">
      <c r="A1" s="58" t="inlineStr">
        <is>
          <t>Project ID</t>
        </is>
      </c>
      <c r="B1" s="48" t="inlineStr">
        <is>
          <t>Title</t>
        </is>
      </c>
      <c r="C1" s="48" t="inlineStr">
        <is>
          <t>Link</t>
        </is>
      </c>
      <c r="D1" s="49" t="inlineStr">
        <is>
          <t>Budget (USD)</t>
        </is>
      </c>
      <c r="E1" s="48" t="inlineStr">
        <is>
          <t>Beneficiary Category</t>
        </is>
      </c>
      <c r="F1" s="48" t="inlineStr">
        <is>
          <t>Indicator</t>
        </is>
      </c>
      <c r="G1" s="48" t="inlineStr">
        <is>
          <t>Baseline</t>
        </is>
      </c>
      <c r="H1" s="48" t="inlineStr">
        <is>
          <t>Target</t>
        </is>
      </c>
      <c r="I1" s="48" t="inlineStr">
        <is>
          <t>Notes</t>
        </is>
      </c>
      <c r="J1" s="48" t="inlineStr">
        <is>
          <t>Donors</t>
        </is>
      </c>
      <c r="K1" s="48" t="inlineStr">
        <is>
          <t xml:space="preserve">Comments </t>
        </is>
      </c>
    </row>
    <row r="2" ht="141.75" customHeight="1">
      <c r="A2" s="116" t="inlineStr">
        <is>
          <t>00124835</t>
        </is>
      </c>
      <c r="B2" s="115" t="inlineStr">
        <is>
          <t>Tiendas Comunitarias - La Guajira</t>
        </is>
      </c>
      <c r="C2" s="152" t="inlineStr">
        <is>
          <t>https://www.undp.org/es/colombia/news/en-la-guajira-mujeres-rurales-lideran-tiendas-comunitarias-para-su-empoderamiento-econ%C3%B3mico
https://www.youtube.com/watch?v=6vtlQRzqaUw
https://open.undp.org/projects/00132166</t>
        </is>
      </c>
      <c r="D2" s="132" t="inlineStr">
        <is>
          <t xml:space="preserve">Project Budget 00132166: 
USD 340.151
Output Budget 00124835: 
USD 176.162 
Initiative Budget: 
USD 14,780 (8% of the total approved budget) </t>
        </is>
      </c>
      <c r="E2" s="45" t="inlineStr">
        <is>
          <t>Other Energy Services</t>
        </is>
      </c>
      <c r="F2" s="46" t="inlineStr">
        <is>
          <t>Number of stores in operation with photovoltaic system</t>
        </is>
      </c>
      <c r="G2" s="46" t="inlineStr">
        <is>
          <t xml:space="preserve">0 stores
</t>
        </is>
      </c>
      <c r="H2" s="46" t="inlineStr">
        <is>
          <t>2 store in operation with photovoltaic system</t>
        </is>
      </c>
      <c r="I2" s="46" t="inlineStr">
        <is>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t>
        </is>
      </c>
      <c r="J2" s="153" t="inlineStr">
        <is>
          <t>Donor 00012: UNDP's Rapid Response Facility (RRF2) program https://www.undp.org/press-releases/covid-19-30-million-rapid-response-facility-launched-vulnerable-countries
Donor 00012: CO UNDP Funding
https://www.undp.org/es/colombia</t>
        </is>
      </c>
      <c r="K2" s="154" t="n"/>
    </row>
    <row r="3" ht="30" customHeight="1">
      <c r="A3" s="149" t="n"/>
      <c r="B3" s="149" t="n"/>
      <c r="C3" s="149" t="n"/>
      <c r="D3" s="149" t="n"/>
      <c r="E3" s="45" t="inlineStr">
        <is>
          <t>Other Energy Services</t>
        </is>
      </c>
      <c r="F3" s="46" t="inlineStr">
        <is>
          <t>Number of people benefited from the stores</t>
        </is>
      </c>
      <c r="G3" s="45" t="inlineStr">
        <is>
          <t>0 people</t>
        </is>
      </c>
      <c r="H3" s="46" t="inlineStr">
        <is>
          <t>68 people benefited.</t>
        </is>
      </c>
      <c r="I3" s="149" t="n"/>
      <c r="J3" s="149" t="n"/>
      <c r="K3" s="149" t="n"/>
    </row>
    <row r="4" ht="165" customHeight="1">
      <c r="A4" s="116" t="inlineStr">
        <is>
          <t>00118585</t>
        </is>
      </c>
      <c r="B4" s="115" t="inlineStr">
        <is>
          <t>Tiendas Comunitarias - Chocó</t>
        </is>
      </c>
      <c r="C4" s="155" t="inlineStr">
        <is>
          <t>https://pnudcolombia.exposure.co/juntas-y-poderosas
https://www.youtube.com/watch?v=h6buc3MubaY
https://open.undp.org/projects/00123292</t>
        </is>
      </c>
      <c r="D4" s="156" t="inlineStr">
        <is>
          <t xml:space="preserve">Project Budget 00123292: 
USD 11.631.345
Output Budget 00118585: 
Total USD 2.213.905,35
TRAC 55.946,27
MPTF 2.056.069,02 
Initiative Budget: 
USD 9.217 (0.4% of the total approved budget) </t>
        </is>
      </c>
      <c r="E4" s="45" t="inlineStr">
        <is>
          <t>Other Energy Services</t>
        </is>
      </c>
      <c r="F4" s="46" t="inlineStr">
        <is>
          <t>Number of stores in operation with photovoltaic system</t>
        </is>
      </c>
      <c r="G4" s="46" t="inlineStr">
        <is>
          <t xml:space="preserve">0 stores
</t>
        </is>
      </c>
      <c r="H4" s="119" t="inlineStr">
        <is>
          <t>1 store in operation with photovoltaic system</t>
        </is>
      </c>
      <c r="I4" s="119" t="inlineStr">
        <is>
          <t>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t>
        </is>
      </c>
      <c r="J4" s="82" t="inlineStr">
        <is>
          <t>Donor 12641: The United Nations Multi-Partner Trust Fund for Sustaining Peace in Colombia / (Previously Known As Mptf-Colombia Post-Conflict Unmptf)
https://mptf.undp.org/
Donor 00012: CO UNDP Funding
https://www.undp.org/es/colombia</t>
        </is>
      </c>
      <c r="K4" s="157" t="n"/>
    </row>
    <row r="5" ht="30" customHeight="1">
      <c r="A5" s="149" t="n"/>
      <c r="B5" s="149" t="n"/>
      <c r="C5" s="158" t="n"/>
      <c r="D5" s="149" t="n"/>
      <c r="E5" s="45" t="inlineStr">
        <is>
          <t>Other Energy Services</t>
        </is>
      </c>
      <c r="F5" s="46" t="inlineStr">
        <is>
          <t>Number of people benefited from the stores</t>
        </is>
      </c>
      <c r="G5" s="45" t="inlineStr">
        <is>
          <t>0 people</t>
        </is>
      </c>
      <c r="H5" s="119" t="inlineStr">
        <is>
          <t xml:space="preserve">56 people benefited. </t>
        </is>
      </c>
      <c r="I5" s="149" t="n"/>
      <c r="J5" s="149" t="n"/>
      <c r="K5" s="149" t="n"/>
    </row>
    <row r="6" ht="409.5" customHeight="1">
      <c r="A6" s="116" t="inlineStr">
        <is>
          <t>00101702</t>
        </is>
      </c>
      <c r="B6" s="2" t="inlineStr">
        <is>
          <t xml:space="preserve">
Implement collective reparation measures in 7 ethnic communities and one non-ethnic community in photovoltaic power lines and definition of sustainability strategy</t>
        </is>
      </c>
      <c r="C6" s="60" t="inlineStr">
        <is>
          <t>https://open.undp.org/projects/00098331</t>
        </is>
      </c>
      <c r="D6" s="132" t="inlineStr">
        <is>
          <t xml:space="preserve">Project Budget:
USD 16.67M
Output Budget: 
USD 2.567.174
Initiative Budget: 
USD 3.627  (0.1% of the total approved budget) </t>
        </is>
      </c>
      <c r="E6" s="45" t="inlineStr">
        <is>
          <t>Energy (MW added)</t>
        </is>
      </c>
      <c r="F6" s="45" t="inlineStr">
        <is>
          <t xml:space="preserve">16.571  (Direct) </t>
        </is>
      </c>
      <c r="G6" s="45" t="n">
        <v>0</v>
      </c>
      <c r="H6" s="46" t="inlineStr">
        <is>
          <t>Collective Communities - Victims of the army conflict.</t>
        </is>
      </c>
      <c r="I6" s="46" t="inlineStr">
        <is>
          <t xml:space="preserve">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t>
        </is>
      </c>
      <c r="J6" s="82" t="inlineStr">
        <is>
          <t>Donor 12844 Victims Unit (Government of Colombia) 
https://www.unidadvictimas.gov.co/es/
Donor 10503: Norwegian Government
https://www.regjeringen.no/en/id4/</t>
        </is>
      </c>
      <c r="K6" s="115" t="n"/>
    </row>
    <row r="7">
      <c r="A7" s="55" t="n"/>
      <c r="B7" s="14" t="n"/>
      <c r="C7" s="42" t="n"/>
      <c r="D7" s="50" t="n"/>
      <c r="E7" s="14" t="n"/>
      <c r="F7" s="16" t="n"/>
      <c r="G7" s="14" t="n"/>
      <c r="H7" s="14" t="n"/>
    </row>
    <row r="8">
      <c r="A8" s="55" t="n"/>
      <c r="B8" s="14" t="n"/>
      <c r="C8" s="42" t="n"/>
      <c r="D8" s="50" t="n"/>
      <c r="E8" s="14" t="n"/>
      <c r="F8" s="16" t="n"/>
      <c r="G8" s="14" t="n"/>
      <c r="H8" s="14" t="n"/>
    </row>
    <row r="9">
      <c r="A9" s="55" t="n"/>
      <c r="C9" s="42" t="n"/>
      <c r="D9" s="50" t="n"/>
      <c r="E9" s="14" t="n"/>
      <c r="F9" s="16" t="n"/>
      <c r="G9" s="14" t="n"/>
      <c r="H9" s="14" t="n"/>
    </row>
    <row r="10">
      <c r="A10" s="55" t="n"/>
      <c r="B10" s="14" t="n"/>
      <c r="C10" s="42" t="n"/>
      <c r="D10" s="50" t="n"/>
      <c r="E10" s="14" t="n"/>
      <c r="F10" s="16" t="n"/>
      <c r="G10" s="14" t="n"/>
      <c r="H10" s="14" t="n"/>
    </row>
    <row r="14">
      <c r="B14" s="43" t="n"/>
    </row>
  </sheetData>
  <mergeCells count="14">
    <mergeCell ref="B4:B5"/>
    <mergeCell ref="C4:C5"/>
    <mergeCell ref="A4:A5"/>
    <mergeCell ref="D4:D5"/>
    <mergeCell ref="J4:J5"/>
    <mergeCell ref="I4:I5"/>
    <mergeCell ref="K4:K5"/>
    <mergeCell ref="D2:D3"/>
    <mergeCell ref="K2:K3"/>
    <mergeCell ref="B2:B3"/>
    <mergeCell ref="A2:A3"/>
    <mergeCell ref="C2:C3"/>
    <mergeCell ref="J2:J3"/>
    <mergeCell ref="I2:I3"/>
  </mergeCells>
  <hyperlinks>
    <hyperlink xmlns:r="http://schemas.openxmlformats.org/officeDocument/2006/relationships" ref="C2" display="https://www.undp.org/es/colombia/news/en-la-guajira-mujeres-rurales-lideran-tiendas-comunitarias-para-su-empoderamiento-econ%C3%B3mico_x000a__x000a_https://www.youtube.com/watch?v=6vtlQRzqaUw" r:id="rId1"/>
    <hyperlink xmlns:r="http://schemas.openxmlformats.org/officeDocument/2006/relationships" ref="C4" display="https://pnudcolombia.exposure.co/juntas-y-poderosas_x000a__x000a_https://www.youtube.com/watch?v=h6buc3MubaY" r:id="rId2"/>
    <hyperlink xmlns:r="http://schemas.openxmlformats.org/officeDocument/2006/relationships" ref="C6" r:id="rId3"/>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topLeftCell="A4"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s>
  <sheetData>
    <row r="1">
      <c r="A1" s="159" t="inlineStr">
        <is>
          <t>Beneficiary Category</t>
        </is>
      </c>
      <c r="B1" s="159" t="inlineStr">
        <is>
          <t>Indicator</t>
        </is>
      </c>
    </row>
    <row r="2" ht="30" customHeight="1">
      <c r="A2" s="160" t="inlineStr">
        <is>
          <t>Electricity Access</t>
        </is>
      </c>
      <c r="B2" s="160" t="inlineStr">
        <is>
          <t>Number of people, disaggregated by sex, who gain access to clean electricity (direct access to electricity, lighting, cooling, etc.).</t>
        </is>
      </c>
    </row>
    <row r="3">
      <c r="A3" s="160" t="inlineStr">
        <is>
          <t>Energy (MW added)</t>
        </is>
      </c>
      <c r="B3" s="160" t="inlineStr">
        <is>
          <t>Installed renewable or clean-energy power capacity added, in MW.</t>
        </is>
      </c>
    </row>
    <row r="4" ht="30" customHeight="1">
      <c r="A4" s="160" t="inlineStr">
        <is>
          <t>Energy Storage (MW)</t>
        </is>
      </c>
      <c r="B4" s="160" t="inlineStr">
        <is>
          <t>Installed energy storage power capacity added, in MW.</t>
        </is>
      </c>
    </row>
    <row r="5" ht="30" customHeight="1">
      <c r="A5" s="160" t="inlineStr">
        <is>
          <t>Clean Cooking</t>
        </is>
      </c>
      <c r="B5" s="160" t="inlineStr">
        <is>
          <t>Number of people who gain access to clean cooking (direct access to clean cook stoves, clean fuels, biomass, etc.).</t>
        </is>
      </c>
    </row>
    <row r="6" ht="60" customHeight="1">
      <c r="A6" s="160" t="inlineStr">
        <is>
          <t>Clean Heating</t>
        </is>
      </c>
      <c r="B6" s="160" t="inlineStr">
        <is>
          <t>Number of people who gain access to clean heating (direct access to clean electric heaters, clean fuels, etc.).</t>
        </is>
      </c>
    </row>
    <row r="7" ht="30" customHeight="1">
      <c r="A7" s="160" t="inlineStr">
        <is>
          <t>Agriculture and Food System</t>
        </is>
      </c>
      <c r="B7" s="160" t="inlineStr">
        <is>
          <t>Number of people who gain access to clean, affordable, and sustainable energy for agricultural and food-system activities.</t>
        </is>
      </c>
    </row>
    <row r="8" ht="30" customHeight="1">
      <c r="A8" s="160" t="inlineStr">
        <is>
          <t>Health Services</t>
        </is>
      </c>
      <c r="B8" s="160" t="inlineStr">
        <is>
          <t>Number of people who gain access to health care facilities through clean energy systems.</t>
        </is>
      </c>
    </row>
    <row r="9" ht="30" customHeight="1">
      <c r="A9" s="160" t="inlineStr">
        <is>
          <t>Water Services</t>
        </is>
      </c>
      <c r="B9" s="160" t="inlineStr">
        <is>
          <t>Number of people who gain access to water services through clean energy systems.</t>
        </is>
      </c>
    </row>
    <row r="10" ht="30" customHeight="1">
      <c r="A10" s="160" t="inlineStr">
        <is>
          <t>Education Services</t>
        </is>
      </c>
      <c r="B10" s="160" t="inlineStr">
        <is>
          <t>Number of people who gain access to education services through clean energy systems, including students and teachers.</t>
        </is>
      </c>
    </row>
    <row r="11">
      <c r="A11" s="160" t="inlineStr">
        <is>
          <t>Transportation and E-mobility Services</t>
        </is>
      </c>
      <c r="B11" s="160" t="inlineStr">
        <is>
          <t>Number of people served or energy saved from transport and e-mobility interventions, such as electric vehicles or charging stations.</t>
        </is>
      </c>
    </row>
    <row r="12" ht="30" customHeight="1">
      <c r="A12" s="160" t="inlineStr">
        <is>
          <t>Energy Efficiency Services</t>
        </is>
      </c>
      <c r="B12" s="160" t="inlineStr">
        <is>
          <t>Energy saved from energy-efficiency interventions, such as building or industrial efficiency.</t>
        </is>
      </c>
    </row>
    <row r="13">
      <c r="A13" s="160" t="inlineStr">
        <is>
          <t>Energy Infrastructure Services</t>
        </is>
      </c>
      <c r="B13" s="160" t="inlineStr">
        <is>
          <t>Number of people benefiting from energy infrastructure interventions, such as streetlights, transmission, and distribution lines.</t>
        </is>
      </c>
    </row>
    <row r="14">
      <c r="A14" s="160" t="inlineStr">
        <is>
          <t>Other Energy Services</t>
        </is>
      </c>
      <c r="B14" s="160" t="inlineStr">
        <is>
          <t>Access to other energy services not captured by the categories above.</t>
        </is>
      </c>
    </row>
    <row r="15">
      <c r="A15" s="160" t="inlineStr">
        <is>
          <t>Financing support</t>
        </is>
      </c>
      <c r="B15" s="160" t="inlineStr">
        <is>
          <t>Support for the development of the energy market ecosystem.</t>
        </is>
      </c>
    </row>
    <row r="16">
      <c r="A16" s="160" t="inlineStr">
        <is>
          <t>Medium Enterprises</t>
        </is>
      </c>
      <c r="B16" s="160" t="inlineStr">
        <is>
          <t>Support for the development of medium enterprises in the energy transition market.</t>
        </is>
      </c>
    </row>
    <row r="17" ht="30" customHeight="1">
      <c r="A17" s="160" t="inlineStr">
        <is>
          <t>Small Enterprises</t>
        </is>
      </c>
      <c r="B17" s="160" t="inlineStr">
        <is>
          <t>Support for the development of small enterprises in the energy transition market.</t>
        </is>
      </c>
    </row>
    <row r="18">
      <c r="A18" s="160" t="inlineStr">
        <is>
          <t>Capacity Building Training</t>
        </is>
      </c>
      <c r="B18" s="160" t="inlineStr">
        <is>
          <t>Number of people benefiting from training on energy business, energy finance, or related implementation capacity.</t>
        </is>
      </c>
    </row>
    <row r="19" ht="45" customHeight="1">
      <c r="A19" s="160" t="inlineStr">
        <is>
          <t>Entrepreneurship Training</t>
        </is>
      </c>
      <c r="B19" s="160" t="inlineStr">
        <is>
          <t>Training for enterprises on the energy business, assumed to result in direct beneficiaries.</t>
        </is>
      </c>
    </row>
    <row r="20">
      <c r="A20" s="160" t="inlineStr">
        <is>
          <t>Market Intervention</t>
        </is>
      </c>
      <c r="B20" s="160" t="inlineStr">
        <is>
          <t>Volume of investment leveraged or barriers removed for clean, reliable, affordable, and sustainable energy solutions.</t>
        </is>
      </c>
    </row>
    <row r="21" ht="30" customHeight="1">
      <c r="A21" s="160" t="inlineStr">
        <is>
          <t>Campaign Participant</t>
        </is>
      </c>
      <c r="B21" s="160" t="inlineStr">
        <is>
          <t>Individuals who participate in advocacy or awareness campaigns on energy.</t>
        </is>
      </c>
    </row>
    <row r="22">
      <c r="A22" s="160" t="inlineStr">
        <is>
          <t>Policy or Regulatory Framework</t>
        </is>
      </c>
      <c r="B22" s="160" t="inlineStr">
        <is>
          <t>Policies, regulations, strategies, plans, or frameworks developed, approved, implemented, or strengthened.</t>
        </is>
      </c>
    </row>
    <row r="23">
      <c r="A23" s="160" t="inlineStr">
        <is>
          <t>GHG Emissions Reduction</t>
        </is>
      </c>
      <c r="B23" s="160" t="inlineStr">
        <is>
          <t>Greenhouse gas emissions reduced or mitigated, in tCO2e.</t>
        </is>
      </c>
    </row>
    <row r="24">
      <c r="A24" s="160" t="inlineStr">
        <is>
          <t>Other</t>
        </is>
      </c>
      <c r="B24" s="16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Nazly Gutierrez</dc:creator>
  <dcterms:created xmlns:dcterms="http://purl.org/dc/terms/" xmlns:xsi="http://www.w3.org/2001/XMLSchema-instance" xsi:type="dcterms:W3CDTF">2023-05-05T09:33:41Z</dcterms:created>
  <dcterms:modified xmlns:dcterms="http://purl.org/dc/terms/" xmlns:xsi="http://www.w3.org/2001/XMLSchema-instance" xsi:type="dcterms:W3CDTF">2026-06-10T12:20:13Z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