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Projects (2) bis" sheetId="4" state="hidden"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color rgb="FF000000"/>
      <sz val="11"/>
    </font>
    <font>
      <name val="Calibri"/>
      <color rgb="FFFF0000"/>
      <sz val="11"/>
    </font>
    <font>
      <name val="Calibri"/>
      <color theme="1"/>
      <sz val="11"/>
    </font>
    <font>
      <name val="Calibri"/>
      <b val="1"/>
      <color theme="1"/>
      <sz val="11"/>
      <scheme val="minor"/>
    </font>
    <font>
      <name val="Calibri"/>
      <color rgb="FF000000"/>
      <sz val="11"/>
      <scheme val="minor"/>
    </font>
    <font>
      <name val="Times New Roman"/>
      <charset val="1"/>
      <color rgb="FF000000"/>
      <sz val="13.5"/>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C000"/>
        <bgColor indexed="64"/>
      </patternFill>
    </fill>
    <fill>
      <patternFill patternType="solid">
        <fgColor rgb="00FFFF00"/>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xf numFmtId="0" fontId="9" fillId="0" borderId="0"/>
  </cellStyleXfs>
  <cellXfs count="65">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2" fillId="0" borderId="0" pivotButton="0" quotePrefix="0" xfId="0"/>
    <xf numFmtId="0" fontId="0" fillId="0" borderId="0" applyAlignment="1" pivotButton="0" quotePrefix="0" xfId="0">
      <alignment wrapText="1"/>
    </xf>
    <xf numFmtId="3" fontId="0" fillId="0" borderId="0" pivotButton="0" quotePrefix="0" xfId="0"/>
    <xf numFmtId="0" fontId="5" fillId="0" borderId="0" applyAlignment="1" pivotButton="0" quotePrefix="0" xfId="0">
      <alignment wrapText="1"/>
    </xf>
    <xf numFmtId="0" fontId="0" fillId="0" borderId="0" applyAlignment="1" pivotButton="0" quotePrefix="0" xfId="0">
      <alignment horizontal="center" vertical="center" wrapText="1"/>
    </xf>
    <xf numFmtId="0" fontId="0" fillId="2" borderId="0" applyAlignment="1" pivotButton="0" quotePrefix="0" xfId="0">
      <alignment wrapText="1"/>
    </xf>
    <xf numFmtId="0" fontId="2" fillId="0" borderId="2" applyAlignment="1" pivotButton="0" quotePrefix="0" xfId="0">
      <alignment horizontal="center" vertical="top"/>
    </xf>
    <xf numFmtId="0" fontId="2" fillId="0" borderId="2" pivotButton="0" quotePrefix="0" xfId="0"/>
    <xf numFmtId="0" fontId="0" fillId="0" borderId="2" pivotButton="0" quotePrefix="0" xfId="0"/>
    <xf numFmtId="0" fontId="0" fillId="0" borderId="2" applyAlignment="1" pivotButton="0" quotePrefix="0" xfId="0">
      <alignment wrapText="1"/>
    </xf>
    <xf numFmtId="0" fontId="0" fillId="2" borderId="2" pivotButton="0" quotePrefix="0" xfId="0"/>
    <xf numFmtId="0" fontId="0" fillId="2" borderId="2" applyAlignment="1" pivotButton="0" quotePrefix="0" xfId="0">
      <alignment wrapText="1"/>
    </xf>
    <xf numFmtId="0" fontId="5" fillId="0" borderId="2" applyAlignment="1" pivotButton="0" quotePrefix="0" xfId="0">
      <alignment wrapText="1"/>
    </xf>
    <xf numFmtId="3" fontId="0" fillId="0" borderId="2" pivotButton="0" quotePrefix="0" xfId="0"/>
    <xf numFmtId="0" fontId="0" fillId="0" borderId="2" applyAlignment="1" pivotButton="0" quotePrefix="0" xfId="0">
      <alignment horizontal="center" vertical="center" wrapText="1"/>
    </xf>
    <xf numFmtId="0" fontId="0" fillId="2" borderId="2" applyAlignment="1" pivotButton="0" quotePrefix="0" xfId="0">
      <alignment vertical="center"/>
    </xf>
    <xf numFmtId="0" fontId="0" fillId="2" borderId="2" applyAlignment="1" pivotButton="0" quotePrefix="0" xfId="0">
      <alignment vertical="center" wrapText="1"/>
    </xf>
    <xf numFmtId="49" fontId="0" fillId="2" borderId="2" applyAlignment="1" pivotButton="0" quotePrefix="0" xfId="0">
      <alignment wrapText="1"/>
    </xf>
    <xf numFmtId="9" fontId="0" fillId="0" borderId="2" pivotButton="0" quotePrefix="0" xfId="0"/>
    <xf numFmtId="0" fontId="2" fillId="0" borderId="2" applyAlignment="1" pivotButton="0" quotePrefix="0" xfId="0">
      <alignment horizontal="center" vertical="top" wrapText="1"/>
    </xf>
    <xf numFmtId="0" fontId="2" fillId="0" borderId="2" applyAlignment="1" pivotButton="0" quotePrefix="0" xfId="0">
      <alignment wrapText="1"/>
    </xf>
    <xf numFmtId="0" fontId="0" fillId="0" borderId="2" applyAlignment="1" pivotButton="0" quotePrefix="0" xfId="0">
      <alignment vertical="center" wrapText="1"/>
    </xf>
    <xf numFmtId="9" fontId="0" fillId="0" borderId="2" applyAlignment="1" pivotButton="0" quotePrefix="0" xfId="0">
      <alignment vertical="center" wrapText="1"/>
    </xf>
    <xf numFmtId="0" fontId="5" fillId="0" borderId="2" applyAlignment="1" pivotButton="0" quotePrefix="0" xfId="0">
      <alignment vertical="center" wrapText="1"/>
    </xf>
    <xf numFmtId="0" fontId="0" fillId="0" borderId="2" applyAlignment="1" pivotButton="0" quotePrefix="0" xfId="0">
      <alignment horizontal="center" vertical="center"/>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5" applyAlignment="1" pivotButton="0" quotePrefix="0" xfId="0">
      <alignment horizontal="center"/>
    </xf>
    <xf numFmtId="0" fontId="2" fillId="0" borderId="3"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2" applyAlignment="1" pivotButton="0" quotePrefix="0" xfId="0">
      <alignment vertical="center"/>
    </xf>
    <xf numFmtId="0" fontId="0" fillId="0" borderId="0" applyAlignment="1" pivotButton="0" quotePrefix="0" xfId="0">
      <alignment horizontal="center" vertical="center"/>
    </xf>
    <xf numFmtId="0" fontId="2" fillId="3" borderId="2" applyAlignment="1" pivotButton="0" quotePrefix="0" xfId="0">
      <alignment horizontal="center" vertical="top" wrapText="1"/>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49" fontId="0" fillId="3" borderId="2" applyAlignment="1" pivotButton="0" quotePrefix="0" xfId="0">
      <alignment vertical="center" wrapText="1"/>
    </xf>
    <xf numFmtId="3" fontId="0" fillId="3" borderId="2" applyAlignment="1" pivotButton="0" quotePrefix="0" xfId="0">
      <alignment vertical="center" wrapText="1"/>
    </xf>
    <xf numFmtId="0" fontId="2" fillId="3" borderId="2" applyAlignment="1" pivotButton="0" quotePrefix="0" xfId="0">
      <alignment wrapText="1"/>
    </xf>
    <xf numFmtId="3" fontId="8" fillId="0" borderId="0" pivotButton="0" quotePrefix="0" xfId="0"/>
    <xf numFmtId="0" fontId="0" fillId="0" borderId="0" applyAlignment="1" pivotButton="0" quotePrefix="0" xfId="0">
      <alignment vertical="top" wrapText="1"/>
    </xf>
    <xf numFmtId="0" fontId="9" fillId="0" borderId="0" pivotButton="0" quotePrefix="0" xfId="1"/>
    <xf numFmtId="0" fontId="0" fillId="0" borderId="3" applyAlignment="1" pivotButton="0" quotePrefix="0" xfId="0">
      <alignment horizontal="center"/>
    </xf>
    <xf numFmtId="0" fontId="0" fillId="0" borderId="4"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2" applyAlignment="1" pivotButton="0" quotePrefix="0" xfId="0">
      <alignment horizontal="center" vertical="center" wrapText="1"/>
    </xf>
    <xf numFmtId="49" fontId="0" fillId="4" borderId="2" applyAlignment="1" pivotButton="0" quotePrefix="0" xfId="0">
      <alignment vertical="center" wrapText="1"/>
    </xf>
    <xf numFmtId="0" fontId="0" fillId="4" borderId="2" applyAlignment="1" pivotButton="0" quotePrefix="0" xfId="0">
      <alignment vertical="center" wrapText="1"/>
    </xf>
    <xf numFmtId="3" fontId="0" fillId="4" borderId="2" applyAlignment="1" pivotButton="0" quotePrefix="0" xfId="0">
      <alignment vertical="center" wrapText="1"/>
    </xf>
    <xf numFmtId="3" fontId="8" fillId="4" borderId="0" pivotButton="0" quotePrefix="0" xfId="0"/>
    <xf numFmtId="0" fontId="0" fillId="4" borderId="0" applyAlignment="1" pivotButton="0" quotePrefix="0" xfId="0">
      <alignment vertical="top" wrapText="1"/>
    </xf>
    <xf numFmtId="0" fontId="0" fillId="4" borderId="0" applyAlignment="1" pivotButton="0" quotePrefix="0" xfId="0">
      <alignment horizontal="center" vertical="center"/>
    </xf>
    <xf numFmtId="0" fontId="0" fillId="0" borderId="2" applyAlignment="1" pivotButton="0" quotePrefix="0" xfId="0">
      <alignment horizontal="center"/>
    </xf>
    <xf numFmtId="0" fontId="0" fillId="0" borderId="2" applyAlignment="1" pivotButton="0" quotePrefix="0" xfId="0">
      <alignment horizontal="center" wrapText="1"/>
    </xf>
    <xf numFmtId="0" fontId="0" fillId="0" borderId="4" pivotButton="0" quotePrefix="0" xfId="0"/>
    <xf numFmtId="0" fontId="1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undp.org/projects/01003161" TargetMode="External" Id="rId1"/></Relationships>
</file>

<file path=xl/worksheets/sheet1.xml><?xml version="1.0" encoding="utf-8"?>
<worksheet xmlns="http://schemas.openxmlformats.org/spreadsheetml/2006/main">
  <sheetPr>
    <outlinePr summaryBelow="1" summaryRight="1"/>
    <pageSetUpPr/>
  </sheetPr>
  <dimension ref="A1:Y9"/>
  <sheetViews>
    <sheetView tabSelected="1" workbookViewId="0">
      <pane xSplit="2" ySplit="1" topLeftCell="C4" activePane="bottomRight" state="frozen"/>
      <selection pane="bottomRight" activeCell="A6" sqref="A6"/>
      <selection pane="bottomLeft" activeCell="A1" sqref="A1"/>
      <selection pane="topRight" activeCell="A1" sqref="A1"/>
    </sheetView>
  </sheetViews>
  <sheetFormatPr baseColWidth="8" defaultRowHeight="15"/>
  <cols>
    <col width="46.85546875" customWidth="1" min="2" max="2"/>
    <col width="14.85546875" customWidth="1" min="3" max="3"/>
    <col width="9.85546875" bestFit="1" customWidth="1" min="4" max="4"/>
    <col width="12" customWidth="1" min="5" max="5"/>
    <col width="12" customWidth="1" min="6" max="6"/>
    <col width="12" customWidth="1" min="7" max="7"/>
    <col width="12" customWidth="1" min="8" max="8"/>
    <col width="32.7109375" customWidth="1" min="9" max="9"/>
    <col width="12.85546875" bestFit="1" customWidth="1" min="12" max="12"/>
    <col width="4.28515625" bestFit="1" customWidth="1" min="13" max="13"/>
    <col width="14.42578125" bestFit="1" customWidth="1" min="14" max="14"/>
    <col width="14.85546875" bestFit="1" customWidth="1" min="15" max="15"/>
    <col width="18.140625" bestFit="1" customWidth="1" min="18" max="18"/>
    <col width="11.28515625" bestFit="1" customWidth="1" min="19" max="19"/>
    <col width="30.28515625" bestFit="1" customWidth="1" min="20" max="20"/>
    <col width="16.7109375" bestFit="1" customWidth="1" min="21" max="21"/>
    <col width="9.140625" customWidth="1" style="37" min="22" max="22"/>
  </cols>
  <sheetData>
    <row r="1" ht="45.75" customHeight="1">
      <c r="A1" s="22" t="inlineStr">
        <is>
          <t>Project ID</t>
        </is>
      </c>
      <c r="B1" s="22" t="inlineStr">
        <is>
          <t>Title</t>
        </is>
      </c>
      <c r="C1" s="22" t="inlineStr">
        <is>
          <t>Link</t>
        </is>
      </c>
      <c r="D1" s="38" t="inlineStr">
        <is>
          <t>Budget</t>
        </is>
      </c>
      <c r="E1" s="38" t="inlineStr">
        <is>
          <t>Start Year</t>
        </is>
      </c>
      <c r="F1" s="38" t="inlineStr">
        <is>
          <t>End Year</t>
        </is>
      </c>
      <c r="G1" s="38" t="inlineStr">
        <is>
          <t>Status</t>
        </is>
      </c>
      <c r="H1" s="38" t="inlineStr">
        <is>
          <t>VF or Non-VF</t>
        </is>
      </c>
      <c r="I1" s="38" t="inlineStr">
        <is>
          <t>Beneficiary Category</t>
        </is>
      </c>
      <c r="J1" s="38" t="inlineStr">
        <is>
          <t>Indicator</t>
        </is>
      </c>
      <c r="K1" s="38" t="inlineStr">
        <is>
          <t>Baseline</t>
        </is>
      </c>
      <c r="L1" s="38" t="inlineStr">
        <is>
          <t>Target</t>
        </is>
      </c>
      <c r="M1" s="22" t="inlineStr">
        <is>
          <t>Notes</t>
        </is>
      </c>
      <c r="N1" s="43" t="inlineStr">
        <is>
          <t>Donors</t>
        </is>
      </c>
      <c r="O1" s="23" t="inlineStr">
        <is>
          <t>Gender (% female)</t>
        </is>
      </c>
      <c r="P1" s="31" t="inlineStr">
        <is>
          <t>Tag</t>
        </is>
      </c>
      <c r="Q1" s="30" t="inlineStr">
        <is>
          <t>SEH Taxonomy</t>
        </is>
      </c>
      <c r="R1" s="30" t="inlineStr">
        <is>
          <t>RISE Taxonomy</t>
        </is>
      </c>
      <c r="S1" s="31" t="inlineStr">
        <is>
          <t>Flagship</t>
        </is>
      </c>
      <c r="T1" s="31" t="inlineStr">
        <is>
          <t>Indirect Category</t>
        </is>
      </c>
      <c r="U1" s="32" t="inlineStr">
        <is>
          <t>Indirect Taxonomy</t>
        </is>
      </c>
      <c r="V1" s="33" t="inlineStr">
        <is>
          <t>Technology</t>
        </is>
      </c>
      <c r="W1" s="32" t="inlineStr">
        <is>
          <t>Policy or Regulatory Framework</t>
        </is>
      </c>
      <c r="X1" s="33" t="inlineStr">
        <is>
          <t>Policy Population</t>
        </is>
      </c>
      <c r="Y1" s="37" t="inlineStr">
        <is>
          <t>project document</t>
        </is>
      </c>
    </row>
    <row r="2" ht="152.25" customHeight="1">
      <c r="A2" s="17" t="n">
        <v>6327</v>
      </c>
      <c r="B2" s="17" t="inlineStr">
        <is>
          <t>Djibouti national child project - Africa Minigrids Program (AMP)</t>
        </is>
      </c>
      <c r="C2" s="17" t="inlineStr">
        <is>
          <t>PIMS+</t>
        </is>
      </c>
      <c r="D2" s="39" t="n">
        <v>3071347</v>
      </c>
      <c r="E2" s="54" t="n"/>
      <c r="F2" s="54" t="n"/>
      <c r="G2" s="54" t="n"/>
      <c r="H2" s="39" t="inlineStr">
        <is>
          <t>VF</t>
        </is>
      </c>
      <c r="I2" s="40" t="inlineStr">
        <is>
          <t>Electricity Access</t>
        </is>
      </c>
      <c r="J2" s="40" t="inlineStr">
        <is>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is>
      </c>
      <c r="K2" s="40" t="n"/>
      <c r="L2" s="40" t="inlineStr">
        <is>
          <t xml:space="preserve">19146 
</t>
        </is>
      </c>
      <c r="M2" s="24" t="inlineStr">
        <is>
          <t>The project was launched in January 2023</t>
        </is>
      </c>
      <c r="N2" s="40" t="inlineStr">
        <is>
          <t>GEF</t>
        </is>
      </c>
      <c r="O2" s="25" t="n">
        <v>0.47</v>
      </c>
      <c r="P2" s="27" t="n"/>
      <c r="Q2" s="35" t="inlineStr">
        <is>
          <t>Close the gap on energy access</t>
        </is>
      </c>
      <c r="R2" s="27" t="n"/>
      <c r="S2" s="27" t="inlineStr">
        <is>
          <t>AMP</t>
        </is>
      </c>
      <c r="T2" s="27" t="n"/>
      <c r="U2" s="27" t="n"/>
      <c r="V2" s="36" t="inlineStr">
        <is>
          <t>Solar</t>
        </is>
      </c>
      <c r="W2" s="27" t="n"/>
      <c r="X2" s="36" t="n"/>
      <c r="Y2" s="37" t="inlineStr">
        <is>
          <t>yes</t>
        </is>
      </c>
    </row>
    <row r="3" ht="45.75" customHeight="1">
      <c r="A3" s="17" t="n"/>
      <c r="B3" s="17" t="n"/>
      <c r="C3" s="17" t="n"/>
      <c r="D3" s="39" t="n"/>
      <c r="E3" s="39" t="n"/>
      <c r="F3" s="39" t="n"/>
      <c r="G3" s="39" t="n"/>
      <c r="H3" s="39" t="n"/>
      <c r="I3" s="40" t="inlineStr">
        <is>
          <t>GHG Emissions Reduction</t>
        </is>
      </c>
      <c r="J3" s="40" t="inlineStr">
        <is>
          <t>Greenhouse gas emissions mitigated (metric tons of carbon dioxide equivalent; tCO2e</t>
        </is>
      </c>
      <c r="K3" s="40" t="n"/>
      <c r="L3" s="41" t="inlineStr">
        <is>
          <t xml:space="preserve">39717 
</t>
        </is>
      </c>
      <c r="M3" s="24" t="n"/>
      <c r="N3" s="40" t="n"/>
      <c r="O3" s="24" t="n"/>
      <c r="P3" s="27" t="n"/>
      <c r="Q3" s="35" t="inlineStr">
        <is>
          <t>Close the gap on energy access</t>
        </is>
      </c>
      <c r="R3" s="27" t="n"/>
      <c r="S3" s="27" t="n"/>
      <c r="T3" s="27" t="n"/>
      <c r="U3" s="27" t="n"/>
      <c r="V3" s="36" t="n"/>
      <c r="W3" s="27" t="n"/>
      <c r="X3" s="36" t="n"/>
    </row>
    <row r="4" ht="198" customHeight="1">
      <c r="A4" s="17" t="n"/>
      <c r="B4" s="17" t="n"/>
      <c r="C4" s="17" t="n"/>
      <c r="D4" s="39" t="n"/>
      <c r="E4" s="39" t="n"/>
      <c r="F4" s="39" t="n"/>
      <c r="G4" s="39" t="n"/>
      <c r="H4" s="39" t="n"/>
      <c r="I4" s="40" t="inlineStr">
        <is>
          <t>Energy (MW added)</t>
        </is>
      </c>
      <c r="J4" s="40" t="inlineStr">
        <is>
          <t>Installed capacity in MW for access/productive-use outputs</t>
        </is>
      </c>
      <c r="K4" s="40" t="n">
        <v>0</v>
      </c>
      <c r="L4" s="55" t="n"/>
      <c r="M4" s="56" t="inlineStr">
        <is>
          <t>[AUTO-ADDED] Project reports access/productive-use beneficiary numbers but no MW value. Please add installed capacity (MW) or confirm not applicable.</t>
        </is>
      </c>
      <c r="N4" s="40" t="n"/>
      <c r="O4" s="24" t="n"/>
      <c r="P4" s="27" t="n"/>
      <c r="Q4" s="35" t="n"/>
      <c r="R4" s="27" t="n"/>
      <c r="S4" s="27" t="n"/>
      <c r="T4" s="27" t="n"/>
      <c r="U4" s="27" t="n"/>
      <c r="V4" s="36" t="n"/>
      <c r="W4" s="27" t="n"/>
      <c r="X4" s="36" t="n"/>
    </row>
    <row r="5" ht="137.25" customHeight="1">
      <c r="A5" s="24" t="n">
        <v>6202</v>
      </c>
      <c r="B5" s="24" t="inlineStr">
        <is>
          <t>Djibouti clean energy rural mini-grids project</t>
        </is>
      </c>
      <c r="C5" s="24" t="inlineStr">
        <is>
          <t>PIMS+</t>
        </is>
      </c>
      <c r="D5" s="40" t="n">
        <v>863242</v>
      </c>
      <c r="E5" s="56" t="n"/>
      <c r="F5" s="56" t="n"/>
      <c r="G5" s="56" t="n"/>
      <c r="H5" s="40" t="inlineStr">
        <is>
          <t>VF</t>
        </is>
      </c>
      <c r="I5" s="40" t="inlineStr">
        <is>
          <t>Electricity Access</t>
        </is>
      </c>
      <c r="J5" s="40" t="inlineStr">
        <is>
          <t xml:space="preserve">
10,000 direct project beneficiaries (Population to be provided with electricity access) </t>
        </is>
      </c>
      <c r="K5" s="40" t="inlineStr">
        <is>
          <t xml:space="preserve">The off-grid and SHS market is currently negligible                      GHG emissions in the electricity generation sector of the country was 722,399 tCO2.
Government seek to cut to 40% by 2035.
</t>
        </is>
      </c>
      <c r="L5" s="40" t="n">
        <v>10000</v>
      </c>
      <c r="M5" s="24" t="inlineStr">
        <is>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is>
      </c>
      <c r="N5" s="40" t="inlineStr">
        <is>
          <t>GEF</t>
        </is>
      </c>
      <c r="O5" s="24" t="n"/>
      <c r="P5" s="27" t="n"/>
      <c r="Q5" s="35" t="inlineStr">
        <is>
          <t>Close the gap on energy access</t>
        </is>
      </c>
      <c r="R5" s="27" t="n"/>
      <c r="S5" s="27" t="n"/>
      <c r="T5" s="27" t="n"/>
      <c r="U5" s="27" t="n"/>
      <c r="V5" s="36" t="inlineStr">
        <is>
          <t>Solar</t>
        </is>
      </c>
      <c r="W5" s="27" t="n"/>
      <c r="X5" s="36" t="n"/>
      <c r="Y5" s="37" t="inlineStr">
        <is>
          <t>yes</t>
        </is>
      </c>
    </row>
    <row r="6" ht="99" customHeight="1">
      <c r="A6" s="24" t="n"/>
      <c r="B6" s="24" t="n"/>
      <c r="C6" s="24" t="n"/>
      <c r="D6" s="40" t="n"/>
      <c r="E6" s="40" t="n"/>
      <c r="F6" s="40" t="n"/>
      <c r="G6" s="40" t="n"/>
      <c r="H6" s="40" t="n"/>
      <c r="I6" s="40" t="inlineStr">
        <is>
          <t>Energy (MW added)</t>
        </is>
      </c>
      <c r="J6" s="40" t="inlineStr">
        <is>
          <t>Installed capacity in MW for access/productive-use outputs</t>
        </is>
      </c>
      <c r="K6" s="40" t="n">
        <v>0</v>
      </c>
      <c r="L6" s="56" t="n"/>
      <c r="M6" s="56" t="inlineStr">
        <is>
          <t>[AUTO-ADDED] Project reports access/productive-use beneficiary numbers but no MW value. Please add installed capacity (MW) or confirm not applicable.</t>
        </is>
      </c>
      <c r="N6" s="40" t="n"/>
      <c r="O6" s="24" t="n"/>
      <c r="P6" s="27" t="n"/>
      <c r="Q6" s="35" t="n"/>
      <c r="R6" s="27" t="n"/>
      <c r="S6" s="27" t="n"/>
      <c r="T6" s="27" t="n"/>
      <c r="U6" s="27" t="n"/>
      <c r="V6" s="36" t="n"/>
      <c r="W6" s="27" t="n"/>
      <c r="X6" s="36" t="n"/>
      <c r="Y6" s="37" t="n"/>
    </row>
    <row r="7">
      <c r="A7" s="24" t="n">
        <v>9691</v>
      </c>
      <c r="B7" s="26" t="inlineStr">
        <is>
          <t>Enhancing the enabling environment for investment in renewable energy technologies in the Obock Region, Djibouti (under formulation)</t>
        </is>
      </c>
      <c r="C7" s="24" t="inlineStr">
        <is>
          <t>PIMS+</t>
        </is>
      </c>
      <c r="D7" s="42" t="n">
        <v>1776484</v>
      </c>
      <c r="E7" s="57" t="n"/>
      <c r="F7" s="57" t="n"/>
      <c r="G7" s="57" t="n"/>
      <c r="H7" s="42" t="inlineStr">
        <is>
          <t>VF</t>
        </is>
      </c>
      <c r="I7" s="40" t="inlineStr">
        <is>
          <t>Electricity Access</t>
        </is>
      </c>
      <c r="J7" s="40" t="inlineStr">
        <is>
          <t>1. Number of individuals benefitted with productive use of energy
2. Number of individuals receiving technical training for repair and maintenance
3. Number of energy value-chain based micro and small scale enterprises
4. Number of public sector stakeholders trained</t>
        </is>
      </c>
      <c r="K7" s="39" t="inlineStr">
        <is>
          <t>TBD (during the design phase)</t>
        </is>
      </c>
      <c r="L7" s="40" t="n"/>
      <c r="M7" s="24" t="inlineStr">
        <is>
          <t>Under formulation (PIF phase)
Intended Target: 23786</t>
        </is>
      </c>
      <c r="N7" s="40" t="inlineStr">
        <is>
          <t>GEF</t>
        </is>
      </c>
      <c r="O7" s="24" t="n"/>
      <c r="P7" s="27" t="n"/>
      <c r="Q7" s="35" t="inlineStr">
        <is>
          <t>Close the gap on energy access</t>
        </is>
      </c>
      <c r="R7" s="27" t="n"/>
      <c r="S7" s="27" t="n"/>
      <c r="T7" s="27" t="n"/>
      <c r="U7" s="27" t="n"/>
      <c r="V7" s="36" t="inlineStr">
        <is>
          <t>Unknown</t>
        </is>
      </c>
      <c r="W7" s="27" t="n"/>
      <c r="X7" s="36" t="n"/>
    </row>
    <row r="8">
      <c r="A8" t="n">
        <v>1003161</v>
      </c>
      <c r="B8" t="inlineStr">
        <is>
          <t>New Energy Agriculture Project in Djibouti</t>
        </is>
      </c>
      <c r="C8" s="46" t="inlineStr">
        <is>
          <t>https://open.undp.org/projects/01003161</t>
        </is>
      </c>
      <c r="D8" s="44" t="n">
        <v>75000</v>
      </c>
      <c r="E8" s="58" t="n"/>
      <c r="F8" s="58" t="n"/>
      <c r="G8" s="58" t="n"/>
      <c r="H8" s="44" t="inlineStr">
        <is>
          <t>Non-VF</t>
        </is>
      </c>
      <c r="I8" t="inlineStr">
        <is>
          <t>Water Services</t>
        </is>
      </c>
      <c r="J8" s="45" t="inlineStr">
        <is>
          <t xml:space="preserve">1- Number of climate-vulnerable smallholder farmers with solar pumping system installed for their agriculture activities                                                            2. Number of women participated in the occupational training </t>
        </is>
      </c>
      <c r="L8" s="45" t="inlineStr">
        <is>
          <t xml:space="preserve">1. 4 sets              2. 100 participating women.             </t>
        </is>
      </c>
      <c r="M8" s="37" t="inlineStr">
        <is>
          <t>The project is in progress</t>
        </is>
      </c>
      <c r="N8" t="inlineStr">
        <is>
          <t>China Merchants</t>
        </is>
      </c>
      <c r="V8" t="inlineStr">
        <is>
          <t>Solar</t>
        </is>
      </c>
      <c r="Y8" s="37" t="inlineStr">
        <is>
          <t xml:space="preserve">Yes </t>
        </is>
      </c>
    </row>
    <row r="9">
      <c r="C9" s="46" t="n"/>
      <c r="D9" s="44" t="n"/>
      <c r="E9" s="44" t="n"/>
      <c r="F9" s="44" t="n"/>
      <c r="G9" s="44" t="n"/>
      <c r="H9" s="44" t="n"/>
      <c r="I9" t="inlineStr">
        <is>
          <t>Energy (MW added)</t>
        </is>
      </c>
      <c r="J9" s="45" t="inlineStr">
        <is>
          <t>Installed capacity in MW for access/productive-use outputs</t>
        </is>
      </c>
      <c r="K9" t="n">
        <v>0</v>
      </c>
      <c r="L9" s="59" t="n"/>
      <c r="M9" s="60" t="inlineStr">
        <is>
          <t>[AUTO-ADDED] Project reports access/productive-use beneficiary numbers but no MW value. Please add installed capacity (MW) or confirm not applicable.</t>
        </is>
      </c>
      <c r="Y9" s="37" t="n"/>
    </row>
  </sheetData>
  <dataValidations count="12">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showDropDown="0" showInputMessage="1" showErrorMessage="1" allowBlank="1" type="list">
      <formula1>"AMP, PUDC, Solar4Health, Action Opportunities, Italy UNDP Energy Partnership"</formula1>
    </dataValidation>
    <dataValidation sqref="N2:N5"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S2:S5" showDropDown="0" showInputMessage="1" showErrorMessage="1" allowBlank="1" type="list">
      <formula1>"Solar, Wind, Bioenergy, Hydro, Geothermal, Waste,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5"/>
  <sheetViews>
    <sheetView workbookViewId="0">
      <selection activeCell="A2" sqref="A2:F3"/>
    </sheetView>
  </sheetViews>
  <sheetFormatPr baseColWidth="8" defaultRowHeight="15"/>
  <cols>
    <col width="46.85546875" customWidth="1" min="2" max="2"/>
    <col width="14.85546875" customWidth="1" min="3" max="3"/>
    <col width="9.85546875" bestFit="1" customWidth="1" min="4" max="4"/>
    <col width="23.5703125" customWidth="1" min="5" max="5"/>
    <col width="37.7109375" customWidth="1" min="6" max="6"/>
    <col width="22.28515625" customWidth="1" min="7" max="7"/>
    <col width="12.7109375" customWidth="1" min="8" max="8"/>
    <col width="32.7109375" customWidth="1" min="9" max="9"/>
  </cols>
  <sheetData>
    <row r="1">
      <c r="A1" s="9" t="inlineStr">
        <is>
          <t>Project ID</t>
        </is>
      </c>
      <c r="B1" s="9" t="inlineStr">
        <is>
          <t>Title</t>
        </is>
      </c>
      <c r="C1" s="9" t="inlineStr">
        <is>
          <t>Link</t>
        </is>
      </c>
      <c r="D1" s="9" t="inlineStr">
        <is>
          <t>Budget</t>
        </is>
      </c>
      <c r="E1" s="9" t="inlineStr">
        <is>
          <t>Beneficiary Category</t>
        </is>
      </c>
      <c r="F1" s="9" t="inlineStr">
        <is>
          <t>Indicator</t>
        </is>
      </c>
      <c r="G1" s="9" t="inlineStr">
        <is>
          <t>Baseline</t>
        </is>
      </c>
      <c r="H1" s="9" t="inlineStr">
        <is>
          <t>Target</t>
        </is>
      </c>
      <c r="I1" s="9" t="inlineStr">
        <is>
          <t>Notes</t>
        </is>
      </c>
      <c r="J1" s="10" t="inlineStr">
        <is>
          <t>Donors</t>
        </is>
      </c>
      <c r="K1" s="10" t="inlineStr">
        <is>
          <t>Gender (% female)</t>
        </is>
      </c>
      <c r="L1" s="10" t="inlineStr">
        <is>
          <t>Category</t>
        </is>
      </c>
      <c r="M1" s="10" t="inlineStr">
        <is>
          <t>Comments</t>
        </is>
      </c>
      <c r="N1" t="inlineStr">
        <is>
          <t>Indirect Beneficiary</t>
        </is>
      </c>
      <c r="O1" s="3" t="inlineStr">
        <is>
          <t>SEH Taxonomy</t>
        </is>
      </c>
      <c r="P1" s="3" t="inlineStr">
        <is>
          <t>RISE Taxonomy</t>
        </is>
      </c>
      <c r="Q1" s="3" t="inlineStr">
        <is>
          <t>Flagship</t>
        </is>
      </c>
      <c r="R1" s="3" t="inlineStr">
        <is>
          <t>Indirect Category</t>
        </is>
      </c>
      <c r="S1" s="3" t="inlineStr">
        <is>
          <t>Indirect Taxonomy</t>
        </is>
      </c>
    </row>
    <row r="2" ht="152.25" customHeight="1">
      <c r="A2" s="61" t="n">
        <v>6327</v>
      </c>
      <c r="B2" s="62" t="inlineStr">
        <is>
          <t>Djibouti national child project - Africa Minigrids Program (AMP)</t>
        </is>
      </c>
      <c r="C2" s="61" t="inlineStr">
        <is>
          <t>PIMS+</t>
        </is>
      </c>
      <c r="D2" s="61" t="n">
        <v>3071347</v>
      </c>
      <c r="E2" s="18" t="inlineStr">
        <is>
          <t>Electricity Access</t>
        </is>
      </c>
      <c r="F2" s="19" t="inlineStr">
        <is>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is>
      </c>
      <c r="G2" s="14" t="n"/>
      <c r="H2" s="14" t="inlineStr">
        <is>
          <t xml:space="preserve">
19,146 
</t>
        </is>
      </c>
      <c r="I2" s="13" t="inlineStr">
        <is>
          <t>The project was launched in January 2023</t>
        </is>
      </c>
      <c r="J2" s="11" t="inlineStr">
        <is>
          <t>GEF</t>
        </is>
      </c>
      <c r="K2" s="21" t="n">
        <v>0.47</v>
      </c>
      <c r="L2" s="11" t="inlineStr">
        <is>
          <t>VF</t>
        </is>
      </c>
      <c r="M2" s="11" t="n"/>
      <c r="O2" t="inlineStr">
        <is>
          <t>Accelerating just energy transition</t>
        </is>
      </c>
      <c r="P2" t="inlineStr">
        <is>
          <t>Electricity Access</t>
        </is>
      </c>
      <c r="Q2" t="inlineStr">
        <is>
          <t>AMP</t>
        </is>
      </c>
    </row>
    <row r="3" ht="60.75" customHeight="1">
      <c r="A3" s="63" t="n"/>
      <c r="B3" s="63" t="n"/>
      <c r="C3" s="63" t="n"/>
      <c r="D3" s="63" t="n"/>
      <c r="E3" s="13" t="inlineStr">
        <is>
          <t>GHG Emissions Reduction</t>
        </is>
      </c>
      <c r="F3" s="19" t="inlineStr">
        <is>
          <t xml:space="preserve">
Greenhouse gas emissions mitigated (metric tons of carbon dioxide equivalent; tCO2e</t>
        </is>
      </c>
      <c r="G3" s="14" t="n"/>
      <c r="H3" s="20" t="inlineStr">
        <is>
          <t xml:space="preserve">
39,717 
</t>
        </is>
      </c>
      <c r="I3" s="13" t="n"/>
      <c r="J3" s="11" t="n"/>
      <c r="K3" s="11" t="n"/>
      <c r="L3" s="11" t="inlineStr">
        <is>
          <t>VF</t>
        </is>
      </c>
      <c r="M3" s="11" t="n"/>
      <c r="N3" t="n">
        <v>36000</v>
      </c>
    </row>
    <row r="4" ht="152.25" customHeight="1">
      <c r="A4" s="11" t="n">
        <v>6202</v>
      </c>
      <c r="B4" s="11" t="inlineStr">
        <is>
          <t>Djibouti clean energy rural mini-grids project</t>
        </is>
      </c>
      <c r="C4" s="11" t="inlineStr">
        <is>
          <t>PIMS+</t>
        </is>
      </c>
      <c r="D4" s="11" t="n">
        <v>863242</v>
      </c>
      <c r="E4" s="13" t="inlineStr">
        <is>
          <t>Electricity Access</t>
        </is>
      </c>
      <c r="F4" s="14" t="inlineStr">
        <is>
          <t xml:space="preserve">
10,000 direct project beneficiaries (Population to be provided with electricity access) </t>
        </is>
      </c>
      <c r="G4" s="14" t="inlineStr">
        <is>
          <t xml:space="preserve">The off-grid and SHS market is currently negligible                      GHG emissions in the electricity generation sector of the country was 722,399 tCO2.
Government seek to cut to 40% by 2035.
</t>
        </is>
      </c>
      <c r="H4" s="13" t="n">
        <v>10000</v>
      </c>
      <c r="I4" s="13" t="inlineStr">
        <is>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is>
      </c>
      <c r="J4" s="11" t="inlineStr">
        <is>
          <t>GEF</t>
        </is>
      </c>
      <c r="K4" s="11" t="n"/>
      <c r="L4" s="11" t="inlineStr">
        <is>
          <t>VF</t>
        </is>
      </c>
      <c r="M4" s="11" t="n"/>
      <c r="O4" t="inlineStr">
        <is>
          <t>Accelerating just energy transition</t>
        </is>
      </c>
      <c r="P4" t="inlineStr">
        <is>
          <t>Electricity Access</t>
        </is>
      </c>
    </row>
    <row r="5" ht="137.25" customHeight="1">
      <c r="A5" s="11" t="n">
        <v>9691</v>
      </c>
      <c r="B5" s="15" t="inlineStr">
        <is>
          <t>Enhancing the enabling environment for investment in renewable energy technologies in the Obock Region, Djibouti (under formulation)</t>
        </is>
      </c>
      <c r="C5" s="11" t="inlineStr">
        <is>
          <t>PIMS+</t>
        </is>
      </c>
      <c r="D5" s="16" t="n">
        <v>1776484</v>
      </c>
      <c r="E5" s="11" t="inlineStr">
        <is>
          <t>Other Energy Services</t>
        </is>
      </c>
      <c r="F5" s="12" t="inlineStr">
        <is>
          <t>1. Number of individuals benefitted with productive use of energy
2. Number of individuals receiving technical training for repair and maintenance
3. Number of energy value-chain based micro and small scale enterprises
4. Number of public sector stakeholders trained</t>
        </is>
      </c>
      <c r="G5" s="17" t="inlineStr">
        <is>
          <t>TBD (during the design phase)</t>
        </is>
      </c>
      <c r="H5" s="11">
        <f>21276+40+2470</f>
        <v/>
      </c>
      <c r="I5" s="11" t="inlineStr">
        <is>
          <t>Under formulation (PIF phase)</t>
        </is>
      </c>
      <c r="J5" s="11" t="inlineStr">
        <is>
          <t>GEF</t>
        </is>
      </c>
      <c r="K5" s="11" t="n"/>
      <c r="L5" s="11" t="inlineStr">
        <is>
          <t>VF</t>
        </is>
      </c>
      <c r="M5" s="11" t="n"/>
      <c r="O5" t="inlineStr">
        <is>
          <t>Scale up energy finance</t>
        </is>
      </c>
      <c r="P5" t="inlineStr">
        <is>
          <t>Electricity Access</t>
        </is>
      </c>
    </row>
  </sheetData>
  <mergeCells count="4">
    <mergeCell ref="C2:C3"/>
    <mergeCell ref="D2:D3"/>
    <mergeCell ref="A2:A3"/>
    <mergeCell ref="B2:B3"/>
  </mergeCells>
  <dataValidations count="6">
    <dataValidation sqref="E3" showDropDown="0" showInputMessage="1" showErrorMessage="1" allowBlank="1"/>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4"/>
  <sheetViews>
    <sheetView topLeftCell="H2" workbookViewId="0">
      <selection activeCell="H2" sqref="H2"/>
    </sheetView>
  </sheetViews>
  <sheetFormatPr baseColWidth="8" defaultRowHeight="15"/>
  <cols>
    <col width="46.85546875" customWidth="1" min="2" max="2"/>
    <col width="14.85546875" customWidth="1" min="3" max="3"/>
    <col width="9.85546875" bestFit="1" customWidth="1" min="4" max="4"/>
    <col width="20.7109375" customWidth="1" min="5" max="5"/>
    <col width="37.7109375" customWidth="1" min="6" max="6"/>
    <col width="22.28515625" customWidth="1" min="7" max="7"/>
    <col width="12.7109375" customWidth="1"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 t="inlineStr">
        <is>
          <t>Donors</t>
        </is>
      </c>
    </row>
    <row r="2" ht="396.75" customHeight="1">
      <c r="A2" t="n">
        <v>6327</v>
      </c>
      <c r="B2" s="4" t="inlineStr">
        <is>
          <t>Djibouti national child project - Africa Minigrids Program (AMP)</t>
        </is>
      </c>
      <c r="C2" t="inlineStr">
        <is>
          <t>PIMS+</t>
        </is>
      </c>
      <c r="D2" t="n">
        <v>3071347</v>
      </c>
      <c r="E2" s="2" t="inlineStr">
        <is>
          <t>Energy (MW added)</t>
        </is>
      </c>
      <c r="F2" s="8" t="inlineStr">
        <is>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is>
      </c>
      <c r="G2" s="8" t="inlineStr">
        <is>
          <t>Zero, since the project has not yet started</t>
        </is>
      </c>
      <c r="H2" s="8" t="inlineStr">
        <is>
          <t xml:space="preserve">8,999 people (Female)
10,147 people (Male)
19,146 people (Total)
18,500 people (residential)
448 people (social)
198 people (commercial/PUE)
Direct: 39,717 tCO2e
Indirect: 36,000 tCO2e (90% of the total estimation for this project)
</t>
        </is>
      </c>
      <c r="I2" s="2" t="inlineStr">
        <is>
          <t>The project was launched in January 2023</t>
        </is>
      </c>
      <c r="J2" t="inlineStr">
        <is>
          <t>GEF</t>
        </is>
      </c>
    </row>
    <row r="3" ht="152.25" customHeight="1">
      <c r="A3" t="n">
        <v>6202</v>
      </c>
      <c r="B3" t="inlineStr">
        <is>
          <t>Djibouti clean energy rural mini-grids project</t>
        </is>
      </c>
      <c r="C3" t="inlineStr">
        <is>
          <t>PIMS+</t>
        </is>
      </c>
      <c r="D3" t="n">
        <v>863242</v>
      </c>
      <c r="E3" s="2" t="inlineStr">
        <is>
          <t>Energy (MW added)</t>
        </is>
      </c>
      <c r="F3" s="8" t="inlineStr">
        <is>
          <t xml:space="preserve">GHG Emission reduction.
MWh produced.
10,000 direct project beneficiaries (Population to be provided with electricity access) </t>
        </is>
      </c>
      <c r="G3" s="8" t="inlineStr">
        <is>
          <t xml:space="preserve">The off-grid and SHS market is currently negligible                      GHG emissions in the electricity generation sector of the country was 722,399 tCO2.
Government seek to cut to 40% by 2035.
</t>
        </is>
      </c>
      <c r="H3" s="2" t="n">
        <v>10000</v>
      </c>
      <c r="I3" s="2" t="inlineStr">
        <is>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is>
      </c>
      <c r="J3" t="inlineStr">
        <is>
          <t>GEF</t>
        </is>
      </c>
    </row>
    <row r="4" ht="137.25" customHeight="1">
      <c r="A4" t="n">
        <v>9691</v>
      </c>
      <c r="B4" s="6" t="inlineStr">
        <is>
          <t>Enhancing the enabling environment for investment in renewable energy technologies in the Obock Region, Djibouti (under formulation)</t>
        </is>
      </c>
      <c r="C4" t="inlineStr">
        <is>
          <t>PIMS+</t>
        </is>
      </c>
      <c r="D4" s="5" t="n">
        <v>1776484</v>
      </c>
      <c r="E4" t="inlineStr">
        <is>
          <t>Energy (MW added)</t>
        </is>
      </c>
      <c r="F4" s="4" t="inlineStr">
        <is>
          <t>1. Number of individuals benefitted with productive use of energy
2. Number of individuals receiving technical training for repair and maintenance
3. Number of energy value-chain based micro and small scale enterprises
4. Number of public sector stakeholders trained</t>
        </is>
      </c>
      <c r="G4" s="7" t="inlineStr">
        <is>
          <t>TBD (during the design phase)</t>
        </is>
      </c>
      <c r="H4">
        <f>21276+40+2470</f>
        <v/>
      </c>
      <c r="I4" t="inlineStr">
        <is>
          <t>Under formulation (PIF phase)</t>
        </is>
      </c>
      <c r="J4" t="inlineStr">
        <is>
          <t>GEF</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6"/>
  <sheetViews>
    <sheetView workbookViewId="0">
      <pane xSplit="2" ySplit="1" topLeftCell="C2" activePane="bottomRight" state="frozen"/>
      <selection pane="bottomRight" activeCell="A1" sqref="A1"/>
      <selection pane="bottomLeft" activeCell="A1" sqref="A1"/>
      <selection pane="topRight" activeCell="A1" sqref="A1"/>
    </sheetView>
  </sheetViews>
  <sheetFormatPr baseColWidth="8" defaultRowHeight="15"/>
  <cols>
    <col width="46.85546875" customWidth="1" min="2" max="2"/>
    <col width="14.85546875" customWidth="1" min="3" max="3"/>
    <col width="9.85546875" bestFit="1" customWidth="1" min="4" max="4"/>
    <col width="23.5703125" customWidth="1" min="5" max="5"/>
    <col width="37.7109375" customWidth="1" min="6" max="6"/>
    <col width="22.28515625" customWidth="1" min="7" max="7"/>
    <col width="12.7109375" customWidth="1" min="8" max="8"/>
    <col width="32.7109375" customWidth="1" min="9" max="9"/>
    <col width="12.85546875" bestFit="1" customWidth="1" min="12" max="12"/>
    <col width="4.28515625" bestFit="1" customWidth="1" min="13" max="13"/>
    <col width="14.42578125" bestFit="1" customWidth="1" min="14" max="14"/>
    <col width="14.85546875" bestFit="1" customWidth="1" min="15" max="15"/>
    <col width="18.140625" bestFit="1" customWidth="1" min="18" max="18"/>
    <col width="11.28515625" bestFit="1" customWidth="1" min="19" max="19"/>
    <col width="30.28515625" bestFit="1" customWidth="1" min="20" max="20"/>
    <col width="16.7109375" bestFit="1" customWidth="1" min="21" max="21"/>
    <col width="9.140625" customWidth="1" style="37" min="22" max="22"/>
  </cols>
  <sheetData>
    <row r="1" ht="45.75" customHeight="1">
      <c r="A1" s="22" t="inlineStr">
        <is>
          <t>Project ID</t>
        </is>
      </c>
      <c r="B1" s="22" t="inlineStr">
        <is>
          <t>Title</t>
        </is>
      </c>
      <c r="C1" s="22" t="inlineStr">
        <is>
          <t>Link</t>
        </is>
      </c>
      <c r="D1" s="38" t="inlineStr">
        <is>
          <t>Budget</t>
        </is>
      </c>
      <c r="E1" s="38" t="inlineStr">
        <is>
          <t>Beneficiary Category</t>
        </is>
      </c>
      <c r="F1" s="38" t="inlineStr">
        <is>
          <t>Indicator</t>
        </is>
      </c>
      <c r="G1" s="38" t="inlineStr">
        <is>
          <t>Baseline</t>
        </is>
      </c>
      <c r="H1" s="38" t="inlineStr">
        <is>
          <t>Target</t>
        </is>
      </c>
      <c r="I1" s="22" t="inlineStr">
        <is>
          <t>Notes</t>
        </is>
      </c>
      <c r="J1" s="43" t="inlineStr">
        <is>
          <t>Donors</t>
        </is>
      </c>
      <c r="K1" s="23" t="inlineStr">
        <is>
          <t>Gender (% female)</t>
        </is>
      </c>
      <c r="L1" s="30" t="inlineStr">
        <is>
          <t>VF or Non-VF</t>
        </is>
      </c>
      <c r="M1" s="31" t="inlineStr">
        <is>
          <t>Tag</t>
        </is>
      </c>
      <c r="N1" s="30" t="inlineStr">
        <is>
          <t>SEH Taxonomy</t>
        </is>
      </c>
      <c r="O1" s="30" t="inlineStr">
        <is>
          <t>RISE Taxonomy</t>
        </is>
      </c>
      <c r="P1" s="31" t="inlineStr">
        <is>
          <t>Flagship</t>
        </is>
      </c>
      <c r="Q1" s="31" t="inlineStr">
        <is>
          <t>Indirect Category</t>
        </is>
      </c>
      <c r="R1" s="32" t="inlineStr">
        <is>
          <t>Indirect Taxonomy</t>
        </is>
      </c>
      <c r="S1" s="33" t="inlineStr">
        <is>
          <t>Technology</t>
        </is>
      </c>
      <c r="T1" s="32" t="inlineStr">
        <is>
          <t>Policy or Regulatory Framework</t>
        </is>
      </c>
      <c r="U1" s="33" t="inlineStr">
        <is>
          <t>Policy Population</t>
        </is>
      </c>
      <c r="V1" s="37" t="inlineStr">
        <is>
          <t>project document</t>
        </is>
      </c>
    </row>
    <row r="2" ht="152.25" customHeight="1">
      <c r="A2" s="17" t="n">
        <v>6327</v>
      </c>
      <c r="B2" s="17" t="inlineStr">
        <is>
          <t>Djibouti national child project - Africa Minigrids Program (AMP)</t>
        </is>
      </c>
      <c r="C2" s="17" t="inlineStr">
        <is>
          <t>PIMS+</t>
        </is>
      </c>
      <c r="D2" s="39" t="n">
        <v>3071347</v>
      </c>
      <c r="E2" s="40" t="inlineStr">
        <is>
          <t>Electricity Access</t>
        </is>
      </c>
      <c r="F2" s="40" t="inlineStr">
        <is>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is>
      </c>
      <c r="G2" s="40" t="n"/>
      <c r="H2" s="40" t="inlineStr">
        <is>
          <t xml:space="preserve">19146 
</t>
        </is>
      </c>
      <c r="I2" s="24" t="inlineStr">
        <is>
          <t>The project was launched in January 2023</t>
        </is>
      </c>
      <c r="J2" s="40" t="inlineStr">
        <is>
          <t>GEF</t>
        </is>
      </c>
      <c r="K2" s="25" t="n">
        <v>0.47</v>
      </c>
      <c r="L2" s="34" t="inlineStr">
        <is>
          <t>VF</t>
        </is>
      </c>
      <c r="M2" s="27" t="n"/>
      <c r="N2" s="35" t="inlineStr">
        <is>
          <t>Close the gap on energy access</t>
        </is>
      </c>
      <c r="O2" s="27" t="n"/>
      <c r="P2" s="27" t="inlineStr">
        <is>
          <t>AMP</t>
        </is>
      </c>
      <c r="Q2" s="27" t="n"/>
      <c r="R2" s="27" t="n"/>
      <c r="S2" s="36" t="inlineStr">
        <is>
          <t>Solar</t>
        </is>
      </c>
      <c r="T2" s="27" t="n"/>
      <c r="U2" s="36" t="n"/>
      <c r="V2" s="37" t="inlineStr">
        <is>
          <t>yes</t>
        </is>
      </c>
    </row>
    <row r="3" ht="45.75" customHeight="1">
      <c r="A3" s="17" t="n"/>
      <c r="B3" s="17" t="n"/>
      <c r="C3" s="17" t="n"/>
      <c r="D3" s="39" t="n"/>
      <c r="E3" s="40" t="inlineStr">
        <is>
          <t>GHG Emissions Reduction</t>
        </is>
      </c>
      <c r="F3" s="40" t="inlineStr">
        <is>
          <t>Greenhouse gas emissions mitigated (metric tons of carbon dioxide equivalent; tCO2e</t>
        </is>
      </c>
      <c r="G3" s="40" t="n"/>
      <c r="H3" s="41" t="inlineStr">
        <is>
          <t xml:space="preserve">39717 
</t>
        </is>
      </c>
      <c r="I3" s="24" t="n"/>
      <c r="J3" s="40" t="n"/>
      <c r="K3" s="24" t="n"/>
      <c r="L3" s="34" t="n"/>
      <c r="M3" s="27" t="n"/>
      <c r="N3" s="35" t="inlineStr">
        <is>
          <t>Close the gap on energy access</t>
        </is>
      </c>
      <c r="O3" s="27" t="n"/>
      <c r="P3" s="27" t="n"/>
      <c r="Q3" s="27" t="n"/>
      <c r="R3" s="27" t="n"/>
      <c r="S3" s="36" t="n"/>
      <c r="T3" s="27" t="n"/>
      <c r="U3" s="36" t="n"/>
    </row>
    <row r="4" ht="198" customHeight="1">
      <c r="A4" s="24" t="n">
        <v>6202</v>
      </c>
      <c r="B4" s="24" t="inlineStr">
        <is>
          <t>Djibouti clean energy rural mini-grids project</t>
        </is>
      </c>
      <c r="C4" s="24" t="inlineStr">
        <is>
          <t>PIMS+</t>
        </is>
      </c>
      <c r="D4" s="40" t="n">
        <v>863242</v>
      </c>
      <c r="E4" s="40" t="inlineStr">
        <is>
          <t>Electricity Access</t>
        </is>
      </c>
      <c r="F4" s="40" t="inlineStr">
        <is>
          <t xml:space="preserve">
10,000 direct project beneficiaries (Population to be provided with electricity access) </t>
        </is>
      </c>
      <c r="G4" s="40" t="inlineStr">
        <is>
          <t xml:space="preserve">The off-grid and SHS market is currently negligible                      GHG emissions in the electricity generation sector of the country was 722,399 tCO2.
Government seek to cut to 40% by 2035.
</t>
        </is>
      </c>
      <c r="H4" s="40" t="n">
        <v>10000</v>
      </c>
      <c r="I4" s="24" t="inlineStr">
        <is>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is>
      </c>
      <c r="J4" s="40" t="inlineStr">
        <is>
          <t>GEF</t>
        </is>
      </c>
      <c r="K4" s="24" t="n"/>
      <c r="L4" s="34" t="inlineStr">
        <is>
          <t>VF</t>
        </is>
      </c>
      <c r="M4" s="27" t="n"/>
      <c r="N4" s="35" t="inlineStr">
        <is>
          <t>Close the gap on energy access</t>
        </is>
      </c>
      <c r="O4" s="27" t="n"/>
      <c r="P4" s="27" t="n"/>
      <c r="Q4" s="27" t="n"/>
      <c r="R4" s="27" t="n"/>
      <c r="S4" s="36" t="inlineStr">
        <is>
          <t>Solar</t>
        </is>
      </c>
      <c r="T4" s="27" t="n"/>
      <c r="U4" s="36" t="n"/>
      <c r="V4" s="37" t="inlineStr">
        <is>
          <t>yes</t>
        </is>
      </c>
    </row>
    <row r="5" ht="137.25" customHeight="1">
      <c r="A5" s="24" t="n">
        <v>9691</v>
      </c>
      <c r="B5" s="26" t="inlineStr">
        <is>
          <t>Enhancing the enabling environment for investment in renewable energy technologies in the Obock Region, Djibouti (under formulation)</t>
        </is>
      </c>
      <c r="C5" s="24" t="inlineStr">
        <is>
          <t>PIMS+</t>
        </is>
      </c>
      <c r="D5" s="42" t="n">
        <v>1776484</v>
      </c>
      <c r="E5" s="40" t="inlineStr">
        <is>
          <t>Electricity Access</t>
        </is>
      </c>
      <c r="F5" s="40" t="inlineStr">
        <is>
          <t>1. Number of individuals benefitted with productive use of energy
2. Number of individuals receiving technical training for repair and maintenance
3. Number of energy value-chain based micro and small scale enterprises
4. Number of public sector stakeholders trained</t>
        </is>
      </c>
      <c r="G5" s="39" t="inlineStr">
        <is>
          <t>TBD (during the design phase)</t>
        </is>
      </c>
      <c r="H5" s="40" t="inlineStr">
        <is>
          <t>23786 (under formulation)</t>
        </is>
      </c>
      <c r="I5" s="24" t="inlineStr">
        <is>
          <t>Under formulation (PIF phase)</t>
        </is>
      </c>
      <c r="J5" s="40" t="inlineStr">
        <is>
          <t>GEF</t>
        </is>
      </c>
      <c r="K5" s="24" t="n"/>
      <c r="L5" s="34" t="inlineStr">
        <is>
          <t>VF</t>
        </is>
      </c>
      <c r="M5" s="27" t="n"/>
      <c r="N5" s="35" t="inlineStr">
        <is>
          <t>Close the gap on energy access</t>
        </is>
      </c>
      <c r="O5" s="27" t="n"/>
      <c r="P5" s="27" t="n"/>
      <c r="Q5" s="27" t="n"/>
      <c r="R5" s="27" t="n"/>
      <c r="S5" s="36" t="inlineStr">
        <is>
          <t>Unknown</t>
        </is>
      </c>
      <c r="T5" s="27" t="n"/>
      <c r="U5" s="36" t="n"/>
    </row>
    <row r="6" ht="99" customHeight="1">
      <c r="B6" t="inlineStr">
        <is>
          <t>New Energy Agriculture Project in Djibouti</t>
        </is>
      </c>
      <c r="C6" s="46" t="inlineStr">
        <is>
          <t>https://open.undp.org/projects/01003161</t>
        </is>
      </c>
      <c r="D6" s="44" t="n">
        <v>75000</v>
      </c>
      <c r="E6" t="inlineStr">
        <is>
          <t>Water Services</t>
        </is>
      </c>
      <c r="F6" s="45" t="inlineStr">
        <is>
          <t xml:space="preserve">1- Number of climate-vulnerable smallholder farmers with solar pumping system installed for their agriculture activities                                                            2. Number of women participated in the occupational training </t>
        </is>
      </c>
      <c r="H6" s="45" t="inlineStr">
        <is>
          <t xml:space="preserve">1. 4 sets              2. 100 participating women.             </t>
        </is>
      </c>
      <c r="I6" s="37" t="inlineStr">
        <is>
          <t>The project is in progress</t>
        </is>
      </c>
      <c r="J6" t="inlineStr">
        <is>
          <t>China Merchants</t>
        </is>
      </c>
      <c r="L6" t="inlineStr">
        <is>
          <t>Non-VF</t>
        </is>
      </c>
      <c r="S6" t="inlineStr">
        <is>
          <t>Solar</t>
        </is>
      </c>
      <c r="V6" s="37" t="inlineStr">
        <is>
          <t xml:space="preserve">Yes </t>
        </is>
      </c>
    </row>
  </sheetData>
  <dataValidations count="9">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5" showDropDown="0" showInputMessage="1" showErrorMessage="1" allowBlank="1" type="list">
      <formula1>"Solar, Wind, Bioenergy, Hydro, Geothermal, Waste, Other, Unknown"</formula1>
    </dataValidation>
    <dataValidation sqref="T2:T5" showDropDown="0" showInputMessage="1" showErrorMessage="1" allowBlank="1" type="list">
      <formula1>"National, Regional, City, Community"</formula1>
    </dataValidation>
    <dataValidation sqref="M2:M5" showDropDown="0" showInputMessage="1" showErrorMessage="1" allowBlank="1" type="list">
      <formula1>"Finance, Gender, Efficiency, Just, Health"</formula1>
    </dataValidation>
    <dataValidation sqref="L2:L5" showDropDown="0" showInputMessage="1" showErrorMessage="1" allowBlank="1" type="list">
      <formula1>"Non-VF, VF"</formula1>
    </dataValidation>
    <dataValidation sqref="O2:O5" showDropDown="0" showInputMessage="1" showErrorMessage="1" allowBlank="1" type="list">
      <formula1>"Electricity Access, Energy Efficiency, Clean Cooking, Renewable Energy, Overall"</formula1>
    </dataValidation>
    <dataValidation sqref="N2:N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"AMP, PUDC, Solar4Health, Action Opportunities, Italy UNDP Energy Partnership"</formula1>
    </dataValidation>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s>
  <hyperlinks>
    <hyperlink xmlns:r="http://schemas.openxmlformats.org/officeDocument/2006/relationships" ref="C6"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4"/>
  <sheetViews>
    <sheetView topLeftCell="A9" workbookViewId="0">
      <pane ySplit="1" topLeftCell="A2" activePane="bottomLeft" state="frozen"/>
      <selection pane="bottomLeft" activeCell="A12" sqref="A12"/>
    </sheetView>
  </sheetViews>
  <sheetFormatPr baseColWidth="8" defaultRowHeight="15"/>
  <cols>
    <col width="36" customWidth="1" min="1" max="2"/>
    <col width="110" customWidth="1" min="2" max="2"/>
  </cols>
  <sheetData>
    <row r="1">
      <c r="A1" s="64" t="inlineStr">
        <is>
          <t>Beneficiary Category</t>
        </is>
      </c>
      <c r="B1" s="64" t="inlineStr">
        <is>
          <t>Indicator</t>
        </is>
      </c>
    </row>
    <row r="2" ht="45.75" customHeight="1">
      <c r="A2" s="45" t="inlineStr">
        <is>
          <t>Electricity Access</t>
        </is>
      </c>
      <c r="B2" s="45" t="inlineStr">
        <is>
          <t>Number of people, disaggregated by sex, who gain access to clean electricity (direct access to electricity, lighting, cooling, etc.).</t>
        </is>
      </c>
    </row>
    <row r="3">
      <c r="A3" s="45" t="inlineStr">
        <is>
          <t>Energy (MW added)</t>
        </is>
      </c>
      <c r="B3" s="45" t="inlineStr">
        <is>
          <t>Installed renewable or clean-energy power capacity added, in MW.</t>
        </is>
      </c>
    </row>
    <row r="4" ht="30.75" customHeight="1">
      <c r="A4" s="45" t="inlineStr">
        <is>
          <t>Energy Storage (MW)</t>
        </is>
      </c>
      <c r="B4" s="45" t="inlineStr">
        <is>
          <t>Installed energy storage power capacity added, in MW.</t>
        </is>
      </c>
    </row>
    <row r="5" ht="30.75" customHeight="1">
      <c r="A5" s="45" t="inlineStr">
        <is>
          <t>Clean Cooking</t>
        </is>
      </c>
      <c r="B5" s="45" t="inlineStr">
        <is>
          <t>Number of people who gain access to clean cooking (direct access to clean cook stoves, clean fuels, biomass, etc.).</t>
        </is>
      </c>
    </row>
    <row r="6" ht="91.5" customHeight="1">
      <c r="A6" s="45" t="inlineStr">
        <is>
          <t>Clean Heating</t>
        </is>
      </c>
      <c r="B6" s="45" t="inlineStr">
        <is>
          <t>Number of people who gain access to clean heating (direct access to clean electric heaters, clean fuels, etc.).</t>
        </is>
      </c>
    </row>
    <row r="7" ht="45.75" customHeight="1">
      <c r="A7" s="45" t="inlineStr">
        <is>
          <t>Agriculture and Food System</t>
        </is>
      </c>
      <c r="B7" s="45" t="inlineStr">
        <is>
          <t>Number of people who gain access to clean, affordable, and sustainable energy for agricultural and food-system activities.</t>
        </is>
      </c>
    </row>
    <row r="8" ht="45.75" customHeight="1">
      <c r="A8" s="45" t="inlineStr">
        <is>
          <t>Health Services</t>
        </is>
      </c>
      <c r="B8" s="45" t="inlineStr">
        <is>
          <t>Number of people who gain access to health care facilities through clean energy systems.</t>
        </is>
      </c>
    </row>
    <row r="9" ht="45.75" customHeight="1">
      <c r="A9" s="45" t="inlineStr">
        <is>
          <t>Water Services</t>
        </is>
      </c>
      <c r="B9" s="45" t="inlineStr">
        <is>
          <t>Number of people who gain access to water services through clean energy systems.</t>
        </is>
      </c>
    </row>
    <row r="10" ht="30.75" customHeight="1">
      <c r="A10" s="45" t="inlineStr">
        <is>
          <t>Education Services</t>
        </is>
      </c>
      <c r="B10" s="45" t="inlineStr">
        <is>
          <t>Number of people who gain access to education services through clean energy systems, including students and teachers.</t>
        </is>
      </c>
    </row>
    <row r="11" ht="30.75" customHeight="1">
      <c r="A11" s="45" t="inlineStr">
        <is>
          <t>Transportation and E-mobility Services</t>
        </is>
      </c>
      <c r="B11" s="45" t="inlineStr">
        <is>
          <t>Number of people served or energy saved from transport and e-mobility interventions, such as electric vehicles or charging stations.</t>
        </is>
      </c>
    </row>
    <row r="12" ht="45.75" customHeight="1">
      <c r="A12" s="45" t="inlineStr">
        <is>
          <t>Energy Efficiency Services</t>
        </is>
      </c>
      <c r="B12" s="45" t="inlineStr">
        <is>
          <t>Energy saved from energy-efficiency interventions, such as building or industrial efficiency.</t>
        </is>
      </c>
    </row>
    <row r="13" ht="30.75" customHeight="1">
      <c r="A13" s="45" t="inlineStr">
        <is>
          <t>Energy Infrastructure Services</t>
        </is>
      </c>
      <c r="B13" s="45" t="inlineStr">
        <is>
          <t>Number of people benefiting from energy infrastructure interventions, such as streetlights, transmission, and distribution lines.</t>
        </is>
      </c>
    </row>
    <row r="14">
      <c r="A14" s="45" t="inlineStr">
        <is>
          <t>Other Energy Services</t>
        </is>
      </c>
      <c r="B14" s="45" t="inlineStr">
        <is>
          <t>Access to other energy services not captured by the categories above.</t>
        </is>
      </c>
    </row>
    <row r="15" ht="30.75" customHeight="1">
      <c r="A15" s="45" t="inlineStr">
        <is>
          <t>Financing support</t>
        </is>
      </c>
      <c r="B15" s="45" t="inlineStr">
        <is>
          <t>Support for the development of the energy market ecosystem.</t>
        </is>
      </c>
    </row>
    <row r="16" ht="30.75" customHeight="1">
      <c r="A16" s="45" t="inlineStr">
        <is>
          <t>Medium Enterprises</t>
        </is>
      </c>
      <c r="B16" s="45" t="inlineStr">
        <is>
          <t>Support for the development of medium enterprises in the energy transition market.</t>
        </is>
      </c>
    </row>
    <row r="17" ht="30.75" customHeight="1">
      <c r="A17" s="45" t="inlineStr">
        <is>
          <t>Small Enterprises</t>
        </is>
      </c>
      <c r="B17" s="45" t="inlineStr">
        <is>
          <t>Support for the development of small enterprises in the energy transition market.</t>
        </is>
      </c>
    </row>
    <row r="18" ht="30.75" customHeight="1">
      <c r="A18" s="45" t="inlineStr">
        <is>
          <t>Capacity Building Training</t>
        </is>
      </c>
      <c r="B18" s="45" t="inlineStr">
        <is>
          <t>Number of people benefiting from training on energy business, energy finance, or related implementation capacity.</t>
        </is>
      </c>
    </row>
    <row r="19" ht="76.5" customHeight="1">
      <c r="A19" s="45" t="inlineStr">
        <is>
          <t>Entrepreneurship Training</t>
        </is>
      </c>
      <c r="B19" s="45" t="inlineStr">
        <is>
          <t>Training for enterprises on the energy business, assumed to result in direct beneficiaries.</t>
        </is>
      </c>
    </row>
    <row r="20" ht="30.75" customHeight="1">
      <c r="A20" s="45" t="inlineStr">
        <is>
          <t>Market Intervention</t>
        </is>
      </c>
      <c r="B20" s="45" t="inlineStr">
        <is>
          <t>Volume of investment leveraged or barriers removed for clean, reliable, affordable, and sustainable energy solutions.</t>
        </is>
      </c>
    </row>
    <row r="21" ht="45.75" customHeight="1">
      <c r="A21" s="45" t="inlineStr">
        <is>
          <t>Campaign Participant</t>
        </is>
      </c>
      <c r="B21" s="45" t="inlineStr">
        <is>
          <t>Individuals who participate in advocacy or awareness campaigns on energy.</t>
        </is>
      </c>
    </row>
    <row r="22" ht="30.75" customHeight="1">
      <c r="A22" s="45" t="inlineStr">
        <is>
          <t>Policy or Regulatory Framework</t>
        </is>
      </c>
      <c r="B22" s="45" t="inlineStr">
        <is>
          <t>Policies, regulations, strategies, plans, or frameworks developed, approved, implemented, or strengthened.</t>
        </is>
      </c>
    </row>
    <row r="23">
      <c r="A23" s="45" t="inlineStr">
        <is>
          <t>GHG Emissions Reduction</t>
        </is>
      </c>
      <c r="B23" s="45" t="inlineStr">
        <is>
          <t>Greenhouse gas emissions reduced or mitigated, in tCO2e.</t>
        </is>
      </c>
    </row>
    <row r="24">
      <c r="A24" s="45" t="inlineStr">
        <is>
          <t>Other</t>
        </is>
      </c>
      <c r="B24" s="4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