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3"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1"/>
      <sz val="11"/>
      <scheme val="minor"/>
    </font>
    <font>
      <name val="Calibri"/>
      <family val="2"/>
      <color theme="9"/>
      <sz val="11"/>
      <scheme val="minor"/>
    </font>
    <font>
      <name val="Calibri"/>
      <color rgb="FF00B0F0"/>
      <sz val="11"/>
      <scheme val="minor"/>
    </font>
    <font>
      <name val="Calibri"/>
      <family val="2"/>
      <color rgb="FF00B0F0"/>
      <sz val="11"/>
      <scheme val="minor"/>
    </font>
    <font>
      <name val="Calibri"/>
      <family val="2"/>
      <b val="1"/>
      <color rgb="FF00B0F0"/>
      <sz val="11"/>
      <scheme val="minor"/>
    </font>
    <font>
      <name val="Calibri"/>
      <charset val="1"/>
      <family val="2"/>
      <color rgb="FF000000"/>
      <sz val="9"/>
    </font>
    <font>
      <name val="Calibri"/>
      <family val="2"/>
      <color theme="10"/>
      <sz val="11"/>
      <u val="single"/>
      <scheme val="minor"/>
    </font>
    <font>
      <b val="1"/>
    </font>
  </fonts>
  <fills count="4">
    <fill>
      <patternFill/>
    </fill>
    <fill>
      <patternFill patternType="gray125"/>
    </fill>
    <fill>
      <patternFill patternType="solid">
        <fgColor rgb="FFFFE497"/>
        <bgColor indexed="64"/>
      </patternFill>
    </fill>
    <fill>
      <patternFill patternType="solid">
        <fgColor rgb="00FFFF00"/>
      </patternFill>
    </fill>
  </fills>
  <borders count="8">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7" fillId="0" borderId="0"/>
  </cellStyleXfs>
  <cellXfs count="35">
    <xf numFmtId="0" fontId="0" fillId="0" borderId="0" pivotButton="0" quotePrefix="0" xfId="0"/>
    <xf numFmtId="0" fontId="1" fillId="0" borderId="1" applyAlignment="1" pivotButton="0" quotePrefix="0" xfId="0">
      <alignment horizontal="center" vertical="top"/>
    </xf>
    <xf numFmtId="0" fontId="1" fillId="0" borderId="2" pivotButton="0" quotePrefix="0" xfId="0"/>
    <xf numFmtId="0" fontId="0" fillId="2" borderId="0" applyAlignment="1" pivotButton="0" quotePrefix="0" xfId="0">
      <alignment wrapText="1"/>
    </xf>
    <xf numFmtId="0" fontId="0" fillId="2" borderId="0" applyAlignment="1" pivotButton="0" quotePrefix="0" xfId="0">
      <alignment vertical="center"/>
    </xf>
    <xf numFmtId="0" fontId="0" fillId="2" borderId="0" applyAlignment="1" pivotButton="0" quotePrefix="0" xfId="0">
      <alignment horizontal="left" vertical="center"/>
    </xf>
    <xf numFmtId="0" fontId="2" fillId="0" borderId="0" pivotButton="0" quotePrefix="0" xfId="0"/>
    <xf numFmtId="0" fontId="1" fillId="0" borderId="3" pivotButton="0" quotePrefix="0" xfId="0"/>
    <xf numFmtId="0" fontId="0" fillId="0" borderId="3" applyAlignment="1" pivotButton="0" quotePrefix="0" xfId="0">
      <alignment horizontal="center" vertical="center"/>
    </xf>
    <xf numFmtId="0" fontId="0" fillId="0" borderId="3" pivotButton="0" quotePrefix="0" xfId="0"/>
    <xf numFmtId="0" fontId="0" fillId="2" borderId="3" applyAlignment="1" pivotButton="0" quotePrefix="0" xfId="0">
      <alignment vertical="center"/>
    </xf>
    <xf numFmtId="0" fontId="1" fillId="0" borderId="5" applyAlignment="1" pivotButton="0" quotePrefix="0" xfId="0">
      <alignment horizontal="center" vertical="top"/>
    </xf>
    <xf numFmtId="0" fontId="1" fillId="0" borderId="0" pivotButton="0" quotePrefix="0" xfId="0"/>
    <xf numFmtId="0" fontId="1" fillId="0" borderId="3" applyAlignment="1" pivotButton="0" quotePrefix="0" xfId="0">
      <alignment horizontal="center"/>
    </xf>
    <xf numFmtId="0" fontId="1" fillId="0" borderId="6" applyAlignment="1" pivotButton="0" quotePrefix="0" xfId="0">
      <alignment horizontal="center"/>
    </xf>
    <xf numFmtId="0" fontId="1" fillId="0" borderId="7" applyAlignment="1" pivotButton="0" quotePrefix="0" xfId="0">
      <alignment horizontal="center"/>
    </xf>
    <xf numFmtId="0" fontId="0" fillId="0" borderId="3" applyAlignment="1" pivotButton="0" quotePrefix="0" xfId="0">
      <alignment vertical="center" wrapText="1"/>
    </xf>
    <xf numFmtId="0" fontId="0" fillId="0" borderId="4" applyAlignment="1" pivotButton="0" quotePrefix="0" xfId="0">
      <alignment horizontal="center" vertical="center" wrapText="1"/>
    </xf>
    <xf numFmtId="0" fontId="0" fillId="0" borderId="3" applyAlignment="1" pivotButton="0" quotePrefix="0" xfId="0">
      <alignment vertical="center"/>
    </xf>
    <xf numFmtId="0" fontId="1" fillId="0" borderId="3" applyAlignment="1" pivotButton="0" quotePrefix="0" xfId="0">
      <alignment horizontal="center" vertical="top" wrapText="1"/>
    </xf>
    <xf numFmtId="0" fontId="0" fillId="0" borderId="3" applyAlignment="1" pivotButton="0" quotePrefix="0" xfId="0">
      <alignment horizontal="left" vertical="center" wrapText="1"/>
    </xf>
    <xf numFmtId="0" fontId="3" fillId="0" borderId="3" applyAlignment="1" pivotButton="0" quotePrefix="0" xfId="0">
      <alignment vertical="center"/>
    </xf>
    <xf numFmtId="0" fontId="4" fillId="0" borderId="7" applyAlignment="1" pivotButton="0" quotePrefix="0" xfId="0">
      <alignment horizontal="center" vertical="center"/>
    </xf>
    <xf numFmtId="0" fontId="4" fillId="0" borderId="3" applyAlignment="1" pivotButton="0" quotePrefix="0" xfId="0">
      <alignment horizontal="center" vertical="center"/>
    </xf>
    <xf numFmtId="0" fontId="5" fillId="0" borderId="0" applyAlignment="1" pivotButton="0" quotePrefix="0" xfId="0">
      <alignment vertical="top" wrapText="1"/>
    </xf>
    <xf numFmtId="0" fontId="4" fillId="0" borderId="3" applyAlignment="1" pivotButton="0" quotePrefix="0" xfId="0">
      <alignment wrapText="1"/>
    </xf>
    <xf numFmtId="0" fontId="4" fillId="0" borderId="0" pivotButton="0" quotePrefix="0" xfId="0"/>
    <xf numFmtId="0" fontId="4" fillId="2" borderId="0" applyAlignment="1" pivotButton="0" quotePrefix="0" xfId="0">
      <alignment wrapText="1"/>
    </xf>
    <xf numFmtId="0" fontId="6" fillId="0" borderId="6" applyAlignment="1" pivotButton="0" quotePrefix="0" xfId="0">
      <alignment horizontal="center" vertical="center" wrapText="1"/>
    </xf>
    <xf numFmtId="0" fontId="7" fillId="0" borderId="3" pivotButton="0" quotePrefix="0" xfId="1"/>
    <xf numFmtId="0" fontId="0" fillId="3" borderId="3" pivotButton="0" quotePrefix="0" xfId="0"/>
    <xf numFmtId="0" fontId="0" fillId="3" borderId="0" pivotButton="0" quotePrefix="0" xfId="0"/>
    <xf numFmtId="0" fontId="5" fillId="3" borderId="0" applyAlignment="1" pivotButton="0" quotePrefix="0" xfId="0">
      <alignment vertical="top" wrapText="1"/>
    </xf>
    <xf numFmtId="0" fontId="8"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4685" TargetMode="External" Id="rId1"/></Relationships>
</file>

<file path=xl/worksheets/sheet1.xml><?xml version="1.0" encoding="utf-8"?>
<worksheet xmlns="http://schemas.openxmlformats.org/spreadsheetml/2006/main">
  <sheetPr>
    <outlinePr summaryBelow="1" summaryRight="1"/>
    <pageSetUpPr/>
  </sheetPr>
  <dimension ref="A1:W5"/>
  <sheetViews>
    <sheetView workbookViewId="0">
      <pane xSplit="1" ySplit="1" topLeftCell="B2" activePane="bottomRight" state="frozen"/>
      <selection pane="bottomRight" activeCell="C2" sqref="C2"/>
      <selection pane="bottomLeft" activeCell="A1" sqref="A1"/>
      <selection pane="topRight" activeCell="A1" sqref="A1"/>
    </sheetView>
  </sheetViews>
  <sheetFormatPr baseColWidth="8" defaultRowHeight="15"/>
  <cols>
    <col width="27.140625" bestFit="1" customWidth="1" min="2" max="2"/>
    <col width="20.7109375" customWidth="1" min="3" max="3"/>
    <col width="13" customWidth="1" min="4" max="4"/>
    <col width="13" customWidth="1" min="5" max="6"/>
    <col width="13" customWidth="1" min="6" max="6"/>
    <col width="13" customWidth="1" min="7" max="8"/>
    <col width="13" customWidth="1" min="8" max="8"/>
    <col width="57" customWidth="1" min="9" max="9"/>
    <col width="47.5703125" customWidth="1" min="11" max="11"/>
    <col width="14.42578125" bestFit="1" customWidth="1" min="13" max="13"/>
    <col width="18" customWidth="1" min="20" max="20"/>
  </cols>
  <sheetData>
    <row r="1">
      <c r="A1" s="11" t="inlineStr">
        <is>
          <t>Project ID</t>
        </is>
      </c>
      <c r="B1" s="11" t="inlineStr">
        <is>
          <t>Title</t>
        </is>
      </c>
      <c r="C1" s="11" t="inlineStr">
        <is>
          <t>Link</t>
        </is>
      </c>
      <c r="D1" s="11" t="inlineStr">
        <is>
          <t>Budget</t>
        </is>
      </c>
      <c r="E1" s="11" t="inlineStr">
        <is>
          <t>Start Year</t>
        </is>
      </c>
      <c r="F1" s="11" t="inlineStr">
        <is>
          <t>End Year</t>
        </is>
      </c>
      <c r="G1" s="11" t="inlineStr">
        <is>
          <t>Status</t>
        </is>
      </c>
      <c r="H1" s="11" t="inlineStr">
        <is>
          <t>VF or Non-VF</t>
        </is>
      </c>
      <c r="I1" s="11" t="inlineStr">
        <is>
          <t>Beneficiary Category</t>
        </is>
      </c>
      <c r="J1" s="11" t="inlineStr">
        <is>
          <t>Indicator</t>
        </is>
      </c>
      <c r="K1" s="11" t="inlineStr">
        <is>
          <t>Baseline</t>
        </is>
      </c>
      <c r="L1" s="11" t="inlineStr">
        <is>
          <t>Target</t>
        </is>
      </c>
      <c r="M1" s="11" t="inlineStr">
        <is>
          <t>Notes</t>
        </is>
      </c>
      <c r="N1" s="12" t="inlineStr">
        <is>
          <t>Donors</t>
        </is>
      </c>
      <c r="O1" s="14" t="inlineStr">
        <is>
          <t>Tag</t>
        </is>
      </c>
      <c r="P1" s="13" t="inlineStr">
        <is>
          <t>SEH Taxonomy</t>
        </is>
      </c>
      <c r="Q1" s="13" t="inlineStr">
        <is>
          <t>RISE Taxonomy</t>
        </is>
      </c>
      <c r="R1" s="13" t="inlineStr">
        <is>
          <t>Flagship</t>
        </is>
      </c>
      <c r="S1" s="13" t="inlineStr">
        <is>
          <t>Indirect Category</t>
        </is>
      </c>
      <c r="T1" s="15" t="inlineStr">
        <is>
          <t>Indirect Taxonomy</t>
        </is>
      </c>
      <c r="U1" s="7" t="inlineStr">
        <is>
          <t>Technology</t>
        </is>
      </c>
      <c r="V1" s="15" t="inlineStr">
        <is>
          <t>Policy or Regulatory Framework</t>
        </is>
      </c>
      <c r="W1" s="7" t="inlineStr">
        <is>
          <t>Policy Population</t>
        </is>
      </c>
    </row>
    <row r="2" ht="35.25" customHeight="1">
      <c r="A2" s="9" t="n">
        <v>4685</v>
      </c>
      <c r="B2" s="9" t="inlineStr">
        <is>
          <t>Congo Micro-hydroelectricity</t>
        </is>
      </c>
      <c r="C2" s="29" t="inlineStr">
        <is>
          <t>https://co.pims.undp.org/project/view?id=4685</t>
        </is>
      </c>
      <c r="D2" s="9" t="n">
        <v>1944133</v>
      </c>
      <c r="E2" s="30" t="n"/>
      <c r="F2" s="30" t="n"/>
      <c r="G2" s="30" t="n"/>
      <c r="H2" s="9" t="inlineStr">
        <is>
          <t>VF</t>
        </is>
      </c>
      <c r="I2" s="9" t="inlineStr">
        <is>
          <t>Electricity Access</t>
        </is>
      </c>
      <c r="L2" s="10" t="n">
        <v>45000</v>
      </c>
      <c r="M2" s="27" t="inlineStr">
        <is>
          <t xml:space="preserve">
Existence of at least 5 Small Hydroelectric Power Plants (PCH) built on 5 pilot sites</t>
        </is>
      </c>
      <c r="N2" s="9" t="inlineStr">
        <is>
          <t>GEF</t>
        </is>
      </c>
      <c r="O2" s="23" t="inlineStr">
        <is>
          <t>Finance</t>
        </is>
      </c>
      <c r="P2" s="17" t="inlineStr">
        <is>
          <t>Close the gap on energy access</t>
        </is>
      </c>
      <c r="Q2" s="8" t="inlineStr">
        <is>
          <t>Electricity Access</t>
        </is>
      </c>
      <c r="R2" s="23" t="inlineStr">
        <is>
          <t>PUDC</t>
        </is>
      </c>
      <c r="S2" s="23" t="inlineStr">
        <is>
          <t>National Strategy</t>
        </is>
      </c>
      <c r="T2" s="23" t="inlineStr">
        <is>
          <t>Infrastructure</t>
        </is>
      </c>
      <c r="U2" s="18" t="inlineStr">
        <is>
          <t>Hydro</t>
        </is>
      </c>
      <c r="V2" s="22" t="inlineStr">
        <is>
          <t>National</t>
        </is>
      </c>
      <c r="W2" s="21" t="inlineStr">
        <is>
          <t>Local communities</t>
        </is>
      </c>
    </row>
    <row r="3" ht="409.6" customHeight="1">
      <c r="I3" s="28" t="inlineStr">
        <is>
          <t>Policy or Regulatory Framework</t>
        </is>
      </c>
      <c r="K3" s="27" t="n"/>
      <c r="M3" s="24" t="inlineStr">
        <is>
          <t>In the field of energy, the work initiated as part of the Micro-Hydroelectricity Development Project has enabled Congo to have 19 feasibility studies and detailed preliminary projects and 19 environmental and social impact studies. . This constitutes a basis for solid construction of an exit strategy towards emergence with a view to contributing significantly to the government effort for national development and the fight against poverty in rural areas.
The objective pursued is to:
•Promote investments in small and mini hydroelectric networks intended to ensure rural electrification in Congo-Brazzaville 
•Put in place policies and instruments to minimize the risks linked to the construction of PCH and mini-networks in the Republic of Congo. 
•Proceed to build small and consistently develop technological supply chains in south-south and north-south cooperation.</t>
        </is>
      </c>
    </row>
    <row r="4">
      <c r="I4" s="28" t="inlineStr">
        <is>
          <t>Energy (MW added)</t>
        </is>
      </c>
      <c r="J4" t="inlineStr">
        <is>
          <t>Installed capacity in MW for access/productive-use outputs</t>
        </is>
      </c>
      <c r="K4" s="27" t="n">
        <v>0</v>
      </c>
      <c r="L4" s="31" t="n"/>
      <c r="M4" s="32" t="inlineStr">
        <is>
          <t>[AUTO-ADDED] Project reports access/productive-use beneficiary numbers but no MW value. Please add installed capacity (MW) or confirm not applicable.</t>
        </is>
      </c>
    </row>
    <row r="5">
      <c r="B5" s="6" t="n"/>
    </row>
  </sheetData>
  <dataValidations count="11">
    <dataValidation sqref="P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O2" showDropDown="0" showInputMessage="1" showErrorMessage="1" allowBlank="1" type="list">
      <formula1>"AMP, PUDC, Solar4Health, Action Opportunities, Italy UNDP Energy Partnership"</formula1>
    </dataValidation>
    <dataValidation sqref="M2" showDropDown="0" showInputMessage="1" showErrorMessage="1" allowBlank="1" type="list">
      <formula1>"Accelerating just energy transition, Close the gap on energy access, Scale up energy finance"</formula1>
    </dataValidation>
    <dataValidation sqref="N2" showDropDown="0" showInputMessage="1" showErrorMessage="1" allowBlank="1" type="list">
      <formula1>"Electricity Access, Energy Efficiency, Clean Cooking, Renewable Energy, Overall"</formula1>
    </dataValidation>
    <dataValidation sqref="S2" showDropDown="0" showInputMessage="1" showErrorMessage="1" allowBlank="1" type="list">
      <formula1>"National, Regional, City, Community"</formula1>
    </dataValidation>
    <dataValidation sqref="L2" showDropDown="0" showInputMessage="1" showErrorMessage="1" allowBlank="1" type="list">
      <formula1>"Finance, Gender, Efficiency, Just, Health"</formula1>
    </dataValidation>
    <dataValidation sqref="R2" showDropDown="0" showInputMessage="1" showErrorMessage="1" allowBlank="1" type="list">
      <formula1>"Solar, Wind, Bioenergy, Hydro, Geothermal, Waste, Some Sources, Other, Unknown"</formula1>
    </dataValidation>
    <dataValidation sqref="Q2"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4"/>
  <sheetViews>
    <sheetView topLeftCell="F1" workbookViewId="0">
      <selection activeCell="K2" sqref="K2"/>
    </sheetView>
  </sheetViews>
  <sheetFormatPr baseColWidth="8" defaultRowHeight="15"/>
  <cols>
    <col width="20.7109375" customWidth="1" min="2" max="3"/>
    <col width="20.7109375" customWidth="1" min="5" max="6"/>
    <col width="12.7109375" customWidth="1" min="7" max="8"/>
    <col width="32.7109375" customWidth="1" min="9" max="9"/>
    <col width="47.5703125"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 t="inlineStr">
        <is>
          <t>Donors</t>
        </is>
      </c>
      <c r="K1" t="inlineStr">
        <is>
          <t xml:space="preserve">Comments </t>
        </is>
      </c>
    </row>
    <row r="2" ht="226.5" customHeight="1">
      <c r="A2" t="n">
        <v>4685</v>
      </c>
      <c r="B2" t="inlineStr">
        <is>
          <t>Congo Micro-hydroelectricity</t>
        </is>
      </c>
      <c r="C2" t="inlineStr">
        <is>
          <t>PIMS+</t>
        </is>
      </c>
      <c r="D2" t="n">
        <v>1944133</v>
      </c>
      <c r="E2" t="inlineStr">
        <is>
          <t>Electricity Access</t>
        </is>
      </c>
      <c r="F2" s="27" t="inlineStr">
        <is>
          <t xml:space="preserve">
Existence of at least 5 Small Hydroelectric Power Plants (PCH) built on 5 pilot sites</t>
        </is>
      </c>
      <c r="G2" s="27" t="inlineStr">
        <is>
          <t xml:space="preserve">
19 Detailed pre-project feasibility studies and environmental impact studies</t>
        </is>
      </c>
      <c r="H2" s="4" t="n">
        <v>45000</v>
      </c>
      <c r="I2" s="5" t="inlineStr">
        <is>
          <t>electrification for rural communities and income generating activities for the populationof  remote and isolated areas.  small entreproses and big timber industries,  shops, conservation centre for agricultural productions, food and crops processing centres</t>
        </is>
      </c>
      <c r="K2" s="24" t="inlineStr">
        <is>
          <t>In the field of energy, the work initiated as part of the Micro-Hydroelectricity Development Project has enabled Congo to have 19 feasibility studies and detailed preliminary projects and 19 environmental and social impact studies. . This constitutes a basis for solid construction of an exit strategy towards emergence with a view to contributing significantly to the government effort for national development and the fight against poverty in rural areas.
The objective pursued is to:
•Promote investments in small and mini hydroelectric networks intended to ensure rural electrification in Congo-Brazzaville 
•Put in place policies and instruments to minimize the risks linked to the construction of PCH and mini-networks in the Republic of Congo. 
•Proceed to build small and consistently develop technological supply chains in south-south and north-south cooperation.</t>
        </is>
      </c>
    </row>
    <row r="4">
      <c r="B4" s="6"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
  <sheetViews>
    <sheetView workbookViewId="0">
      <selection activeCell="F2" sqref="F2:G2"/>
    </sheetView>
  </sheetViews>
  <sheetFormatPr baseColWidth="8" defaultRowHeight="15"/>
  <cols>
    <col width="20.7109375" customWidth="1" min="2" max="3"/>
    <col width="20.7109375" customWidth="1" min="5" max="6"/>
    <col width="12.7109375" customWidth="1" min="7" max="8"/>
    <col width="32.7109375" customWidth="1" min="9" max="9"/>
    <col width="47.5703125"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 t="inlineStr">
        <is>
          <t>Donors</t>
        </is>
      </c>
      <c r="K1" t="inlineStr">
        <is>
          <t xml:space="preserve">Comments </t>
        </is>
      </c>
    </row>
    <row r="2" ht="226.5" customHeight="1">
      <c r="A2" t="n">
        <v>4685</v>
      </c>
      <c r="B2" t="inlineStr">
        <is>
          <t>Congo Micro-hydroelectricity</t>
        </is>
      </c>
      <c r="C2" t="inlineStr">
        <is>
          <t>PIMS+</t>
        </is>
      </c>
      <c r="D2" t="n">
        <v>1944133</v>
      </c>
      <c r="E2" s="3" t="inlineStr">
        <is>
          <t>Electricity Access</t>
        </is>
      </c>
      <c r="F2" s="27" t="inlineStr">
        <is>
          <t xml:space="preserve">
Existence of at least 5 Small Hydroelectric Power Plants (PCH) built on 5 pilot sites</t>
        </is>
      </c>
      <c r="G2" s="27" t="inlineStr">
        <is>
          <t xml:space="preserve">
19 Detailed pre-project feasibility studies and environmental impact studies</t>
        </is>
      </c>
      <c r="H2" s="4" t="n">
        <v>45000</v>
      </c>
      <c r="I2" s="5" t="inlineStr">
        <is>
          <t>electrification for rural communities and income generating activities for the populationof  remote and isolated areas.  small entreproses and big timber industries,  shops, conservation centre for agricultural productions, food and crops processing centres</t>
        </is>
      </c>
      <c r="K2" s="24" t="inlineStr">
        <is>
          <t>In the field of energy, the work initiated as part of the Micro-Hydroelectricity Development Project has enabled Congo to have 19 feasibility studies and detailed preliminary projects and 19 environmental and social impact studies. . This constitutes a basis for solid construction of an exit strategy towards emergence with a view to contributing significantly to the government effort for national development and the fight against poverty in rural areas.
The objective pursued is to:
•Promote investments in small and mini hydroelectric networks intended to ensure rural electrification in Congo-Brazzaville 
•Put in place policies and instruments to minimize the risks linked to the construction of PCH and mini-networks in the Republic of Congo. 
•Proceed to build small and consistently develop technological supply chains in south-south and north-south cooperation.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8" sqref="A18"/>
    </sheetView>
  </sheetViews>
  <sheetFormatPr baseColWidth="8" defaultRowHeight="15"/>
  <cols>
    <col width="36" customWidth="1" min="1" max="2"/>
    <col width="110" customWidth="1" min="2" max="2"/>
  </cols>
  <sheetData>
    <row r="1">
      <c r="A1" s="33" t="inlineStr">
        <is>
          <t>Beneficiary Category</t>
        </is>
      </c>
      <c r="B1" s="33" t="inlineStr">
        <is>
          <t>Indicator</t>
        </is>
      </c>
    </row>
    <row r="2">
      <c r="A2" s="34" t="inlineStr">
        <is>
          <t>Electricity Access</t>
        </is>
      </c>
      <c r="B2" s="34" t="inlineStr">
        <is>
          <t>Number of people, disaggregated by sex, who gain access to clean electricity (direct access to electricity, lighting, cooling, etc.).</t>
        </is>
      </c>
    </row>
    <row r="3">
      <c r="A3" s="34" t="inlineStr">
        <is>
          <t>Energy (MW added)</t>
        </is>
      </c>
      <c r="B3" s="34" t="inlineStr">
        <is>
          <t>Installed renewable or clean-energy power capacity added, in MW.</t>
        </is>
      </c>
    </row>
    <row r="4">
      <c r="A4" s="34" t="inlineStr">
        <is>
          <t>Energy Storage (MW)</t>
        </is>
      </c>
      <c r="B4" s="34" t="inlineStr">
        <is>
          <t>Installed energy storage power capacity added, in MW.</t>
        </is>
      </c>
    </row>
    <row r="5">
      <c r="A5" s="34" t="inlineStr">
        <is>
          <t>Clean Cooking</t>
        </is>
      </c>
      <c r="B5" s="34" t="inlineStr">
        <is>
          <t>Number of people who gain access to clean cooking (direct access to clean cook stoves, clean fuels, biomass, etc.).</t>
        </is>
      </c>
    </row>
    <row r="6">
      <c r="A6" s="34" t="inlineStr">
        <is>
          <t>Clean Heating</t>
        </is>
      </c>
      <c r="B6" s="34" t="inlineStr">
        <is>
          <t>Number of people who gain access to clean heating (direct access to clean electric heaters, clean fuels, etc.).</t>
        </is>
      </c>
    </row>
    <row r="7">
      <c r="A7" s="34" t="inlineStr">
        <is>
          <t>Agriculture and Food System</t>
        </is>
      </c>
      <c r="B7" s="34" t="inlineStr">
        <is>
          <t>Number of people who gain access to clean, affordable, and sustainable energy for agricultural and food-system activities.</t>
        </is>
      </c>
    </row>
    <row r="8">
      <c r="A8" s="34" t="inlineStr">
        <is>
          <t>Health Services</t>
        </is>
      </c>
      <c r="B8" s="34" t="inlineStr">
        <is>
          <t>Number of people who gain access to health care facilities through clean energy systems.</t>
        </is>
      </c>
    </row>
    <row r="9">
      <c r="A9" s="34" t="inlineStr">
        <is>
          <t>Water Services</t>
        </is>
      </c>
      <c r="B9" s="34" t="inlineStr">
        <is>
          <t>Number of people who gain access to water services through clean energy systems.</t>
        </is>
      </c>
    </row>
    <row r="10">
      <c r="A10" s="34" t="inlineStr">
        <is>
          <t>Education Services</t>
        </is>
      </c>
      <c r="B10" s="34" t="inlineStr">
        <is>
          <t>Number of people who gain access to education services through clean energy systems, including students and teachers.</t>
        </is>
      </c>
    </row>
    <row r="11">
      <c r="A11" s="34" t="inlineStr">
        <is>
          <t>Transportation and E-mobility Services</t>
        </is>
      </c>
      <c r="B11" s="34" t="inlineStr">
        <is>
          <t>Number of people served or energy saved from transport and e-mobility interventions, such as electric vehicles or charging stations.</t>
        </is>
      </c>
    </row>
    <row r="12">
      <c r="A12" s="34" t="inlineStr">
        <is>
          <t>Energy Efficiency Services</t>
        </is>
      </c>
      <c r="B12" s="34" t="inlineStr">
        <is>
          <t>Energy saved from energy-efficiency interventions, such as building or industrial efficiency.</t>
        </is>
      </c>
    </row>
    <row r="13">
      <c r="A13" s="34" t="inlineStr">
        <is>
          <t>Energy Infrastructure Services</t>
        </is>
      </c>
      <c r="B13" s="34" t="inlineStr">
        <is>
          <t>Number of people benefiting from energy infrastructure interventions, such as streetlights, transmission, and distribution lines.</t>
        </is>
      </c>
    </row>
    <row r="14">
      <c r="A14" s="34" t="inlineStr">
        <is>
          <t>Other Energy Services</t>
        </is>
      </c>
      <c r="B14" s="34" t="inlineStr">
        <is>
          <t>Access to other energy services not captured by the categories above.</t>
        </is>
      </c>
    </row>
    <row r="15">
      <c r="A15" s="34" t="inlineStr">
        <is>
          <t>Financing support</t>
        </is>
      </c>
      <c r="B15" s="34" t="inlineStr">
        <is>
          <t>Support for the development of the energy market ecosystem.</t>
        </is>
      </c>
    </row>
    <row r="16">
      <c r="A16" s="34" t="inlineStr">
        <is>
          <t>Medium Enterprises</t>
        </is>
      </c>
      <c r="B16" s="34" t="inlineStr">
        <is>
          <t>Support for the development of medium enterprises in the energy transition market.</t>
        </is>
      </c>
    </row>
    <row r="17">
      <c r="A17" s="34" t="inlineStr">
        <is>
          <t>Small Enterprises</t>
        </is>
      </c>
      <c r="B17" s="34" t="inlineStr">
        <is>
          <t>Support for the development of small enterprises in the energy transition market.</t>
        </is>
      </c>
    </row>
    <row r="18">
      <c r="A18" s="34" t="inlineStr">
        <is>
          <t>Capacity Building Training</t>
        </is>
      </c>
      <c r="B18" s="34" t="inlineStr">
        <is>
          <t>Number of people benefiting from training on energy business, energy finance, or related implementation capacity.</t>
        </is>
      </c>
    </row>
    <row r="19">
      <c r="A19" s="34" t="inlineStr">
        <is>
          <t>Entrepreneurship Training</t>
        </is>
      </c>
      <c r="B19" s="34" t="inlineStr">
        <is>
          <t>Training for enterprises on the energy business, assumed to result in direct beneficiaries.</t>
        </is>
      </c>
    </row>
    <row r="20">
      <c r="A20" s="34" t="inlineStr">
        <is>
          <t>Market Intervention</t>
        </is>
      </c>
      <c r="B20" s="34" t="inlineStr">
        <is>
          <t>Volume of investment leveraged or barriers removed for clean, reliable, affordable, and sustainable energy solutions.</t>
        </is>
      </c>
    </row>
    <row r="21">
      <c r="A21" s="34" t="inlineStr">
        <is>
          <t>Campaign Participant</t>
        </is>
      </c>
      <c r="B21" s="34" t="inlineStr">
        <is>
          <t>Individuals who participate in advocacy or awareness campaigns on energy.</t>
        </is>
      </c>
    </row>
    <row r="22">
      <c r="A22" s="34" t="inlineStr">
        <is>
          <t>Policy or Regulatory Framework</t>
        </is>
      </c>
      <c r="B22" s="34" t="inlineStr">
        <is>
          <t>Policies, regulations, strategies, plans, or frameworks developed, approved, implemented, or strengthened.</t>
        </is>
      </c>
    </row>
    <row r="23">
      <c r="A23" s="34" t="inlineStr">
        <is>
          <t>GHG Emissions Reduction</t>
        </is>
      </c>
      <c r="B23" s="34" t="inlineStr">
        <is>
          <t>Greenhouse gas emissions reduced or mitigated, in tCO2e.</t>
        </is>
      </c>
    </row>
    <row r="24">
      <c r="A24" s="34" t="inlineStr">
        <is>
          <t>Other</t>
        </is>
      </c>
      <c r="B24" s="34"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2026-06-08T15:49:45Z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