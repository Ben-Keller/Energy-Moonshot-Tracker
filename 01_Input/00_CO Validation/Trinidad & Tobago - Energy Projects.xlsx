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425"/>
  <workbookPr defaultThemeVersion="124226"/>
  <xr:revisionPtr revIDLastSave="277" documentId="11_17A891D81675D87D65C4FD40FDCD662C781F2CF6" xr6:coauthVersionLast="47" xr6:coauthVersionMax="47" xr10:uidLastSave="{62870971-DC9A-4C94-9C43-B2D36869E8BD}"/>
  <bookViews>
    <workbookView xWindow="240" yWindow="15" windowWidth="16095" windowHeight="9660" xr2:uid="{00000000-000D-0000-FFFF-FFFF00000000}"/>
  </bookViews>
  <sheets>
    <sheet name="Projects (2)" sheetId="3" r:id="rId1"/>
    <sheet name="Projects" sheetId="1" r:id="rId2"/>
    <sheet name="Beneficiary Categories" sheetId="2" r:id="rId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<sst xmlns="http://schemas.openxmlformats.org/spreadsheetml/2006/main" count="248" uniqueCount="118">
  <si>
    <t>Project ID</t>
  </si>
  <si>
    <t>Title</t>
  </si>
  <si>
    <t>Link</t>
  </si>
  <si>
    <t>Budget</t>
  </si>
  <si>
    <t>Beneficiary Category</t>
  </si>
  <si>
    <t>Indicator</t>
  </si>
  <si>
    <t>Baseline</t>
  </si>
  <si>
    <t>Target</t>
  </si>
  <si>
    <t>Notes</t>
  </si>
  <si>
    <t>Donors</t>
  </si>
  <si>
    <t>Gender (% female)</t>
  </si>
  <si>
    <t>VF or Non-VF</t>
  </si>
  <si>
    <t>Tag</t>
  </si>
  <si>
    <t>SEH Taxonomy</t>
  </si>
  <si>
    <t>RISE Taxonomy</t>
  </si>
  <si>
    <t>Flagship</t>
  </si>
  <si>
    <t>Indirect Category</t>
  </si>
  <si>
    <t>Indirect Taxonomy</t>
  </si>
  <si>
    <t>Technology</t>
  </si>
  <si>
    <t>Policy or Regulatory Framework</t>
  </si>
  <si>
    <t>Policy Population</t>
  </si>
  <si>
    <t>5957, 117647</t>
  </si>
  <si>
    <t>Energy Efficiency through the Development of Low-carbon RAC Technologies in Trinidad and Tobago</t>
  </si>
  <si>
    <t>https://open.undp.org/projects/00117647</t>
  </si>
  <si>
    <t>Capacity Building Training</t>
  </si>
  <si>
    <t xml:space="preserve">Number of direct project beneficiaries disaggregated by gender as co-benefit of GEF investment during the project implementation period.  </t>
  </si>
  <si>
    <t>Total:    145 (100%)
Men:     100   (69%)
Women: 45   (31%)</t>
  </si>
  <si>
    <t>Strengthening technical capacities in the formal academic sector and in the specialized technical CSO (ARIA) to promote market development of energy-efficient, low-carbon refrigeration and cooling systems, including design, assembling, installation, operation, and maintenance. This indicator is on track. The number of persons trained and in attendance at awareness sessions were collected and reported on by the Project Management Unit.  This information was de-aggregated by gender and recorded in a project beneficiaries database. The breakdown is as follows:
Total:    268 (100%)
Men:     193 (74%)
Women: 73 (25%)</t>
  </si>
  <si>
    <t>Non-VF</t>
  </si>
  <si>
    <t>Accelerating just energy transition</t>
  </si>
  <si>
    <t>VF</t>
  </si>
  <si>
    <t>Energy Efficiency</t>
  </si>
  <si>
    <t>Number of trained professionals and technicians directly linked to the project execution to sustainable RAC technologies and the reduction of GHG emissions.</t>
  </si>
  <si>
    <t>The mid-term figure of 50 professionals met. The project is moving toward its end-of-project target of 150. This output seeks to build capacities for project investment analysis and customized financing mechanisms in the financial sector to support market change for energy efficient RAC systems strengthened</t>
  </si>
  <si>
    <t xml:space="preserve">Regulations and code of practice for DCS and CCHP published by the T&amp;T Government.  </t>
  </si>
  <si>
    <t>The Refrigeration Code of Trinidad and Tobago is now in its final stages of approval and includes DCS and CCHP.  District Cooling content is also included in the Trinidad and Tobago National Cooling Strategy.</t>
  </si>
  <si>
    <t>National Strategy</t>
  </si>
  <si>
    <t>National</t>
  </si>
  <si>
    <t>Tier 1</t>
  </si>
  <si>
    <t>Incentives and Support</t>
  </si>
  <si>
    <t>Standards &amp; Labelling (S&amp;L) regulations for RAC technologies developed, approved and ready for enforcement by the T&amp;T Bureau of Standards (TTBS).</t>
  </si>
  <si>
    <t>This indicator is on track to being achieved. The Trinidad and Tobago Bureau of Standards (TTBS) adopted the Minimum Energy Performance Standards (MEPs) developed regionally by CARICOM Regional Organization for Standards and Quality (CROSQ).  The standards are currently voluntary and support is being provided by the project to transition them  to complusory.
- Standards Energy Labelling - Air Conditioners – Requirements (TTS/CRS 59:2021) and
- TTS/CRS 57:2021- Energy Labelling - Refrigerating Appliances – Requirements</t>
  </si>
  <si>
    <t>GHG Emissions Reduction</t>
  </si>
  <si>
    <t>(GEF Core Indicator 6.2):
Number of GHG emissions avoided over the investment period of the project (direct). tons CO2eq</t>
  </si>
  <si>
    <t>This indicator is on track.  The CO2 emissions model implemented by the Environmental Policy and Planning Division of the Ministry of Planning and Development (MPD) was used to track the emissions savings, based on monitoring project outcomes and outputs. Import data received from the Ministry of Trade and Industry was analyzed, and annual reports were prepared. To date, the CO2 emissions avoided are reported as 292,894 tons CO2eq.  This represents emissions avoided due to refrigerant replacement.</t>
  </si>
  <si>
    <t>Number of financial and market mechanisms for the development of low-carbon RAC technologies.</t>
  </si>
  <si>
    <t xml:space="preserve">This indicator is on-track.  An analysis of existing tax systems was completed, and a draft fiscal incentive report was completed to promote energy-efficient technologies for the refrigeration and air-conditioning sectors. Stakeholder consultations are in process. </t>
  </si>
  <si>
    <t>Renewable Energy</t>
  </si>
  <si>
    <t>Carbon Pricing and Monitoring</t>
  </si>
  <si>
    <t>Decarbonization</t>
  </si>
  <si>
    <t>Energy Efficiency Services</t>
  </si>
  <si>
    <t>(GEF Core Indicator 6.3):
Energy saved GWh (equivalent to 3.6 million mega joules).</t>
  </si>
  <si>
    <t xml:space="preserve">This indicator is on-track.  An analysis of imports initially done by the PMU was conducted based on imports initiated by the PMU of R-290 split units since the data was available to the project through UNDP procurement and the Trinidad and Tobago Bureau of Standards.  The project will continue to provide support to the Trinidad and Tobago Bureau of Standards (TTBS) to implement a system so as to provide additional data for this indicator and inputs for policymakers.  Additional stakeholders to engaged include the Ministry of Trade and Industry and Customs and Excise. </t>
  </si>
  <si>
    <t>to the CO: Please estimate number of beneficiaries.</t>
  </si>
  <si>
    <t xml:space="preserve"> Global Climate Change Alliance Plus Trinidad and Tobago  “Support to the  Implementation of Trinidad and Tobago’s Nationally Determined Contribution”</t>
  </si>
  <si>
    <t>https://open.undp.org/projects/00112038</t>
  </si>
  <si>
    <t>Electricity Access</t>
  </si>
  <si>
    <t>Number of Beneficiaries receiving electricity from solar PV</t>
  </si>
  <si>
    <t xml:space="preserve">12 sites had solar PV systems installed on their rooftops that would enable electricity from a renewable energy source to be consumed; 700 beneficiaries (direct usage) estimated to date </t>
  </si>
  <si>
    <t>Energy (MW added)</t>
  </si>
  <si>
    <t>Total number of kilowatts (kW) of renewable energy added</t>
  </si>
  <si>
    <t>108 kW of solar PV was added from a total of 12 installations</t>
  </si>
  <si>
    <t>Close the gap on energy access</t>
  </si>
  <si>
    <t>Number of site beneficiaries training in operation and maintenance of solar PV systems</t>
  </si>
  <si>
    <t>33 persons thus far were trained in O&amp;M of the solar PV systems</t>
  </si>
  <si>
    <t>Number of Reports submitted to the government Ministry related to Policy development</t>
  </si>
  <si>
    <t>4 reports were developed thus far for the government</t>
  </si>
  <si>
    <t>Number of people reached with messages on the benefits of using RE and EE</t>
  </si>
  <si>
    <t>20,000 persons were reached thus far with messages related to RE &amp; EE</t>
  </si>
  <si>
    <t>TRI/SGP/OP7/YI/CORE/CC/22/09</t>
  </si>
  <si>
    <t>Improving community climate resilience in Matelot by implementing green solutions to address its electricity, water and food limitations.</t>
  </si>
  <si>
    <t>No. of activities supported by installation</t>
  </si>
  <si>
    <t xml:space="preserve">This projects aims to install a solar system at the Matelot Police Youth Club to address the electricity shortages in the area. The system will support the club's computer lab and hydroponics systems. </t>
  </si>
  <si>
    <t>5957/ 117647</t>
  </si>
  <si>
    <t>Capacity Training</t>
  </si>
  <si>
    <t>Total:    250 (100%)
Men:   150    (60%)
Women: 100 (40%)</t>
  </si>
  <si>
    <t>Entrepreneurship Training</t>
  </si>
  <si>
    <t>Other Energy Services</t>
  </si>
  <si>
    <t>(GEF Core Indicator 6.2):
Number of GHG emissions avoided over the investment period of the project (direct).</t>
  </si>
  <si>
    <t>651,000 CO2eq</t>
  </si>
  <si>
    <t xml:space="preserve">12 sites; 2400 beneficiaries </t>
  </si>
  <si>
    <t>80-180</t>
  </si>
  <si>
    <t>Campaign Participant</t>
  </si>
  <si>
    <t>26,000USD</t>
  </si>
  <si>
    <t>Number of people, disaggregated by sex, who gain access to clean electricity (direct access to electricity, lighting, cooling, etc.) </t>
  </si>
  <si>
    <t>Number of MW installed capacity</t>
  </si>
  <si>
    <t>Clean Cooking</t>
  </si>
  <si>
    <t>Number of people who gain access to clean cooking (direct access to clean cook stoves, clean fuels, biomass, etc.).</t>
  </si>
  <si>
    <t>Clean Heating</t>
  </si>
  <si>
    <t>Number of people who gain access to clean heating (direct access to clean electric heaters, clean fuels, etc.).</t>
  </si>
  <si>
    <t>Agriculture and Food System</t>
  </si>
  <si>
    <t>Number of people who gain access to clean, affordable, and sustainable electricity for agricultural and food system activities (direct access to power machines for crop, processing, milling, grinding, de-husking, pressing, canning, sealing and packaging electricity, heating, cooling, solar water pumping for irrigation etc.) </t>
  </si>
  <si>
    <t>Health Services</t>
  </si>
  <si>
    <t>Number of people who gain access to health care facilities (direct access to electricity and heating systems for clinics, hospitals, health centers etc.) </t>
  </si>
  <si>
    <t>Water Services</t>
  </si>
  <si>
    <t>Number of people who gain access to water services (powering water pumps, water distributions, waste management, etc.).  </t>
  </si>
  <si>
    <t>Education Services</t>
  </si>
  <si>
    <t>Number of people who gain access to education services through clean energy systems (including students, teachers, etc.) </t>
  </si>
  <si>
    <t>Transportation and E-mobility Services</t>
  </si>
  <si>
    <t xml:space="preserve">Number of MJ saved from transport and e-mobility interventions (e.g., electric vehicles, charging stations, etc.)  </t>
  </si>
  <si>
    <t xml:space="preserve">Number of MJ saved from energy efficiency interventions (e.g., building efficiency, industries, etc.)  </t>
  </si>
  <si>
    <t>Energy Infrastructure Services</t>
  </si>
  <si>
    <t>Number of people who benefits from energy infrastructure interventions (streetlight, transmission, and distribution lines, etc.) </t>
  </si>
  <si>
    <t>Access to other service (electric vehicles, industries efficiency etc.)</t>
  </si>
  <si>
    <t xml:space="preserve">Financing support </t>
  </si>
  <si>
    <t xml:space="preserve">Support for the development of market ecosystem </t>
  </si>
  <si>
    <t>Medium Enterprises</t>
  </si>
  <si>
    <t>Support for the development of medium enterprises in the energy transition market</t>
  </si>
  <si>
    <t>Small Enterprises</t>
  </si>
  <si>
    <t>Support for the development of small enterprises in the energy transition market</t>
  </si>
  <si>
    <t>Number of people who benefits from training for enterprises on the energy business and energy finance. </t>
  </si>
  <si>
    <t>Training for enterprises on the energy business is assumed to result in at least 100 direct beneficiaries</t>
  </si>
  <si>
    <t>Market Intervention</t>
  </si>
  <si>
    <t xml:space="preserve">Volume of investment (US dollars) leverage removing barriers to private and public investment in clean, reliable, affordable, and sustainable energy solutions and energy efficiency for social infrastructure, productive use of electricity and other services </t>
  </si>
  <si>
    <t>Individuals who participate in advocacy and campaign on energy</t>
  </si>
  <si>
    <t xml:space="preserve">Number of people supported by policy and regulatory framework development on clean, affordable, and sustainable energy </t>
  </si>
  <si>
    <t>Other</t>
  </si>
  <si>
    <t>Any other type of beneficiary (please specify justification in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</si>
</sst>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409]* #,##0.00_);_([$$-409]* \(#,##0.00\);_([$$-409]* &quot;-&quot;??_);_(@_)"/>
  </numFmts>
  <fonts count="11">
    <font>
      <sz val="11"/>
      <color theme="1"/>
      <name val="Calibri"/>
      <family val="2"/>
      <scheme val="minor"/>
    </font>
    <font>
      <sz val="11"/>
      <color theme="1"/>
      <name val="Calibri"/>
      <scheme val="minor"/>
    </font>
    <font>
      <b/>
      <sz val="11"/>
      <color theme="1"/>
      <name val="Calibri"/>
      <family val="2"/>
      <scheme val="minor"/>
    </font>
    <font>
      <u/>
      <sz val="11"/>
      <color theme="10"/>
      <name val="Calibri"/>
      <family val="2"/>
      <scheme val="minor"/>
    </font>
    <font>
      <sz val="11"/>
      <color rgb="FF000000"/>
      <name val="Calibri"/>
      <family val="2"/>
    </font>
    <font>
      <sz val="10"/>
      <color rgb="FF000000"/>
      <name val="Arial"/>
      <family val="2"/>
    </font>
    <font>
      <sz val="11"/>
      <color rgb="FF000000"/>
      <name val="Calibri"/>
    </font>
    <font>
      <sz val="11"/>
      <color rgb="FF000000"/>
      <name val="Calibri"/>
      <family val="2"/>
      <scheme val="minor"/>
    </font>
    <font>
      <sz val="10"/>
      <color rgb="FFFF0000"/>
      <name val="Helvetica Neue"/>
      <charset val="1"/>
    </font>
    <font>
      <b/>
      <sz val="11"/>
      <color theme="1"/>
      <name val="Calibri"/>
      <scheme val="minor"/>
    </font>
    <font>
      <sz val="11"/>
      <color rgb="FF000000"/>
      <name val="Calibri"/>
      <scheme val="minor"/>
    </font>
  </fonts>
  <fills count="4">
    <fill>
      <patternFill patternType="none"/>
    </fill>
    <fill>
      <patternFill patternType="gray125"/>
    </fill>
    <fill>
      <patternFill patternType="solid">
        <fgColor rgb="FFFFFF00"/>
        <bgColor indexed="64"/>
      </patternFill>
    </fill>
    <fill>
      <patternFill patternType="solid">
        <fgColor theme="9" tint="0.59999389629810485"/>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style="thin">
        <color auto="1"/>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style="thin">
        <color rgb="FF000000"/>
      </left>
      <right/>
      <top/>
      <bottom/>
      <diagonal/>
    </border>
    <border>
      <left style="thin">
        <color rgb="FF000000"/>
      </left>
      <right/>
      <top/>
      <bottom style="thin">
        <color rgb="FF000000"/>
      </bottom>
      <diagonal/>
    </border>
    <border>
      <left style="thin">
        <color rgb="FF000000"/>
      </left>
      <right/>
      <top style="thin">
        <color rgb="FF000000"/>
      </top>
      <bottom style="thin">
        <color rgb="FF000000"/>
      </bottom>
      <diagonal/>
    </border>
  </borders>
  <cellStyleXfs count="2">
    <xf numFmtId="0" fontId="0" fillId="0" borderId="0"/>
    <xf numFmtId="0" fontId="3" fillId="0" borderId="0" applyNumberFormat="0" applyFill="0" applyBorder="0" applyAlignment="0" applyProtection="0"/>
  </cellStyleXfs>
  <cellXfs count="102">
    <xf numFmtId="0" fontId="0" fillId="0" borderId="0" xfId="0"/>
    <xf numFmtId="0" fontId="2" fillId="0" borderId="2" xfId="0" applyFont="1" applyBorder="1" applyAlignment="1">
      <alignment horizontal="center" vertical="top"/>
    </xf>
    <xf numFmtId="0" fontId="4" fillId="0" borderId="1" xfId="0" applyFont="1" applyBorder="1" applyAlignment="1">
      <alignment horizontal="left" vertical="center"/>
    </xf>
    <xf numFmtId="0" fontId="4" fillId="0" borderId="1" xfId="0" applyFont="1" applyBorder="1" applyAlignment="1">
      <alignment horizontal="left" vertical="center" wrapText="1"/>
    </xf>
    <xf numFmtId="0" fontId="5" fillId="0" borderId="1" xfId="0" applyFont="1" applyBorder="1" applyAlignment="1">
      <alignment horizontal="left" vertical="center" wrapText="1"/>
    </xf>
    <xf numFmtId="0" fontId="4" fillId="0" borderId="0" xfId="0" applyFont="1" applyAlignment="1">
      <alignment wrapText="1"/>
    </xf>
    <xf numFmtId="0" fontId="4" fillId="0" borderId="1" xfId="0" applyFont="1" applyBorder="1" applyAlignment="1">
      <alignment horizontal="center" vertical="center" wrapText="1"/>
    </xf>
    <xf numFmtId="0" fontId="4" fillId="0" borderId="1" xfId="0" applyFont="1" applyBorder="1" applyAlignment="1">
      <alignment horizontal="center" vertical="center"/>
    </xf>
    <xf numFmtId="0" fontId="5" fillId="0" borderId="1" xfId="0" applyFont="1" applyBorder="1" applyAlignment="1">
      <alignment horizontal="center" vertical="center"/>
    </xf>
    <xf numFmtId="0" fontId="5" fillId="0" borderId="1" xfId="0" applyFont="1" applyBorder="1" applyAlignment="1">
      <alignment horizontal="center" vertical="center" wrapText="1"/>
    </xf>
    <xf numFmtId="0" fontId="4" fillId="0" borderId="3" xfId="0" applyFont="1" applyBorder="1" applyAlignment="1">
      <alignment horizontal="left" vertical="center"/>
    </xf>
    <xf numFmtId="0" fontId="5" fillId="0" borderId="3" xfId="0" applyFont="1" applyBorder="1" applyAlignment="1">
      <alignment horizontal="left" vertical="center" wrapText="1"/>
    </xf>
    <xf numFmtId="0" fontId="4" fillId="0" borderId="3" xfId="0" applyFont="1" applyBorder="1" applyAlignment="1">
      <alignment horizontal="center" vertical="center"/>
    </xf>
    <xf numFmtId="0" fontId="4" fillId="0" borderId="3" xfId="0" applyFont="1" applyBorder="1" applyAlignment="1">
      <alignment horizontal="center" vertical="center" wrapText="1"/>
    </xf>
    <xf numFmtId="0" fontId="6" fillId="0" borderId="3" xfId="0" applyFont="1" applyBorder="1" applyAlignment="1">
      <alignment horizontal="left" vertical="center" wrapText="1"/>
    </xf>
    <xf numFmtId="0" fontId="4" fillId="0" borderId="3" xfId="0" applyFont="1" applyBorder="1" applyAlignment="1">
      <alignment horizontal="left" vertical="center" wrapText="1"/>
    </xf>
    <xf numFmtId="0" fontId="4" fillId="0" borderId="1" xfId="0" applyFont="1" applyBorder="1" applyAlignment="1">
      <alignment vertical="center" wrapText="1"/>
    </xf>
    <xf numFmtId="0" fontId="4" fillId="0" borderId="1" xfId="0" applyFont="1" applyBorder="1" applyAlignment="1">
      <alignment vertical="center"/>
    </xf>
    <xf numFmtId="0" fontId="4" fillId="0" borderId="1" xfId="0" applyFont="1" applyBorder="1" applyAlignment="1">
      <alignment horizontal="right" vertical="center"/>
    </xf>
    <xf numFmtId="0" fontId="0" fillId="2" borderId="0" xfId="0" applyFill="1"/>
    <xf numFmtId="0" fontId="2" fillId="0" borderId="0" xfId="0" applyFont="1"/>
    <xf numFmtId="0" fontId="4" fillId="3" borderId="1" xfId="0" applyFont="1" applyFill="1" applyBorder="1" applyAlignment="1">
      <alignment horizontal="center" vertical="center" wrapText="1"/>
    </xf>
    <xf numFmtId="0" fontId="7" fillId="3" borderId="0" xfId="0" applyFont="1" applyFill="1"/>
    <xf numFmtId="0" fontId="0" fillId="3" borderId="0" xfId="0" applyFill="1"/>
    <xf numFmtId="0" fontId="4" fillId="3" borderId="1" xfId="0" applyFont="1" applyFill="1" applyBorder="1" applyAlignment="1">
      <alignment vertical="center" wrapText="1"/>
    </xf>
    <xf numFmtId="0" fontId="3" fillId="0" borderId="1" xfId="1" applyFill="1" applyBorder="1" applyAlignment="1">
      <alignment horizontal="center" vertical="center" wrapText="1"/>
    </xf>
    <xf numFmtId="0" fontId="2" fillId="0" borderId="1" xfId="0" applyFont="1" applyBorder="1" applyAlignment="1">
      <alignment horizontal="center" vertical="top" wrapText="1"/>
    </xf>
    <xf numFmtId="0" fontId="2" fillId="0" borderId="1" xfId="0" applyFont="1" applyBorder="1" applyAlignment="1">
      <alignment wrapText="1"/>
    </xf>
    <xf numFmtId="0" fontId="0" fillId="0" borderId="1" xfId="0" applyBorder="1" applyAlignment="1">
      <alignment wrapText="1"/>
    </xf>
    <xf numFmtId="0" fontId="7" fillId="3" borderId="1" xfId="0" applyFont="1" applyFill="1" applyBorder="1" applyAlignment="1">
      <alignment wrapText="1"/>
    </xf>
    <xf numFmtId="0" fontId="8" fillId="3" borderId="1" xfId="0" applyFont="1" applyFill="1" applyBorder="1" applyAlignment="1">
      <alignment vertical="center" wrapText="1"/>
    </xf>
    <xf numFmtId="0" fontId="0" fillId="3" borderId="1" xfId="0" applyFill="1" applyBorder="1" applyAlignment="1">
      <alignment wrapText="1"/>
    </xf>
    <xf numFmtId="164" fontId="4" fillId="0" borderId="1" xfId="0" applyNumberFormat="1" applyFont="1" applyBorder="1" applyAlignment="1">
      <alignment horizontal="center" vertical="center" wrapText="1"/>
    </xf>
    <xf numFmtId="0" fontId="4" fillId="0" borderId="5" xfId="0" applyFont="1" applyBorder="1" applyAlignment="1">
      <alignment horizontal="center" vertical="center" wrapText="1"/>
    </xf>
    <xf numFmtId="0" fontId="4" fillId="0" borderId="5" xfId="0" applyFont="1" applyBorder="1" applyAlignment="1">
      <alignment horizontal="left" vertical="center" wrapText="1"/>
    </xf>
    <xf numFmtId="0" fontId="3" fillId="0" borderId="5" xfId="1" applyFill="1" applyBorder="1" applyAlignment="1">
      <alignment horizontal="center" vertical="center" wrapText="1"/>
    </xf>
    <xf numFmtId="164" fontId="4" fillId="0" borderId="5" xfId="0" applyNumberFormat="1" applyFont="1" applyBorder="1" applyAlignment="1">
      <alignment horizontal="center" vertical="center" wrapText="1"/>
    </xf>
    <xf numFmtId="0" fontId="4" fillId="0" borderId="8" xfId="0" applyFont="1" applyBorder="1" applyAlignment="1">
      <alignment horizontal="center" vertical="center" wrapText="1"/>
    </xf>
    <xf numFmtId="0" fontId="4" fillId="0" borderId="9" xfId="0" applyFont="1" applyBorder="1" applyAlignment="1">
      <alignment horizontal="center" vertical="center" wrapText="1"/>
    </xf>
    <xf numFmtId="0" fontId="4" fillId="0" borderId="8" xfId="0" applyFont="1" applyBorder="1" applyAlignment="1">
      <alignment horizontal="left" vertical="center" wrapText="1"/>
    </xf>
    <xf numFmtId="0" fontId="4" fillId="0" borderId="9" xfId="0" applyFont="1" applyBorder="1" applyAlignment="1">
      <alignment horizontal="left" vertical="center" wrapText="1"/>
    </xf>
    <xf numFmtId="164" fontId="4" fillId="0" borderId="4" xfId="0" applyNumberFormat="1" applyFont="1" applyBorder="1" applyAlignment="1">
      <alignment horizontal="center" vertical="center" wrapText="1"/>
    </xf>
    <xf numFmtId="0" fontId="3" fillId="0" borderId="8" xfId="1" applyFill="1" applyBorder="1" applyAlignment="1">
      <alignment horizontal="center" vertical="center" wrapText="1"/>
    </xf>
    <xf numFmtId="0" fontId="3" fillId="0" borderId="9" xfId="1" applyFill="1" applyBorder="1" applyAlignment="1">
      <alignment horizontal="center" vertical="center" wrapText="1"/>
    </xf>
    <xf numFmtId="0" fontId="0" fillId="0" borderId="10" xfId="0" applyBorder="1" applyAlignment="1">
      <alignment wrapText="1"/>
    </xf>
    <xf numFmtId="0" fontId="0" fillId="0" borderId="6" xfId="0" applyBorder="1" applyAlignment="1">
      <alignment wrapText="1"/>
    </xf>
    <xf numFmtId="0" fontId="8" fillId="3" borderId="6" xfId="0" applyFont="1" applyFill="1" applyBorder="1" applyAlignment="1">
      <alignment vertical="center" wrapText="1"/>
    </xf>
    <xf numFmtId="0" fontId="0" fillId="0" borderId="5" xfId="0" applyBorder="1" applyAlignment="1">
      <alignment wrapText="1"/>
    </xf>
    <xf numFmtId="0" fontId="0" fillId="0" borderId="4" xfId="0" applyBorder="1" applyAlignment="1">
      <alignment horizontal="center" wrapText="1"/>
    </xf>
    <xf numFmtId="0" fontId="0" fillId="0" borderId="5" xfId="0" applyBorder="1" applyAlignment="1">
      <alignment horizontal="center" wrapText="1"/>
    </xf>
    <xf numFmtId="0" fontId="5" fillId="0" borderId="1" xfId="0" applyFont="1" applyBorder="1" applyAlignment="1">
      <alignment vertical="center" wrapText="1"/>
    </xf>
    <xf numFmtId="0" fontId="5" fillId="3" borderId="1" xfId="0" applyFont="1" applyFill="1" applyBorder="1" applyAlignment="1">
      <alignment vertical="center" wrapText="1"/>
    </xf>
    <xf numFmtId="0" fontId="6" fillId="3" borderId="1" xfId="0" applyFont="1" applyFill="1" applyBorder="1" applyAlignment="1">
      <alignment vertical="center" wrapText="1"/>
    </xf>
    <xf numFmtId="0" fontId="0" fillId="0" borderId="3" xfId="0" applyBorder="1" applyAlignment="1">
      <alignment vertical="center" wrapText="1"/>
    </xf>
    <xf numFmtId="164" fontId="0" fillId="0" borderId="3" xfId="0" applyNumberFormat="1" applyBorder="1" applyAlignment="1">
      <alignment vertical="center" wrapText="1"/>
    </xf>
    <xf numFmtId="9" fontId="0" fillId="0" borderId="10" xfId="0" applyNumberFormat="1" applyBorder="1" applyAlignment="1">
      <alignment vertical="center" wrapText="1"/>
    </xf>
    <xf numFmtId="0" fontId="0" fillId="0" borderId="4" xfId="0" applyBorder="1" applyAlignment="1">
      <alignment vertical="center" wrapText="1"/>
    </xf>
    <xf numFmtId="0" fontId="4" fillId="0" borderId="6" xfId="0" applyFont="1" applyBorder="1" applyAlignment="1">
      <alignment vertical="center" wrapText="1"/>
    </xf>
    <xf numFmtId="0" fontId="2" fillId="0" borderId="3" xfId="0" applyFont="1" applyBorder="1" applyAlignment="1">
      <alignment horizontal="center" vertical="top" wrapText="1"/>
    </xf>
    <xf numFmtId="0" fontId="0" fillId="0" borderId="5" xfId="0" applyBorder="1" applyAlignment="1">
      <alignment vertical="center" wrapText="1"/>
    </xf>
    <xf numFmtId="0" fontId="0" fillId="0" borderId="7" xfId="0" applyBorder="1" applyAlignment="1">
      <alignment vertical="center" wrapText="1"/>
    </xf>
    <xf numFmtId="0" fontId="0" fillId="0" borderId="8" xfId="0" applyBorder="1" applyAlignment="1">
      <alignment vertical="center" wrapText="1"/>
    </xf>
    <xf numFmtId="0" fontId="0" fillId="0" borderId="9" xfId="0" applyBorder="1" applyAlignment="1">
      <alignment vertical="center" wrapText="1"/>
    </xf>
    <xf numFmtId="164" fontId="0" fillId="0" borderId="4" xfId="0" applyNumberFormat="1" applyBorder="1" applyAlignment="1">
      <alignment vertical="center" wrapText="1"/>
    </xf>
    <xf numFmtId="164" fontId="0" fillId="0" borderId="5" xfId="0" applyNumberFormat="1" applyBorder="1" applyAlignment="1">
      <alignment vertical="center" wrapText="1"/>
    </xf>
    <xf numFmtId="0" fontId="3" fillId="0" borderId="7" xfId="1" applyBorder="1" applyAlignment="1">
      <alignment vertical="center" wrapText="1"/>
    </xf>
    <xf numFmtId="0" fontId="3" fillId="0" borderId="8" xfId="1" applyBorder="1" applyAlignment="1">
      <alignment vertical="center" wrapText="1"/>
    </xf>
    <xf numFmtId="0" fontId="3" fillId="0" borderId="9" xfId="1" applyBorder="1" applyAlignment="1">
      <alignment vertical="center" wrapText="1"/>
    </xf>
    <xf numFmtId="0" fontId="7" fillId="3" borderId="10" xfId="0" applyFont="1" applyFill="1" applyBorder="1" applyAlignment="1">
      <alignment wrapText="1"/>
    </xf>
    <xf numFmtId="0" fontId="8" fillId="0" borderId="6" xfId="0" applyFont="1" applyBorder="1" applyAlignment="1">
      <alignment vertical="center" wrapText="1"/>
    </xf>
    <xf numFmtId="0" fontId="8" fillId="0" borderId="1" xfId="0" applyFont="1" applyBorder="1" applyAlignment="1">
      <alignment horizontal="left" vertical="center" wrapText="1"/>
    </xf>
    <xf numFmtId="3" fontId="4" fillId="3" borderId="1" xfId="0" applyNumberFormat="1" applyFont="1" applyFill="1" applyBorder="1" applyAlignment="1">
      <alignment horizontal="right" vertical="center" wrapText="1"/>
    </xf>
    <xf numFmtId="0" fontId="0" fillId="0" borderId="1" xfId="0" applyBorder="1" applyAlignment="1">
      <alignment horizontal="center" vertical="center"/>
    </xf>
    <xf numFmtId="0" fontId="9" fillId="0" borderId="1" xfId="0" applyFont="1" applyBorder="1" applyAlignment="1">
      <alignment horizontal="center" vertical="top" wrapText="1"/>
    </xf>
    <xf numFmtId="0" fontId="10" fillId="0" borderId="1" xfId="0" applyFont="1" applyBorder="1" applyAlignment="1">
      <alignment wrapText="1"/>
    </xf>
    <xf numFmtId="0" fontId="2" fillId="0" borderId="1" xfId="0" applyFont="1" applyBorder="1" applyAlignment="1">
      <alignment horizontal="center"/>
    </xf>
    <xf numFmtId="0" fontId="2" fillId="0" borderId="3" xfId="0" applyFont="1" applyBorder="1" applyAlignment="1">
      <alignment horizontal="center"/>
    </xf>
    <xf numFmtId="0" fontId="2" fillId="0" borderId="7" xfId="0" applyFont="1" applyBorder="1" applyAlignment="1">
      <alignment horizontal="center"/>
    </xf>
    <xf numFmtId="0" fontId="2" fillId="0" borderId="3" xfId="0" applyFont="1" applyBorder="1"/>
    <xf numFmtId="0" fontId="0" fillId="0" borderId="10" xfId="0" applyBorder="1" applyAlignment="1">
      <alignment horizontal="center" vertical="center"/>
    </xf>
    <xf numFmtId="0" fontId="0" fillId="0" borderId="6" xfId="0" applyBorder="1" applyAlignment="1">
      <alignment horizontal="center" vertical="center" wrapText="1"/>
    </xf>
    <xf numFmtId="0" fontId="0" fillId="0" borderId="1" xfId="0" applyBorder="1" applyAlignment="1">
      <alignment vertical="center"/>
    </xf>
    <xf numFmtId="0" fontId="0" fillId="0" borderId="6" xfId="0" applyBorder="1" applyAlignment="1">
      <alignment horizontal="center" vertical="top" wrapText="1"/>
    </xf>
    <xf numFmtId="0" fontId="0" fillId="0" borderId="1" xfId="0" applyBorder="1" applyAlignment="1">
      <alignment horizontal="center" vertical="center"/>
    </xf>
    <xf numFmtId="0" fontId="0" fillId="0" borderId="3" xfId="0" applyBorder="1" applyAlignment="1">
      <alignment horizontal="center" vertical="center"/>
    </xf>
    <xf numFmtId="0" fontId="0" fillId="0" borderId="1" xfId="0" applyBorder="1" applyAlignment="1">
      <alignment horizontal="left" vertical="center" wrapText="1"/>
    </xf>
    <xf numFmtId="0" fontId="0" fillId="0" borderId="3" xfId="0" applyBorder="1" applyAlignment="1">
      <alignment horizontal="left" vertical="center" wrapText="1"/>
    </xf>
    <xf numFmtId="0" fontId="3" fillId="0" borderId="1" xfId="1" applyBorder="1" applyAlignment="1">
      <alignment horizontal="center" vertical="center" wrapText="1"/>
    </xf>
    <xf numFmtId="0" fontId="3" fillId="0" borderId="3" xfId="1" applyBorder="1" applyAlignment="1">
      <alignment horizontal="center" vertical="center" wrapText="1"/>
    </xf>
    <xf numFmtId="164" fontId="0" fillId="0" borderId="1" xfId="0" applyNumberFormat="1" applyBorder="1" applyAlignment="1">
      <alignment horizontal="center" vertical="center"/>
    </xf>
    <xf numFmtId="164" fontId="0" fillId="0" borderId="3" xfId="0" applyNumberFormat="1" applyBorder="1" applyAlignment="1">
      <alignment horizontal="center" vertical="center"/>
    </xf>
    <xf numFmtId="0" fontId="4" fillId="0" borderId="1" xfId="0" applyFont="1" applyBorder="1" applyAlignment="1">
      <alignment horizontal="center" vertical="center"/>
    </xf>
    <xf numFmtId="0" fontId="4" fillId="0" borderId="3" xfId="0" applyFont="1" applyBorder="1" applyAlignment="1">
      <alignment horizontal="center" vertical="center"/>
    </xf>
    <xf numFmtId="0" fontId="4" fillId="0" borderId="1" xfId="0" applyFont="1" applyBorder="1" applyAlignment="1">
      <alignment horizontal="left" vertical="center" wrapText="1"/>
    </xf>
    <xf numFmtId="0" fontId="4" fillId="0" borderId="3" xfId="0" applyFont="1" applyBorder="1" applyAlignment="1">
      <alignment horizontal="left" vertical="center" wrapText="1"/>
    </xf>
    <xf numFmtId="0" fontId="3" fillId="0" borderId="1" xfId="1" applyFill="1" applyBorder="1" applyAlignment="1">
      <alignment horizontal="center" vertical="center" wrapText="1"/>
    </xf>
    <xf numFmtId="0" fontId="3" fillId="0" borderId="3" xfId="1" applyFill="1" applyBorder="1" applyAlignment="1">
      <alignment horizontal="center" vertical="center" wrapText="1"/>
    </xf>
    <xf numFmtId="164" fontId="4" fillId="0" borderId="1" xfId="0" applyNumberFormat="1" applyFont="1" applyBorder="1" applyAlignment="1">
      <alignment horizontal="center" vertical="center"/>
    </xf>
    <xf numFmtId="164" fontId="4" fillId="0" borderId="3" xfId="0" applyNumberFormat="1" applyFont="1" applyBorder="1" applyAlignment="1">
      <alignment horizontal="center" vertical="center"/>
    </xf>
    <xf numFmtId="0" fontId="1" fillId="0" borderId="1" xfId="0" applyFont="1" applyBorder="1" applyAlignment="1">
      <alignment horizontal="left" vertical="center" wrapText="1"/>
    </xf>
    <xf numFmtId="0" fontId="1" fillId="0" borderId="1" xfId="0" applyFont="1" applyBorder="1" applyAlignment="1">
      <alignment wrapText="1"/>
    </xf>
    <xf numFmtId="0" fontId="1" fillId="0" borderId="1" xfId="0" applyFont="1" applyBorder="1" applyAlignment="1">
      <alignment vertical="center"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open.undp.org/projects/00112038" TargetMode="External"/><Relationship Id="rId1" Type="http://schemas.openxmlformats.org/officeDocument/2006/relationships/hyperlink" Target="https://open.undp.org/projects/00117647"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https://open.undp.org/projects/00112038" TargetMode="External"/><Relationship Id="rId1" Type="http://schemas.openxmlformats.org/officeDocument/2006/relationships/hyperlink" Target="https://open.undp.org/projects/0011764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E55A78-CC0D-479B-BC59-0746D0D8BAF3}">
  <dimension ref="A1:AF27"/>
  <sheetViews>
    <sheetView tabSelected="1" topLeftCell="A8" workbookViewId="0">
      <selection activeCell="A10" sqref="A10"/>
    </sheetView>
  </sheetViews>
  <sheetFormatPr defaultRowHeight="15"/>
  <cols>
    <col min="1" max="1" width="30.42578125" bestFit="1" customWidth="1"/>
    <col min="2" max="3" width="20.7109375" customWidth="1"/>
    <col min="4" max="4" width="14.7109375" bestFit="1" customWidth="1"/>
    <col min="5" max="5" width="14.7109375" customWidth="1"/>
    <col min="6" max="6" width="20.7109375" customWidth="1"/>
    <col min="7" max="8" width="12.7109375" customWidth="1"/>
    <col min="9" max="9" width="55.5703125" customWidth="1"/>
    <col min="11" max="11" width="13.5703125" customWidth="1"/>
    <col min="12" max="12" width="12.85546875" bestFit="1" customWidth="1"/>
    <col min="13" max="13" width="4.28515625" bestFit="1" customWidth="1"/>
    <col min="14" max="14" width="14.42578125" bestFit="1" customWidth="1"/>
    <col min="15" max="15" width="15.5703125" customWidth="1"/>
    <col min="16" max="17" width="26.140625" customWidth="1"/>
    <col min="18" max="18" width="18.140625" bestFit="1" customWidth="1"/>
    <col min="19" max="19" width="18.5703125" customWidth="1"/>
    <col min="20" max="20" width="19.7109375" customWidth="1"/>
    <col min="21" max="21" width="16.7109375" bestFit="1" customWidth="1"/>
  </cols>
  <sheetData>
    <row r="1" spans="1:32" ht="30.75">
      <c r="A1" s="58" t="s">
        <v>0</v>
      </c>
      <c r="B1" s="58" t="s">
        <v>1</v>
      </c>
      <c r="C1" s="58" t="s">
        <v>2</v>
      </c>
      <c r="D1" s="58" t="s">
        <v>3</v>
      </c>
      <c r="E1" s="26" t="s">
        <v>4</v>
      </c>
      <c r="F1" s="26" t="s">
        <v>5</v>
      </c>
      <c r="G1" s="26" t="s">
        <v>6</v>
      </c>
      <c r="H1" s="26" t="s">
        <v>7</v>
      </c>
      <c r="I1" s="26" t="s">
        <v>8</v>
      </c>
      <c r="J1" s="27" t="s">
        <v>9</v>
      </c>
      <c r="K1" s="27" t="s">
        <v>10</v>
      </c>
      <c r="L1" s="75" t="s">
        <v>11</v>
      </c>
      <c r="M1" s="76" t="s">
        <v>12</v>
      </c>
      <c r="N1" s="75" t="s">
        <v>13</v>
      </c>
      <c r="O1" s="75" t="s">
        <v>14</v>
      </c>
      <c r="P1" s="76" t="s">
        <v>15</v>
      </c>
      <c r="Q1" s="76" t="s">
        <v>16</v>
      </c>
      <c r="R1" s="77" t="s">
        <v>17</v>
      </c>
      <c r="S1" s="78" t="s">
        <v>18</v>
      </c>
      <c r="T1" s="77" t="s">
        <v>19</v>
      </c>
      <c r="U1" s="78" t="s">
        <v>20</v>
      </c>
    </row>
    <row r="2" spans="1:32" ht="204.75" customHeight="1">
      <c r="A2" s="60" t="s">
        <v>21</v>
      </c>
      <c r="B2" s="60" t="s">
        <v>22</v>
      </c>
      <c r="C2" s="65" t="s">
        <v>23</v>
      </c>
      <c r="D2" s="54">
        <v>5152392</v>
      </c>
      <c r="E2" s="82" t="s">
        <v>24</v>
      </c>
      <c r="F2" s="16" t="s">
        <v>25</v>
      </c>
      <c r="G2" s="16" t="s">
        <v>26</v>
      </c>
      <c r="H2" s="16">
        <v>250</v>
      </c>
      <c r="I2" s="16" t="s">
        <v>27</v>
      </c>
      <c r="J2" s="28"/>
      <c r="K2" s="55">
        <v>0.4</v>
      </c>
      <c r="L2" s="79" t="s">
        <v>28</v>
      </c>
      <c r="M2" s="72"/>
      <c r="N2" s="80" t="s">
        <v>29</v>
      </c>
      <c r="O2" s="72"/>
      <c r="P2" s="72"/>
      <c r="Q2" s="72"/>
      <c r="R2" s="72"/>
      <c r="S2" s="81"/>
      <c r="T2" s="72"/>
      <c r="U2" s="81"/>
      <c r="X2" s="53" t="s">
        <v>30</v>
      </c>
      <c r="Y2" s="45"/>
      <c r="Z2" s="28"/>
      <c r="AA2" s="28" t="s">
        <v>29</v>
      </c>
      <c r="AB2" s="28" t="s">
        <v>31</v>
      </c>
      <c r="AC2" s="72"/>
      <c r="AD2" s="28"/>
      <c r="AE2" s="28"/>
      <c r="AF2" s="28"/>
    </row>
    <row r="3" spans="1:32" ht="108" customHeight="1">
      <c r="A3" s="61"/>
      <c r="B3" s="61"/>
      <c r="C3" s="66"/>
      <c r="D3" s="63"/>
      <c r="E3" s="82" t="s">
        <v>24</v>
      </c>
      <c r="F3" s="16" t="s">
        <v>32</v>
      </c>
      <c r="G3" s="16">
        <v>0</v>
      </c>
      <c r="H3" s="16">
        <v>150</v>
      </c>
      <c r="I3" s="16" t="s">
        <v>33</v>
      </c>
      <c r="J3" s="28"/>
      <c r="K3" s="44"/>
      <c r="L3" s="79" t="s">
        <v>28</v>
      </c>
      <c r="M3" s="72"/>
      <c r="N3" s="80" t="s">
        <v>29</v>
      </c>
      <c r="O3" s="72"/>
      <c r="P3" s="72"/>
      <c r="Q3" s="72"/>
      <c r="R3" s="72"/>
      <c r="S3" s="81"/>
      <c r="T3" s="72"/>
      <c r="U3" s="81"/>
      <c r="X3" s="56"/>
      <c r="Y3" s="45"/>
      <c r="Z3" s="28"/>
      <c r="AA3" s="28" t="s">
        <v>29</v>
      </c>
      <c r="AB3" s="28" t="s">
        <v>31</v>
      </c>
      <c r="AC3" s="72"/>
      <c r="AD3" s="28"/>
      <c r="AE3" s="28"/>
      <c r="AF3" s="28"/>
    </row>
    <row r="4" spans="1:32" ht="60.75">
      <c r="A4" s="61"/>
      <c r="B4" s="61"/>
      <c r="C4" s="66"/>
      <c r="D4" s="63"/>
      <c r="E4" s="82" t="s">
        <v>19</v>
      </c>
      <c r="F4" s="16" t="s">
        <v>34</v>
      </c>
      <c r="G4" s="16">
        <v>0</v>
      </c>
      <c r="H4" s="16">
        <v>1</v>
      </c>
      <c r="I4" s="16" t="s">
        <v>35</v>
      </c>
      <c r="J4" s="28"/>
      <c r="K4" s="44"/>
      <c r="L4" s="79" t="s">
        <v>28</v>
      </c>
      <c r="M4" s="72"/>
      <c r="N4" s="80" t="s">
        <v>29</v>
      </c>
      <c r="O4" s="72" t="s">
        <v>31</v>
      </c>
      <c r="P4" s="72"/>
      <c r="Q4" s="72" t="s">
        <v>36</v>
      </c>
      <c r="R4" s="72" t="s">
        <v>31</v>
      </c>
      <c r="S4" s="81"/>
      <c r="T4" s="72" t="s">
        <v>37</v>
      </c>
      <c r="U4" s="81"/>
      <c r="X4" s="56"/>
      <c r="Y4" s="45"/>
      <c r="Z4" s="28"/>
      <c r="AA4" s="28" t="s">
        <v>29</v>
      </c>
      <c r="AB4" s="28" t="s">
        <v>31</v>
      </c>
      <c r="AC4" s="72" t="s">
        <v>38</v>
      </c>
      <c r="AD4" s="28"/>
      <c r="AE4" s="28" t="s">
        <v>39</v>
      </c>
      <c r="AF4" s="28" t="s">
        <v>31</v>
      </c>
    </row>
    <row r="5" spans="1:32" ht="158.25" customHeight="1">
      <c r="A5" s="61"/>
      <c r="B5" s="61"/>
      <c r="C5" s="66"/>
      <c r="D5" s="63"/>
      <c r="E5" s="82" t="s">
        <v>19</v>
      </c>
      <c r="F5" s="16" t="s">
        <v>40</v>
      </c>
      <c r="G5" s="16">
        <v>3</v>
      </c>
      <c r="H5" s="16">
        <v>5</v>
      </c>
      <c r="I5" s="16" t="s">
        <v>41</v>
      </c>
      <c r="J5" s="28"/>
      <c r="K5" s="44"/>
      <c r="L5" s="79" t="s">
        <v>28</v>
      </c>
      <c r="M5" s="72"/>
      <c r="N5" s="80" t="s">
        <v>29</v>
      </c>
      <c r="O5" s="72" t="s">
        <v>31</v>
      </c>
      <c r="P5" s="72"/>
      <c r="Q5" s="72" t="s">
        <v>36</v>
      </c>
      <c r="R5" s="72" t="s">
        <v>31</v>
      </c>
      <c r="S5" s="81"/>
      <c r="T5" s="72" t="s">
        <v>37</v>
      </c>
      <c r="U5" s="81"/>
      <c r="X5" s="56"/>
      <c r="Y5" s="45"/>
      <c r="Z5" s="28"/>
      <c r="AA5" s="28" t="s">
        <v>29</v>
      </c>
      <c r="AB5" s="28" t="s">
        <v>31</v>
      </c>
      <c r="AC5" s="72" t="s">
        <v>38</v>
      </c>
      <c r="AD5" s="28"/>
      <c r="AE5" s="28" t="s">
        <v>39</v>
      </c>
      <c r="AF5" s="28" t="s">
        <v>31</v>
      </c>
    </row>
    <row r="6" spans="1:32" ht="144" customHeight="1">
      <c r="A6" s="61"/>
      <c r="B6" s="61"/>
      <c r="C6" s="66"/>
      <c r="D6" s="63"/>
      <c r="E6" s="57" t="s">
        <v>42</v>
      </c>
      <c r="F6" s="50" t="s">
        <v>43</v>
      </c>
      <c r="G6" s="16">
        <v>0</v>
      </c>
      <c r="H6" s="50">
        <v>651000</v>
      </c>
      <c r="I6" s="16" t="s">
        <v>44</v>
      </c>
      <c r="J6" s="28"/>
      <c r="K6" s="44"/>
      <c r="L6" s="79" t="s">
        <v>28</v>
      </c>
      <c r="M6" s="72"/>
      <c r="N6" s="80" t="s">
        <v>29</v>
      </c>
      <c r="O6" s="72"/>
      <c r="P6" s="72"/>
      <c r="Q6" s="72"/>
      <c r="R6" s="72"/>
      <c r="S6" s="81"/>
      <c r="T6" s="72"/>
      <c r="U6" s="81"/>
      <c r="X6" s="56"/>
      <c r="Y6" s="45"/>
      <c r="Z6" s="28"/>
      <c r="AA6" s="28" t="s">
        <v>29</v>
      </c>
      <c r="AB6" s="28" t="s">
        <v>31</v>
      </c>
      <c r="AC6" s="72"/>
      <c r="AD6" s="28"/>
      <c r="AE6" s="28"/>
      <c r="AF6" s="28"/>
    </row>
    <row r="7" spans="1:32" ht="78.75" customHeight="1">
      <c r="A7" s="61"/>
      <c r="B7" s="61"/>
      <c r="C7" s="66"/>
      <c r="D7" s="63"/>
      <c r="E7" s="82" t="s">
        <v>19</v>
      </c>
      <c r="F7" s="50" t="s">
        <v>45</v>
      </c>
      <c r="G7" s="16">
        <v>0</v>
      </c>
      <c r="H7" s="50">
        <v>2</v>
      </c>
      <c r="I7" s="16" t="s">
        <v>46</v>
      </c>
      <c r="J7" s="28"/>
      <c r="K7" s="44"/>
      <c r="L7" s="79" t="s">
        <v>28</v>
      </c>
      <c r="M7" s="72"/>
      <c r="N7" s="80" t="s">
        <v>29</v>
      </c>
      <c r="O7" s="72" t="s">
        <v>47</v>
      </c>
      <c r="P7" s="72"/>
      <c r="Q7" s="72" t="s">
        <v>48</v>
      </c>
      <c r="R7" s="72" t="s">
        <v>49</v>
      </c>
      <c r="S7" s="81"/>
      <c r="T7" s="72" t="s">
        <v>37</v>
      </c>
      <c r="U7" s="81"/>
      <c r="X7" s="56"/>
      <c r="Y7" s="45"/>
      <c r="Z7" s="28"/>
      <c r="AA7" s="28" t="s">
        <v>29</v>
      </c>
      <c r="AB7" s="28" t="s">
        <v>31</v>
      </c>
      <c r="AC7" s="72" t="s">
        <v>38</v>
      </c>
      <c r="AD7" s="28"/>
      <c r="AE7" s="28" t="s">
        <v>39</v>
      </c>
      <c r="AF7" s="28" t="s">
        <v>31</v>
      </c>
    </row>
    <row r="8" spans="1:32" s="22" customFormat="1" ht="155.25" customHeight="1">
      <c r="A8" s="62"/>
      <c r="B8" s="62"/>
      <c r="C8" s="67"/>
      <c r="D8" s="64"/>
      <c r="E8" s="82" t="s">
        <v>50</v>
      </c>
      <c r="F8" s="51" t="s">
        <v>51</v>
      </c>
      <c r="G8" s="24">
        <v>0</v>
      </c>
      <c r="H8" s="24">
        <v>3600000</v>
      </c>
      <c r="I8" s="52" t="s">
        <v>52</v>
      </c>
      <c r="J8" s="29"/>
      <c r="K8" s="68"/>
      <c r="L8" s="79" t="s">
        <v>28</v>
      </c>
      <c r="M8" s="72"/>
      <c r="N8" s="80" t="s">
        <v>29</v>
      </c>
      <c r="O8" s="72"/>
      <c r="P8" s="72"/>
      <c r="Q8" s="72"/>
      <c r="R8" s="72"/>
      <c r="S8" s="81"/>
      <c r="T8" s="72"/>
      <c r="U8" s="81"/>
      <c r="X8" s="59"/>
      <c r="Y8" s="46" t="s">
        <v>53</v>
      </c>
      <c r="Z8" s="29"/>
      <c r="AA8" s="28" t="s">
        <v>29</v>
      </c>
      <c r="AB8" s="28" t="s">
        <v>31</v>
      </c>
      <c r="AC8" s="72"/>
      <c r="AD8" s="28"/>
      <c r="AE8" s="28"/>
      <c r="AF8" s="28"/>
    </row>
    <row r="9" spans="1:32" ht="91.5" customHeight="1">
      <c r="A9" s="37">
        <v>112038</v>
      </c>
      <c r="B9" s="39" t="s">
        <v>54</v>
      </c>
      <c r="C9" s="42" t="s">
        <v>55</v>
      </c>
      <c r="D9" s="41">
        <v>2665440</v>
      </c>
      <c r="E9" s="82" t="s">
        <v>56</v>
      </c>
      <c r="F9" s="3" t="s">
        <v>57</v>
      </c>
      <c r="G9" s="6">
        <v>0</v>
      </c>
      <c r="H9" s="6">
        <v>2400</v>
      </c>
      <c r="I9" s="3" t="s">
        <v>58</v>
      </c>
      <c r="J9" s="28"/>
      <c r="K9" s="44"/>
      <c r="L9" s="79" t="s">
        <v>28</v>
      </c>
      <c r="M9" s="72"/>
      <c r="N9" s="80" t="s">
        <v>29</v>
      </c>
      <c r="O9" s="72"/>
      <c r="P9" s="72"/>
      <c r="Q9" s="72"/>
      <c r="R9" s="72"/>
      <c r="S9" s="81"/>
      <c r="T9" s="72"/>
      <c r="U9" s="81"/>
      <c r="X9" s="48" t="s">
        <v>28</v>
      </c>
      <c r="Y9" s="45"/>
      <c r="Z9" s="28"/>
      <c r="AA9" s="28" t="s">
        <v>29</v>
      </c>
      <c r="AB9" s="28" t="s">
        <v>56</v>
      </c>
      <c r="AC9" s="72"/>
      <c r="AD9" s="28"/>
      <c r="AE9" s="28"/>
      <c r="AF9" s="28"/>
    </row>
    <row r="10" spans="1:32" s="23" customFormat="1" ht="60.75">
      <c r="A10" s="37"/>
      <c r="B10" s="39"/>
      <c r="C10" s="42"/>
      <c r="D10" s="41"/>
      <c r="E10" s="82" t="s">
        <v>59</v>
      </c>
      <c r="F10" s="3" t="s">
        <v>60</v>
      </c>
      <c r="G10" s="6">
        <v>0</v>
      </c>
      <c r="H10" s="6">
        <v>0.108</v>
      </c>
      <c r="I10" s="3" t="s">
        <v>61</v>
      </c>
      <c r="J10" s="28"/>
      <c r="K10" s="44"/>
      <c r="L10" s="79" t="s">
        <v>28</v>
      </c>
      <c r="M10" s="72"/>
      <c r="N10" s="80" t="s">
        <v>29</v>
      </c>
      <c r="O10" s="72"/>
      <c r="P10" s="72"/>
      <c r="Q10" s="72"/>
      <c r="R10" s="72"/>
      <c r="S10" s="81"/>
      <c r="T10" s="72"/>
      <c r="U10" s="81"/>
      <c r="X10" s="48"/>
      <c r="Y10" s="69"/>
      <c r="Z10" s="70"/>
      <c r="AA10" s="28" t="s">
        <v>62</v>
      </c>
      <c r="AB10" s="28" t="s">
        <v>47</v>
      </c>
      <c r="AC10" s="72"/>
      <c r="AD10" s="28"/>
      <c r="AE10" s="28"/>
      <c r="AF10" s="28"/>
    </row>
    <row r="11" spans="1:32" ht="76.5">
      <c r="A11" s="38"/>
      <c r="B11" s="40"/>
      <c r="C11" s="43"/>
      <c r="D11" s="36"/>
      <c r="E11" s="82" t="s">
        <v>24</v>
      </c>
      <c r="F11" s="3" t="s">
        <v>63</v>
      </c>
      <c r="G11" s="6">
        <v>0</v>
      </c>
      <c r="H11" s="6">
        <v>36</v>
      </c>
      <c r="I11" s="3" t="s">
        <v>64</v>
      </c>
      <c r="J11" s="28"/>
      <c r="K11" s="44"/>
      <c r="L11" s="79" t="s">
        <v>28</v>
      </c>
      <c r="M11" s="72"/>
      <c r="N11" s="80" t="s">
        <v>29</v>
      </c>
      <c r="O11" s="72"/>
      <c r="P11" s="72"/>
      <c r="Q11" s="72"/>
      <c r="R11" s="72"/>
      <c r="S11" s="81"/>
      <c r="T11" s="72"/>
      <c r="U11" s="81"/>
      <c r="X11" s="49"/>
      <c r="Y11" s="45"/>
      <c r="Z11" s="28"/>
      <c r="AA11" s="28" t="s">
        <v>29</v>
      </c>
      <c r="AB11" s="28" t="s">
        <v>31</v>
      </c>
      <c r="AC11" s="72"/>
      <c r="AD11" s="28"/>
      <c r="AE11" s="28"/>
      <c r="AF11" s="28"/>
    </row>
    <row r="12" spans="1:32" ht="76.5" hidden="1" customHeight="1">
      <c r="A12" s="33"/>
      <c r="B12" s="34"/>
      <c r="C12" s="35"/>
      <c r="D12" s="36"/>
      <c r="E12" s="82"/>
      <c r="F12" s="3" t="s">
        <v>65</v>
      </c>
      <c r="G12" s="6">
        <v>0</v>
      </c>
      <c r="H12" s="6">
        <v>5</v>
      </c>
      <c r="I12" s="3" t="s">
        <v>66</v>
      </c>
      <c r="J12" s="28"/>
      <c r="K12" s="28"/>
      <c r="L12" s="79" t="s">
        <v>28</v>
      </c>
      <c r="M12" s="72"/>
      <c r="N12" s="80" t="s">
        <v>29</v>
      </c>
      <c r="O12" s="72"/>
      <c r="P12" s="72"/>
      <c r="Q12" s="72"/>
      <c r="R12" s="72"/>
      <c r="S12" s="81"/>
      <c r="T12" s="72"/>
      <c r="U12" s="81"/>
      <c r="X12" s="47"/>
      <c r="Y12" s="28"/>
      <c r="Z12" s="28"/>
      <c r="AA12" s="28" t="s">
        <v>29</v>
      </c>
      <c r="AB12" s="28" t="s">
        <v>31</v>
      </c>
      <c r="AC12" s="72"/>
      <c r="AD12" s="28"/>
      <c r="AE12" s="28"/>
      <c r="AF12" s="28"/>
    </row>
    <row r="13" spans="1:32" ht="76.5" hidden="1" customHeight="1">
      <c r="A13" s="6"/>
      <c r="B13" s="3"/>
      <c r="C13" s="25"/>
      <c r="D13" s="32"/>
      <c r="E13" s="82"/>
      <c r="F13" s="3" t="s">
        <v>67</v>
      </c>
      <c r="G13" s="6">
        <v>0</v>
      </c>
      <c r="H13" s="6">
        <v>100000</v>
      </c>
      <c r="I13" s="3" t="s">
        <v>68</v>
      </c>
      <c r="J13" s="28"/>
      <c r="K13" s="28"/>
      <c r="L13" s="79" t="s">
        <v>28</v>
      </c>
      <c r="M13" s="72"/>
      <c r="N13" s="80" t="s">
        <v>29</v>
      </c>
      <c r="O13" s="72"/>
      <c r="P13" s="72"/>
      <c r="Q13" s="72"/>
      <c r="R13" s="72"/>
      <c r="S13" s="81"/>
      <c r="T13" s="72"/>
      <c r="U13" s="81"/>
      <c r="X13" s="28"/>
      <c r="Y13" s="28"/>
      <c r="Z13" s="28"/>
      <c r="AA13" s="28" t="s">
        <v>29</v>
      </c>
      <c r="AB13" s="28" t="s">
        <v>31</v>
      </c>
      <c r="AC13" s="72"/>
      <c r="AD13" s="28"/>
      <c r="AE13" s="28"/>
      <c r="AF13" s="28"/>
    </row>
    <row r="14" spans="1:32" s="23" customFormat="1" ht="106.5">
      <c r="A14" s="21" t="s">
        <v>69</v>
      </c>
      <c r="B14" s="24" t="s">
        <v>70</v>
      </c>
      <c r="C14" s="24"/>
      <c r="D14" s="71">
        <v>26000</v>
      </c>
      <c r="E14" s="82"/>
      <c r="F14" s="24" t="s">
        <v>71</v>
      </c>
      <c r="G14" s="21">
        <v>0</v>
      </c>
      <c r="H14" s="21">
        <v>2</v>
      </c>
      <c r="I14" s="24" t="s">
        <v>72</v>
      </c>
      <c r="J14" s="31"/>
      <c r="K14" s="31"/>
      <c r="L14" s="79" t="s">
        <v>28</v>
      </c>
      <c r="M14" s="72"/>
      <c r="N14" s="80" t="s">
        <v>29</v>
      </c>
      <c r="O14" s="72"/>
      <c r="P14" s="72"/>
      <c r="Q14" s="72"/>
      <c r="R14" s="72"/>
      <c r="S14" s="81"/>
      <c r="T14" s="72"/>
      <c r="U14" s="81"/>
      <c r="X14" s="31"/>
      <c r="Y14" s="30" t="s">
        <v>53</v>
      </c>
      <c r="Z14" s="31"/>
      <c r="AA14" s="28" t="s">
        <v>29</v>
      </c>
      <c r="AB14" s="28" t="s">
        <v>56</v>
      </c>
      <c r="AC14" s="72"/>
      <c r="AD14" s="28"/>
      <c r="AE14" s="28"/>
      <c r="AF14" s="28"/>
    </row>
    <row r="21" spans="3:3">
      <c r="C21" s="5"/>
    </row>
    <row r="22" spans="3:3">
      <c r="C22" s="5"/>
    </row>
    <row r="23" spans="3:3">
      <c r="C23" s="5"/>
    </row>
    <row r="24" spans="3:3">
      <c r="C24" s="5"/>
    </row>
    <row r="25" spans="3:3">
      <c r="C25" s="5"/>
    </row>
    <row r="26" spans="3:3">
      <c r="C26" s="5"/>
    </row>
    <row r="27" spans="3:3">
      <c r="C27" s="5"/>
    </row>
  </sheetData>
  <dataValidations count="12">
    <dataValidation type="list" allowBlank="1" showInputMessage="1" showErrorMessage="1" sqref="AB2:AB14 P15:Q16" xr:uid="{12178506-5FC5-428D-A564-71FA3531E472}">
      <formula1>"Electricity Access, Energy Efficiency, Clean Cooking, Renewable Energy"</formula1>
    </dataValidation>
    <dataValidation type="list" allowBlank="1" showInputMessage="1" showErrorMessage="1" sqref="AD2:AD14 P2:P14" xr:uid="{AE7E8FD3-BEA5-454F-A90F-A9BF43555C68}">
      <formula1>"AMP, PUDC, Solar4Health, Action Opportunities, Italy UNDP Energy Partnership"</formula1>
    </dataValidation>
    <dataValidation type="list" allowBlank="1" showInputMessage="1" showErrorMessage="1" sqref="AC2:AC14" xr:uid="{6701C865-3636-44C1-9338-D12997C2ECB0}">
      <formula1>"Tier 1, Tier 2, Tier 3"</formula1>
    </dataValidation>
    <dataValidation type="list" allowBlank="1" showInputMessage="1" showErrorMessage="1" sqref="O15:O16 AA2:AA14 N2:N14" xr:uid="{264DB59F-77FB-4279-822C-C68FBF87AB99}">
      <formula1>"Accelerating just energy transition, Close the gap on energy access, Scale up energy finance"</formula1>
    </dataValidation>
    <dataValidation type="list" allowBlank="1" showInputMessage="1" showErrorMessage="1" sqref="S15:S25 AE2:AE14 Q2:Q14" xr:uid="{C2E60004-863E-42DB-8247-47D25A274EEC}">
      <formula1>"NDC Support, National Strategy, Legal Framework,Incentives and Support, Government Capacity-Building, Carbon Pricing and Monitoring, Financing Model, Business Model"</formula1>
    </dataValidation>
    <dataValidation type="list" allowBlank="1" showInputMessage="1" showErrorMessage="1" sqref="T15:T28 AF2:AF14" xr:uid="{9D5A342C-92A2-4BC5-B8C2-D85B2129C4F8}">
      <formula1>"Electricity Access, Energy Efficiency, Renewable EnergyEnergy Infrastructure,   Transport, Digital &amp; Data, Clean Cooking, Decarbonization, Hydrogen, Off-Grid, On-Grid"</formula1>
    </dataValidation>
    <dataValidation type="list" allowBlank="1" showInputMessage="1" showErrorMessage="1" sqref="O2:O14" xr:uid="{0E8DB0AD-3B45-47F1-8119-7AC385940FF4}">
      <formula1>"Electricity Access, Energy Efficiency, Clean Cooking, Renewable Energy, Overall"</formula1>
    </dataValidation>
    <dataValidation type="list" allowBlank="1" showInputMessage="1" showErrorMessage="1" sqref="M2:M14" xr:uid="{82368FA2-DD38-4B97-9751-99A26295EB92}">
      <formula1>"Finance, Gender, Efficiency, Just, Health"</formula1>
    </dataValidation>
    <dataValidation type="list" allowBlank="1" showInputMessage="1" showErrorMessage="1" sqref="T2:T14" xr:uid="{09650F3B-BD78-4A2D-999F-0F67E831FA4D}">
      <formula1>"National, Regional, City, Community"</formula1>
    </dataValidation>
    <dataValidation type="list" allowBlank="1" showInputMessage="1" showErrorMessage="1" sqref="L2:L14" xr:uid="{3106FED4-6A7C-4F6D-BB86-B72014336F66}">
      <formula1>"Non-VF, VF"</formula1>
    </dataValidation>
    <dataValidation type="list" allowBlank="1" showInputMessage="1" showErrorMessage="1" sqref="R2:R14" xr:uid="{414C981E-AB0F-4D20-90D1-E16D753ED9A6}">
      <formula1>"Electricity Access, Energy Efficiency, Renewable Energy, Infrastructure,  Transport, Digital &amp; Data, Clean Cooking, Decarbonization, Hydrogen, Off-Grid, On-Grid, Research &amp; Innovation, Grant &amp; Investment"</formula1>
    </dataValidation>
    <dataValidation type="list" allowBlank="1" showInputMessage="1" showErrorMessage="1" sqref="S2:S14" xr:uid="{75088528-4CAA-41C6-B991-FE7879C4A39C}">
      <formula1>"Solar, Wind, Bioenergy, Hydro, Geothermal, Waste, Some Sources, Other, Unknown"</formula1>
    </dataValidation>
  </dataValidations>
  <hyperlinks>
    <hyperlink ref="C2" r:id="rId1" xr:uid="{A054B303-EE44-4747-B786-B68076E272F3}"/>
    <hyperlink ref="C9" r:id="rId2" xr:uid="{E45FF329-DF09-4E83-A587-09A58773A46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64613267-D773-46FA-BF15-1911E220CA94}">
          <x14:formula1>
            <xm:f>'Beneficiary Categories'!$A$2:$A$22</xm:f>
          </x14:formula1>
          <xm:sqref>E2:E5 E7:E14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7"/>
  <sheetViews>
    <sheetView topLeftCell="B1" workbookViewId="0">
      <selection activeCell="J1" sqref="J1"/>
    </sheetView>
  </sheetViews>
  <sheetFormatPr defaultRowHeight="15"/>
  <cols>
    <col min="1" max="1" width="30.42578125" bestFit="1" customWidth="1"/>
    <col min="2" max="3" width="20.7109375" customWidth="1"/>
    <col min="4" max="4" width="14.7109375" bestFit="1" customWidth="1"/>
    <col min="5" max="6" width="20.7109375" customWidth="1"/>
    <col min="7" max="8" width="12.7109375" customWidth="1"/>
    <col min="9" max="9" width="32.7109375" customWidth="1"/>
  </cols>
  <sheetData>
    <row r="1" spans="1:10">
      <c r="A1" s="1" t="s">
        <v>0</v>
      </c>
      <c r="B1" s="1" t="s">
        <v>1</v>
      </c>
      <c r="C1" s="1" t="s">
        <v>2</v>
      </c>
      <c r="D1" s="1" t="s">
        <v>3</v>
      </c>
      <c r="E1" s="1" t="s">
        <v>4</v>
      </c>
      <c r="F1" s="1" t="s">
        <v>5</v>
      </c>
      <c r="G1" s="1" t="s">
        <v>6</v>
      </c>
      <c r="H1" s="1" t="s">
        <v>7</v>
      </c>
      <c r="I1" s="1" t="s">
        <v>8</v>
      </c>
      <c r="J1" s="20" t="s">
        <v>9</v>
      </c>
    </row>
    <row r="2" spans="1:10" ht="321">
      <c r="A2" s="83" t="s">
        <v>73</v>
      </c>
      <c r="B2" s="85" t="s">
        <v>22</v>
      </c>
      <c r="C2" s="87" t="s">
        <v>23</v>
      </c>
      <c r="D2" s="89">
        <v>5152392</v>
      </c>
      <c r="E2" s="2" t="s">
        <v>74</v>
      </c>
      <c r="F2" s="3" t="s">
        <v>25</v>
      </c>
      <c r="G2" s="3" t="s">
        <v>26</v>
      </c>
      <c r="H2" s="3" t="s">
        <v>75</v>
      </c>
      <c r="I2" s="3" t="s">
        <v>27</v>
      </c>
    </row>
    <row r="3" spans="1:10" ht="152.25">
      <c r="A3" s="83"/>
      <c r="B3" s="85"/>
      <c r="C3" s="87"/>
      <c r="D3" s="89"/>
      <c r="E3" s="2" t="s">
        <v>76</v>
      </c>
      <c r="F3" s="3" t="s">
        <v>32</v>
      </c>
      <c r="G3" s="7">
        <v>0</v>
      </c>
      <c r="H3" s="7">
        <v>150</v>
      </c>
      <c r="I3" s="3" t="s">
        <v>33</v>
      </c>
    </row>
    <row r="4" spans="1:10" ht="91.5">
      <c r="A4" s="83"/>
      <c r="B4" s="85"/>
      <c r="C4" s="87"/>
      <c r="D4" s="89"/>
      <c r="E4" s="2" t="s">
        <v>19</v>
      </c>
      <c r="F4" s="3" t="s">
        <v>34</v>
      </c>
      <c r="G4" s="7">
        <v>0</v>
      </c>
      <c r="H4" s="6">
        <v>1</v>
      </c>
      <c r="I4" s="3" t="s">
        <v>35</v>
      </c>
    </row>
    <row r="5" spans="1:10" ht="259.5">
      <c r="A5" s="83"/>
      <c r="B5" s="85"/>
      <c r="C5" s="87"/>
      <c r="D5" s="89"/>
      <c r="E5" s="2" t="s">
        <v>19</v>
      </c>
      <c r="F5" s="3" t="s">
        <v>40</v>
      </c>
      <c r="G5" s="7">
        <v>3</v>
      </c>
      <c r="H5" s="6">
        <v>5</v>
      </c>
      <c r="I5" s="3" t="s">
        <v>41</v>
      </c>
    </row>
    <row r="6" spans="1:10" ht="244.5">
      <c r="A6" s="83"/>
      <c r="B6" s="85"/>
      <c r="C6" s="87"/>
      <c r="D6" s="89"/>
      <c r="E6" s="2" t="s">
        <v>77</v>
      </c>
      <c r="F6" s="4" t="s">
        <v>78</v>
      </c>
      <c r="G6" s="7">
        <v>0</v>
      </c>
      <c r="H6" s="9" t="s">
        <v>79</v>
      </c>
      <c r="I6" s="3" t="s">
        <v>44</v>
      </c>
    </row>
    <row r="7" spans="1:10" ht="137.25">
      <c r="A7" s="83"/>
      <c r="B7" s="85"/>
      <c r="C7" s="87"/>
      <c r="D7" s="89"/>
      <c r="E7" s="3" t="s">
        <v>19</v>
      </c>
      <c r="F7" s="4" t="s">
        <v>45</v>
      </c>
      <c r="G7" s="7">
        <v>0</v>
      </c>
      <c r="H7" s="8">
        <v>2</v>
      </c>
      <c r="I7" s="3" t="s">
        <v>46</v>
      </c>
    </row>
    <row r="8" spans="1:10" ht="259.5">
      <c r="A8" s="84"/>
      <c r="B8" s="86"/>
      <c r="C8" s="88"/>
      <c r="D8" s="90"/>
      <c r="E8" s="10" t="s">
        <v>77</v>
      </c>
      <c r="F8" s="11" t="s">
        <v>51</v>
      </c>
      <c r="G8" s="12">
        <v>0</v>
      </c>
      <c r="H8" s="13">
        <v>22</v>
      </c>
      <c r="I8" s="14" t="s">
        <v>52</v>
      </c>
    </row>
    <row r="9" spans="1:10" ht="91.5" customHeight="1">
      <c r="A9" s="91">
        <v>110728</v>
      </c>
      <c r="B9" s="93" t="s">
        <v>54</v>
      </c>
      <c r="C9" s="95" t="s">
        <v>55</v>
      </c>
      <c r="D9" s="97">
        <v>2665440</v>
      </c>
      <c r="E9" s="2" t="s">
        <v>56</v>
      </c>
      <c r="F9" s="3" t="s">
        <v>57</v>
      </c>
      <c r="G9" s="6">
        <v>0</v>
      </c>
      <c r="H9" s="6" t="s">
        <v>80</v>
      </c>
      <c r="I9" s="3" t="s">
        <v>58</v>
      </c>
    </row>
    <row r="10" spans="1:10" ht="60.75">
      <c r="A10" s="91"/>
      <c r="B10" s="93"/>
      <c r="C10" s="95"/>
      <c r="D10" s="97"/>
      <c r="E10" s="2" t="s">
        <v>59</v>
      </c>
      <c r="F10" s="3" t="s">
        <v>60</v>
      </c>
      <c r="G10" s="6">
        <v>0</v>
      </c>
      <c r="H10" s="6" t="s">
        <v>81</v>
      </c>
      <c r="I10" s="3" t="s">
        <v>61</v>
      </c>
    </row>
    <row r="11" spans="1:10" ht="76.5">
      <c r="A11" s="91"/>
      <c r="B11" s="93"/>
      <c r="C11" s="95"/>
      <c r="D11" s="97"/>
      <c r="E11" s="2" t="s">
        <v>74</v>
      </c>
      <c r="F11" s="3" t="s">
        <v>63</v>
      </c>
      <c r="G11" s="6">
        <v>0</v>
      </c>
      <c r="H11" s="6">
        <v>36</v>
      </c>
      <c r="I11" s="3" t="s">
        <v>64</v>
      </c>
    </row>
    <row r="12" spans="1:10" ht="76.5">
      <c r="A12" s="91"/>
      <c r="B12" s="93"/>
      <c r="C12" s="95"/>
      <c r="D12" s="97"/>
      <c r="E12" s="2" t="s">
        <v>19</v>
      </c>
      <c r="F12" s="3" t="s">
        <v>65</v>
      </c>
      <c r="G12" s="6">
        <v>0</v>
      </c>
      <c r="H12" s="6">
        <v>5</v>
      </c>
      <c r="I12" s="3" t="s">
        <v>66</v>
      </c>
    </row>
    <row r="13" spans="1:10" ht="76.5">
      <c r="A13" s="92"/>
      <c r="B13" s="94"/>
      <c r="C13" s="96"/>
      <c r="D13" s="98"/>
      <c r="E13" s="10" t="s">
        <v>82</v>
      </c>
      <c r="F13" s="15" t="s">
        <v>67</v>
      </c>
      <c r="G13" s="13">
        <v>0</v>
      </c>
      <c r="H13" s="12">
        <v>100000</v>
      </c>
      <c r="I13" s="15" t="s">
        <v>68</v>
      </c>
    </row>
    <row r="14" spans="1:10" ht="106.5">
      <c r="A14" s="7" t="s">
        <v>69</v>
      </c>
      <c r="B14" s="16" t="s">
        <v>70</v>
      </c>
      <c r="C14" s="17"/>
      <c r="D14" s="18" t="s">
        <v>83</v>
      </c>
      <c r="E14" s="17" t="s">
        <v>56</v>
      </c>
      <c r="F14" s="16" t="s">
        <v>71</v>
      </c>
      <c r="G14" s="7">
        <v>0</v>
      </c>
      <c r="H14" s="7">
        <v>2</v>
      </c>
      <c r="I14" s="16" t="s">
        <v>72</v>
      </c>
      <c r="J14" s="19"/>
    </row>
    <row r="21" spans="3:3">
      <c r="C21" s="5"/>
    </row>
    <row r="22" spans="3:3">
      <c r="C22" s="5"/>
    </row>
    <row r="23" spans="3:3">
      <c r="C23" s="5"/>
    </row>
    <row r="24" spans="3:3">
      <c r="C24" s="5"/>
    </row>
    <row r="25" spans="3:3">
      <c r="C25" s="5"/>
    </row>
    <row r="26" spans="3:3">
      <c r="C26" s="5"/>
    </row>
    <row r="27" spans="3:3">
      <c r="C27" s="5"/>
    </row>
  </sheetData>
  <mergeCells count="8">
    <mergeCell ref="A2:A8"/>
    <mergeCell ref="B2:B8"/>
    <mergeCell ref="C2:C8"/>
    <mergeCell ref="D2:D8"/>
    <mergeCell ref="A9:A13"/>
    <mergeCell ref="B9:B13"/>
    <mergeCell ref="C9:C13"/>
    <mergeCell ref="D9:D13"/>
  </mergeCells>
  <hyperlinks>
    <hyperlink ref="C2" r:id="rId1" xr:uid="{BDC8E0C5-9CB5-4B90-9801-C1808415BFFE}"/>
    <hyperlink ref="C9" r:id="rId2" xr:uid="{D7040D50-6D20-4257-A9C1-17F8EF5A4677}"/>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2"/>
  <sheetViews>
    <sheetView workbookViewId="0"/>
  </sheetViews>
  <sheetFormatPr defaultRowHeight="15"/>
  <cols>
    <col min="1" max="2" width="52.7109375" customWidth="1"/>
  </cols>
  <sheetData>
    <row r="1" spans="1:2">
      <c r="A1" s="73" t="s">
        <v>4</v>
      </c>
      <c r="B1" s="73" t="s">
        <v>5</v>
      </c>
    </row>
    <row r="2" spans="1:2" ht="45.75">
      <c r="A2" s="99" t="s">
        <v>56</v>
      </c>
      <c r="B2" s="74" t="s">
        <v>84</v>
      </c>
    </row>
    <row r="3" spans="1:2">
      <c r="A3" s="99" t="s">
        <v>59</v>
      </c>
      <c r="B3" s="74" t="s">
        <v>85</v>
      </c>
    </row>
    <row r="4" spans="1:2" ht="30.75">
      <c r="A4" s="99" t="s">
        <v>86</v>
      </c>
      <c r="B4" s="74" t="s">
        <v>87</v>
      </c>
    </row>
    <row r="5" spans="1:2" ht="30.75">
      <c r="A5" s="99" t="s">
        <v>88</v>
      </c>
      <c r="B5" s="74" t="s">
        <v>89</v>
      </c>
    </row>
    <row r="6" spans="1:2" ht="91.5">
      <c r="A6" s="99" t="s">
        <v>90</v>
      </c>
      <c r="B6" s="74" t="s">
        <v>91</v>
      </c>
    </row>
    <row r="7" spans="1:2" ht="45.75">
      <c r="A7" s="99" t="s">
        <v>92</v>
      </c>
      <c r="B7" s="74" t="s">
        <v>93</v>
      </c>
    </row>
    <row r="8" spans="1:2" ht="45.75">
      <c r="A8" s="99" t="s">
        <v>94</v>
      </c>
      <c r="B8" s="74" t="s">
        <v>95</v>
      </c>
    </row>
    <row r="9" spans="1:2" ht="45.75">
      <c r="A9" s="99" t="s">
        <v>96</v>
      </c>
      <c r="B9" s="74" t="s">
        <v>97</v>
      </c>
    </row>
    <row r="10" spans="1:2" ht="30.75">
      <c r="A10" s="99" t="s">
        <v>98</v>
      </c>
      <c r="B10" s="100" t="s">
        <v>99</v>
      </c>
    </row>
    <row r="11" spans="1:2" ht="30.75">
      <c r="A11" s="99" t="s">
        <v>50</v>
      </c>
      <c r="B11" s="100" t="s">
        <v>100</v>
      </c>
    </row>
    <row r="12" spans="1:2" ht="45.75">
      <c r="A12" s="99" t="s">
        <v>101</v>
      </c>
      <c r="B12" s="74" t="s">
        <v>102</v>
      </c>
    </row>
    <row r="13" spans="1:2" ht="30.75">
      <c r="A13" s="99" t="s">
        <v>77</v>
      </c>
      <c r="B13" s="100" t="s">
        <v>103</v>
      </c>
    </row>
    <row r="14" spans="1:2">
      <c r="A14" s="99" t="s">
        <v>104</v>
      </c>
      <c r="B14" s="100" t="s">
        <v>105</v>
      </c>
    </row>
    <row r="15" spans="1:2" ht="30.75">
      <c r="A15" s="99" t="s">
        <v>106</v>
      </c>
      <c r="B15" s="100" t="s">
        <v>107</v>
      </c>
    </row>
    <row r="16" spans="1:2" ht="30.75">
      <c r="A16" s="99" t="s">
        <v>108</v>
      </c>
      <c r="B16" s="100" t="s">
        <v>109</v>
      </c>
    </row>
    <row r="17" spans="1:2" ht="30.75">
      <c r="A17" s="99" t="s">
        <v>24</v>
      </c>
      <c r="B17" s="74" t="s">
        <v>110</v>
      </c>
    </row>
    <row r="18" spans="1:2" ht="30.75">
      <c r="A18" s="99" t="s">
        <v>76</v>
      </c>
      <c r="B18" s="100" t="s">
        <v>111</v>
      </c>
    </row>
    <row r="19" spans="1:2" ht="76.5">
      <c r="A19" s="99" t="s">
        <v>112</v>
      </c>
      <c r="B19" s="100" t="s">
        <v>113</v>
      </c>
    </row>
    <row r="20" spans="1:2" ht="30.75">
      <c r="A20" s="99" t="s">
        <v>82</v>
      </c>
      <c r="B20" s="100" t="s">
        <v>114</v>
      </c>
    </row>
    <row r="21" spans="1:2" ht="45.75">
      <c r="A21" s="99" t="s">
        <v>19</v>
      </c>
      <c r="B21" s="101" t="s">
        <v>115</v>
      </c>
    </row>
    <row r="22" spans="1:2" ht="30.75">
      <c r="A22" s="99" t="s">
        <v>116</v>
      </c>
      <c r="B22" s="100" t="s">
        <v>117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720239d0-7d3a-4257-bb40-a2a3b1409bb2">
      <Terms xmlns="http://schemas.microsoft.com/office/infopath/2007/PartnerControls"/>
    </lcf76f155ced4ddcb4097134ff3c332f>
    <TaxCatchAll xmlns="fb9e4d32-074f-4c04-81ef-e811753dfd59"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81A889D055969F449BCDADF9B8A9C0F0" ma:contentTypeVersion="18" ma:contentTypeDescription="Create a new document." ma:contentTypeScope="" ma:versionID="dd25160c21e587dbb66203dfb8c7aa52">
  <xsd:schema xmlns:xsd="http://www.w3.org/2001/XMLSchema" xmlns:xs="http://www.w3.org/2001/XMLSchema" xmlns:p="http://schemas.microsoft.com/office/2006/metadata/properties" xmlns:ns2="720239d0-7d3a-4257-bb40-a2a3b1409bb2" xmlns:ns3="fb9e4d32-074f-4c04-81ef-e811753dfd59" targetNamespace="http://schemas.microsoft.com/office/2006/metadata/properties" ma:root="true" ma:fieldsID="05ccd5be12d50c438f9536854e894bcb" ns2:_="" ns3:_="">
    <xsd:import namespace="720239d0-7d3a-4257-bb40-a2a3b1409bb2"/>
    <xsd:import namespace="fb9e4d32-074f-4c04-81ef-e811753dfd5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0239d0-7d3a-4257-bb40-a2a3b1409b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ebb0a5-c57d-4c3a-bec7-8a38252dd05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b9e4d32-074f-4c04-81ef-e811753dfd59"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5300f42-37b4-4000-b69c-e0298172bf57}" ma:internalName="TaxCatchAll" ma:showField="CatchAllData" ma:web="fb9e4d32-074f-4c04-81ef-e811753dfd5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7AC1A98-C21D-4D7B-9D3E-59462D5655A1}"/>
</file>

<file path=customXml/itemProps2.xml><?xml version="1.0" encoding="utf-8"?>
<ds:datastoreItem xmlns:ds="http://schemas.openxmlformats.org/officeDocument/2006/customXml" ds:itemID="{7A004395-6E39-4F77-B900-4574E2DB0C85}"/>
</file>

<file path=customXml/itemProps3.xml><?xml version="1.0" encoding="utf-8"?>
<ds:datastoreItem xmlns:ds="http://schemas.openxmlformats.org/officeDocument/2006/customXml" ds:itemID="{D9DC77E2-72A3-4783-AE1C-D17056907EA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Benjamin Keller</cp:lastModifiedBy>
  <cp:revision/>
  <dcterms:created xsi:type="dcterms:W3CDTF">2023-05-05T09:33:41Z</dcterms:created>
  <dcterms:modified xsi:type="dcterms:W3CDTF">2024-03-06T02:17:58Z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0x01010081A889D055969F449BCDADF9B8A9C0F0</vt:lpwstr>
  </property>
  <property fmtid="{D5CDD505-2E9C-101B-9397-08002B2CF9AE}" pid="3" name="MediaServiceImageTags">
    <vt:lpwstr/>
  </property>
</Properties>
</file>