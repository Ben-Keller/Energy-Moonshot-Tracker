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3" activeTab="3" autoFilterDateGrouping="1"/>
  </bookViews>
  <sheets>
    <sheet xmlns:r="http://schemas.openxmlformats.org/officeDocument/2006/relationships" name="Projects (2)" sheetId="1" state="hidden" r:id="rId1"/>
    <sheet xmlns:r="http://schemas.openxmlformats.org/officeDocument/2006/relationships" name="Projects" sheetId="2" state="hidden" r:id="rId2"/>
    <sheet xmlns:r="http://schemas.openxmlformats.org/officeDocument/2006/relationships" name="Projects (3)" sheetId="3" state="visible"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1">
    <numFmt numFmtId="164" formatCode="_([$$-409]* #,##0.00_);_([$$-409]* \(#,##0.00\);_([$$-409]* &quot;-&quot;??_);_(@_)"/>
  </numFmts>
  <fonts count="22">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scheme val="minor"/>
    </font>
    <font>
      <name val="Calibri"/>
      <family val="2"/>
      <color rgb="FF000000"/>
      <sz val="11"/>
    </font>
    <font>
      <name val="Arial"/>
      <family val="2"/>
      <color rgb="FF000000"/>
      <sz val="10"/>
    </font>
    <font>
      <name val="Calibri"/>
      <color rgb="FF000000"/>
      <sz val="11"/>
    </font>
    <font>
      <name val="Calibri"/>
      <family val="2"/>
      <color rgb="FF000000"/>
      <sz val="11"/>
      <scheme val="minor"/>
    </font>
    <font>
      <name val="Helvetica Neue"/>
      <charset val="1"/>
      <color rgb="FFFF0000"/>
      <sz val="10"/>
    </font>
    <font>
      <name val="Calibri"/>
      <b val="1"/>
      <color theme="1"/>
      <sz val="11"/>
      <scheme val="minor"/>
    </font>
    <font>
      <name val="Calibri"/>
      <color rgb="FF000000"/>
      <sz val="11"/>
      <scheme val="minor"/>
    </font>
    <font>
      <name val="Calibri"/>
      <family val="2"/>
      <b val="1"/>
      <color rgb="FFFF0000"/>
      <sz val="11"/>
      <scheme val="minor"/>
    </font>
    <font>
      <name val="Calibri"/>
      <family val="2"/>
      <color theme="1"/>
      <sz val="11"/>
      <scheme val="minor"/>
    </font>
    <font>
      <name val="Calibri"/>
      <color rgb="FF00B050"/>
      <sz val="11"/>
    </font>
    <font>
      <name val="Arial"/>
      <color rgb="FF000000"/>
      <sz val="10"/>
    </font>
    <font>
      <name val="Helvetica Neue"/>
      <color rgb="FFFF0000"/>
      <sz val="10"/>
    </font>
    <font>
      <name val="Calibri"/>
      <sz val="11"/>
    </font>
    <font>
      <name val="Calibri"/>
      <family val="2"/>
      <sz val="11"/>
      <u val="single"/>
      <scheme val="minor"/>
    </font>
    <font>
      <name val="Calibri"/>
      <family val="2"/>
      <sz val="11"/>
      <scheme val="minor"/>
    </font>
    <font>
      <name val="Helvetica Neue"/>
      <sz val="10"/>
    </font>
    <font>
      <name val="Arial"/>
      <sz val="10"/>
    </font>
    <font>
      <b val="1"/>
    </font>
  </fonts>
  <fills count="6">
    <fill>
      <patternFill/>
    </fill>
    <fill>
      <patternFill patternType="gray125"/>
    </fill>
    <fill>
      <patternFill patternType="solid">
        <fgColor rgb="FFFFFF00"/>
        <bgColor indexed="64"/>
      </patternFill>
    </fill>
    <fill>
      <patternFill patternType="solid">
        <fgColor theme="9" tint="0.5999938962981048"/>
        <bgColor indexed="64"/>
      </patternFill>
    </fill>
    <fill>
      <patternFill patternType="solid">
        <fgColor theme="6" tint="0.7999816888943144"/>
        <bgColor indexed="64"/>
      </patternFill>
    </fill>
    <fill>
      <patternFill patternType="solid">
        <fgColor rgb="00FFFF00"/>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s>
  <cellStyleXfs count="3">
    <xf numFmtId="0" fontId="12" fillId="0" borderId="0"/>
    <xf numFmtId="0" fontId="3" fillId="0" borderId="0"/>
    <xf numFmtId="9" fontId="12" fillId="0" borderId="0"/>
  </cellStyleXfs>
  <cellXfs count="168">
    <xf numFmtId="0" fontId="0" fillId="0" borderId="0" pivotButton="0" quotePrefix="0" xfId="0"/>
    <xf numFmtId="0" fontId="2" fillId="0" borderId="2" applyAlignment="1" pivotButton="0" quotePrefix="0" xfId="0">
      <alignment horizontal="center" vertical="top"/>
    </xf>
    <xf numFmtId="0" fontId="4" fillId="0" borderId="1" applyAlignment="1" pivotButton="0" quotePrefix="0" xfId="0">
      <alignment horizontal="left" vertical="center"/>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4" fillId="0" borderId="0" applyAlignment="1" pivotButton="0" quotePrefix="0" xfId="0">
      <alignment wrapText="1"/>
    </xf>
    <xf numFmtId="0" fontId="4" fillId="0" borderId="1" applyAlignment="1" pivotButton="0" quotePrefix="0" xfId="0">
      <alignment horizontal="center" vertical="center" wrapText="1"/>
    </xf>
    <xf numFmtId="0" fontId="4" fillId="0" borderId="1"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center" vertical="center" wrapText="1"/>
    </xf>
    <xf numFmtId="0" fontId="4" fillId="0" borderId="3" applyAlignment="1" pivotButton="0" quotePrefix="0" xfId="0">
      <alignment horizontal="left" vertical="center"/>
    </xf>
    <xf numFmtId="0" fontId="5" fillId="0" borderId="3" applyAlignment="1" pivotButton="0" quotePrefix="0" xfId="0">
      <alignment horizontal="left" vertical="center" wrapText="1"/>
    </xf>
    <xf numFmtId="0" fontId="4" fillId="0" borderId="3" applyAlignment="1" pivotButton="0" quotePrefix="0" xfId="0">
      <alignment horizontal="center" vertical="center"/>
    </xf>
    <xf numFmtId="0" fontId="4" fillId="0" borderId="3" applyAlignment="1" pivotButton="0" quotePrefix="0" xfId="0">
      <alignment horizontal="center" vertical="center" wrapText="1"/>
    </xf>
    <xf numFmtId="0" fontId="6" fillId="0" borderId="3" applyAlignment="1" pivotButton="0" quotePrefix="0" xfId="0">
      <alignment horizontal="left" vertical="center" wrapText="1"/>
    </xf>
    <xf numFmtId="0" fontId="4" fillId="0" borderId="3" applyAlignment="1" pivotButton="0" quotePrefix="0" xfId="0">
      <alignment horizontal="left" vertical="center" wrapText="1"/>
    </xf>
    <xf numFmtId="0" fontId="4" fillId="0" borderId="1" applyAlignment="1" pivotButton="0" quotePrefix="0" xfId="0">
      <alignment vertical="center" wrapText="1"/>
    </xf>
    <xf numFmtId="0" fontId="4" fillId="0" borderId="1" applyAlignment="1" pivotButton="0" quotePrefix="0" xfId="0">
      <alignment vertical="center"/>
    </xf>
    <xf numFmtId="0" fontId="4" fillId="0" borderId="1" applyAlignment="1" pivotButton="0" quotePrefix="0" xfId="0">
      <alignment horizontal="right" vertical="center"/>
    </xf>
    <xf numFmtId="0" fontId="0" fillId="2" borderId="0" pivotButton="0" quotePrefix="0" xfId="0"/>
    <xf numFmtId="0" fontId="2" fillId="0" borderId="0" pivotButton="0" quotePrefix="0" xfId="0"/>
    <xf numFmtId="0" fontId="4" fillId="3" borderId="1" applyAlignment="1" pivotButton="0" quotePrefix="0" xfId="0">
      <alignment horizontal="center" vertical="center" wrapText="1"/>
    </xf>
    <xf numFmtId="0" fontId="7" fillId="3" borderId="0" pivotButton="0" quotePrefix="0" xfId="0"/>
    <xf numFmtId="0" fontId="0" fillId="3" borderId="0" pivotButton="0" quotePrefix="0" xfId="0"/>
    <xf numFmtId="0" fontId="4" fillId="3" borderId="1" applyAlignment="1" pivotButton="0" quotePrefix="0" xfId="0">
      <alignment vertical="center" wrapText="1"/>
    </xf>
    <xf numFmtId="0" fontId="3" fillId="0" borderId="1" applyAlignment="1" pivotButton="0" quotePrefix="0" xfId="1">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wrapText="1"/>
    </xf>
    <xf numFmtId="0" fontId="0" fillId="0" borderId="1" applyAlignment="1" pivotButton="0" quotePrefix="0" xfId="0">
      <alignment wrapText="1"/>
    </xf>
    <xf numFmtId="0" fontId="7" fillId="3" borderId="1" applyAlignment="1" pivotButton="0" quotePrefix="0" xfId="0">
      <alignment wrapText="1"/>
    </xf>
    <xf numFmtId="0" fontId="8" fillId="3" borderId="1" applyAlignment="1" pivotButton="0" quotePrefix="0" xfId="0">
      <alignment vertical="center" wrapText="1"/>
    </xf>
    <xf numFmtId="0" fontId="0" fillId="3" borderId="1" applyAlignment="1" pivotButton="0" quotePrefix="0" xfId="0">
      <alignment wrapText="1"/>
    </xf>
    <xf numFmtId="164" fontId="4" fillId="0" borderId="1" applyAlignment="1" pivotButton="0" quotePrefix="0" xfId="0">
      <alignment horizontal="center" vertical="center" wrapText="1"/>
    </xf>
    <xf numFmtId="0" fontId="4" fillId="0" borderId="5" applyAlignment="1" pivotButton="0" quotePrefix="0" xfId="0">
      <alignment horizontal="center" vertical="center" wrapText="1"/>
    </xf>
    <xf numFmtId="0" fontId="4" fillId="0" borderId="5" applyAlignment="1" pivotButton="0" quotePrefix="0" xfId="0">
      <alignment horizontal="left" vertical="center" wrapText="1"/>
    </xf>
    <xf numFmtId="0" fontId="3" fillId="0" borderId="5" applyAlignment="1" pivotButton="0" quotePrefix="0" xfId="1">
      <alignment horizontal="center" vertical="center" wrapText="1"/>
    </xf>
    <xf numFmtId="164" fontId="4" fillId="0" borderId="5"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9" applyAlignment="1" pivotButton="0" quotePrefix="0" xfId="0">
      <alignment horizontal="center" vertical="center" wrapText="1"/>
    </xf>
    <xf numFmtId="0" fontId="4" fillId="0" borderId="8" applyAlignment="1" pivotButton="0" quotePrefix="0" xfId="0">
      <alignment horizontal="left" vertical="center" wrapText="1"/>
    </xf>
    <xf numFmtId="0" fontId="4" fillId="0" borderId="9" applyAlignment="1" pivotButton="0" quotePrefix="0" xfId="0">
      <alignment horizontal="left" vertical="center" wrapText="1"/>
    </xf>
    <xf numFmtId="164" fontId="4" fillId="0" borderId="4" applyAlignment="1" pivotButton="0" quotePrefix="0" xfId="0">
      <alignment horizontal="center" vertical="center" wrapText="1"/>
    </xf>
    <xf numFmtId="0" fontId="3" fillId="0" borderId="8" applyAlignment="1" pivotButton="0" quotePrefix="0" xfId="1">
      <alignment horizontal="center" vertical="center" wrapText="1"/>
    </xf>
    <xf numFmtId="0" fontId="3" fillId="0" borderId="9" applyAlignment="1" pivotButton="0" quotePrefix="0" xfId="1">
      <alignment horizontal="center" vertical="center" wrapText="1"/>
    </xf>
    <xf numFmtId="0" fontId="0" fillId="0" borderId="10" applyAlignment="1" pivotButton="0" quotePrefix="0" xfId="0">
      <alignment wrapText="1"/>
    </xf>
    <xf numFmtId="0" fontId="0" fillId="0" borderId="6" applyAlignment="1" pivotButton="0" quotePrefix="0" xfId="0">
      <alignment wrapText="1"/>
    </xf>
    <xf numFmtId="0" fontId="8" fillId="3" borderId="6" applyAlignment="1" pivotButton="0" quotePrefix="0" xfId="0">
      <alignment vertical="center" wrapText="1"/>
    </xf>
    <xf numFmtId="0" fontId="0" fillId="0" borderId="5" applyAlignment="1" pivotButton="0" quotePrefix="0" xfId="0">
      <alignment wrapText="1"/>
    </xf>
    <xf numFmtId="0" fontId="0" fillId="0" borderId="4" applyAlignment="1" pivotButton="0" quotePrefix="0" xfId="0">
      <alignment horizontal="center" wrapText="1"/>
    </xf>
    <xf numFmtId="0" fontId="0" fillId="0" borderId="5" applyAlignment="1" pivotButton="0" quotePrefix="0" xfId="0">
      <alignment horizontal="center" wrapText="1"/>
    </xf>
    <xf numFmtId="0" fontId="5" fillId="0" borderId="1" applyAlignment="1" pivotButton="0" quotePrefix="0" xfId="0">
      <alignment vertical="center" wrapText="1"/>
    </xf>
    <xf numFmtId="0" fontId="5" fillId="3" borderId="1" applyAlignment="1" pivotButton="0" quotePrefix="0" xfId="0">
      <alignment vertical="center" wrapText="1"/>
    </xf>
    <xf numFmtId="0" fontId="6" fillId="3" borderId="1" applyAlignment="1" pivotButton="0" quotePrefix="0" xfId="0">
      <alignment vertical="center" wrapText="1"/>
    </xf>
    <xf numFmtId="0" fontId="0" fillId="0" borderId="3" applyAlignment="1" pivotButton="0" quotePrefix="0" xfId="0">
      <alignment vertical="center" wrapText="1"/>
    </xf>
    <xf numFmtId="164" fontId="0" fillId="0" borderId="3" applyAlignment="1" pivotButton="0" quotePrefix="0" xfId="0">
      <alignment vertical="center" wrapText="1"/>
    </xf>
    <xf numFmtId="9" fontId="0" fillId="0" borderId="10" applyAlignment="1" pivotButton="0" quotePrefix="0" xfId="0">
      <alignment vertical="center" wrapText="1"/>
    </xf>
    <xf numFmtId="0" fontId="0" fillId="0" borderId="4" applyAlignment="1" pivotButton="0" quotePrefix="0" xfId="0">
      <alignment vertical="center" wrapText="1"/>
    </xf>
    <xf numFmtId="0" fontId="4" fillId="0" borderId="6" applyAlignment="1" pivotButton="0" quotePrefix="0" xfId="0">
      <alignment vertical="center" wrapText="1"/>
    </xf>
    <xf numFmtId="0" fontId="2" fillId="0" borderId="3" applyAlignment="1" pivotButton="0" quotePrefix="0" xfId="0">
      <alignment horizontal="center" vertical="top" wrapText="1"/>
    </xf>
    <xf numFmtId="0" fontId="0" fillId="0" borderId="5" applyAlignment="1" pivotButton="0" quotePrefix="0" xfId="0">
      <alignment vertical="center" wrapText="1"/>
    </xf>
    <xf numFmtId="0" fontId="0" fillId="0" borderId="7" applyAlignment="1" pivotButton="0" quotePrefix="0" xfId="0">
      <alignment vertical="center" wrapText="1"/>
    </xf>
    <xf numFmtId="0" fontId="0" fillId="0" borderId="8" applyAlignment="1" pivotButton="0" quotePrefix="0" xfId="0">
      <alignment vertical="center" wrapText="1"/>
    </xf>
    <xf numFmtId="0" fontId="0" fillId="0" borderId="9" applyAlignment="1" pivotButton="0" quotePrefix="0" xfId="0">
      <alignment vertical="center" wrapText="1"/>
    </xf>
    <xf numFmtId="164" fontId="0" fillId="0" borderId="4" applyAlignment="1" pivotButton="0" quotePrefix="0" xfId="0">
      <alignment vertical="center" wrapText="1"/>
    </xf>
    <xf numFmtId="164" fontId="0" fillId="0" borderId="5" applyAlignment="1" pivotButton="0" quotePrefix="0" xfId="0">
      <alignment vertical="center" wrapText="1"/>
    </xf>
    <xf numFmtId="0" fontId="3" fillId="0" borderId="8" applyAlignment="1" pivotButton="0" quotePrefix="0" xfId="1">
      <alignment vertical="center" wrapText="1"/>
    </xf>
    <xf numFmtId="0" fontId="3" fillId="0" borderId="9" applyAlignment="1" pivotButton="0" quotePrefix="0" xfId="1">
      <alignment vertical="center" wrapText="1"/>
    </xf>
    <xf numFmtId="0" fontId="7" fillId="3" borderId="10" applyAlignment="1" pivotButton="0" quotePrefix="0" xfId="0">
      <alignment wrapText="1"/>
    </xf>
    <xf numFmtId="0" fontId="8" fillId="0" borderId="6" applyAlignment="1" pivotButton="0" quotePrefix="0" xfId="0">
      <alignment vertical="center" wrapText="1"/>
    </xf>
    <xf numFmtId="0" fontId="8" fillId="0" borderId="1" applyAlignment="1" pivotButton="0" quotePrefix="0" xfId="0">
      <alignment horizontal="left" vertical="center" wrapText="1"/>
    </xf>
    <xf numFmtId="3" fontId="4" fillId="3" borderId="1" applyAlignment="1" pivotButton="0" quotePrefix="0" xfId="0">
      <alignment horizontal="right" vertical="center" wrapText="1"/>
    </xf>
    <xf numFmtId="0" fontId="0" fillId="0" borderId="1" applyAlignment="1" pivotButton="0" quotePrefix="0" xfId="0">
      <alignment horizontal="center" vertical="center"/>
    </xf>
    <xf numFmtId="0" fontId="9" fillId="0" borderId="1" applyAlignment="1" pivotButton="0" quotePrefix="0" xfId="0">
      <alignment horizontal="center" vertical="top" wrapText="1"/>
    </xf>
    <xf numFmtId="0" fontId="10" fillId="0" borderId="1" applyAlignment="1" pivotButton="0" quotePrefix="0" xfId="0">
      <alignment wrapText="1"/>
    </xf>
    <xf numFmtId="0" fontId="2" fillId="0" borderId="1" applyAlignment="1" pivotButton="0" quotePrefix="0" xfId="0">
      <alignment horizontal="center"/>
    </xf>
    <xf numFmtId="0" fontId="2" fillId="0" borderId="3" applyAlignment="1" pivotButton="0" quotePrefix="0" xfId="0">
      <alignment horizontal="center"/>
    </xf>
    <xf numFmtId="0" fontId="2" fillId="0" borderId="7" applyAlignment="1" pivotButton="0" quotePrefix="0" xfId="0">
      <alignment horizontal="center"/>
    </xf>
    <xf numFmtId="0" fontId="2" fillId="0" borderId="3" pivotButton="0" quotePrefix="0" xfId="0"/>
    <xf numFmtId="0" fontId="0" fillId="0" borderId="10" applyAlignment="1" pivotButton="0" quotePrefix="0" xfId="0">
      <alignment horizontal="center" vertical="center"/>
    </xf>
    <xf numFmtId="0" fontId="0" fillId="0" borderId="6" applyAlignment="1" pivotButton="0" quotePrefix="0" xfId="0">
      <alignment horizontal="center" vertical="center" wrapText="1"/>
    </xf>
    <xf numFmtId="0" fontId="0" fillId="0" borderId="1" applyAlignment="1" pivotButton="0" quotePrefix="0" xfId="0">
      <alignment vertical="center"/>
    </xf>
    <xf numFmtId="0" fontId="0" fillId="0" borderId="6" applyAlignment="1" pivotButton="0" quotePrefix="0" xfId="0">
      <alignment horizontal="center" vertical="top" wrapText="1"/>
    </xf>
    <xf numFmtId="0" fontId="3" fillId="0" borderId="7" applyAlignment="1" pivotButton="0" quotePrefix="0" xfId="1">
      <alignment vertical="center" wrapText="1"/>
    </xf>
    <xf numFmtId="0" fontId="11" fillId="0" borderId="10" applyAlignment="1" pivotButton="0" quotePrefix="0" xfId="0">
      <alignment horizontal="center" vertical="center"/>
    </xf>
    <xf numFmtId="0" fontId="0" fillId="3" borderId="0" applyAlignment="1" pivotButton="0" quotePrefix="0" xfId="0">
      <alignment vertical="center"/>
    </xf>
    <xf numFmtId="0" fontId="6" fillId="0" borderId="1" applyAlignment="1" pivotButton="0" quotePrefix="0" xfId="0">
      <alignment vertical="center" wrapText="1"/>
    </xf>
    <xf numFmtId="0" fontId="13" fillId="0" borderId="1" applyAlignment="1" pivotButton="0" quotePrefix="0" xfId="0">
      <alignment vertical="center" wrapText="1"/>
    </xf>
    <xf numFmtId="0" fontId="6" fillId="0" borderId="6" applyAlignment="1" pivotButton="0" quotePrefix="0" xfId="0">
      <alignment vertical="center" wrapText="1"/>
    </xf>
    <xf numFmtId="0" fontId="14" fillId="0" borderId="1" applyAlignment="1" pivotButton="0" quotePrefix="0" xfId="0">
      <alignment vertical="center" wrapText="1"/>
    </xf>
    <xf numFmtId="0" fontId="14" fillId="3" borderId="1" applyAlignment="1" pivotButton="0" quotePrefix="0" xfId="0">
      <alignment vertical="center" wrapText="1"/>
    </xf>
    <xf numFmtId="0" fontId="13" fillId="3" borderId="1" applyAlignment="1" pivotButton="0" quotePrefix="0" xfId="0">
      <alignment vertical="center" wrapText="1"/>
    </xf>
    <xf numFmtId="0" fontId="15" fillId="3" borderId="6" applyAlignment="1" pivotButton="0" quotePrefix="0" xfId="0">
      <alignment vertical="center" wrapText="1"/>
    </xf>
    <xf numFmtId="0" fontId="16" fillId="4" borderId="8" applyAlignment="1" pivotButton="0" quotePrefix="0" xfId="0">
      <alignment horizontal="center" vertical="center" wrapText="1"/>
    </xf>
    <xf numFmtId="0" fontId="16" fillId="4" borderId="8" applyAlignment="1" pivotButton="0" quotePrefix="0" xfId="0">
      <alignment horizontal="left" vertical="center" wrapText="1"/>
    </xf>
    <xf numFmtId="0" fontId="17" fillId="4" borderId="8" applyAlignment="1" pivotButton="0" quotePrefix="0" xfId="1">
      <alignment horizontal="center" vertical="center" wrapText="1"/>
    </xf>
    <xf numFmtId="164" fontId="16" fillId="4" borderId="4" applyAlignment="1" pivotButton="0" quotePrefix="0" xfId="0">
      <alignment horizontal="center" vertical="center" wrapText="1"/>
    </xf>
    <xf numFmtId="0" fontId="18" fillId="4" borderId="6" applyAlignment="1" pivotButton="0" quotePrefix="0" xfId="0">
      <alignment horizontal="center" vertical="top" wrapText="1"/>
    </xf>
    <xf numFmtId="0" fontId="16" fillId="4" borderId="1" applyAlignment="1" pivotButton="0" quotePrefix="0" xfId="0">
      <alignment horizontal="left" vertical="center" wrapText="1"/>
    </xf>
    <xf numFmtId="0" fontId="16" fillId="4" borderId="1" applyAlignment="1" pivotButton="0" quotePrefix="0" xfId="0">
      <alignment horizontal="center" vertical="center" wrapText="1"/>
    </xf>
    <xf numFmtId="0" fontId="18" fillId="4" borderId="1" applyAlignment="1" pivotButton="0" quotePrefix="0" xfId="0">
      <alignment wrapText="1"/>
    </xf>
    <xf numFmtId="9" fontId="18" fillId="4" borderId="10" applyAlignment="1" pivotButton="0" quotePrefix="0" xfId="0">
      <alignment wrapText="1"/>
    </xf>
    <xf numFmtId="0" fontId="18" fillId="4" borderId="10" applyAlignment="1" pivotButton="0" quotePrefix="0" xfId="0">
      <alignment horizontal="center" vertical="center"/>
    </xf>
    <xf numFmtId="0" fontId="18" fillId="4" borderId="1" applyAlignment="1" pivotButton="0" quotePrefix="0" xfId="0">
      <alignment horizontal="center" vertical="center"/>
    </xf>
    <xf numFmtId="0" fontId="18" fillId="4" borderId="6" applyAlignment="1" pivotButton="0" quotePrefix="0" xfId="0">
      <alignment horizontal="center" vertical="center" wrapText="1"/>
    </xf>
    <xf numFmtId="0" fontId="18" fillId="4" borderId="1" applyAlignment="1" pivotButton="0" quotePrefix="0" xfId="0">
      <alignment vertical="center"/>
    </xf>
    <xf numFmtId="0" fontId="18" fillId="4" borderId="0" pivotButton="0" quotePrefix="0" xfId="0"/>
    <xf numFmtId="0" fontId="18" fillId="4" borderId="4" applyAlignment="1" pivotButton="0" quotePrefix="0" xfId="0">
      <alignment horizontal="center" wrapText="1"/>
    </xf>
    <xf numFmtId="0" fontId="18" fillId="4" borderId="6" applyAlignment="1" pivotButton="0" quotePrefix="0" xfId="0">
      <alignment wrapText="1"/>
    </xf>
    <xf numFmtId="0" fontId="18" fillId="4" borderId="10" applyAlignment="1" pivotButton="0" quotePrefix="0" xfId="0">
      <alignment wrapText="1"/>
    </xf>
    <xf numFmtId="0" fontId="19" fillId="4" borderId="6" applyAlignment="1" pivotButton="0" quotePrefix="0" xfId="0">
      <alignment vertical="center" wrapText="1"/>
    </xf>
    <xf numFmtId="0" fontId="19" fillId="4" borderId="1" applyAlignment="1" pivotButton="0" quotePrefix="0" xfId="0">
      <alignment horizontal="left" vertical="center" wrapText="1"/>
    </xf>
    <xf numFmtId="0" fontId="16" fillId="4" borderId="9" applyAlignment="1" pivotButton="0" quotePrefix="0" xfId="0">
      <alignment horizontal="center" vertical="center" wrapText="1"/>
    </xf>
    <xf numFmtId="0" fontId="16" fillId="4" borderId="9" applyAlignment="1" pivotButton="0" quotePrefix="0" xfId="0">
      <alignment horizontal="left" vertical="center" wrapText="1"/>
    </xf>
    <xf numFmtId="0" fontId="17" fillId="4" borderId="9" applyAlignment="1" pivotButton="0" quotePrefix="0" xfId="1">
      <alignment horizontal="center" vertical="center" wrapText="1"/>
    </xf>
    <xf numFmtId="164" fontId="16" fillId="4" borderId="5" applyAlignment="1" pivotButton="0" quotePrefix="0" xfId="0">
      <alignment horizontal="center" vertical="center" wrapText="1"/>
    </xf>
    <xf numFmtId="0" fontId="18" fillId="4" borderId="5" applyAlignment="1" pivotButton="0" quotePrefix="0" xfId="0">
      <alignment horizontal="center" wrapText="1"/>
    </xf>
    <xf numFmtId="0" fontId="16" fillId="4" borderId="5" applyAlignment="1" pivotButton="0" quotePrefix="0" xfId="0">
      <alignment horizontal="center" vertical="center" wrapText="1"/>
    </xf>
    <xf numFmtId="0" fontId="16" fillId="4" borderId="5" applyAlignment="1" pivotButton="0" quotePrefix="0" xfId="0">
      <alignment horizontal="left" vertical="center" wrapText="1"/>
    </xf>
    <xf numFmtId="0" fontId="17" fillId="4" borderId="5" applyAlignment="1" pivotButton="0" quotePrefix="0" xfId="1">
      <alignment horizontal="center" vertical="center" wrapText="1"/>
    </xf>
    <xf numFmtId="0" fontId="18" fillId="4" borderId="5" applyAlignment="1" pivotButton="0" quotePrefix="0" xfId="0">
      <alignment wrapText="1"/>
    </xf>
    <xf numFmtId="0" fontId="17" fillId="4" borderId="1" applyAlignment="1" pivotButton="0" quotePrefix="0" xfId="1">
      <alignment horizontal="center" vertical="center" wrapText="1"/>
    </xf>
    <xf numFmtId="164" fontId="16" fillId="4" borderId="1" applyAlignment="1" pivotButton="0" quotePrefix="0" xfId="0">
      <alignment horizontal="center" vertical="center" wrapText="1"/>
    </xf>
    <xf numFmtId="3" fontId="16" fillId="4" borderId="1" applyAlignment="1" pivotButton="0" quotePrefix="0" xfId="0">
      <alignment horizontal="center" vertical="center" wrapText="1"/>
    </xf>
    <xf numFmtId="9" fontId="18" fillId="4" borderId="1" applyAlignment="1" pivotButton="0" quotePrefix="0" xfId="0">
      <alignment wrapText="1"/>
    </xf>
    <xf numFmtId="0" fontId="16" fillId="4" borderId="6" applyAlignment="1" pivotButton="0" quotePrefix="0" xfId="0">
      <alignment vertical="center" wrapText="1"/>
    </xf>
    <xf numFmtId="0" fontId="20" fillId="4" borderId="1" applyAlignment="1" pivotButton="0" quotePrefix="0" xfId="0">
      <alignment vertical="center" wrapText="1"/>
    </xf>
    <xf numFmtId="0" fontId="6" fillId="3" borderId="1" applyAlignment="1" pivotButton="0" quotePrefix="0" xfId="0">
      <alignment horizontal="center" vertical="center" wrapText="1"/>
    </xf>
    <xf numFmtId="0" fontId="3" fillId="3" borderId="1" applyAlignment="1" pivotButton="0" quotePrefix="0" xfId="1">
      <alignment vertical="center" wrapText="1"/>
    </xf>
    <xf numFmtId="3" fontId="6" fillId="3" borderId="1" applyAlignment="1" pivotButton="0" quotePrefix="0" xfId="0">
      <alignment horizontal="right" vertical="center" wrapText="1"/>
    </xf>
    <xf numFmtId="0" fontId="0" fillId="3" borderId="1" applyAlignment="1" pivotButton="0" quotePrefix="0" xfId="0">
      <alignment vertical="center" wrapText="1"/>
    </xf>
    <xf numFmtId="9" fontId="0" fillId="3" borderId="1" applyAlignment="1" pivotButton="0" quotePrefix="0" xfId="2">
      <alignment vertical="center" wrapText="1"/>
    </xf>
    <xf numFmtId="0" fontId="0" fillId="0" borderId="1" applyAlignment="1" pivotButton="0" quotePrefix="0" xfId="0">
      <alignment vertical="center" wrapText="1"/>
    </xf>
    <xf numFmtId="0" fontId="6" fillId="0" borderId="0" applyAlignment="1" pivotButton="0" quotePrefix="0" xfId="0">
      <alignment wrapText="1"/>
    </xf>
    <xf numFmtId="0" fontId="0" fillId="0" borderId="1" applyAlignment="1" pivotButton="0" quotePrefix="0" xfId="0">
      <alignment horizontal="center" vertical="center"/>
    </xf>
    <xf numFmtId="0" fontId="0" fillId="0" borderId="3" applyAlignment="1" pivotButton="0" quotePrefix="0" xfId="0">
      <alignment horizontal="center" vertical="center"/>
    </xf>
    <xf numFmtId="0" fontId="0" fillId="0" borderId="1" applyAlignment="1" pivotButton="0" quotePrefix="0" xfId="0">
      <alignment horizontal="left" vertical="center" wrapText="1"/>
    </xf>
    <xf numFmtId="0" fontId="0" fillId="0" borderId="3" applyAlignment="1" pivotButton="0" quotePrefix="0" xfId="0">
      <alignment horizontal="left" vertical="center" wrapText="1"/>
    </xf>
    <xf numFmtId="0" fontId="3" fillId="0" borderId="1" applyAlignment="1" pivotButton="0" quotePrefix="0" xfId="1">
      <alignment horizontal="center" vertical="center" wrapText="1"/>
    </xf>
    <xf numFmtId="0" fontId="3" fillId="0" borderId="3" applyAlignment="1" pivotButton="0" quotePrefix="0" xfId="1">
      <alignment horizontal="center" vertical="center" wrapText="1"/>
    </xf>
    <xf numFmtId="164" fontId="0" fillId="0" borderId="1" applyAlignment="1" pivotButton="0" quotePrefix="0" xfId="0">
      <alignment horizontal="center" vertical="center"/>
    </xf>
    <xf numFmtId="164" fontId="0" fillId="0" borderId="3" applyAlignment="1" pivotButton="0" quotePrefix="0" xfId="0">
      <alignment horizontal="center" vertical="center"/>
    </xf>
    <xf numFmtId="0" fontId="4" fillId="0" borderId="1" applyAlignment="1" pivotButton="0" quotePrefix="0" xfId="0">
      <alignment horizontal="center" vertical="center"/>
    </xf>
    <xf numFmtId="0" fontId="4" fillId="0" borderId="3" applyAlignment="1" pivotButton="0" quotePrefix="0" xfId="0">
      <alignment horizontal="center" vertical="center"/>
    </xf>
    <xf numFmtId="0" fontId="4" fillId="0" borderId="1" applyAlignment="1" pivotButton="0" quotePrefix="0" xfId="0">
      <alignment horizontal="left" vertical="center" wrapText="1"/>
    </xf>
    <xf numFmtId="0" fontId="4" fillId="0" borderId="3" applyAlignment="1" pivotButton="0" quotePrefix="0" xfId="0">
      <alignment horizontal="left" vertical="center" wrapText="1"/>
    </xf>
    <xf numFmtId="0" fontId="3" fillId="0" borderId="1" applyAlignment="1" pivotButton="0" quotePrefix="0" xfId="1">
      <alignment horizontal="center" vertical="center" wrapText="1"/>
    </xf>
    <xf numFmtId="0" fontId="3" fillId="0" borderId="3" applyAlignment="1" pivotButton="0" quotePrefix="0" xfId="1">
      <alignment horizontal="center" vertical="center" wrapText="1"/>
    </xf>
    <xf numFmtId="164" fontId="4" fillId="0" borderId="1" applyAlignment="1" pivotButton="0" quotePrefix="0" xfId="0">
      <alignment horizontal="center" vertical="center"/>
    </xf>
    <xf numFmtId="164" fontId="4" fillId="0" borderId="3" applyAlignment="1" pivotButton="0" quotePrefix="0" xfId="0">
      <alignment horizontal="center" vertical="center"/>
    </xf>
    <xf numFmtId="0" fontId="1" fillId="0" borderId="1" applyAlignment="1" pivotButton="0" quotePrefix="0" xfId="0">
      <alignment horizontal="left" vertical="center" wrapText="1"/>
    </xf>
    <xf numFmtId="0" fontId="1" fillId="0" borderId="1" applyAlignment="1" pivotButton="0" quotePrefix="0" xfId="0">
      <alignment wrapText="1"/>
    </xf>
    <xf numFmtId="0" fontId="1" fillId="0" borderId="1" applyAlignment="1" pivotButton="0" quotePrefix="0" xfId="0">
      <alignment vertical="center" wrapText="1"/>
    </xf>
    <xf numFmtId="0" fontId="0" fillId="0" borderId="4" pivotButton="0" quotePrefix="0" xfId="0"/>
    <xf numFmtId="0" fontId="0" fillId="0" borderId="5" pivotButton="0" quotePrefix="0" xfId="0"/>
    <xf numFmtId="164" fontId="0" fillId="5" borderId="3" applyAlignment="1" pivotButton="0" quotePrefix="0" xfId="0">
      <alignment vertical="center" wrapText="1"/>
    </xf>
    <xf numFmtId="164" fontId="16" fillId="5" borderId="4" applyAlignment="1" pivotButton="0" quotePrefix="0" xfId="0">
      <alignment horizontal="center" vertical="center" wrapText="1"/>
    </xf>
    <xf numFmtId="3" fontId="6" fillId="5" borderId="1" applyAlignment="1" pivotButton="0" quotePrefix="0" xfId="0">
      <alignment horizontal="right" vertical="center" wrapText="1"/>
    </xf>
    <xf numFmtId="0" fontId="12" fillId="0" borderId="6" applyAlignment="1" pivotButton="0" quotePrefix="0" xfId="0">
      <alignment horizontal="center" vertical="center" wrapText="1"/>
    </xf>
    <xf numFmtId="0" fontId="6" fillId="5" borderId="1" applyAlignment="1" pivotButton="0" quotePrefix="0" xfId="0">
      <alignment horizontal="center" vertical="center" wrapText="1"/>
    </xf>
    <xf numFmtId="0" fontId="6" fillId="5" borderId="1" applyAlignment="1" pivotButton="0" quotePrefix="0" xfId="0">
      <alignment vertical="center" wrapText="1"/>
    </xf>
    <xf numFmtId="0" fontId="12" fillId="3" borderId="1" applyAlignment="1" pivotButton="0" quotePrefix="0" xfId="0">
      <alignment vertical="center" wrapText="1"/>
    </xf>
    <xf numFmtId="9" fontId="12" fillId="3" borderId="1" applyAlignment="1" pivotButton="0" quotePrefix="0" xfId="2">
      <alignment vertical="center" wrapText="1"/>
    </xf>
    <xf numFmtId="0" fontId="12" fillId="0" borderId="1" applyAlignment="1" pivotButton="0" quotePrefix="0" xfId="0">
      <alignment horizontal="center" vertical="center"/>
    </xf>
    <xf numFmtId="0" fontId="12" fillId="0" borderId="1" applyAlignment="1" pivotButton="0" quotePrefix="0" xfId="0">
      <alignment vertical="center"/>
    </xf>
    <xf numFmtId="0" fontId="12" fillId="0" borderId="0" pivotButton="0" quotePrefix="0" xfId="0"/>
    <xf numFmtId="0" fontId="12" fillId="0" borderId="1" applyAlignment="1" pivotButton="0" quotePrefix="0" xfId="0">
      <alignment vertical="center" wrapText="1"/>
    </xf>
    <xf numFmtId="0" fontId="21" fillId="0" borderId="0" applyAlignment="1" pivotButton="0" quotePrefix="0" xfId="0">
      <alignment vertical="top" wrapText="1"/>
    </xf>
    <xf numFmtId="0" fontId="0" fillId="0" borderId="0" applyAlignment="1" pivotButton="0" quotePrefix="0" xfId="0">
      <alignment vertical="top" wrapText="1"/>
    </xf>
  </cellXfs>
  <cellStyles count="3">
    <cellStyle name="Normal" xfId="0" builtinId="0"/>
    <cellStyle name="Hipervínculo" xfId="1" builtinId="8"/>
    <cellStyle name="Porcentaje" xfId="2" builtinId="5"/>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pen.undp.org/projects/00117647%20https:/co.pims.undp.org/project/view?id=5957" TargetMode="External" Id="rId1"/><Relationship Type="http://schemas.openxmlformats.org/officeDocument/2006/relationships/hyperlink" Target="https://open.undp.org/projects/00112038" TargetMode="External" Id="rId2"/></Relationships>
</file>

<file path=xl/worksheets/_rels/sheet2.xml.rels><Relationships xmlns="http://schemas.openxmlformats.org/package/2006/relationships"><Relationship Type="http://schemas.openxmlformats.org/officeDocument/2006/relationships/hyperlink" Target="https://open.undp.org/projects/00117647" TargetMode="External" Id="rId1"/><Relationship Type="http://schemas.openxmlformats.org/officeDocument/2006/relationships/hyperlink" Target="https://open.undp.org/projects/00112038" TargetMode="External" Id="rId2"/></Relationships>
</file>

<file path=xl/worksheets/_rels/sheet3.xml.rels><Relationships xmlns="http://schemas.openxmlformats.org/package/2006/relationships"><Relationship Type="http://schemas.openxmlformats.org/officeDocument/2006/relationships/hyperlink" Target="https://open.undp.org/projects/00117647%20https:/co.pims.undp.org/project/view?id=5957" TargetMode="External" Id="rId1"/><Relationship Type="http://schemas.openxmlformats.org/officeDocument/2006/relationships/hyperlink" Target="https://open.undp.org/projects/00112038" TargetMode="External" Id="rId2"/><Relationship Type="http://schemas.openxmlformats.org/officeDocument/2006/relationships/hyperlink" Target="https://sgp.undp.org/spacial-itemid-projects-landing-page/spacial-itemid-project-search-results/spacial-itemid-project-detailpage.html?view=projectdetail&amp;id=32045" TargetMode="External" Id="rId3"/></Relationships>
</file>

<file path=xl/worksheets/sheet1.xml><?xml version="1.0" encoding="utf-8"?>
<worksheet xmlns="http://schemas.openxmlformats.org/spreadsheetml/2006/main">
  <sheetPr>
    <outlinePr summaryBelow="1" summaryRight="1"/>
    <pageSetUpPr/>
  </sheetPr>
  <dimension ref="A1:AF27"/>
  <sheetViews>
    <sheetView workbookViewId="0">
      <pane xSplit="1" ySplit="1" topLeftCell="B2" activePane="bottomRight" state="frozen"/>
      <selection pane="bottomRight" activeCell="G2" sqref="G2"/>
      <selection pane="bottomLeft" activeCell="A1" sqref="A1"/>
      <selection pane="topRight" activeCell="A1" sqref="A1"/>
    </sheetView>
  </sheetViews>
  <sheetFormatPr baseColWidth="8" defaultRowHeight="14.45"/>
  <cols>
    <col width="30.42578125" bestFit="1" customWidth="1" min="1" max="1"/>
    <col width="32.7109375" customWidth="1" min="2" max="2"/>
    <col width="20.7109375" customWidth="1" min="3" max="3"/>
    <col width="14.7109375" bestFit="1" customWidth="1" min="4" max="4"/>
    <col width="14.7109375" customWidth="1" min="5" max="5"/>
    <col width="20.7109375" customWidth="1" min="6" max="6"/>
    <col width="12.7109375" customWidth="1" min="7" max="8"/>
    <col width="55.5703125" customWidth="1" min="9" max="9"/>
    <col width="13.5703125" customWidth="1" min="11" max="11"/>
    <col width="12.85546875" bestFit="1" customWidth="1" min="12" max="12"/>
    <col width="4.28515625" bestFit="1" customWidth="1" min="13" max="13"/>
    <col width="14.42578125" bestFit="1" customWidth="1" min="14" max="14"/>
    <col width="15.5703125" customWidth="1" min="15" max="15"/>
    <col width="26.140625" customWidth="1" min="16" max="17"/>
    <col width="18.140625" bestFit="1" customWidth="1" min="18" max="18"/>
    <col width="18.5703125" customWidth="1" min="19" max="19"/>
    <col width="19.7109375" customWidth="1" min="20" max="20"/>
    <col width="16.7109375" bestFit="1" customWidth="1" min="21" max="21"/>
  </cols>
  <sheetData>
    <row r="1" ht="29.1" customHeight="1">
      <c r="A1" s="58" t="inlineStr">
        <is>
          <t>Project ID</t>
        </is>
      </c>
      <c r="B1" s="58" t="inlineStr">
        <is>
          <t>Title</t>
        </is>
      </c>
      <c r="C1" s="58" t="inlineStr">
        <is>
          <t>Link</t>
        </is>
      </c>
      <c r="D1" s="58" t="inlineStr">
        <is>
          <t>Budget</t>
        </is>
      </c>
      <c r="E1" s="26" t="inlineStr">
        <is>
          <t>Beneficiary Category</t>
        </is>
      </c>
      <c r="F1" s="26" t="inlineStr">
        <is>
          <t>Indicator</t>
        </is>
      </c>
      <c r="G1" s="26" t="inlineStr">
        <is>
          <t>Baseline</t>
        </is>
      </c>
      <c r="H1" s="26" t="inlineStr">
        <is>
          <t>Target</t>
        </is>
      </c>
      <c r="I1" s="26" t="inlineStr">
        <is>
          <t>Notes</t>
        </is>
      </c>
      <c r="J1" s="27" t="inlineStr">
        <is>
          <t>Donors</t>
        </is>
      </c>
      <c r="K1" s="27" t="inlineStr">
        <is>
          <t>Gender (% female)</t>
        </is>
      </c>
      <c r="L1" s="74" t="inlineStr">
        <is>
          <t>VF or Non-VF</t>
        </is>
      </c>
      <c r="M1" s="75" t="inlineStr">
        <is>
          <t>Tag</t>
        </is>
      </c>
      <c r="N1" s="74" t="inlineStr">
        <is>
          <t>SEH Taxonomy</t>
        </is>
      </c>
      <c r="O1" s="74" t="inlineStr">
        <is>
          <t>RISE Taxonomy</t>
        </is>
      </c>
      <c r="P1" s="75" t="inlineStr">
        <is>
          <t>Flagship</t>
        </is>
      </c>
      <c r="Q1" s="75" t="inlineStr">
        <is>
          <t>Indirect Category</t>
        </is>
      </c>
      <c r="R1" s="76" t="inlineStr">
        <is>
          <t>Indirect Taxonomy</t>
        </is>
      </c>
      <c r="S1" s="77" t="inlineStr">
        <is>
          <t>Technology</t>
        </is>
      </c>
      <c r="T1" s="76" t="inlineStr">
        <is>
          <t>Policy or Regulatory Framework</t>
        </is>
      </c>
      <c r="U1" s="77" t="inlineStr">
        <is>
          <t>Policy Population</t>
        </is>
      </c>
    </row>
    <row r="2" ht="204.75" customHeight="1">
      <c r="A2" s="60" t="inlineStr">
        <is>
          <t>5957, 117647</t>
        </is>
      </c>
      <c r="B2" s="60" t="inlineStr">
        <is>
          <t>Energy Efficiency through the Development of Low-carbon RAC Technologies in Trinidad and Tobago</t>
        </is>
      </c>
      <c r="C2" s="82" t="inlineStr">
        <is>
          <t>https://open.undp.org/projects/00117647 https://co.pims.undp.org/project/view?id=5957</t>
        </is>
      </c>
      <c r="D2" s="54" t="n">
        <v>5152392</v>
      </c>
      <c r="E2" s="81" t="inlineStr">
        <is>
          <t>Capacity Building Training</t>
        </is>
      </c>
      <c r="F2" s="16" t="inlineStr">
        <is>
          <t xml:space="preserve">Number of direct project beneficiaries disaggregated by gender as co-benefit of GEF investment during the project implementation period.  </t>
        </is>
      </c>
      <c r="G2" s="16" t="inlineStr">
        <is>
          <t>Total:    145 (100%)
Men:     100   (69%)
Women: 45   (31%)</t>
        </is>
      </c>
      <c r="H2" s="16" t="n">
        <v>250</v>
      </c>
      <c r="I2" s="16" t="inlineStr">
        <is>
          <t>Strengthening technical capacities in the formal academic sector and in the specialized technical CSO (ARIA) to promote market development of energy-efficient, low-carbon refrigeration and cooling systems, including design, assembling, installation, operation, and maintenance. This indicator is on track. The number of persons trained and in attendance at awareness sessions were collected and reported on by the Project Management Unit.  This information was de-aggregated by gender and recorded in a project beneficiaries database. The breakdown is as follows:
Total:    268 (100%)
Men:     193 (74%)
Women: 73 (25%)</t>
        </is>
      </c>
      <c r="J2" s="28" t="inlineStr">
        <is>
          <t>GEF</t>
        </is>
      </c>
      <c r="K2" s="55" t="n">
        <v>0.4</v>
      </c>
      <c r="L2" s="83" t="inlineStr">
        <is>
          <t>VF</t>
        </is>
      </c>
      <c r="M2" s="133" t="n"/>
      <c r="N2" s="79" t="inlineStr">
        <is>
          <t>Accelerating just energy transition</t>
        </is>
      </c>
      <c r="O2" s="133" t="n"/>
      <c r="P2" s="133" t="n"/>
      <c r="Q2" s="133" t="n"/>
      <c r="R2" s="133" t="n"/>
      <c r="S2" s="80" t="n"/>
      <c r="T2" s="133" t="n"/>
      <c r="U2" s="80" t="n"/>
      <c r="X2" s="53" t="inlineStr">
        <is>
          <t>VF</t>
        </is>
      </c>
      <c r="Y2" s="45" t="n"/>
      <c r="Z2" s="28" t="n"/>
      <c r="AA2" s="28" t="inlineStr">
        <is>
          <t>Accelerating just energy transition</t>
        </is>
      </c>
      <c r="AB2" s="28" t="inlineStr">
        <is>
          <t>Energy Efficiency</t>
        </is>
      </c>
      <c r="AC2" s="133" t="n"/>
      <c r="AD2" s="28" t="n"/>
      <c r="AE2" s="28" t="n"/>
      <c r="AF2" s="28" t="n"/>
    </row>
    <row r="3" ht="108" customHeight="1">
      <c r="A3" s="61" t="n"/>
      <c r="B3" s="61" t="n"/>
      <c r="C3" s="65" t="n"/>
      <c r="D3" s="63" t="n"/>
      <c r="E3" s="81" t="inlineStr">
        <is>
          <t>Capacity Building Training</t>
        </is>
      </c>
      <c r="F3" s="16" t="inlineStr">
        <is>
          <t>Number of trained professionals and technicians directly linked to the project execution to sustainable RAC technologies and the reduction of GHG emissions.</t>
        </is>
      </c>
      <c r="G3" s="16" t="n">
        <v>0</v>
      </c>
      <c r="H3" s="16" t="n">
        <v>150</v>
      </c>
      <c r="I3" s="16" t="inlineStr">
        <is>
          <t>The mid-term figure of 50 professionals met. The project is moving toward its end-of-project target of 150. This output seeks to build capacities for project investment analysis and customized financing mechanisms in the financial sector to support market change for energy efficient RAC systems strengthened</t>
        </is>
      </c>
      <c r="J3" s="28" t="inlineStr">
        <is>
          <t>GEF</t>
        </is>
      </c>
      <c r="K3" s="44" t="n"/>
      <c r="L3" s="83" t="inlineStr">
        <is>
          <t>VF</t>
        </is>
      </c>
      <c r="M3" s="133" t="n"/>
      <c r="N3" s="79" t="inlineStr">
        <is>
          <t>Accelerating just energy transition</t>
        </is>
      </c>
      <c r="O3" s="133" t="n"/>
      <c r="P3" s="133" t="n"/>
      <c r="Q3" s="133" t="n"/>
      <c r="R3" s="133" t="n"/>
      <c r="S3" s="80" t="n"/>
      <c r="T3" s="133" t="n"/>
      <c r="U3" s="80" t="n"/>
      <c r="X3" s="56" t="n"/>
      <c r="Y3" s="45" t="n"/>
      <c r="Z3" s="28" t="n"/>
      <c r="AA3" s="28" t="inlineStr">
        <is>
          <t>Accelerating just energy transition</t>
        </is>
      </c>
      <c r="AB3" s="28" t="inlineStr">
        <is>
          <t>Energy Efficiency</t>
        </is>
      </c>
      <c r="AC3" s="133" t="n"/>
      <c r="AD3" s="28" t="n"/>
      <c r="AE3" s="28" t="n"/>
      <c r="AF3" s="28" t="n"/>
    </row>
    <row r="4" ht="72.59999999999999" customHeight="1">
      <c r="A4" s="61" t="n"/>
      <c r="B4" s="61" t="n"/>
      <c r="C4" s="65" t="n"/>
      <c r="D4" s="63" t="n"/>
      <c r="E4" s="81" t="inlineStr">
        <is>
          <t>Policy or Regulatory Framework</t>
        </is>
      </c>
      <c r="F4" s="16" t="inlineStr">
        <is>
          <t xml:space="preserve">Regulations and code of practice for DCS and CCHP published by the T&amp;T Government.  </t>
        </is>
      </c>
      <c r="G4" s="16" t="n">
        <v>0</v>
      </c>
      <c r="H4" s="16" t="n">
        <v>1</v>
      </c>
      <c r="I4" s="16" t="inlineStr">
        <is>
          <t>The Refrigeration Code of Trinidad and Tobago is now in its final stages of approval and includes DCS and CCHP.  District Cooling content is also included in the Trinidad and Tobago National Cooling Strategy.</t>
        </is>
      </c>
      <c r="J4" s="28" t="inlineStr">
        <is>
          <t>GEF</t>
        </is>
      </c>
      <c r="K4" s="44" t="n"/>
      <c r="L4" s="83" t="inlineStr">
        <is>
          <t>VF</t>
        </is>
      </c>
      <c r="M4" s="133" t="n"/>
      <c r="N4" s="79" t="inlineStr">
        <is>
          <t>Accelerating just energy transition</t>
        </is>
      </c>
      <c r="O4" s="133" t="inlineStr">
        <is>
          <t>Energy Efficiency</t>
        </is>
      </c>
      <c r="P4" s="133" t="n"/>
      <c r="Q4" s="133" t="inlineStr">
        <is>
          <t>National Strategy</t>
        </is>
      </c>
      <c r="R4" s="133" t="inlineStr">
        <is>
          <t>Energy Efficiency</t>
        </is>
      </c>
      <c r="S4" s="80" t="n"/>
      <c r="T4" s="133" t="inlineStr">
        <is>
          <t>National</t>
        </is>
      </c>
      <c r="U4" s="80" t="n"/>
      <c r="X4" s="56" t="n"/>
      <c r="Y4" s="45" t="n"/>
      <c r="Z4" s="28" t="n"/>
      <c r="AA4" s="28" t="inlineStr">
        <is>
          <t>Accelerating just energy transition</t>
        </is>
      </c>
      <c r="AB4" s="28" t="inlineStr">
        <is>
          <t>Energy Efficiency</t>
        </is>
      </c>
      <c r="AC4" s="133" t="inlineStr">
        <is>
          <t>Tier 1</t>
        </is>
      </c>
      <c r="AD4" s="28" t="n"/>
      <c r="AE4" s="28" t="inlineStr">
        <is>
          <t>Incentives and Support</t>
        </is>
      </c>
      <c r="AF4" s="28" t="inlineStr">
        <is>
          <t>Energy Efficiency</t>
        </is>
      </c>
    </row>
    <row r="5" ht="158.25" customHeight="1">
      <c r="A5" s="61" t="n"/>
      <c r="B5" s="61" t="n"/>
      <c r="C5" s="65" t="n"/>
      <c r="D5" s="63" t="n"/>
      <c r="E5" s="81" t="inlineStr">
        <is>
          <t>Policy or Regulatory Framework</t>
        </is>
      </c>
      <c r="F5" s="16" t="inlineStr">
        <is>
          <t>Standards &amp; Labelling (S&amp;L) regulations for RAC technologies developed, approved and ready for enforcement by the T&amp;T Bureau of Standards (TTBS).</t>
        </is>
      </c>
      <c r="G5" s="16" t="n">
        <v>3</v>
      </c>
      <c r="H5" s="16" t="n">
        <v>5</v>
      </c>
      <c r="I5" s="16" t="inlineStr">
        <is>
          <t>This indicator is on track to being achieved. The Trinidad and Tobago Bureau of Standards (TTBS) adopted the Minimum Energy Performance Standards (MEPs) developed regionally by CARICOM Regional Organization for Standards and Quality (CROSQ).  The standards are currently voluntary and support is being provided by the project to transition them  to complusory.
- Standards Energy Labelling - Air Conditioners – Requirements (TTS/CRS 59:2021) and
- TTS/CRS 57:2021- Energy Labelling - Refrigerating Appliances – Requirements</t>
        </is>
      </c>
      <c r="J5" s="28" t="inlineStr">
        <is>
          <t>GEF</t>
        </is>
      </c>
      <c r="K5" s="44" t="n"/>
      <c r="L5" s="83" t="inlineStr">
        <is>
          <t>VF</t>
        </is>
      </c>
      <c r="M5" s="133" t="n"/>
      <c r="N5" s="79" t="inlineStr">
        <is>
          <t>Accelerating just energy transition</t>
        </is>
      </c>
      <c r="O5" s="133" t="inlineStr">
        <is>
          <t>Energy Efficiency</t>
        </is>
      </c>
      <c r="P5" s="133" t="n"/>
      <c r="Q5" s="133" t="inlineStr">
        <is>
          <t>National Strategy</t>
        </is>
      </c>
      <c r="R5" s="133" t="inlineStr">
        <is>
          <t>Energy Efficiency</t>
        </is>
      </c>
      <c r="S5" s="80" t="n"/>
      <c r="T5" s="133" t="inlineStr">
        <is>
          <t>National</t>
        </is>
      </c>
      <c r="U5" s="80" t="n"/>
      <c r="X5" s="56" t="n"/>
      <c r="Y5" s="45" t="n"/>
      <c r="Z5" s="28" t="n"/>
      <c r="AA5" s="28" t="inlineStr">
        <is>
          <t>Accelerating just energy transition</t>
        </is>
      </c>
      <c r="AB5" s="28" t="inlineStr">
        <is>
          <t>Energy Efficiency</t>
        </is>
      </c>
      <c r="AC5" s="133" t="inlineStr">
        <is>
          <t>Tier 1</t>
        </is>
      </c>
      <c r="AD5" s="28" t="n"/>
      <c r="AE5" s="28" t="inlineStr">
        <is>
          <t>Incentives and Support</t>
        </is>
      </c>
      <c r="AF5" s="28" t="inlineStr">
        <is>
          <t>Energy Efficiency</t>
        </is>
      </c>
    </row>
    <row r="6" ht="144" customHeight="1">
      <c r="A6" s="61" t="n"/>
      <c r="B6" s="61" t="n"/>
      <c r="C6" s="65" t="n"/>
      <c r="D6" s="63" t="n"/>
      <c r="E6" s="57" t="inlineStr">
        <is>
          <t>GHG Emissions Reduction</t>
        </is>
      </c>
      <c r="F6" s="50" t="inlineStr">
        <is>
          <t>(GEF Core Indicator 6.2):
Number of GHG emissions avoided over the investment period of the project (direct). tons CO2eq</t>
        </is>
      </c>
      <c r="G6" s="16" t="n">
        <v>0</v>
      </c>
      <c r="H6" s="50" t="n">
        <v>651000</v>
      </c>
      <c r="I6" s="16" t="inlineStr">
        <is>
          <t>This indicator is on track.  The CO2 emissions model implemented by the Environmental Policy and Planning Division of the Ministry of Planning and Development (MPD) was used to track the emissions savings, based on monitoring project outcomes and outputs. Import data received from the Ministry of Trade and Industry was analyzed, and annual reports were prepared. To date, the CO2 emissions avoided are reported as 292,894 tons CO2eq.  This represents emissions avoided due to refrigerant replacement.</t>
        </is>
      </c>
      <c r="J6" s="28" t="inlineStr">
        <is>
          <t>GEF</t>
        </is>
      </c>
      <c r="K6" s="44" t="n"/>
      <c r="L6" s="83" t="inlineStr">
        <is>
          <t>VF</t>
        </is>
      </c>
      <c r="M6" s="133" t="n"/>
      <c r="N6" s="79" t="inlineStr">
        <is>
          <t>Accelerating just energy transition</t>
        </is>
      </c>
      <c r="O6" s="133" t="n"/>
      <c r="P6" s="133" t="n"/>
      <c r="Q6" s="133" t="n"/>
      <c r="R6" s="133" t="n"/>
      <c r="S6" s="80" t="n"/>
      <c r="T6" s="133" t="n"/>
      <c r="U6" s="80" t="n"/>
      <c r="X6" s="56" t="n"/>
      <c r="Y6" s="45" t="n"/>
      <c r="Z6" s="28" t="n"/>
      <c r="AA6" s="28" t="inlineStr">
        <is>
          <t>Accelerating just energy transition</t>
        </is>
      </c>
      <c r="AB6" s="28" t="inlineStr">
        <is>
          <t>Energy Efficiency</t>
        </is>
      </c>
      <c r="AC6" s="133" t="n"/>
      <c r="AD6" s="28" t="n"/>
      <c r="AE6" s="28" t="n"/>
      <c r="AF6" s="28" t="n"/>
    </row>
    <row r="7" ht="78.75" customHeight="1">
      <c r="A7" s="61" t="n"/>
      <c r="B7" s="61" t="n"/>
      <c r="C7" s="65" t="n"/>
      <c r="D7" s="63" t="n"/>
      <c r="E7" s="81" t="inlineStr">
        <is>
          <t>Policy or Regulatory Framework</t>
        </is>
      </c>
      <c r="F7" s="50" t="inlineStr">
        <is>
          <t>Number of financial and market mechanisms for the development of low-carbon RAC technologies.</t>
        </is>
      </c>
      <c r="G7" s="16" t="n">
        <v>0</v>
      </c>
      <c r="H7" s="50" t="n">
        <v>2</v>
      </c>
      <c r="I7" s="16" t="inlineStr">
        <is>
          <t xml:space="preserve">This indicator is on-track.  An analysis of existing tax systems was completed, and a draft fiscal incentive report was completed to promote energy-efficient technologies for the refrigeration and air-conditioning sectors. Stakeholder consultations are in process. </t>
        </is>
      </c>
      <c r="J7" s="28" t="inlineStr">
        <is>
          <t>GEF</t>
        </is>
      </c>
      <c r="K7" s="44" t="n"/>
      <c r="L7" s="83" t="inlineStr">
        <is>
          <t>VF</t>
        </is>
      </c>
      <c r="M7" s="133" t="n"/>
      <c r="N7" s="79" t="inlineStr">
        <is>
          <t>Accelerating just energy transition</t>
        </is>
      </c>
      <c r="O7" s="133" t="inlineStr">
        <is>
          <t>Renewable Energy</t>
        </is>
      </c>
      <c r="P7" s="133" t="n"/>
      <c r="Q7" s="133" t="inlineStr">
        <is>
          <t>Carbon Pricing and Monitoring</t>
        </is>
      </c>
      <c r="R7" s="133" t="inlineStr">
        <is>
          <t>Decarbonization</t>
        </is>
      </c>
      <c r="S7" s="80" t="n"/>
      <c r="T7" s="133" t="inlineStr">
        <is>
          <t>National</t>
        </is>
      </c>
      <c r="U7" s="80" t="n"/>
      <c r="X7" s="56" t="n"/>
      <c r="Y7" s="45" t="n"/>
      <c r="Z7" s="28" t="n"/>
      <c r="AA7" s="28" t="inlineStr">
        <is>
          <t>Accelerating just energy transition</t>
        </is>
      </c>
      <c r="AB7" s="28" t="inlineStr">
        <is>
          <t>Energy Efficiency</t>
        </is>
      </c>
      <c r="AC7" s="133" t="inlineStr">
        <is>
          <t>Tier 1</t>
        </is>
      </c>
      <c r="AD7" s="28" t="n"/>
      <c r="AE7" s="28" t="inlineStr">
        <is>
          <t>Incentives and Support</t>
        </is>
      </c>
      <c r="AF7" s="28" t="inlineStr">
        <is>
          <t>Energy Efficiency</t>
        </is>
      </c>
    </row>
    <row r="8" ht="155.25" customFormat="1" customHeight="1" s="22">
      <c r="A8" s="62" t="n"/>
      <c r="B8" s="62" t="n"/>
      <c r="C8" s="66" t="n"/>
      <c r="D8" s="64" t="n"/>
      <c r="E8" s="81" t="inlineStr">
        <is>
          <t>Energy Efficiency Services</t>
        </is>
      </c>
      <c r="F8" s="51" t="inlineStr">
        <is>
          <t>(GEF Core Indicator 6.3):
Energy saved GWh (equivalent to 3.6 million mega joules).</t>
        </is>
      </c>
      <c r="G8" s="24" t="n">
        <v>0</v>
      </c>
      <c r="H8" s="24" t="n">
        <v>3600000</v>
      </c>
      <c r="I8" s="52" t="inlineStr">
        <is>
          <t xml:space="preserve">This indicator is on-track.  An analysis of imports initially done by the PMU was conducted based on imports initiated by the PMU of R-290 split units since the data was available to the project through UNDP procurement and the Trinidad and Tobago Bureau of Standards.  The project will continue to provide support to the Trinidad and Tobago Bureau of Standards (TTBS) to implement a system so as to provide additional data for this indicator and inputs for policymakers.  Additional stakeholders to engaged include the Ministry of Trade and Industry and Customs and Excise. </t>
        </is>
      </c>
      <c r="J8" s="29" t="inlineStr">
        <is>
          <t>GEF</t>
        </is>
      </c>
      <c r="K8" s="67" t="n"/>
      <c r="L8" s="83" t="inlineStr">
        <is>
          <t>VF</t>
        </is>
      </c>
      <c r="M8" s="133" t="n"/>
      <c r="N8" s="79" t="inlineStr">
        <is>
          <t>Accelerating just energy transition</t>
        </is>
      </c>
      <c r="O8" s="133" t="n"/>
      <c r="P8" s="133" t="n"/>
      <c r="Q8" s="133" t="n"/>
      <c r="R8" s="133" t="n"/>
      <c r="S8" s="80" t="n"/>
      <c r="T8" s="133" t="n"/>
      <c r="U8" s="80" t="n"/>
      <c r="X8" s="59" t="n"/>
      <c r="Y8" s="46" t="inlineStr">
        <is>
          <t>to the CO: Please estimate number of beneficiaries.</t>
        </is>
      </c>
      <c r="Z8" s="29" t="n"/>
      <c r="AA8" s="28" t="inlineStr">
        <is>
          <t>Accelerating just energy transition</t>
        </is>
      </c>
      <c r="AB8" s="28" t="inlineStr">
        <is>
          <t>Energy Efficiency</t>
        </is>
      </c>
      <c r="AC8" s="133" t="n"/>
      <c r="AD8" s="28" t="n"/>
      <c r="AE8" s="28" t="n"/>
      <c r="AF8" s="28" t="n"/>
    </row>
    <row r="9" ht="91.5" customHeight="1">
      <c r="A9" s="37" t="n">
        <v>112038</v>
      </c>
      <c r="B9" s="39" t="inlineStr">
        <is>
          <t xml:space="preserve"> Global Climate Change Alliance Plus Trinidad and Tobago  “Support to the  Implementation of Trinidad and Tobago’s Nationally Determined Contribution”</t>
        </is>
      </c>
      <c r="C9" s="42" t="inlineStr">
        <is>
          <t>https://open.undp.org/projects/00112038</t>
        </is>
      </c>
      <c r="D9" s="41" t="n">
        <v>2665440</v>
      </c>
      <c r="E9" s="81" t="inlineStr">
        <is>
          <t>Electricity Access</t>
        </is>
      </c>
      <c r="F9" s="143" t="inlineStr">
        <is>
          <t>Number of Beneficiaries receiving electricity from solar PV</t>
        </is>
      </c>
      <c r="G9" s="6" t="n">
        <v>0</v>
      </c>
      <c r="H9" s="6" t="n">
        <v>2400</v>
      </c>
      <c r="I9" s="143" t="inlineStr">
        <is>
          <t xml:space="preserve">12 sites had solar PV systems installed on their rooftops that would enable electricity from a renewable energy source to be consumed; 700 beneficiaries (direct usage) estimated to date </t>
        </is>
      </c>
      <c r="J9" s="28" t="inlineStr">
        <is>
          <t>European Commission</t>
        </is>
      </c>
      <c r="K9" s="44" t="n"/>
      <c r="L9" s="78" t="inlineStr">
        <is>
          <t>Non-VF</t>
        </is>
      </c>
      <c r="M9" s="133" t="n"/>
      <c r="N9" s="79" t="inlineStr">
        <is>
          <t>Accelerating just energy transition</t>
        </is>
      </c>
      <c r="O9" s="133" t="n"/>
      <c r="P9" s="133" t="n"/>
      <c r="Q9" s="133" t="n"/>
      <c r="R9" s="133" t="n"/>
      <c r="S9" s="80" t="n"/>
      <c r="T9" s="133" t="n"/>
      <c r="U9" s="80" t="n"/>
      <c r="X9" s="48" t="inlineStr">
        <is>
          <t>Non-VF</t>
        </is>
      </c>
      <c r="Y9" s="45" t="n"/>
      <c r="Z9" s="28" t="n"/>
      <c r="AA9" s="28" t="inlineStr">
        <is>
          <t>Accelerating just energy transition</t>
        </is>
      </c>
      <c r="AB9" s="28" t="inlineStr">
        <is>
          <t>Electricity Access</t>
        </is>
      </c>
      <c r="AC9" s="133" t="n"/>
      <c r="AD9" s="28" t="n"/>
      <c r="AE9" s="28" t="n"/>
      <c r="AF9" s="28" t="n"/>
    </row>
    <row r="10" ht="57.95" customFormat="1" customHeight="1" s="23">
      <c r="A10" s="37" t="n"/>
      <c r="B10" s="39" t="n"/>
      <c r="C10" s="42" t="n"/>
      <c r="D10" s="41" t="n"/>
      <c r="E10" s="81" t="inlineStr">
        <is>
          <t>Energy (MW added)</t>
        </is>
      </c>
      <c r="F10" s="143" t="inlineStr">
        <is>
          <t>Total number of kilowatts (kW) of renewable energy added</t>
        </is>
      </c>
      <c r="G10" s="6" t="n">
        <v>0</v>
      </c>
      <c r="H10" s="6" t="n">
        <v>0.108</v>
      </c>
      <c r="I10" s="143" t="inlineStr">
        <is>
          <t>108 kW of solar PV was added from a total of 12 installations</t>
        </is>
      </c>
      <c r="J10" s="28" t="inlineStr">
        <is>
          <t>European Commission</t>
        </is>
      </c>
      <c r="K10" s="44" t="n"/>
      <c r="L10" s="78" t="inlineStr">
        <is>
          <t>Non-VF</t>
        </is>
      </c>
      <c r="M10" s="133" t="n"/>
      <c r="N10" s="79" t="inlineStr">
        <is>
          <t>Accelerating just energy transition</t>
        </is>
      </c>
      <c r="O10" s="133" t="n"/>
      <c r="P10" s="133" t="n"/>
      <c r="Q10" s="133" t="n"/>
      <c r="R10" s="133" t="n"/>
      <c r="S10" s="80" t="n"/>
      <c r="T10" s="133" t="n"/>
      <c r="U10" s="80" t="n"/>
      <c r="X10" s="48" t="n"/>
      <c r="Y10" s="68" t="n"/>
      <c r="Z10" s="69" t="n"/>
      <c r="AA10" s="28" t="inlineStr">
        <is>
          <t>Close the gap on energy access</t>
        </is>
      </c>
      <c r="AB10" s="28" t="inlineStr">
        <is>
          <t>Renewable Energy</t>
        </is>
      </c>
      <c r="AC10" s="133" t="n"/>
      <c r="AD10" s="28" t="n"/>
      <c r="AE10" s="28" t="n"/>
      <c r="AF10" s="28" t="n"/>
    </row>
    <row r="11" ht="72.59999999999999" customHeight="1">
      <c r="A11" s="38" t="n"/>
      <c r="B11" s="40" t="n"/>
      <c r="C11" s="43" t="n"/>
      <c r="D11" s="36" t="n"/>
      <c r="E11" s="81" t="inlineStr">
        <is>
          <t>Capacity Building Training</t>
        </is>
      </c>
      <c r="F11" s="143" t="inlineStr">
        <is>
          <t>Number of site beneficiaries training in operation and maintenance of solar PV systems</t>
        </is>
      </c>
      <c r="G11" s="6" t="n">
        <v>0</v>
      </c>
      <c r="H11" s="6" t="n">
        <v>36</v>
      </c>
      <c r="I11" s="143" t="inlineStr">
        <is>
          <t>33 persons thus far were trained in O&amp;M of the solar PV systems</t>
        </is>
      </c>
      <c r="J11" s="28" t="inlineStr">
        <is>
          <t>European Commission</t>
        </is>
      </c>
      <c r="K11" s="44" t="n"/>
      <c r="L11" s="78" t="inlineStr">
        <is>
          <t>Non-VF</t>
        </is>
      </c>
      <c r="M11" s="133" t="n"/>
      <c r="N11" s="79" t="inlineStr">
        <is>
          <t>Accelerating just energy transition</t>
        </is>
      </c>
      <c r="O11" s="133" t="n"/>
      <c r="P11" s="133" t="n"/>
      <c r="Q11" s="133" t="n"/>
      <c r="R11" s="133" t="n"/>
      <c r="S11" s="80" t="n"/>
      <c r="T11" s="133" t="n"/>
      <c r="U11" s="80" t="n"/>
      <c r="X11" s="49" t="n"/>
      <c r="Y11" s="45" t="n"/>
      <c r="Z11" s="28" t="n"/>
      <c r="AA11" s="28" t="inlineStr">
        <is>
          <t>Accelerating just energy transition</t>
        </is>
      </c>
      <c r="AB11" s="28" t="inlineStr">
        <is>
          <t>Energy Efficiency</t>
        </is>
      </c>
      <c r="AC11" s="133" t="n"/>
      <c r="AD11" s="28" t="n"/>
      <c r="AE11" s="28" t="n"/>
      <c r="AF11" s="28" t="n"/>
    </row>
    <row r="12" hidden="1" ht="76.5" customHeight="1">
      <c r="A12" s="33" t="n"/>
      <c r="B12" s="34" t="n"/>
      <c r="C12" s="35" t="n"/>
      <c r="D12" s="36" t="n"/>
      <c r="E12" s="81" t="n"/>
      <c r="F12" s="143" t="inlineStr">
        <is>
          <t>Number of Reports submitted to the government Ministry related to Policy development</t>
        </is>
      </c>
      <c r="G12" s="6" t="n">
        <v>0</v>
      </c>
      <c r="H12" s="6" t="n">
        <v>5</v>
      </c>
      <c r="I12" s="143" t="inlineStr">
        <is>
          <t>4 reports were developed thus far for the government</t>
        </is>
      </c>
      <c r="J12" s="28" t="n"/>
      <c r="K12" s="28" t="n"/>
      <c r="L12" s="78" t="inlineStr">
        <is>
          <t>Non-VF</t>
        </is>
      </c>
      <c r="M12" s="133" t="n"/>
      <c r="N12" s="79" t="inlineStr">
        <is>
          <t>Accelerating just energy transition</t>
        </is>
      </c>
      <c r="O12" s="133" t="n"/>
      <c r="P12" s="133" t="n"/>
      <c r="Q12" s="133" t="n"/>
      <c r="R12" s="133" t="n"/>
      <c r="S12" s="80" t="n"/>
      <c r="T12" s="133" t="n"/>
      <c r="U12" s="80" t="n"/>
      <c r="X12" s="47" t="n"/>
      <c r="Y12" s="28" t="n"/>
      <c r="Z12" s="28" t="n"/>
      <c r="AA12" s="28" t="inlineStr">
        <is>
          <t>Accelerating just energy transition</t>
        </is>
      </c>
      <c r="AB12" s="28" t="inlineStr">
        <is>
          <t>Energy Efficiency</t>
        </is>
      </c>
      <c r="AC12" s="133" t="n"/>
      <c r="AD12" s="28" t="n"/>
      <c r="AE12" s="28" t="n"/>
      <c r="AF12" s="28" t="n"/>
    </row>
    <row r="13" hidden="1" ht="76.5" customHeight="1">
      <c r="A13" s="6" t="n"/>
      <c r="B13" s="143" t="n"/>
      <c r="C13" s="145" t="n"/>
      <c r="D13" s="32" t="n"/>
      <c r="E13" s="81" t="n"/>
      <c r="F13" s="143" t="inlineStr">
        <is>
          <t>Number of people reached with messages on the benefits of using RE and EE</t>
        </is>
      </c>
      <c r="G13" s="6" t="n">
        <v>0</v>
      </c>
      <c r="H13" s="6" t="n">
        <v>100000</v>
      </c>
      <c r="I13" s="143" t="inlineStr">
        <is>
          <t>20,000 persons were reached thus far with messages related to RE &amp; EE</t>
        </is>
      </c>
      <c r="J13" s="28" t="n"/>
      <c r="K13" s="28" t="n"/>
      <c r="L13" s="78" t="inlineStr">
        <is>
          <t>Non-VF</t>
        </is>
      </c>
      <c r="M13" s="133" t="n"/>
      <c r="N13" s="79" t="inlineStr">
        <is>
          <t>Accelerating just energy transition</t>
        </is>
      </c>
      <c r="O13" s="133" t="n"/>
      <c r="P13" s="133" t="n"/>
      <c r="Q13" s="133" t="n"/>
      <c r="R13" s="133" t="n"/>
      <c r="S13" s="80" t="n"/>
      <c r="T13" s="133" t="n"/>
      <c r="U13" s="80" t="n"/>
      <c r="X13" s="28" t="n"/>
      <c r="Y13" s="28" t="n"/>
      <c r="Z13" s="28" t="n"/>
      <c r="AA13" s="28" t="inlineStr">
        <is>
          <t>Accelerating just energy transition</t>
        </is>
      </c>
      <c r="AB13" s="28" t="inlineStr">
        <is>
          <t>Energy Efficiency</t>
        </is>
      </c>
      <c r="AC13" s="133" t="n"/>
      <c r="AD13" s="28" t="n"/>
      <c r="AE13" s="28" t="n"/>
      <c r="AF13" s="28" t="n"/>
    </row>
    <row r="14" ht="99.95" customFormat="1" customHeight="1" s="23">
      <c r="A14" s="21" t="inlineStr">
        <is>
          <t>TRI/SGP/OP7/YI/CORE/CC/22/09</t>
        </is>
      </c>
      <c r="B14" s="24" t="inlineStr">
        <is>
          <t>Improving community climate resilience in Matelot by implementing green solutions to address its electricity, water and food limitations.</t>
        </is>
      </c>
      <c r="C14" s="24" t="n"/>
      <c r="D14" s="70" t="n">
        <v>26000</v>
      </c>
      <c r="E14" s="81" t="n"/>
      <c r="F14" s="24" t="inlineStr">
        <is>
          <t>No. of activities supported by installation</t>
        </is>
      </c>
      <c r="G14" s="21" t="n">
        <v>0</v>
      </c>
      <c r="H14" s="21" t="n">
        <v>2</v>
      </c>
      <c r="I14" s="24" t="inlineStr">
        <is>
          <t xml:space="preserve">This projects aims to install a solar system at the Matelot Police Youth Club to address the electricity shortages in the area. The system will support the club's computer lab and hydroponics systems. </t>
        </is>
      </c>
      <c r="J14" s="31" t="n"/>
      <c r="K14" s="31" t="n"/>
      <c r="L14" s="78" t="inlineStr">
        <is>
          <t>Non-VF</t>
        </is>
      </c>
      <c r="M14" s="133" t="n"/>
      <c r="N14" s="79" t="inlineStr">
        <is>
          <t>Accelerating just energy transition</t>
        </is>
      </c>
      <c r="O14" s="133" t="n"/>
      <c r="P14" s="133" t="n"/>
      <c r="Q14" s="133" t="n"/>
      <c r="R14" s="133" t="n"/>
      <c r="S14" s="80" t="n"/>
      <c r="T14" s="133" t="n"/>
      <c r="U14" s="80" t="n"/>
      <c r="X14" s="31" t="n"/>
      <c r="Y14" s="30" t="inlineStr">
        <is>
          <t>to the CO: Please estimate number of beneficiaries.</t>
        </is>
      </c>
      <c r="Z14" s="31" t="n"/>
      <c r="AA14" s="28" t="inlineStr">
        <is>
          <t>Accelerating just energy transition</t>
        </is>
      </c>
      <c r="AB14" s="28" t="inlineStr">
        <is>
          <t>Electricity Access</t>
        </is>
      </c>
      <c r="AC14" s="133" t="n"/>
      <c r="AD14" s="28" t="n"/>
      <c r="AE14" s="28" t="n"/>
      <c r="AF14" s="28" t="n"/>
    </row>
    <row r="21">
      <c r="C21" s="5" t="n"/>
    </row>
    <row r="22">
      <c r="C22" s="5" t="n"/>
    </row>
    <row r="23">
      <c r="C23" s="5" t="n"/>
    </row>
    <row r="24">
      <c r="C24" s="5" t="n"/>
    </row>
    <row r="25">
      <c r="C25" s="5" t="n"/>
    </row>
    <row r="26">
      <c r="C26" s="5" t="n"/>
    </row>
    <row r="27">
      <c r="C27" s="5" t="n"/>
    </row>
  </sheetData>
  <dataValidations count="12">
    <dataValidation sqref="P15:Q16 AB2:AB14" showDropDown="0" showInputMessage="1" showErrorMessage="1" allowBlank="1" type="list">
      <formula1>"Electricity Access, Energy Efficiency, Clean Cooking, Renewable Energy"</formula1>
    </dataValidation>
    <dataValidation sqref="P2:P14 AD2:AD14" showDropDown="0" showInputMessage="1" showErrorMessage="1" allowBlank="1" type="list">
      <formula1>"AMP, PUDC, Solar4Health, Action Opportunities, Italy UNDP Energy Partnership"</formula1>
    </dataValidation>
    <dataValidation sqref="AC2:AC14" showDropDown="0" showInputMessage="1" showErrorMessage="1" allowBlank="1" type="list">
      <formula1>"Tier 1, Tier 2, Tier 3"</formula1>
    </dataValidation>
    <dataValidation sqref="N2:N14 O15:O16 AA2:AA14" showDropDown="0" showInputMessage="1" showErrorMessage="1" allowBlank="1" type="list">
      <formula1>"Accelerating just energy transition, Close the gap on energy access, Scale up energy finance"</formula1>
    </dataValidation>
    <dataValidation sqref="Q2:Q14 S15:S25 AE2:AE14"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T15:T28 AF2:AF14" showDropDown="0" showInputMessage="1" showErrorMessage="1" allowBlank="1" type="list">
      <formula1>"Electricity Access, Energy Efficiency, Renewable EnergyEnergy Infrastructure,   Transport, Digital &amp; Data, Clean Cooking, Decarbonization, Hydrogen, Off-Grid, On-Grid"</formula1>
    </dataValidation>
    <dataValidation sqref="O2:O14" showDropDown="0" showInputMessage="1" showErrorMessage="1" allowBlank="1" type="list">
      <formula1>"Electricity Access, Energy Efficiency, Clean Cooking, Renewable Energy, Overall"</formula1>
    </dataValidation>
    <dataValidation sqref="M2:M14" showDropDown="0" showInputMessage="1" showErrorMessage="1" allowBlank="1" type="list">
      <formula1>"Finance, Gender, Efficiency, Just, Health"</formula1>
    </dataValidation>
    <dataValidation sqref="T2:T14" showDropDown="0" showInputMessage="1" showErrorMessage="1" allowBlank="1" type="list">
      <formula1>"National, Regional, City, Community"</formula1>
    </dataValidation>
    <dataValidation sqref="L2:L14" showDropDown="0" showInputMessage="1" showErrorMessage="1" allowBlank="1" type="list">
      <formula1>"Non-VF, VF"</formula1>
    </dataValidation>
    <dataValidation sqref="R2:R14"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14" showDropDown="0" showInputMessage="1" showErrorMessage="1" allowBlank="1" type="list">
      <formula1>"Solar, Wind, Bioenergy, Hydro, Geothermal, Waste, Some Sources, Other, Unknown"</formula1>
    </dataValidation>
  </dataValidations>
  <hyperlinks>
    <hyperlink xmlns:r="http://schemas.openxmlformats.org/officeDocument/2006/relationships" ref="C2" r:id="rId1"/>
    <hyperlink xmlns:r="http://schemas.openxmlformats.org/officeDocument/2006/relationships" ref="C9" r:id="rId2"/>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27"/>
  <sheetViews>
    <sheetView topLeftCell="B1" workbookViewId="0">
      <selection activeCell="J1" sqref="J1"/>
    </sheetView>
  </sheetViews>
  <sheetFormatPr baseColWidth="8" defaultRowHeight="14.45"/>
  <cols>
    <col width="30.42578125" bestFit="1" customWidth="1" min="1" max="1"/>
    <col width="20.7109375" customWidth="1" min="2" max="3"/>
    <col width="14.7109375" bestFit="1" customWidth="1" min="4" max="4"/>
    <col width="20.7109375" customWidth="1" min="5" max="6"/>
    <col width="12.7109375" customWidth="1" min="7" max="8"/>
    <col width="32.7109375" customWidth="1" min="9" max="9"/>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20" t="inlineStr">
        <is>
          <t>Donors</t>
        </is>
      </c>
    </row>
    <row r="2" ht="290.1" customHeight="1">
      <c r="A2" s="133" t="inlineStr">
        <is>
          <t>5957/ 117647</t>
        </is>
      </c>
      <c r="B2" s="135" t="inlineStr">
        <is>
          <t>Energy Efficiency through the Development of Low-carbon RAC Technologies in Trinidad and Tobago</t>
        </is>
      </c>
      <c r="C2" s="145" t="inlineStr">
        <is>
          <t>https://open.undp.org/projects/00117647</t>
        </is>
      </c>
      <c r="D2" s="139" t="n">
        <v>5152392</v>
      </c>
      <c r="E2" s="2" t="inlineStr">
        <is>
          <t>Capacity Training</t>
        </is>
      </c>
      <c r="F2" s="143" t="inlineStr">
        <is>
          <t xml:space="preserve">Number of direct project beneficiaries disaggregated by gender as co-benefit of GEF investment during the project implementation period.  </t>
        </is>
      </c>
      <c r="G2" s="143" t="inlineStr">
        <is>
          <t>Total:    145 (100%)
Men:     100   (69%)
Women: 45   (31%)</t>
        </is>
      </c>
      <c r="H2" s="143" t="inlineStr">
        <is>
          <t>Total:    250 (100%)
Men:   150    (60%)
Women: 100 (40%)</t>
        </is>
      </c>
      <c r="I2" s="143" t="inlineStr">
        <is>
          <t>Strengthening technical capacities in the formal academic sector and in the specialized technical CSO (ARIA) to promote market development of energy-efficient, low-carbon refrigeration and cooling systems, including design, assembling, installation, operation, and maintenance. This indicator is on track. The number of persons trained and in attendance at awareness sessions were collected and reported on by the Project Management Unit.  This information was de-aggregated by gender and recorded in a project beneficiaries database. The breakdown is as follows:
Total:    268 (100%)
Men:     193 (74%)
Women: 73 (25%)</t>
        </is>
      </c>
    </row>
    <row r="3" ht="144.95" customHeight="1">
      <c r="A3" s="152" t="n"/>
      <c r="B3" s="152" t="n"/>
      <c r="C3" s="152" t="n"/>
      <c r="D3" s="152" t="n"/>
      <c r="E3" s="2" t="inlineStr">
        <is>
          <t>Entrepreneurship Training</t>
        </is>
      </c>
      <c r="F3" s="143" t="inlineStr">
        <is>
          <t>Number of trained professionals and technicians directly linked to the project execution to sustainable RAC technologies and the reduction of GHG emissions.</t>
        </is>
      </c>
      <c r="G3" s="141" t="n">
        <v>0</v>
      </c>
      <c r="H3" s="141" t="n">
        <v>150</v>
      </c>
      <c r="I3" s="143" t="inlineStr">
        <is>
          <t>The mid-term figure of 50 professionals met. The project is moving toward its end-of-project target of 150. This output seeks to build capacities for project investment analysis and customized financing mechanisms in the financial sector to support market change for energy efficient RAC systems strengthened</t>
        </is>
      </c>
    </row>
    <row r="4" ht="87" customHeight="1">
      <c r="A4" s="152" t="n"/>
      <c r="B4" s="152" t="n"/>
      <c r="C4" s="152" t="n"/>
      <c r="D4" s="152" t="n"/>
      <c r="E4" s="2" t="inlineStr">
        <is>
          <t>Policy or Regulatory Framework</t>
        </is>
      </c>
      <c r="F4" s="143" t="inlineStr">
        <is>
          <t xml:space="preserve">Regulations and code of practice for DCS and CCHP published by the T&amp;T Government.  </t>
        </is>
      </c>
      <c r="G4" s="141" t="n">
        <v>0</v>
      </c>
      <c r="H4" s="6" t="n">
        <v>1</v>
      </c>
      <c r="I4" s="143" t="inlineStr">
        <is>
          <t>The Refrigeration Code of Trinidad and Tobago is now in its final stages of approval and includes DCS and CCHP.  District Cooling content is also included in the Trinidad and Tobago National Cooling Strategy.</t>
        </is>
      </c>
    </row>
    <row r="5" ht="246.6" customHeight="1">
      <c r="A5" s="152" t="n"/>
      <c r="B5" s="152" t="n"/>
      <c r="C5" s="152" t="n"/>
      <c r="D5" s="152" t="n"/>
      <c r="E5" s="2" t="inlineStr">
        <is>
          <t>Policy or Regulatory Framework</t>
        </is>
      </c>
      <c r="F5" s="143" t="inlineStr">
        <is>
          <t>Standards &amp; Labelling (S&amp;L) regulations for RAC technologies developed, approved and ready for enforcement by the T&amp;T Bureau of Standards (TTBS).</t>
        </is>
      </c>
      <c r="G5" s="141" t="n">
        <v>3</v>
      </c>
      <c r="H5" s="6" t="n">
        <v>5</v>
      </c>
      <c r="I5" s="143" t="inlineStr">
        <is>
          <t>This indicator is on track to being achieved. The Trinidad and Tobago Bureau of Standards (TTBS) adopted the Minimum Energy Performance Standards (MEPs) developed regionally by CARICOM Regional Organization for Standards and Quality (CROSQ).  The standards are currently voluntary and support is being provided by the project to transition them  to complusory.
- Standards Energy Labelling - Air Conditioners – Requirements (TTS/CRS 59:2021) and
- TTS/CRS 57:2021- Energy Labelling - Refrigerating Appliances – Requirements</t>
        </is>
      </c>
    </row>
    <row r="6" ht="217.5" customHeight="1">
      <c r="A6" s="152" t="n"/>
      <c r="B6" s="152" t="n"/>
      <c r="C6" s="152" t="n"/>
      <c r="D6" s="152" t="n"/>
      <c r="E6" s="2" t="inlineStr">
        <is>
          <t>Other Energy Services</t>
        </is>
      </c>
      <c r="F6" s="4" t="inlineStr">
        <is>
          <t>(GEF Core Indicator 6.2):
Number of GHG emissions avoided over the investment period of the project (direct).</t>
        </is>
      </c>
      <c r="G6" s="141" t="n">
        <v>0</v>
      </c>
      <c r="H6" s="9" t="inlineStr">
        <is>
          <t>651,000 CO2eq</t>
        </is>
      </c>
      <c r="I6" s="143" t="inlineStr">
        <is>
          <t>This indicator is on track.  The CO2 emissions model implemented by the Environmental Policy and Planning Division of the Ministry of Planning and Development (MPD) was used to track the emissions savings, based on monitoring project outcomes and outputs. Import data received from the Ministry of Trade and Industry was analyzed, and annual reports were prepared. To date, the CO2 emissions avoided are reported as 292,894 tons CO2eq.  This represents emissions avoided due to refrigerant replacement.</t>
        </is>
      </c>
    </row>
    <row r="7" ht="116.1" customHeight="1">
      <c r="A7" s="152" t="n"/>
      <c r="B7" s="152" t="n"/>
      <c r="C7" s="152" t="n"/>
      <c r="D7" s="152" t="n"/>
      <c r="E7" s="143" t="inlineStr">
        <is>
          <t>Policy or Regulatory Framework</t>
        </is>
      </c>
      <c r="F7" s="4" t="inlineStr">
        <is>
          <t>Number of financial and market mechanisms for the development of low-carbon RAC technologies.</t>
        </is>
      </c>
      <c r="G7" s="141" t="n">
        <v>0</v>
      </c>
      <c r="H7" s="8" t="n">
        <v>2</v>
      </c>
      <c r="I7" s="143" t="inlineStr">
        <is>
          <t xml:space="preserve">This indicator is on-track.  An analysis of existing tax systems was completed, and a draft fiscal incentive report was completed to promote energy-efficient technologies for the refrigeration and air-conditioning sectors. Stakeholder consultations are in process. </t>
        </is>
      </c>
    </row>
    <row r="8" ht="246.6" customHeight="1">
      <c r="A8" s="153" t="n"/>
      <c r="B8" s="153" t="n"/>
      <c r="C8" s="153" t="n"/>
      <c r="D8" s="153" t="n"/>
      <c r="E8" s="10" t="inlineStr">
        <is>
          <t>Other Energy Services</t>
        </is>
      </c>
      <c r="F8" s="11" t="inlineStr">
        <is>
          <t>(GEF Core Indicator 6.3):
Energy saved GWh (equivalent to 3.6 million mega joules).</t>
        </is>
      </c>
      <c r="G8" s="142" t="n">
        <v>0</v>
      </c>
      <c r="H8" s="13" t="n">
        <v>22</v>
      </c>
      <c r="I8" s="14" t="inlineStr">
        <is>
          <t xml:space="preserve">This indicator is on-track.  An analysis of imports initially done by the PMU was conducted based on imports initiated by the PMU of R-290 split units since the data was available to the project through UNDP procurement and the Trinidad and Tobago Bureau of Standards.  The project will continue to provide support to the Trinidad and Tobago Bureau of Standards (TTBS) to implement a system so as to provide additional data for this indicator and inputs for policymakers.  Additional stakeholders to engaged include the Ministry of Trade and Industry and Customs and Excise. </t>
        </is>
      </c>
    </row>
    <row r="9" ht="91.5" customHeight="1">
      <c r="A9" s="141" t="n">
        <v>110728</v>
      </c>
      <c r="B9" s="143" t="inlineStr">
        <is>
          <t xml:space="preserve"> Global Climate Change Alliance Plus Trinidad and Tobago  “Support to the  Implementation of Trinidad and Tobago’s Nationally Determined Contribution”</t>
        </is>
      </c>
      <c r="C9" s="145" t="inlineStr">
        <is>
          <t>https://open.undp.org/projects/00112038</t>
        </is>
      </c>
      <c r="D9" s="147" t="n">
        <v>2665440</v>
      </c>
      <c r="E9" s="2" t="inlineStr">
        <is>
          <t>Electricity Access</t>
        </is>
      </c>
      <c r="F9" s="143" t="inlineStr">
        <is>
          <t>Number of Beneficiaries receiving electricity from solar PV</t>
        </is>
      </c>
      <c r="G9" s="6" t="n">
        <v>0</v>
      </c>
      <c r="H9" s="6" t="inlineStr">
        <is>
          <t xml:space="preserve">12 sites; 2400 beneficiaries </t>
        </is>
      </c>
      <c r="I9" s="143" t="inlineStr">
        <is>
          <t xml:space="preserve">12 sites had solar PV systems installed on their rooftops that would enable electricity from a renewable energy source to be consumed; 700 beneficiaries (direct usage) estimated to date </t>
        </is>
      </c>
    </row>
    <row r="10" ht="57.95" customHeight="1">
      <c r="A10" s="152" t="n"/>
      <c r="B10" s="152" t="n"/>
      <c r="C10" s="152" t="n"/>
      <c r="D10" s="152" t="n"/>
      <c r="E10" s="2" t="inlineStr">
        <is>
          <t>Energy (MW added)</t>
        </is>
      </c>
      <c r="F10" s="143" t="inlineStr">
        <is>
          <t>Total number of kilowatts (kW) of renewable energy added</t>
        </is>
      </c>
      <c r="G10" s="6" t="n">
        <v>0</v>
      </c>
      <c r="H10" s="6" t="inlineStr">
        <is>
          <t>80-180</t>
        </is>
      </c>
      <c r="I10" s="143" t="inlineStr">
        <is>
          <t>108 kW of solar PV was added from a total of 12 installations</t>
        </is>
      </c>
    </row>
    <row r="11" ht="72.59999999999999" customHeight="1">
      <c r="A11" s="152" t="n"/>
      <c r="B11" s="152" t="n"/>
      <c r="C11" s="152" t="n"/>
      <c r="D11" s="152" t="n"/>
      <c r="E11" s="2" t="inlineStr">
        <is>
          <t>Capacity Training</t>
        </is>
      </c>
      <c r="F11" s="143" t="inlineStr">
        <is>
          <t>Number of site beneficiaries training in operation and maintenance of solar PV systems</t>
        </is>
      </c>
      <c r="G11" s="6" t="n">
        <v>0</v>
      </c>
      <c r="H11" s="6" t="n">
        <v>36</v>
      </c>
      <c r="I11" s="143" t="inlineStr">
        <is>
          <t>33 persons thus far were trained in O&amp;M of the solar PV systems</t>
        </is>
      </c>
    </row>
    <row r="12" ht="72.59999999999999" customHeight="1">
      <c r="A12" s="152" t="n"/>
      <c r="B12" s="152" t="n"/>
      <c r="C12" s="152" t="n"/>
      <c r="D12" s="152" t="n"/>
      <c r="E12" s="2" t="inlineStr">
        <is>
          <t>Policy or Regulatory Framework</t>
        </is>
      </c>
      <c r="F12" s="143" t="inlineStr">
        <is>
          <t>Number of Reports submitted to the government Ministry related to Policy development</t>
        </is>
      </c>
      <c r="G12" s="6" t="n">
        <v>0</v>
      </c>
      <c r="H12" s="6" t="n">
        <v>5</v>
      </c>
      <c r="I12" s="143" t="inlineStr">
        <is>
          <t>4 reports were developed thus far for the government</t>
        </is>
      </c>
    </row>
    <row r="13" ht="57.95" customHeight="1">
      <c r="A13" s="153" t="n"/>
      <c r="B13" s="153" t="n"/>
      <c r="C13" s="153" t="n"/>
      <c r="D13" s="153" t="n"/>
      <c r="E13" s="10" t="inlineStr">
        <is>
          <t>Campaign Participant</t>
        </is>
      </c>
      <c r="F13" s="144" t="inlineStr">
        <is>
          <t>Number of people reached with messages on the benefits of using RE and EE</t>
        </is>
      </c>
      <c r="G13" s="13" t="n">
        <v>0</v>
      </c>
      <c r="H13" s="142" t="n">
        <v>100000</v>
      </c>
      <c r="I13" s="144" t="inlineStr">
        <is>
          <t>20,000 persons were reached thus far with messages related to RE &amp; EE</t>
        </is>
      </c>
    </row>
    <row r="14" ht="101.45" customHeight="1">
      <c r="A14" s="141" t="inlineStr">
        <is>
          <t>TRI/SGP/OP7/YI/CORE/CC/22/09</t>
        </is>
      </c>
      <c r="B14" s="16" t="inlineStr">
        <is>
          <t>Improving community climate resilience in Matelot by implementing green solutions to address its electricity, water and food limitations.</t>
        </is>
      </c>
      <c r="C14" s="17" t="n"/>
      <c r="D14" s="18" t="inlineStr">
        <is>
          <t>26,000USD</t>
        </is>
      </c>
      <c r="E14" s="17" t="inlineStr">
        <is>
          <t>Electricity Access</t>
        </is>
      </c>
      <c r="F14" s="16" t="inlineStr">
        <is>
          <t>No. of activities supported by installation</t>
        </is>
      </c>
      <c r="G14" s="141" t="n">
        <v>0</v>
      </c>
      <c r="H14" s="141" t="n">
        <v>2</v>
      </c>
      <c r="I14" s="16" t="inlineStr">
        <is>
          <t xml:space="preserve">This projects aims to install a solar system at the Matelot Police Youth Club to address the electricity shortages in the area. The system will support the club's computer lab and hydroponics systems. </t>
        </is>
      </c>
      <c r="J14" s="19" t="n"/>
    </row>
    <row r="21">
      <c r="C21" s="5" t="n"/>
    </row>
    <row r="22">
      <c r="C22" s="5" t="n"/>
    </row>
    <row r="23">
      <c r="C23" s="5" t="n"/>
    </row>
    <row r="24">
      <c r="C24" s="5" t="n"/>
    </row>
    <row r="25">
      <c r="C25" s="5" t="n"/>
    </row>
    <row r="26">
      <c r="C26" s="5" t="n"/>
    </row>
    <row r="27">
      <c r="C27" s="5" t="n"/>
    </row>
  </sheetData>
  <mergeCells count="8">
    <mergeCell ref="C9:C13"/>
    <mergeCell ref="D9:D13"/>
    <mergeCell ref="A9:A13"/>
    <mergeCell ref="B9:B13"/>
    <mergeCell ref="B2:B8"/>
    <mergeCell ref="A2:A8"/>
    <mergeCell ref="D2:D8"/>
    <mergeCell ref="C2:C8"/>
  </mergeCells>
  <hyperlinks>
    <hyperlink xmlns:r="http://schemas.openxmlformats.org/officeDocument/2006/relationships" ref="C2" r:id="rId1"/>
    <hyperlink xmlns:r="http://schemas.openxmlformats.org/officeDocument/2006/relationships" ref="C9" r:id="rId2"/>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I32"/>
  <sheetViews>
    <sheetView topLeftCell="E18" workbookViewId="0">
      <selection activeCell="A13" sqref="A13:XFD13"/>
    </sheetView>
  </sheetViews>
  <sheetFormatPr baseColWidth="8" defaultRowHeight="15"/>
  <cols>
    <col width="12.7109375" customWidth="1" min="1" max="1"/>
    <col width="32.7109375" customWidth="1" min="2" max="2"/>
    <col width="20.7109375" customWidth="1" min="3" max="3"/>
    <col width="17" bestFit="1" customWidth="1" min="4" max="4"/>
    <col width="17" customWidth="1" min="5" max="5"/>
    <col width="17" customWidth="1" min="6" max="6"/>
    <col width="17" customWidth="1" min="7" max="8"/>
    <col width="17" customWidth="1" min="8" max="8"/>
    <col width="55.42578125" customWidth="1" min="9" max="9"/>
    <col width="11" customWidth="1" min="10" max="10"/>
    <col width="13.42578125" customWidth="1" min="11" max="11"/>
    <col width="12.7109375" bestFit="1" customWidth="1" min="12" max="12"/>
    <col width="11" bestFit="1" customWidth="1" min="13" max="13"/>
    <col width="14.42578125" bestFit="1" customWidth="1" min="14" max="14"/>
    <col width="15.42578125" customWidth="1" min="15" max="15"/>
    <col width="26.140625" customWidth="1" min="16" max="17"/>
    <col width="18.140625" bestFit="1" customWidth="1" min="18" max="18"/>
    <col width="18.42578125" customWidth="1" min="19" max="19"/>
    <col width="19.7109375" customWidth="1" min="20" max="20"/>
    <col width="16.7109375" bestFit="1" customWidth="1" min="21" max="21"/>
  </cols>
  <sheetData>
    <row r="1" ht="30.75" customHeight="1">
      <c r="A1" s="58" t="inlineStr">
        <is>
          <t>Project ID</t>
        </is>
      </c>
      <c r="B1" s="58" t="inlineStr">
        <is>
          <t>Title</t>
        </is>
      </c>
      <c r="C1" s="58" t="inlineStr">
        <is>
          <t>Link</t>
        </is>
      </c>
      <c r="D1" s="58" t="inlineStr">
        <is>
          <t>Budget</t>
        </is>
      </c>
      <c r="E1" s="58" t="inlineStr">
        <is>
          <t>Start Year</t>
        </is>
      </c>
      <c r="F1" s="58" t="inlineStr">
        <is>
          <t>End Year</t>
        </is>
      </c>
      <c r="G1" s="58" t="inlineStr">
        <is>
          <t>Status</t>
        </is>
      </c>
      <c r="H1" s="58" t="inlineStr">
        <is>
          <t>VF or Non-VF</t>
        </is>
      </c>
      <c r="I1" s="26" t="inlineStr">
        <is>
          <t>Beneficiary Category</t>
        </is>
      </c>
      <c r="J1" s="26" t="inlineStr">
        <is>
          <t>Indicator</t>
        </is>
      </c>
      <c r="K1" s="26" t="inlineStr">
        <is>
          <t>Baseline</t>
        </is>
      </c>
      <c r="L1" s="26" t="inlineStr">
        <is>
          <t>Target</t>
        </is>
      </c>
      <c r="M1" s="26" t="inlineStr">
        <is>
          <t>Notes</t>
        </is>
      </c>
      <c r="N1" s="27" t="inlineStr">
        <is>
          <t>Donors</t>
        </is>
      </c>
      <c r="O1" s="27" t="inlineStr">
        <is>
          <t>Gender (% female)</t>
        </is>
      </c>
      <c r="P1" s="75" t="inlineStr">
        <is>
          <t>Tag</t>
        </is>
      </c>
      <c r="Q1" s="74" t="inlineStr">
        <is>
          <t>SEH Taxonomy</t>
        </is>
      </c>
      <c r="R1" s="74" t="inlineStr">
        <is>
          <t>RISE Taxonomy</t>
        </is>
      </c>
      <c r="S1" s="75" t="inlineStr">
        <is>
          <t>Flagship</t>
        </is>
      </c>
      <c r="T1" s="75" t="inlineStr">
        <is>
          <t>Indirect Category</t>
        </is>
      </c>
      <c r="U1" s="76" t="inlineStr">
        <is>
          <t>Indirect Taxonomy</t>
        </is>
      </c>
      <c r="V1" s="77" t="inlineStr">
        <is>
          <t>Technology</t>
        </is>
      </c>
      <c r="W1" s="76" t="inlineStr">
        <is>
          <t>Policy or Regulatory Framework</t>
        </is>
      </c>
      <c r="X1" s="77" t="inlineStr">
        <is>
          <t>Policy Population</t>
        </is>
      </c>
    </row>
    <row r="2" ht="213" customHeight="1">
      <c r="A2" s="60" t="inlineStr">
        <is>
          <t>5957, 117647</t>
        </is>
      </c>
      <c r="B2" s="60" t="inlineStr">
        <is>
          <t>Energy Efficiency through the Development of Low-carbon RAC Technologies in Trinidad and Tobago</t>
        </is>
      </c>
      <c r="C2" s="82" t="inlineStr">
        <is>
          <t>https://open.undp.org/projects/00117647 https://co.pims.undp.org/project/view?id=5957</t>
        </is>
      </c>
      <c r="D2" s="54" t="n">
        <v>5152392</v>
      </c>
      <c r="E2" s="154" t="n"/>
      <c r="F2" s="154" t="n"/>
      <c r="G2" s="154" t="n"/>
      <c r="H2" s="54" t="inlineStr">
        <is>
          <t>VF</t>
        </is>
      </c>
      <c r="I2" s="81" t="inlineStr">
        <is>
          <t>Capacity Building Training</t>
        </is>
      </c>
      <c r="J2" s="85" t="inlineStr">
        <is>
          <t xml:space="preserve">Number of direct project beneficiaries disaggregated by gender as co-benefit of GEF investment during the project implementation period.  </t>
        </is>
      </c>
      <c r="K2" s="85" t="inlineStr">
        <is>
          <t>Total:    145 (100%)
Men:     100   (69%)
Women: 45   (31%)</t>
        </is>
      </c>
      <c r="L2" s="85" t="n">
        <v>250</v>
      </c>
      <c r="M2" s="86" t="inlineStr">
        <is>
          <t xml:space="preserve">Strengthening technical capacities in the formal academic sector and in the specialized technical CSO (ARIA) to promote market development of energy-efficient, low-carbon refrigeration and cooling systems, including design, assembling, installation, operation, and maintenance. This indicator has been achieved. The number of persons trained and in attendance at awareness sessions were collected and reported on by the Project Management Unit.  This information was de-aggregated by gender and recorded in a project beneficiaries database. The breakdown is as follows:
Total participants: 584 (100%)
Men: 381 (65%)
Women: 203 (35%)
</t>
        </is>
      </c>
      <c r="N2" s="28" t="inlineStr">
        <is>
          <t>GEF</t>
        </is>
      </c>
      <c r="O2" s="55" t="n">
        <v>0.35</v>
      </c>
      <c r="P2" s="133" t="inlineStr">
        <is>
          <t>Gender</t>
        </is>
      </c>
      <c r="Q2" s="79" t="inlineStr">
        <is>
          <t>Accelerating just energy transition</t>
        </is>
      </c>
      <c r="R2" s="133" t="n"/>
      <c r="S2" s="133" t="n"/>
      <c r="T2" s="133" t="n"/>
      <c r="U2" s="133" t="n"/>
      <c r="V2" s="80" t="n"/>
      <c r="W2" s="133" t="n"/>
      <c r="X2" s="80" t="n"/>
      <c r="AA2" s="53" t="inlineStr">
        <is>
          <t>VF</t>
        </is>
      </c>
      <c r="AB2" s="45" t="n"/>
      <c r="AC2" s="28" t="n"/>
      <c r="AD2" s="28" t="inlineStr">
        <is>
          <t>Accelerating just energy transition</t>
        </is>
      </c>
      <c r="AE2" s="28" t="inlineStr">
        <is>
          <t>Energy Efficiency</t>
        </is>
      </c>
      <c r="AF2" s="133" t="n"/>
      <c r="AG2" s="28" t="n"/>
      <c r="AH2" s="28" t="n"/>
      <c r="AI2" s="28" t="n"/>
    </row>
    <row r="3" ht="121.5" customHeight="1">
      <c r="A3" s="61" t="n"/>
      <c r="B3" s="61" t="n"/>
      <c r="C3" s="65" t="n"/>
      <c r="D3" s="63" t="n"/>
      <c r="E3" s="63" t="n"/>
      <c r="F3" s="63" t="n"/>
      <c r="G3" s="63" t="n"/>
      <c r="H3" s="63" t="n"/>
      <c r="I3" s="81" t="inlineStr">
        <is>
          <t>Capacity Building Training</t>
        </is>
      </c>
      <c r="J3" s="85" t="inlineStr">
        <is>
          <t>Number of trained professionals and technicians directly linked to the project execution to sustainable RAC technologies and the reduction of GHG emissions.</t>
        </is>
      </c>
      <c r="K3" s="85" t="n">
        <v>0</v>
      </c>
      <c r="L3" s="85" t="n">
        <v>150</v>
      </c>
      <c r="M3" s="86" t="inlineStr">
        <is>
          <t>This indicator has been achieved. The number of trained professionals and technicians stands at 161. The project continues to build capacities for project investment analysis and customized financing mechanisms in the financial sector to support market change for energy efficient RAC systems.</t>
        </is>
      </c>
      <c r="N3" s="28" t="inlineStr">
        <is>
          <t>GEF</t>
        </is>
      </c>
      <c r="O3" s="44" t="n"/>
      <c r="P3" s="133" t="inlineStr">
        <is>
          <t>Efficiency</t>
        </is>
      </c>
      <c r="Q3" s="79" t="inlineStr">
        <is>
          <t>Accelerating just energy transition</t>
        </is>
      </c>
      <c r="R3" s="133" t="n"/>
      <c r="S3" s="133" t="n"/>
      <c r="T3" s="133" t="n"/>
      <c r="U3" s="133" t="n"/>
      <c r="V3" s="80" t="n"/>
      <c r="W3" s="133" t="n"/>
      <c r="X3" s="80" t="n"/>
      <c r="AA3" s="56" t="n"/>
      <c r="AB3" s="45" t="n"/>
      <c r="AC3" s="28" t="n"/>
      <c r="AD3" s="28" t="inlineStr">
        <is>
          <t>Accelerating just energy transition</t>
        </is>
      </c>
      <c r="AE3" s="28" t="inlineStr">
        <is>
          <t>Energy Efficiency</t>
        </is>
      </c>
      <c r="AF3" s="133" t="n"/>
      <c r="AG3" s="28" t="n"/>
      <c r="AH3" s="28" t="n"/>
      <c r="AI3" s="28" t="n"/>
    </row>
    <row r="4" ht="106.5" customHeight="1">
      <c r="A4" s="61" t="n"/>
      <c r="B4" s="61" t="n"/>
      <c r="C4" s="65" t="n"/>
      <c r="D4" s="63" t="n"/>
      <c r="E4" s="63" t="n"/>
      <c r="F4" s="63" t="n"/>
      <c r="G4" s="63" t="n"/>
      <c r="H4" s="63" t="n"/>
      <c r="I4" s="81" t="inlineStr">
        <is>
          <t>Policy or Regulatory Framework</t>
        </is>
      </c>
      <c r="J4" s="85" t="inlineStr">
        <is>
          <t xml:space="preserve">Regulations and code of practice for DCS and CCHP published by the T&amp;T Government.  </t>
        </is>
      </c>
      <c r="K4" s="85" t="n">
        <v>0</v>
      </c>
      <c r="L4" s="85" t="n">
        <v>1</v>
      </c>
      <c r="M4" s="86" t="inlineStr">
        <is>
          <t>This indicator has been achieved.  The Trinidad and Tobago Bureau of Standards has developed and published the Refrigeration Code of the Trinidad and Tobago Bureau of Standards. Its title is "Refrigeration and Airconditioning Sector ( TTS-663_2023). The code includes District Cooling Systems (DCS) and Combined Cooling, Heating, and Power Systems (CCHP)</t>
        </is>
      </c>
      <c r="N4" s="28" t="inlineStr">
        <is>
          <t>GEF</t>
        </is>
      </c>
      <c r="O4" s="44" t="n"/>
      <c r="P4" s="133" t="inlineStr">
        <is>
          <t>Efficiency</t>
        </is>
      </c>
      <c r="Q4" s="79" t="inlineStr">
        <is>
          <t>Accelerating just energy transition</t>
        </is>
      </c>
      <c r="R4" s="133" t="inlineStr">
        <is>
          <t>Energy Efficiency</t>
        </is>
      </c>
      <c r="S4" s="133" t="n"/>
      <c r="T4" s="133" t="inlineStr">
        <is>
          <t>National Strategy</t>
        </is>
      </c>
      <c r="U4" s="133" t="inlineStr">
        <is>
          <t>Energy Efficiency</t>
        </is>
      </c>
      <c r="V4" s="80" t="n"/>
      <c r="W4" s="133" t="inlineStr">
        <is>
          <t>National</t>
        </is>
      </c>
      <c r="X4" s="80" t="n"/>
      <c r="AA4" s="56" t="n"/>
      <c r="AB4" s="45" t="n"/>
      <c r="AC4" s="28" t="n"/>
      <c r="AD4" s="28" t="inlineStr">
        <is>
          <t>Accelerating just energy transition</t>
        </is>
      </c>
      <c r="AE4" s="28" t="inlineStr">
        <is>
          <t>Energy Efficiency</t>
        </is>
      </c>
      <c r="AF4" s="133" t="inlineStr">
        <is>
          <t>Tier 1</t>
        </is>
      </c>
      <c r="AG4" s="28" t="n"/>
      <c r="AH4" s="28" t="inlineStr">
        <is>
          <t>Incentives and Support</t>
        </is>
      </c>
      <c r="AI4" s="28" t="inlineStr">
        <is>
          <t>Energy Efficiency</t>
        </is>
      </c>
    </row>
    <row r="5" ht="198" customHeight="1">
      <c r="A5" s="61" t="n"/>
      <c r="B5" s="61" t="n"/>
      <c r="C5" s="65" t="n"/>
      <c r="D5" s="63" t="n"/>
      <c r="E5" s="63" t="n"/>
      <c r="F5" s="63" t="n"/>
      <c r="G5" s="63" t="n"/>
      <c r="H5" s="63" t="n"/>
      <c r="I5" s="81" t="inlineStr">
        <is>
          <t>Policy or Regulatory Framework</t>
        </is>
      </c>
      <c r="J5" s="85" t="inlineStr">
        <is>
          <t>Standards &amp; Labelling (S&amp;L) regulations for RAC technologies developed, approved and ready for enforcement by the T&amp;T Bureau of Standards (TTBS).</t>
        </is>
      </c>
      <c r="K5" s="85" t="n">
        <v>3</v>
      </c>
      <c r="L5" s="85" t="n">
        <v>5</v>
      </c>
      <c r="M5" s="86" t="inlineStr">
        <is>
          <t>This indicator has been achieved. The Trinidad and Tobago Bureau of Standards (TTBS) adopted the Minimum Energy Performance Standards (MEPs) developed regionally by CARICOM Regional Organization for Standards and Quality (CROSQ), and it has been implemented as a voluntary standard. The project will assist TTBS in transitioning the standard to compulsory leveraging the support of the project's Legal Expert and MEPs Specialist.
The standards implemented are as follows:
- Standards Energy Labelling - Air Conditioners – Requirements (TTS/CRS 59:2021) and
- TTS/CRS 57:2021- Energy Labelling - Refrigerating Appliances – Requirements</t>
        </is>
      </c>
      <c r="N5" s="28" t="inlineStr">
        <is>
          <t>GEF</t>
        </is>
      </c>
      <c r="O5" s="44" t="n"/>
      <c r="P5" s="133" t="inlineStr">
        <is>
          <t>Efficiency</t>
        </is>
      </c>
      <c r="Q5" s="79" t="inlineStr">
        <is>
          <t>Accelerating just energy transition</t>
        </is>
      </c>
      <c r="R5" s="133" t="inlineStr">
        <is>
          <t>Energy Efficiency</t>
        </is>
      </c>
      <c r="S5" s="133" t="n"/>
      <c r="T5" s="133" t="inlineStr">
        <is>
          <t>National Strategy</t>
        </is>
      </c>
      <c r="U5" s="133" t="inlineStr">
        <is>
          <t>Energy Efficiency</t>
        </is>
      </c>
      <c r="V5" s="80" t="n"/>
      <c r="W5" s="133" t="inlineStr">
        <is>
          <t>National</t>
        </is>
      </c>
      <c r="X5" s="80" t="n"/>
      <c r="AA5" s="56" t="n"/>
      <c r="AB5" s="45" t="n"/>
      <c r="AC5" s="28" t="n"/>
      <c r="AD5" s="28" t="inlineStr">
        <is>
          <t>Accelerating just energy transition</t>
        </is>
      </c>
      <c r="AE5" s="28" t="inlineStr">
        <is>
          <t>Energy Efficiency</t>
        </is>
      </c>
      <c r="AF5" s="133" t="inlineStr">
        <is>
          <t>Tier 1</t>
        </is>
      </c>
      <c r="AG5" s="28" t="n"/>
      <c r="AH5" s="28" t="inlineStr">
        <is>
          <t>Incentives and Support</t>
        </is>
      </c>
      <c r="AI5" s="28" t="inlineStr">
        <is>
          <t>Energy Efficiency</t>
        </is>
      </c>
    </row>
    <row r="6" ht="106.5" customHeight="1">
      <c r="A6" s="61" t="n"/>
      <c r="B6" s="61" t="n"/>
      <c r="C6" s="65" t="n"/>
      <c r="D6" s="63" t="n"/>
      <c r="E6" s="63" t="n"/>
      <c r="F6" s="63" t="n"/>
      <c r="G6" s="63" t="n"/>
      <c r="H6" s="63" t="n"/>
      <c r="I6" s="87" t="inlineStr">
        <is>
          <t>GHG Emissions Reduction</t>
        </is>
      </c>
      <c r="J6" s="88" t="inlineStr">
        <is>
          <t>(GEF Core Indicator 6.2):
Number of GHG emissions avoided over the investment period of the project (direct). tons CO2eq</t>
        </is>
      </c>
      <c r="K6" s="85" t="n">
        <v>0</v>
      </c>
      <c r="L6" s="88" t="n">
        <v>651000</v>
      </c>
      <c r="M6" s="86" t="inlineStr">
        <is>
          <t xml:space="preserve">This indicator has been met. The Environmental Policy and Planning Division (EPPD) of the Ministry of Planning and Development (MPD) continuously monitors this indicator through an established CO2 emissions model, which relies on meticulous tracking of project outcomes and outputs. The total number of GHG emissions avoided to date is 752,656 CO2eq </t>
        </is>
      </c>
      <c r="N6" s="28" t="inlineStr">
        <is>
          <t>GEF</t>
        </is>
      </c>
      <c r="O6" s="44" t="n"/>
      <c r="P6" s="133" t="inlineStr">
        <is>
          <t>Efficiency</t>
        </is>
      </c>
      <c r="Q6" s="79" t="inlineStr">
        <is>
          <t>Accelerating just energy transition</t>
        </is>
      </c>
      <c r="R6" s="133" t="n"/>
      <c r="S6" s="133" t="n"/>
      <c r="T6" s="133" t="n"/>
      <c r="U6" s="133" t="n"/>
      <c r="V6" s="80" t="n"/>
      <c r="W6" s="133" t="n"/>
      <c r="X6" s="80" t="n"/>
      <c r="AA6" s="56" t="n"/>
      <c r="AB6" s="45" t="n"/>
      <c r="AC6" s="28" t="n"/>
      <c r="AD6" s="28" t="inlineStr">
        <is>
          <t>Accelerating just energy transition</t>
        </is>
      </c>
      <c r="AE6" s="28" t="inlineStr">
        <is>
          <t>Energy Efficiency</t>
        </is>
      </c>
      <c r="AF6" s="133" t="n"/>
      <c r="AG6" s="28" t="n"/>
      <c r="AH6" s="28" t="n"/>
      <c r="AI6" s="28" t="n"/>
    </row>
    <row r="7" ht="91.5" customHeight="1">
      <c r="A7" s="61" t="n"/>
      <c r="B7" s="61" t="n"/>
      <c r="C7" s="65" t="n"/>
      <c r="D7" s="63" t="n"/>
      <c r="E7" s="63" t="n"/>
      <c r="F7" s="63" t="n"/>
      <c r="G7" s="63" t="n"/>
      <c r="H7" s="63" t="n"/>
      <c r="I7" s="81" t="inlineStr">
        <is>
          <t>Policy or Regulatory Framework</t>
        </is>
      </c>
      <c r="J7" s="88" t="inlineStr">
        <is>
          <t>Number of financial and market mechanisms for the development of low-carbon RAC technologies.</t>
        </is>
      </c>
      <c r="K7" s="85" t="n">
        <v>0</v>
      </c>
      <c r="L7" s="88" t="n">
        <v>2</v>
      </c>
      <c r="M7" s="86" t="inlineStr">
        <is>
          <t>This indicator has been achieved. The report on Fiscal incentives and the market Analysis for the RAC sector have been completed. These and the Procurement Roadmap developed through the project are the financial and market mechanisms for developing low-carbon RAC technologies in Trinidad and Tobago.</t>
        </is>
      </c>
      <c r="N7" s="28" t="inlineStr">
        <is>
          <t>GEF</t>
        </is>
      </c>
      <c r="O7" s="44" t="n"/>
      <c r="P7" s="133" t="inlineStr">
        <is>
          <t>Finance</t>
        </is>
      </c>
      <c r="Q7" s="79" t="inlineStr">
        <is>
          <t>Accelerating just energy transition</t>
        </is>
      </c>
      <c r="R7" s="133" t="inlineStr">
        <is>
          <t>Renewable Energy</t>
        </is>
      </c>
      <c r="S7" s="133" t="n"/>
      <c r="T7" s="133" t="inlineStr">
        <is>
          <t>Carbon Pricing and Monitoring</t>
        </is>
      </c>
      <c r="U7" s="133" t="inlineStr">
        <is>
          <t>Decarbonization</t>
        </is>
      </c>
      <c r="V7" s="80" t="n"/>
      <c r="W7" s="133" t="inlineStr">
        <is>
          <t>National</t>
        </is>
      </c>
      <c r="X7" s="80" t="n"/>
      <c r="AA7" s="56" t="n"/>
      <c r="AB7" s="45" t="n"/>
      <c r="AC7" s="28" t="n"/>
      <c r="AD7" s="28" t="inlineStr">
        <is>
          <t>Accelerating just energy transition</t>
        </is>
      </c>
      <c r="AE7" s="28" t="inlineStr">
        <is>
          <t>Energy Efficiency</t>
        </is>
      </c>
      <c r="AF7" s="133" t="inlineStr">
        <is>
          <t>Tier 1</t>
        </is>
      </c>
      <c r="AG7" s="28" t="n"/>
      <c r="AH7" s="28" t="inlineStr">
        <is>
          <t>Incentives and Support</t>
        </is>
      </c>
      <c r="AI7" s="28" t="inlineStr">
        <is>
          <t>Energy Efficiency</t>
        </is>
      </c>
    </row>
    <row r="8" ht="167.25" customFormat="1" customHeight="1" s="22">
      <c r="A8" s="62" t="n"/>
      <c r="B8" s="62" t="n"/>
      <c r="C8" s="66" t="n"/>
      <c r="D8" s="64" t="n"/>
      <c r="E8" s="64" t="n"/>
      <c r="F8" s="64" t="n"/>
      <c r="G8" s="64" t="n"/>
      <c r="H8" s="64" t="n"/>
      <c r="I8" s="81" t="inlineStr">
        <is>
          <t>Energy Efficiency Services</t>
        </is>
      </c>
      <c r="J8" s="89" t="inlineStr">
        <is>
          <t>(GEF Core Indicator 6.3):
Energy saved GWh (equivalent to 3.6 million mega joules).</t>
        </is>
      </c>
      <c r="K8" s="52" t="n">
        <v>0</v>
      </c>
      <c r="L8" s="52" t="n">
        <v>22</v>
      </c>
      <c r="M8" s="90" t="inlineStr">
        <is>
          <t xml:space="preserve">This indicator is on-track. An analysis of data sourced from the Trinidad and Tobago Bureau of Standards (TTBS) annual reports on RAC equipment from 2021 to 2024 was perfomed by the PMU. The data was categorized into two groups: Refrigeration Equipment and Air-conditioners. Over the period from 2021 to 2024, the total energy savings achieved through the adoption of energy-saving measures in RAC equipment amounted to 15.91 GWh. The project will continue to provide support to the Trinidad and Tobago Bureau of Standards (TTBS) to implement a system so as to provide additional data for this indicator and inputs for policymakers. </t>
        </is>
      </c>
      <c r="N8" s="29" t="inlineStr">
        <is>
          <t>GEF</t>
        </is>
      </c>
      <c r="O8" s="67" t="n"/>
      <c r="P8" s="133" t="inlineStr">
        <is>
          <t>Efficiency</t>
        </is>
      </c>
      <c r="Q8" s="79" t="inlineStr">
        <is>
          <t>Accelerating just energy transition</t>
        </is>
      </c>
      <c r="R8" s="133" t="n"/>
      <c r="S8" s="133" t="n"/>
      <c r="T8" s="133" t="n"/>
      <c r="U8" s="133" t="n"/>
      <c r="V8" s="80" t="n"/>
      <c r="W8" s="133" t="n"/>
      <c r="X8" s="80" t="n"/>
      <c r="AA8" s="59" t="n"/>
      <c r="AB8" s="91" t="inlineStr">
        <is>
          <t>to the CO: Please estimate number of beneficiaries.</t>
        </is>
      </c>
      <c r="AC8" s="29" t="n"/>
      <c r="AD8" s="28" t="inlineStr">
        <is>
          <t>Accelerating just energy transition</t>
        </is>
      </c>
      <c r="AE8" s="28" t="inlineStr">
        <is>
          <t>Energy Efficiency</t>
        </is>
      </c>
      <c r="AF8" s="133" t="n"/>
      <c r="AG8" s="28" t="n"/>
      <c r="AH8" s="28" t="n"/>
      <c r="AI8" s="28" t="n"/>
    </row>
    <row r="9" ht="76.5" customHeight="1">
      <c r="A9" s="92" t="n">
        <v>112038</v>
      </c>
      <c r="B9" s="93" t="inlineStr">
        <is>
          <t xml:space="preserve"> Global Climate Change Alliance Plus Trinidad and Tobago  “Support to the  Implementation of Trinidad and Tobago’s Nationally Determined Contribution”</t>
        </is>
      </c>
      <c r="C9" s="94" t="inlineStr">
        <is>
          <t>https://open.undp.org/projects/00112038</t>
        </is>
      </c>
      <c r="D9" s="95" t="n">
        <v>2665440</v>
      </c>
      <c r="E9" s="155" t="n"/>
      <c r="F9" s="155" t="n"/>
      <c r="G9" s="155" t="n"/>
      <c r="H9" s="95" t="inlineStr">
        <is>
          <t>Non-VF</t>
        </is>
      </c>
      <c r="I9" s="96" t="inlineStr">
        <is>
          <t>Electricity Access</t>
        </is>
      </c>
      <c r="J9" s="97" t="inlineStr">
        <is>
          <t>Number of Beneficiaries receiving electricity from solar PV</t>
        </is>
      </c>
      <c r="K9" s="98" t="n">
        <v>0</v>
      </c>
      <c r="L9" s="98" t="inlineStr">
        <is>
          <t>2400
(1200 women)</t>
        </is>
      </c>
      <c r="M9" s="97" t="inlineStr">
        <is>
          <t>Twelve (12) sites had solar PV systems installed on their rooftops enbling electricity from a renewable energy source to be consumed. Data collected through site usage forms indicated direct usage beneficiaries estimated to date amounts to 12,786 persons (5,887 men, 6899 women).</t>
        </is>
      </c>
      <c r="N9" s="99" t="inlineStr">
        <is>
          <t>European Commission</t>
        </is>
      </c>
      <c r="O9" s="100" t="n">
        <v>0.54</v>
      </c>
      <c r="P9" s="102" t="inlineStr">
        <is>
          <t>Just</t>
        </is>
      </c>
      <c r="Q9" s="103" t="inlineStr">
        <is>
          <t>Accelerating just energy transition</t>
        </is>
      </c>
      <c r="R9" s="102" t="n"/>
      <c r="S9" s="102" t="n"/>
      <c r="T9" s="102" t="inlineStr">
        <is>
          <t>NDC Support</t>
        </is>
      </c>
      <c r="U9" s="102" t="n"/>
      <c r="V9" s="104" t="inlineStr">
        <is>
          <t>Solar</t>
        </is>
      </c>
      <c r="W9" s="102" t="n"/>
      <c r="X9" s="104" t="n"/>
      <c r="Y9" s="105" t="n"/>
      <c r="Z9" s="105" t="n"/>
      <c r="AA9" s="106" t="inlineStr">
        <is>
          <t>Non-VF</t>
        </is>
      </c>
      <c r="AB9" s="107" t="n"/>
      <c r="AC9" s="99" t="n"/>
      <c r="AD9" s="99" t="inlineStr">
        <is>
          <t>Accelerating just energy transition</t>
        </is>
      </c>
      <c r="AE9" s="99" t="inlineStr">
        <is>
          <t>Electricity Access</t>
        </is>
      </c>
      <c r="AF9" s="102" t="n"/>
      <c r="AG9" s="99" t="n"/>
      <c r="AH9" s="99" t="n"/>
      <c r="AI9" s="99" t="n"/>
    </row>
    <row r="10" ht="336" customFormat="1" customHeight="1" s="23">
      <c r="A10" s="92" t="n"/>
      <c r="B10" s="93" t="n"/>
      <c r="C10" s="94" t="n"/>
      <c r="D10" s="95" t="n"/>
      <c r="E10" s="95" t="n"/>
      <c r="F10" s="95" t="n"/>
      <c r="G10" s="95" t="n"/>
      <c r="H10" s="95" t="n"/>
      <c r="I10" s="96" t="inlineStr">
        <is>
          <t>Energy (MW added)</t>
        </is>
      </c>
      <c r="J10" s="97" t="inlineStr">
        <is>
          <t>Total number of kilowatts (kW) of renewable energy added</t>
        </is>
      </c>
      <c r="K10" s="98" t="n">
        <v>0</v>
      </c>
      <c r="L10" s="98" t="n">
        <v>0.108</v>
      </c>
      <c r="M10" s="97" t="inlineStr">
        <is>
          <t>108 kW of solar PV was added from a total of 12 installations. It is expected that a futher 37 kW of solar PV will be added in 2025.</t>
        </is>
      </c>
      <c r="N10" s="99" t="inlineStr">
        <is>
          <t>European Commission</t>
        </is>
      </c>
      <c r="O10" s="108" t="n"/>
      <c r="P10" s="102" t="inlineStr">
        <is>
          <t>Just</t>
        </is>
      </c>
      <c r="Q10" s="103" t="inlineStr">
        <is>
          <t>Accelerating just energy transition</t>
        </is>
      </c>
      <c r="R10" s="102" t="inlineStr">
        <is>
          <t>Renewable Energy</t>
        </is>
      </c>
      <c r="S10" s="102" t="n"/>
      <c r="T10" s="102" t="inlineStr">
        <is>
          <t>NDC Support</t>
        </is>
      </c>
      <c r="U10" s="102" t="n"/>
      <c r="V10" s="104" t="inlineStr">
        <is>
          <t>Solar</t>
        </is>
      </c>
      <c r="W10" s="102" t="n"/>
      <c r="X10" s="104" t="n"/>
      <c r="Y10" s="105" t="n"/>
      <c r="Z10" s="105" t="n"/>
      <c r="AA10" s="106" t="n"/>
      <c r="AB10" s="109" t="n"/>
      <c r="AC10" s="110" t="n"/>
      <c r="AD10" s="99" t="inlineStr">
        <is>
          <t>Close the gap on energy access</t>
        </is>
      </c>
      <c r="AE10" s="99" t="inlineStr">
        <is>
          <t>Renewable Energy</t>
        </is>
      </c>
      <c r="AF10" s="102" t="n"/>
      <c r="AG10" s="99" t="n"/>
      <c r="AH10" s="99" t="n"/>
      <c r="AI10" s="99" t="n"/>
    </row>
    <row r="11" ht="76.5" customHeight="1">
      <c r="A11" s="111" t="n"/>
      <c r="B11" s="112" t="n"/>
      <c r="C11" s="113" t="n"/>
      <c r="D11" s="114" t="n"/>
      <c r="E11" s="114" t="n"/>
      <c r="F11" s="114" t="n"/>
      <c r="G11" s="114" t="n"/>
      <c r="H11" s="114" t="n"/>
      <c r="I11" s="96" t="inlineStr">
        <is>
          <t>Capacity Building Training</t>
        </is>
      </c>
      <c r="J11" s="97" t="inlineStr">
        <is>
          <t>Number of site beneficiaries training in operation and maintenance of solar PV systems</t>
        </is>
      </c>
      <c r="K11" s="98" t="n">
        <v>0</v>
      </c>
      <c r="L11" s="98" t="inlineStr">
        <is>
          <t>36
(12 women)</t>
        </is>
      </c>
      <c r="M11" s="97" t="inlineStr">
        <is>
          <t>92 persons (43 women) thus far were trained in operation and maintenance of the solar PV systems</t>
        </is>
      </c>
      <c r="N11" s="99" t="inlineStr">
        <is>
          <t>European Commission</t>
        </is>
      </c>
      <c r="O11" s="108" t="n"/>
      <c r="P11" s="102" t="inlineStr">
        <is>
          <t>Just</t>
        </is>
      </c>
      <c r="Q11" s="103" t="inlineStr">
        <is>
          <t>Accelerating just energy transition</t>
        </is>
      </c>
      <c r="R11" s="102" t="n"/>
      <c r="S11" s="102" t="n"/>
      <c r="T11" s="102" t="inlineStr">
        <is>
          <t>Incentives and Support</t>
        </is>
      </c>
      <c r="U11" s="102" t="n"/>
      <c r="V11" s="104" t="n"/>
      <c r="W11" s="102" t="n"/>
      <c r="X11" s="104" t="n"/>
      <c r="Y11" s="105" t="n"/>
      <c r="Z11" s="105" t="n"/>
      <c r="AA11" s="115" t="n"/>
      <c r="AB11" s="107" t="n"/>
      <c r="AC11" s="99" t="n"/>
      <c r="AD11" s="99" t="inlineStr">
        <is>
          <t>Accelerating just energy transition</t>
        </is>
      </c>
      <c r="AE11" s="99" t="inlineStr">
        <is>
          <t>Energy Efficiency</t>
        </is>
      </c>
      <c r="AF11" s="102" t="n"/>
      <c r="AG11" s="99" t="n"/>
      <c r="AH11" s="99" t="n"/>
      <c r="AI11" s="99" t="n"/>
    </row>
    <row r="12" ht="76.5" customHeight="1">
      <c r="A12" s="116" t="n"/>
      <c r="B12" s="117" t="n"/>
      <c r="C12" s="118" t="n"/>
      <c r="D12" s="114" t="n"/>
      <c r="E12" s="114" t="n"/>
      <c r="F12" s="114" t="n"/>
      <c r="G12" s="114" t="n"/>
      <c r="H12" s="114" t="n"/>
      <c r="I12" s="96" t="inlineStr">
        <is>
          <t>Capacity Building Training</t>
        </is>
      </c>
      <c r="J12" s="97" t="inlineStr">
        <is>
          <t>Number of Reports submitted to the government Ministry related to Policy development</t>
        </is>
      </c>
      <c r="K12" s="98" t="n">
        <v>0</v>
      </c>
      <c r="L12" s="98" t="n">
        <v>5</v>
      </c>
      <c r="M12" s="97" t="inlineStr">
        <is>
          <t>4 reports were developed thus far for the government</t>
        </is>
      </c>
      <c r="N12" s="99" t="n"/>
      <c r="O12" s="99" t="n"/>
      <c r="P12" s="102" t="inlineStr">
        <is>
          <t>Just</t>
        </is>
      </c>
      <c r="Q12" s="103" t="inlineStr">
        <is>
          <t>Accelerating just energy transition</t>
        </is>
      </c>
      <c r="R12" s="102" t="n"/>
      <c r="S12" s="102" t="n"/>
      <c r="T12" s="102" t="n"/>
      <c r="U12" s="102" t="n"/>
      <c r="V12" s="104" t="n"/>
      <c r="W12" s="102" t="n"/>
      <c r="X12" s="104" t="n"/>
      <c r="Y12" s="105" t="n"/>
      <c r="Z12" s="105" t="n"/>
      <c r="AA12" s="119" t="n"/>
      <c r="AB12" s="99" t="n"/>
      <c r="AC12" s="99" t="n"/>
      <c r="AD12" s="99" t="inlineStr">
        <is>
          <t>Accelerating just energy transition</t>
        </is>
      </c>
      <c r="AE12" s="99" t="inlineStr">
        <is>
          <t>Energy Efficiency</t>
        </is>
      </c>
      <c r="AF12" s="102" t="n"/>
      <c r="AG12" s="99" t="n"/>
      <c r="AH12" s="99" t="n"/>
      <c r="AI12" s="99" t="n"/>
    </row>
    <row r="13" ht="60.75" customHeight="1">
      <c r="A13" s="98" t="n"/>
      <c r="B13" s="97" t="n"/>
      <c r="C13" s="120" t="n"/>
      <c r="D13" s="121" t="n"/>
      <c r="E13" s="121" t="n"/>
      <c r="F13" s="121" t="n"/>
      <c r="G13" s="121" t="n"/>
      <c r="H13" s="121" t="n"/>
      <c r="I13" s="96" t="inlineStr">
        <is>
          <t>Capacity Building Training</t>
        </is>
      </c>
      <c r="J13" s="97" t="inlineStr">
        <is>
          <t>Number of people reached with messages on the benefits of using RE and EE</t>
        </is>
      </c>
      <c r="K13" s="98" t="n">
        <v>0</v>
      </c>
      <c r="L13" s="98" t="n">
        <v>100000</v>
      </c>
      <c r="M13" s="97" t="inlineStr">
        <is>
          <t>20,000 persons were reached thus far with messages related to RE &amp; EE</t>
        </is>
      </c>
      <c r="N13" s="99" t="n"/>
      <c r="O13" s="99" t="n"/>
      <c r="P13" s="102" t="inlineStr">
        <is>
          <t>Just</t>
        </is>
      </c>
      <c r="Q13" s="103" t="inlineStr">
        <is>
          <t>Accelerating just energy transition</t>
        </is>
      </c>
      <c r="R13" s="102" t="n"/>
      <c r="S13" s="102" t="n"/>
      <c r="T13" s="102" t="n"/>
      <c r="U13" s="102" t="n"/>
      <c r="V13" s="104" t="n"/>
      <c r="W13" s="102" t="n"/>
      <c r="X13" s="104" t="n"/>
      <c r="Y13" s="105" t="n"/>
      <c r="Z13" s="105" t="n"/>
      <c r="AA13" s="99" t="n"/>
      <c r="AB13" s="99" t="n"/>
      <c r="AC13" s="99" t="n"/>
      <c r="AD13" s="99" t="inlineStr">
        <is>
          <t>Accelerating just energy transition</t>
        </is>
      </c>
      <c r="AE13" s="99" t="inlineStr">
        <is>
          <t>Energy Efficiency</t>
        </is>
      </c>
      <c r="AF13" s="102" t="n"/>
      <c r="AG13" s="99" t="n"/>
      <c r="AH13" s="99" t="n"/>
      <c r="AI13" s="99" t="n"/>
    </row>
    <row r="14" ht="121.5" customHeight="1">
      <c r="A14" s="98" t="n"/>
      <c r="B14" s="97" t="n"/>
      <c r="C14" s="120" t="n"/>
      <c r="D14" s="121" t="n"/>
      <c r="E14" s="121" t="n"/>
      <c r="F14" s="121" t="n"/>
      <c r="G14" s="121" t="n"/>
      <c r="H14" s="121" t="n"/>
      <c r="I14" s="96" t="inlineStr">
        <is>
          <t>Capacity Building Training</t>
        </is>
      </c>
      <c r="J14" s="97" t="inlineStr">
        <is>
          <t>Number of Capacity Building Activities related to RE and EE</t>
        </is>
      </c>
      <c r="K14" s="98" t="n">
        <v>0</v>
      </c>
      <c r="L14" s="98" t="n">
        <v>4</v>
      </c>
      <c r="M14" s="97" t="inlineStr">
        <is>
          <t>Four (4) capacity building sessions were conducted in the following areas: 
1.  Feed-In Tariff (FIT) Implementation Plan for Trinidad and Tobago
2. Renewable Energy Power Purchase Agreements
3. Renewable Energy Financial Modelling 
4. The Renewable Energy Policy &amp; Implementation Plan for Trinidad and Tobago</t>
        </is>
      </c>
      <c r="N14" s="99" t="n"/>
      <c r="O14" s="99" t="n"/>
      <c r="P14" s="102" t="inlineStr">
        <is>
          <t>Just</t>
        </is>
      </c>
      <c r="Q14" s="103" t="inlineStr">
        <is>
          <t>Accelerating just energy transition</t>
        </is>
      </c>
      <c r="R14" s="102" t="inlineStr">
        <is>
          <t>Renewable Energy</t>
        </is>
      </c>
      <c r="S14" s="102" t="n"/>
      <c r="T14" s="102" t="inlineStr">
        <is>
          <t>Government Capacity-Building</t>
        </is>
      </c>
      <c r="U14" s="102" t="n"/>
      <c r="V14" s="104" t="n"/>
      <c r="W14" s="102" t="n"/>
      <c r="X14" s="104" t="n"/>
      <c r="Y14" s="105" t="n"/>
      <c r="Z14" s="105" t="n"/>
      <c r="AA14" s="99" t="n"/>
      <c r="AB14" s="99" t="n"/>
      <c r="AC14" s="99" t="n"/>
      <c r="AD14" s="99" t="n"/>
      <c r="AE14" s="102" t="n"/>
      <c r="AG14" s="99" t="n"/>
      <c r="AH14" s="99" t="n"/>
      <c r="AI14" s="99" t="n"/>
    </row>
    <row r="15" ht="198" customHeight="1">
      <c r="A15" s="98" t="n"/>
      <c r="B15" s="97" t="n"/>
      <c r="C15" s="120" t="n"/>
      <c r="D15" s="121" t="n"/>
      <c r="E15" s="121" t="n"/>
      <c r="F15" s="121" t="n"/>
      <c r="G15" s="121" t="n"/>
      <c r="H15" s="121" t="n"/>
      <c r="I15" s="96" t="inlineStr">
        <is>
          <t>Policy or Regulatory Framework</t>
        </is>
      </c>
      <c r="J15" s="97" t="inlineStr">
        <is>
          <t xml:space="preserve">Number of technical papers to support the operationalization of 
policies and regulations </t>
        </is>
      </c>
      <c r="K15" s="98" t="n">
        <v>0</v>
      </c>
      <c r="L15" s="98" t="n">
        <v>5</v>
      </c>
      <c r="M15" s="97" t="inlineStr">
        <is>
          <t>Five (5) technical reports were produced. These included:
1. The Development of a Renewable Energy (RE) Feed-In Tariff (FIT) Implementation Plan for Trinidad and Tobago
2. A Baseline Report for Renewable Energy and Energy Efficiency Implementation Assessments
3. A Report on Assessment and Recommendations for a Renewable Energy and Energy Efficiency Incentive Programme
4. A Report on a Public-Private Partnership Model for Funding Renewable Energy and Energy Efficiency Projects 
5. A Draft Renewable Energy Policy for Trinidad and Tobago and Implementation Plan
Female beneficiaries: N/A</t>
        </is>
      </c>
      <c r="N15" s="99" t="n"/>
      <c r="O15" s="99" t="n"/>
      <c r="P15" s="102" t="inlineStr">
        <is>
          <t>Just</t>
        </is>
      </c>
      <c r="Q15" s="103" t="inlineStr">
        <is>
          <t>Accelerating just energy transition</t>
        </is>
      </c>
      <c r="R15" s="102" t="inlineStr">
        <is>
          <t>Renewable Energy</t>
        </is>
      </c>
      <c r="S15" s="102" t="n"/>
      <c r="T15" s="102" t="inlineStr">
        <is>
          <t>Legal Framework</t>
        </is>
      </c>
      <c r="U15" s="102" t="n"/>
      <c r="V15" s="104" t="n"/>
      <c r="W15" s="102" t="inlineStr">
        <is>
          <t>National</t>
        </is>
      </c>
      <c r="X15" s="104" t="n"/>
      <c r="Y15" s="105" t="n"/>
      <c r="Z15" s="105" t="n"/>
      <c r="AA15" s="99" t="n"/>
      <c r="AB15" s="99" t="n"/>
      <c r="AC15" s="99" t="n"/>
      <c r="AD15" s="99" t="n"/>
      <c r="AE15" s="99" t="n"/>
      <c r="AF15" s="102" t="n"/>
      <c r="AG15" s="99" t="n"/>
      <c r="AH15" s="99" t="n"/>
      <c r="AI15" s="99" t="n"/>
    </row>
    <row r="16" ht="121.5" customHeight="1">
      <c r="A16" s="98" t="n"/>
      <c r="B16" s="97" t="n"/>
      <c r="C16" s="120" t="n"/>
      <c r="D16" s="121" t="n"/>
      <c r="E16" s="121" t="n"/>
      <c r="F16" s="121" t="n"/>
      <c r="G16" s="121" t="n"/>
      <c r="H16" s="121" t="n"/>
      <c r="I16" s="96" t="inlineStr">
        <is>
          <t>Campaign Participant</t>
        </is>
      </c>
      <c r="J16" s="97" t="inlineStr">
        <is>
          <t>Reach 100,000 people with messages on the benefits of using renewable energy and energy efficiency, with 20,000 people already reached in Trinidad and Tobago.</t>
        </is>
      </c>
      <c r="K16" s="98" t="n">
        <v>0</v>
      </c>
      <c r="L16" s="122" t="n">
        <v>100000</v>
      </c>
      <c r="M16" s="97" t="inlineStr">
        <is>
          <t>Public awareness campaign reached 166,530 persons were reached with messages related to RE/EE/ Energy Pricing. Number of Female beneficiaries: 101,570.</t>
        </is>
      </c>
      <c r="N16" s="99" t="n"/>
      <c r="O16" s="123" t="n">
        <v>0.61</v>
      </c>
      <c r="P16" s="102" t="inlineStr">
        <is>
          <t>Just</t>
        </is>
      </c>
      <c r="Q16" s="103" t="inlineStr">
        <is>
          <t>Accelerating just energy transition</t>
        </is>
      </c>
      <c r="R16" s="102" t="inlineStr">
        <is>
          <t>Overall</t>
        </is>
      </c>
      <c r="S16" s="102" t="n"/>
      <c r="T16" s="102" t="inlineStr">
        <is>
          <t>National Strategy</t>
        </is>
      </c>
      <c r="U16" s="102" t="inlineStr">
        <is>
          <t>Renewable Energy</t>
        </is>
      </c>
      <c r="V16" s="104" t="n"/>
      <c r="W16" s="102" t="inlineStr">
        <is>
          <t>National</t>
        </is>
      </c>
      <c r="X16" s="104" t="n"/>
      <c r="Y16" s="105" t="n"/>
      <c r="Z16" s="105" t="n"/>
      <c r="AA16" s="99" t="n"/>
      <c r="AB16" s="99" t="n"/>
      <c r="AC16" s="99" t="n"/>
      <c r="AD16" s="99" t="n"/>
      <c r="AE16" s="99" t="n"/>
      <c r="AF16" s="102" t="n"/>
      <c r="AG16" s="99" t="n"/>
      <c r="AH16" s="99" t="n"/>
      <c r="AI16" s="99" t="n"/>
    </row>
    <row r="17" ht="30.75" customHeight="1">
      <c r="A17" s="98" t="n"/>
      <c r="B17" s="97" t="n"/>
      <c r="C17" s="120" t="n"/>
      <c r="D17" s="121" t="n"/>
      <c r="E17" s="121" t="n"/>
      <c r="F17" s="121" t="n"/>
      <c r="G17" s="121" t="n"/>
      <c r="H17" s="121" t="n"/>
      <c r="I17" s="124" t="inlineStr">
        <is>
          <t>GHG Emissions Reduction</t>
        </is>
      </c>
      <c r="J17" s="125" t="n"/>
      <c r="K17" s="98" t="n">
        <v>0</v>
      </c>
      <c r="L17" s="125" t="n"/>
      <c r="M17" s="97" t="inlineStr">
        <is>
          <t xml:space="preserve">34 tons per annum </t>
        </is>
      </c>
      <c r="N17" s="99" t="n"/>
      <c r="O17" s="99" t="n"/>
      <c r="P17" s="102" t="inlineStr">
        <is>
          <t>Just</t>
        </is>
      </c>
      <c r="Q17" s="103" t="n"/>
      <c r="R17" s="102" t="n"/>
      <c r="S17" s="102" t="n"/>
      <c r="T17" s="102" t="inlineStr">
        <is>
          <t>NDC Support</t>
        </is>
      </c>
      <c r="U17" s="102" t="n"/>
      <c r="V17" s="104" t="n"/>
      <c r="W17" s="102" t="n"/>
      <c r="X17" s="104" t="n"/>
      <c r="Y17" s="105" t="n"/>
      <c r="Z17" s="105" t="n"/>
      <c r="AA17" s="99" t="n"/>
      <c r="AB17" s="99" t="n"/>
      <c r="AC17" s="99" t="n"/>
      <c r="AD17" s="99" t="n"/>
      <c r="AE17" s="99" t="n"/>
      <c r="AF17" s="102" t="n"/>
      <c r="AG17" s="99" t="n"/>
      <c r="AH17" s="99" t="n"/>
      <c r="AI17" s="99" t="n"/>
    </row>
    <row r="18" ht="152.25" customFormat="1" customHeight="1" s="84">
      <c r="A18" s="126" t="inlineStr">
        <is>
          <t>TRI/SGP/OP7/YI/CORE/CC/22/09</t>
        </is>
      </c>
      <c r="B18" s="52" t="inlineStr">
        <is>
          <t>Improving community climate resilience in Matelot by implementing green solutions to address its electricity, water and food limitations.</t>
        </is>
      </c>
      <c r="C18" s="127" t="inlineStr">
        <is>
          <t xml:space="preserve">https://sgp.undp.org/spacial-itemid-projects-landing-page/spacial-itemid-project-search-results/spacial-itemid-project-detailpage.html?view=projectdetail&amp;id=32045 </t>
        </is>
      </c>
      <c r="D18" s="128" t="n">
        <v>26000</v>
      </c>
      <c r="E18" s="156" t="n"/>
      <c r="F18" s="156" t="n"/>
      <c r="G18" s="156" t="n"/>
      <c r="H18" s="128" t="inlineStr">
        <is>
          <t>VF</t>
        </is>
      </c>
      <c r="I18" s="79" t="inlineStr">
        <is>
          <t>Electricity Access</t>
        </is>
      </c>
      <c r="J18" s="52" t="inlineStr">
        <is>
          <t>No. of activities supported by installation</t>
        </is>
      </c>
      <c r="K18" s="126" t="n">
        <v>0</v>
      </c>
      <c r="L18" s="126" t="n">
        <v>200</v>
      </c>
      <c r="M18" s="52" t="inlineStr">
        <is>
          <t xml:space="preserve">The project was able to implement solar system in the Matelot Police Youth Club, a building which had not had electricity for over six years. The activities included installation of the a 5kwh solar system, 2 solar hydroponics and a rainwater harvester. These installations now all the club house to facilitate workshops that positively engage 15 women and 50 youths of the community (27 girls and 23 boys) e.g. music, carpentry, etc.. The indirect beneficiaries are the entire community of Matelot, which are 200 people who can now access electricy in case of outages, which occur at least 2-3 times a week. </t>
        </is>
      </c>
      <c r="N18" s="129" t="inlineStr">
        <is>
          <t xml:space="preserve">GEF SGP </t>
        </is>
      </c>
      <c r="O18" s="130">
        <f>(27+15)/67</f>
        <v/>
      </c>
      <c r="P18" s="133" t="inlineStr">
        <is>
          <t>Efficiency</t>
        </is>
      </c>
      <c r="Q18" s="79" t="inlineStr">
        <is>
          <t>Close the gap on energy access</t>
        </is>
      </c>
      <c r="R18" s="133" t="inlineStr">
        <is>
          <t>Electricity Access</t>
        </is>
      </c>
      <c r="S18" s="133" t="n"/>
      <c r="T18" s="133" t="n"/>
      <c r="U18" s="133" t="n"/>
      <c r="V18" s="80" t="n"/>
      <c r="W18" s="133" t="n"/>
      <c r="X18" s="80" t="n"/>
      <c r="AA18" s="129" t="n"/>
      <c r="AB18" s="30" t="inlineStr">
        <is>
          <t>to the CO: Please estimate number of beneficiaries.</t>
        </is>
      </c>
      <c r="AC18" s="129" t="n"/>
      <c r="AD18" s="131" t="inlineStr">
        <is>
          <t>Accelerating just energy transition</t>
        </is>
      </c>
      <c r="AE18" s="131" t="inlineStr">
        <is>
          <t>Electricity Access</t>
        </is>
      </c>
      <c r="AF18" s="133" t="n"/>
      <c r="AG18" s="131" t="n"/>
      <c r="AH18" s="131" t="n"/>
      <c r="AI18" s="131" t="n"/>
    </row>
    <row r="19">
      <c r="A19" s="126" t="n"/>
      <c r="B19" s="52" t="n"/>
      <c r="C19" s="127" t="n"/>
      <c r="D19" s="128" t="n"/>
      <c r="E19" s="128" t="n"/>
      <c r="F19" s="128" t="n"/>
      <c r="G19" s="128" t="n"/>
      <c r="H19" s="128" t="n"/>
      <c r="I19" s="157" t="inlineStr">
        <is>
          <t>Energy (MW added)</t>
        </is>
      </c>
      <c r="J19" s="52" t="inlineStr">
        <is>
          <t>Installed capacity in MW for access/productive-use outputs</t>
        </is>
      </c>
      <c r="K19" s="126" t="n">
        <v>0</v>
      </c>
      <c r="L19" s="158" t="n"/>
      <c r="M19" s="159" t="inlineStr">
        <is>
          <t>[AUTO-ADDED] Project reports access/productive-use beneficiary numbers but no MW value. Please add installed capacity (MW) or confirm not applicable.</t>
        </is>
      </c>
      <c r="N19" s="160" t="n"/>
      <c r="O19" s="161" t="n"/>
      <c r="P19" s="162" t="n"/>
      <c r="Q19" s="157" t="n"/>
      <c r="R19" s="162" t="n"/>
      <c r="S19" s="162" t="n"/>
      <c r="T19" s="162" t="n"/>
      <c r="U19" s="162" t="n"/>
      <c r="V19" s="163" t="n"/>
      <c r="W19" s="162" t="n"/>
      <c r="X19" s="163" t="n"/>
      <c r="Y19" s="164" t="n"/>
      <c r="Z19" s="164" t="n"/>
      <c r="AA19" s="160" t="n"/>
      <c r="AB19" s="30" t="n"/>
      <c r="AC19" s="160" t="n"/>
      <c r="AD19" s="165" t="n"/>
      <c r="AE19" s="165" t="n"/>
      <c r="AF19" s="162" t="n"/>
      <c r="AG19" s="165" t="n"/>
      <c r="AH19" s="165" t="n"/>
      <c r="AI19" s="165" t="n"/>
    </row>
    <row r="20"/>
    <row r="21"/>
    <row r="22"/>
    <row r="23"/>
    <row r="24"/>
    <row r="25"/>
    <row r="26">
      <c r="C26" s="132" t="n"/>
    </row>
    <row r="27">
      <c r="C27" s="132" t="n"/>
    </row>
    <row r="28">
      <c r="C28" s="132" t="n"/>
    </row>
    <row r="29">
      <c r="C29" s="132" t="n"/>
    </row>
    <row r="30">
      <c r="C30" s="132" t="n"/>
    </row>
    <row r="31">
      <c r="C31" s="132" t="n"/>
    </row>
    <row r="32">
      <c r="C32" s="132" t="n"/>
    </row>
  </sheetData>
  <dataValidations count="16">
    <dataValidation sqref="P19:Q20 AB2:AB18" showDropDown="0" showInputMessage="1" showErrorMessage="1" allowBlank="1" type="list">
      <formula1>"Electricity Access, Energy Efficiency, Clean Cooking, Renewable Energy"</formula1>
    </dataValidation>
    <dataValidation sqref="P2:P18 AD2:AD18" showDropDown="0" showInputMessage="1" showErrorMessage="1" allowBlank="1" type="list">
      <formula1>"AMP, PUDC, Solar4Health, Action Opportunities, Italy UNDP Energy Partnership"</formula1>
    </dataValidation>
    <dataValidation sqref="N2:N18 O19:O20 AA2:AA18" showDropDown="0" showInputMessage="1" showErrorMessage="1" allowBlank="1" type="list">
      <formula1>"Accelerating just energy transition, Close the gap on energy access, Scale up energy finance"</formula1>
    </dataValidation>
    <dataValidation sqref="Q2:Q18 S19:S29 AE2:AE18"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T19:T32 AF2:AF18" showDropDown="0" showInputMessage="1" showErrorMessage="1" allowBlank="1" type="list">
      <formula1>"Electricity Access, Energy Efficiency, Renewable EnergyEnergy Infrastructure,   Transport, Digital &amp; Data, Clean Cooking, Decarbonization, Hydrogen, Off-Grid, On-Grid"</formula1>
    </dataValidation>
    <dataValidation sqref="O2:O18" showDropDown="0" showInputMessage="1" showErrorMessage="1" allowBlank="1" type="list">
      <formula1>"Electricity Access, Energy Efficiency, Clean Cooking, Renewable Energy, Overall"</formula1>
    </dataValidation>
    <dataValidation sqref="M2:M18" showDropDown="0" showInputMessage="1" showErrorMessage="1" allowBlank="1" type="list">
      <formula1>"Finance, Gender, Efficiency, Just, Health"</formula1>
    </dataValidation>
    <dataValidation sqref="T2:T18" showDropDown="0" showInputMessage="1" showErrorMessage="1" allowBlank="1" type="list">
      <formula1>"National, Regional, City, Community"</formula1>
    </dataValidation>
    <dataValidation sqref="L2:L18" showDropDown="0" showInputMessage="1" showErrorMessage="1" allowBlank="1" type="list">
      <formula1>"Non-VF, VF"</formula1>
    </dataValidation>
    <dataValidation sqref="R2:R18"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18" showDropDown="0" showInputMessage="1" showErrorMessage="1" allowBlank="1" type="list">
      <formula1>"Solar, Wind, Bioenergy, Hydro, Geothermal, Waste, Some Sources, Other, Unknown"</formula1>
    </dataValidation>
    <dataValidation sqref="AB14 AC2:AC13 AC15:AC18" showDropDown="0" showInputMessage="1" showErrorMessage="1" allowBlank="1" type="list">
      <formula1>"Tier 1, Tier 2, Tier 3"</formula1>
    </dataValidation>
    <dataValidation sqref="E2:E5 E7:E16" showDropDown="0" showInputMessage="1" showErrorMessage="1" allowBlank="1" type="list">
      <formula1>$A$2:$A$22</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9" r:id="rId2"/>
    <hyperlink xmlns:r="http://schemas.openxmlformats.org/officeDocument/2006/relationships" ref="C18" r:id="rId3"/>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tabSelected="1" workbookViewId="0">
      <pane ySplit="1" topLeftCell="A2" activePane="bottomLeft" state="frozen"/>
      <selection pane="bottomLeft" activeCell="A1" sqref="A1"/>
    </sheetView>
  </sheetViews>
  <sheetFormatPr baseColWidth="8" defaultRowHeight="14.45"/>
  <cols>
    <col width="36" customWidth="1" min="1" max="2"/>
    <col width="110" customWidth="1" min="2" max="2"/>
  </cols>
  <sheetData>
    <row r="1">
      <c r="A1" s="166" t="inlineStr">
        <is>
          <t>Beneficiary Category</t>
        </is>
      </c>
      <c r="B1" s="166" t="inlineStr">
        <is>
          <t>Indicator</t>
        </is>
      </c>
    </row>
    <row r="2" ht="43.5" customHeight="1">
      <c r="A2" s="167" t="inlineStr">
        <is>
          <t>Electricity Access</t>
        </is>
      </c>
      <c r="B2" s="167" t="inlineStr">
        <is>
          <t>Number of people, disaggregated by sex, who gain access to clean electricity (direct access to electricity, lighting, cooling, etc.).</t>
        </is>
      </c>
    </row>
    <row r="3">
      <c r="A3" s="167" t="inlineStr">
        <is>
          <t>Energy (MW added)</t>
        </is>
      </c>
      <c r="B3" s="167" t="inlineStr">
        <is>
          <t>Installed renewable or clean-energy power capacity added, in MW.</t>
        </is>
      </c>
    </row>
    <row r="4" ht="29.1" customHeight="1">
      <c r="A4" s="167" t="inlineStr">
        <is>
          <t>Energy Storage (MW)</t>
        </is>
      </c>
      <c r="B4" s="167" t="inlineStr">
        <is>
          <t>Installed energy storage power capacity added, in MW.</t>
        </is>
      </c>
    </row>
    <row r="5" ht="29.1" customHeight="1">
      <c r="A5" s="167" t="inlineStr">
        <is>
          <t>Clean Cooking</t>
        </is>
      </c>
      <c r="B5" s="167" t="inlineStr">
        <is>
          <t>Number of people who gain access to clean cooking (direct access to clean cook stoves, clean fuels, biomass, etc.).</t>
        </is>
      </c>
    </row>
    <row r="6" ht="87" customHeight="1">
      <c r="A6" s="167" t="inlineStr">
        <is>
          <t>Clean Heating</t>
        </is>
      </c>
      <c r="B6" s="167" t="inlineStr">
        <is>
          <t>Number of people who gain access to clean heating (direct access to clean electric heaters, clean fuels, etc.).</t>
        </is>
      </c>
    </row>
    <row r="7" ht="43.5" customHeight="1">
      <c r="A7" s="167" t="inlineStr">
        <is>
          <t>Agriculture and Food System</t>
        </is>
      </c>
      <c r="B7" s="167" t="inlineStr">
        <is>
          <t>Number of people who gain access to clean, affordable, and sustainable energy for agricultural and food-system activities.</t>
        </is>
      </c>
    </row>
    <row r="8" ht="43.5" customHeight="1">
      <c r="A8" s="167" t="inlineStr">
        <is>
          <t>Health Services</t>
        </is>
      </c>
      <c r="B8" s="167" t="inlineStr">
        <is>
          <t>Number of people who gain access to health care facilities through clean energy systems.</t>
        </is>
      </c>
    </row>
    <row r="9" ht="43.5" customHeight="1">
      <c r="A9" s="167" t="inlineStr">
        <is>
          <t>Water Services</t>
        </is>
      </c>
      <c r="B9" s="167" t="inlineStr">
        <is>
          <t>Number of people who gain access to water services through clean energy systems.</t>
        </is>
      </c>
    </row>
    <row r="10" ht="29.1" customHeight="1">
      <c r="A10" s="167" t="inlineStr">
        <is>
          <t>Education Services</t>
        </is>
      </c>
      <c r="B10" s="167" t="inlineStr">
        <is>
          <t>Number of people who gain access to education services through clean energy systems, including students and teachers.</t>
        </is>
      </c>
    </row>
    <row r="11" ht="29.1" customHeight="1">
      <c r="A11" s="167" t="inlineStr">
        <is>
          <t>Transportation and E-mobility Services</t>
        </is>
      </c>
      <c r="B11" s="167" t="inlineStr">
        <is>
          <t>Number of people served or energy saved from transport and e-mobility interventions, such as electric vehicles or charging stations.</t>
        </is>
      </c>
    </row>
    <row r="12" ht="43.5" customHeight="1">
      <c r="A12" s="167" t="inlineStr">
        <is>
          <t>Energy Efficiency Services</t>
        </is>
      </c>
      <c r="B12" s="167" t="inlineStr">
        <is>
          <t>Energy saved from energy-efficiency interventions, such as building or industrial efficiency.</t>
        </is>
      </c>
    </row>
    <row r="13" ht="29.1" customHeight="1">
      <c r="A13" s="167" t="inlineStr">
        <is>
          <t>Energy Infrastructure Services</t>
        </is>
      </c>
      <c r="B13" s="167" t="inlineStr">
        <is>
          <t>Number of people benefiting from energy infrastructure interventions, such as streetlights, transmission, and distribution lines.</t>
        </is>
      </c>
    </row>
    <row r="14">
      <c r="A14" s="167" t="inlineStr">
        <is>
          <t>Other Energy Services</t>
        </is>
      </c>
      <c r="B14" s="167" t="inlineStr">
        <is>
          <t>Access to other energy services not captured by the categories above.</t>
        </is>
      </c>
    </row>
    <row r="15" ht="29.1" customHeight="1">
      <c r="A15" s="167" t="inlineStr">
        <is>
          <t>Financing support</t>
        </is>
      </c>
      <c r="B15" s="167" t="inlineStr">
        <is>
          <t>Support for the development of the energy market ecosystem.</t>
        </is>
      </c>
    </row>
    <row r="16" ht="29.1" customHeight="1">
      <c r="A16" s="167" t="inlineStr">
        <is>
          <t>Medium Enterprises</t>
        </is>
      </c>
      <c r="B16" s="167" t="inlineStr">
        <is>
          <t>Support for the development of medium enterprises in the energy transition market.</t>
        </is>
      </c>
    </row>
    <row r="17" ht="29.1" customHeight="1">
      <c r="A17" s="167" t="inlineStr">
        <is>
          <t>Small Enterprises</t>
        </is>
      </c>
      <c r="B17" s="167" t="inlineStr">
        <is>
          <t>Support for the development of small enterprises in the energy transition market.</t>
        </is>
      </c>
    </row>
    <row r="18" ht="29.1" customHeight="1">
      <c r="A18" s="167" t="inlineStr">
        <is>
          <t>Capacity Building Training</t>
        </is>
      </c>
      <c r="B18" s="167" t="inlineStr">
        <is>
          <t>Number of people benefiting from training on energy business, energy finance, or related implementation capacity.</t>
        </is>
      </c>
    </row>
    <row r="19" ht="72.59999999999999" customHeight="1">
      <c r="A19" s="167" t="inlineStr">
        <is>
          <t>Entrepreneurship Training</t>
        </is>
      </c>
      <c r="B19" s="167" t="inlineStr">
        <is>
          <t>Training for enterprises on the energy business, assumed to result in direct beneficiaries.</t>
        </is>
      </c>
    </row>
    <row r="20" ht="29.1" customHeight="1">
      <c r="A20" s="167" t="inlineStr">
        <is>
          <t>Market Intervention</t>
        </is>
      </c>
      <c r="B20" s="167" t="inlineStr">
        <is>
          <t>Volume of investment leveraged or barriers removed for clean, reliable, affordable, and sustainable energy solutions.</t>
        </is>
      </c>
    </row>
    <row r="21" ht="43.5" customHeight="1">
      <c r="A21" s="167" t="inlineStr">
        <is>
          <t>Campaign Participant</t>
        </is>
      </c>
      <c r="B21" s="167" t="inlineStr">
        <is>
          <t>Individuals who participate in advocacy or awareness campaigns on energy.</t>
        </is>
      </c>
    </row>
    <row r="22" ht="29.1" customHeight="1">
      <c r="A22" s="167" t="inlineStr">
        <is>
          <t>Policy or Regulatory Framework</t>
        </is>
      </c>
      <c r="B22" s="167" t="inlineStr">
        <is>
          <t>Policies, regulations, strategies, plans, or frameworks developed, approved, implemented, or strengthened.</t>
        </is>
      </c>
    </row>
    <row r="23">
      <c r="A23" s="167" t="inlineStr">
        <is>
          <t>GHG Emissions Reduction</t>
        </is>
      </c>
      <c r="B23" s="167" t="inlineStr">
        <is>
          <t>Greenhouse gas emissions reduced or mitigated, in tCO2e.</t>
        </is>
      </c>
    </row>
    <row r="24">
      <c r="A24" s="167" t="inlineStr">
        <is>
          <t>Other</t>
        </is>
      </c>
      <c r="B24" s="167"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2026-06-08T15:49:48Z</dcterms:modified>
  <cp:lastModifiedBy>Danae franco Lopera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