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sz val="8"/>
      <scheme val="minor"/>
    </font>
    <font>
      <name val="Helvetica Neue"/>
      <charset val="1"/>
      <color rgb="FFFF0000"/>
      <sz val="10"/>
    </font>
    <font>
      <name val="Calibri"/>
      <charset val="1"/>
      <color rgb="FF000000"/>
      <sz val="11"/>
    </font>
    <font>
      <name val="Helvetica Neue"/>
      <charset val="1"/>
      <b val="1"/>
      <color rgb="FFFF0000"/>
      <sz val="10"/>
    </font>
    <font>
      <name val="Calibri"/>
      <color rgb="FFFF0000"/>
      <sz val="11"/>
      <scheme val="minor"/>
    </font>
    <font>
      <name val="Calibri"/>
      <color rgb="FF000000"/>
      <sz val="11"/>
      <scheme val="minor"/>
    </font>
    <font>
      <name val="Helvetica Neue"/>
      <b val="1"/>
      <color rgb="FFFF0000"/>
      <sz val="10"/>
    </font>
    <font>
      <name val="Helvetica Neue"/>
      <b val="1"/>
      <color rgb="FF0070C0"/>
      <sz val="10"/>
    </font>
    <font>
      <name val="Calibri"/>
      <b val="1"/>
      <color theme="1"/>
      <sz val="11"/>
      <scheme val="minor"/>
    </font>
    <font>
      <name val="Helvetica Neue"/>
      <b val="1"/>
      <color rgb="FF00B050"/>
      <sz val="10"/>
    </font>
    <font>
      <name val="Helvetica Neue"/>
      <b val="1"/>
      <color rgb="FF000000"/>
      <sz val="10"/>
    </font>
    <font>
      <b val="1"/>
    </font>
  </fonts>
  <fills count="6">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theme="0"/>
        <bgColor indexed="64"/>
      </patternFill>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0" fontId="3" fillId="0" borderId="0" applyAlignment="1" applyProtection="1">
      <alignment vertical="top"/>
      <protection locked="0" hidden="0"/>
    </xf>
  </cellStyleXfs>
  <cellXfs count="87">
    <xf numFmtId="0" fontId="0" fillId="0" borderId="0" pivotButton="0" quotePrefix="0" xfId="0"/>
    <xf numFmtId="0" fontId="2" fillId="0" borderId="0" pivotButton="0" quotePrefix="0" xfId="0"/>
    <xf numFmtId="0" fontId="2" fillId="0" borderId="2" applyAlignment="1" pivotButton="0" quotePrefix="0" xfId="0">
      <alignment horizontal="center" vertical="top"/>
    </xf>
    <xf numFmtId="0" fontId="0" fillId="0" borderId="1" applyAlignment="1" pivotButton="0" quotePrefix="0" xfId="0">
      <alignment vertical="top"/>
    </xf>
    <xf numFmtId="0" fontId="3" fillId="0" borderId="1" applyAlignment="1" pivotButton="0" quotePrefix="0" xfId="1">
      <alignment vertical="top"/>
    </xf>
    <xf numFmtId="0" fontId="0" fillId="2" borderId="1" applyAlignment="1" pivotButton="0" quotePrefix="0" xfId="0">
      <alignment vertical="top"/>
    </xf>
    <xf numFmtId="0" fontId="0" fillId="2" borderId="1" applyAlignment="1" pivotButton="0" quotePrefix="0" xfId="0">
      <alignment wrapText="1"/>
    </xf>
    <xf numFmtId="0" fontId="0" fillId="2" borderId="1" applyAlignment="1" pivotButton="0" quotePrefix="0" xfId="0">
      <alignment vertical="top" wrapText="1"/>
    </xf>
    <xf numFmtId="0" fontId="0" fillId="2" borderId="1" pivotButton="0" quotePrefix="0" xfId="0"/>
    <xf numFmtId="0" fontId="0" fillId="0" borderId="1" applyAlignment="1" pivotButton="0" quotePrefix="0" xfId="0">
      <alignment vertical="top" wrapText="1"/>
    </xf>
    <xf numFmtId="0" fontId="0" fillId="2" borderId="1" applyAlignment="1" pivotButton="0" quotePrefix="0" xfId="0">
      <alignment horizontal="left" vertical="top"/>
    </xf>
    <xf numFmtId="0" fontId="0" fillId="2" borderId="1" applyAlignment="1" pivotButton="0" quotePrefix="0" xfId="0">
      <alignment horizontal="left" vertical="top" wrapText="1"/>
    </xf>
    <xf numFmtId="3" fontId="0" fillId="2" borderId="1" applyAlignment="1" pivotButton="0" quotePrefix="0" xfId="0">
      <alignment horizontal="left" vertical="top" wrapText="1"/>
    </xf>
    <xf numFmtId="0" fontId="2" fillId="0" borderId="3" pivotButton="0" quotePrefix="0" xfId="0"/>
    <xf numFmtId="49" fontId="2" fillId="0" borderId="3" pivotButton="0" quotePrefix="0" xfId="0"/>
    <xf numFmtId="0" fontId="2" fillId="0" borderId="3" applyAlignment="1" pivotButton="0" quotePrefix="0" xfId="0">
      <alignment horizontal="center" vertical="top"/>
    </xf>
    <xf numFmtId="0" fontId="0" fillId="2" borderId="3" applyAlignment="1" pivotButton="0" quotePrefix="0" xfId="0">
      <alignment vertical="top"/>
    </xf>
    <xf numFmtId="0" fontId="0" fillId="2" borderId="3" applyAlignment="1" pivotButton="0" quotePrefix="0" xfId="0">
      <alignment wrapText="1"/>
    </xf>
    <xf numFmtId="0" fontId="0" fillId="2" borderId="3" applyAlignment="1" pivotButton="0" quotePrefix="0" xfId="0">
      <alignment vertical="top" wrapText="1"/>
    </xf>
    <xf numFmtId="0" fontId="0" fillId="2" borderId="3" pivotButton="0" quotePrefix="0" xfId="0"/>
    <xf numFmtId="0" fontId="0" fillId="0" borderId="3" applyAlignment="1" pivotButton="0" quotePrefix="0" xfId="0">
      <alignment vertical="top" wrapText="1"/>
    </xf>
    <xf numFmtId="0" fontId="0" fillId="0" borderId="3" pivotButton="0" quotePrefix="0" xfId="0"/>
    <xf numFmtId="0" fontId="5" fillId="0" borderId="3" applyAlignment="1" pivotButton="0" quotePrefix="0" xfId="0">
      <alignment vertical="center"/>
    </xf>
    <xf numFmtId="3" fontId="0" fillId="2" borderId="3" applyAlignment="1" pivotButton="0" quotePrefix="0" xfId="0">
      <alignment vertical="top" wrapText="1"/>
    </xf>
    <xf numFmtId="0" fontId="6" fillId="0" borderId="3" pivotButton="0" quotePrefix="0" xfId="0"/>
    <xf numFmtId="0" fontId="0" fillId="2" borderId="3" applyAlignment="1" pivotButton="0" quotePrefix="0" xfId="0">
      <alignment horizontal="left" vertical="top"/>
    </xf>
    <xf numFmtId="0" fontId="0" fillId="2" borderId="3" applyAlignment="1" pivotButton="0" quotePrefix="0" xfId="0">
      <alignment horizontal="left" vertical="top" wrapText="1"/>
    </xf>
    <xf numFmtId="0" fontId="0" fillId="0" borderId="3" applyAlignment="1" pivotButton="0" quotePrefix="0" xfId="0">
      <alignment vertical="top"/>
    </xf>
    <xf numFmtId="0" fontId="3" fillId="0" borderId="3" applyAlignment="1" pivotButton="0" quotePrefix="0" xfId="1">
      <alignment vertical="top"/>
    </xf>
    <xf numFmtId="3" fontId="0" fillId="2" borderId="3" applyAlignment="1" pivotButton="0" quotePrefix="0" xfId="0">
      <alignment horizontal="left" vertical="top" wrapText="1"/>
    </xf>
    <xf numFmtId="0" fontId="0" fillId="0" borderId="4" applyAlignment="1" pivotButton="0" quotePrefix="0" xfId="0">
      <alignment vertical="top" wrapText="1"/>
    </xf>
    <xf numFmtId="0" fontId="0" fillId="0" borderId="5" pivotButton="0" quotePrefix="0" xfId="0"/>
    <xf numFmtId="0" fontId="0" fillId="0" borderId="6" pivotButton="0" quotePrefix="0" xfId="0"/>
    <xf numFmtId="0" fontId="5" fillId="0" borderId="7" applyAlignment="1" pivotButton="0" quotePrefix="0" xfId="0">
      <alignment vertical="center"/>
    </xf>
    <xf numFmtId="49" fontId="2" fillId="0" borderId="5" pivotButton="0" quotePrefix="0" xfId="0"/>
    <xf numFmtId="49" fontId="2" fillId="0" borderId="6" pivotButton="0" quotePrefix="0" xfId="0"/>
    <xf numFmtId="49" fontId="2" fillId="0" borderId="0" pivotButton="0" quotePrefix="0" xfId="0"/>
    <xf numFmtId="49" fontId="7" fillId="3" borderId="3" applyAlignment="1" pivotButton="0" quotePrefix="0" xfId="0">
      <alignment horizontal="center" vertical="center"/>
    </xf>
    <xf numFmtId="0" fontId="7" fillId="3" borderId="0" pivotButton="0" quotePrefix="0" xfId="0"/>
    <xf numFmtId="49" fontId="7" fillId="3" borderId="3" applyAlignment="1" pivotButton="0" quotePrefix="0" xfId="0">
      <alignment vertical="center"/>
    </xf>
    <xf numFmtId="49" fontId="10" fillId="3" borderId="3" applyAlignment="1" pivotButton="0" quotePrefix="0" xfId="0">
      <alignment vertical="center" wrapText="1"/>
    </xf>
    <xf numFmtId="0" fontId="2" fillId="0" borderId="3" applyAlignment="1" pivotButton="0" quotePrefix="0" xfId="0">
      <alignment horizontal="center" vertical="top" wrapText="1"/>
    </xf>
    <xf numFmtId="0" fontId="2" fillId="0" borderId="3" applyAlignment="1" pivotButton="0" quotePrefix="0" xfId="0">
      <alignment wrapText="1"/>
    </xf>
    <xf numFmtId="49" fontId="2" fillId="0" borderId="3" applyAlignment="1" pivotButton="0" quotePrefix="0" xfId="0">
      <alignment wrapText="1"/>
    </xf>
    <xf numFmtId="0" fontId="0" fillId="0" borderId="3" applyAlignment="1" pivotButton="0" quotePrefix="0" xfId="0">
      <alignment wrapText="1"/>
    </xf>
    <xf numFmtId="0" fontId="5" fillId="0" borderId="3" applyAlignment="1" pivotButton="0" quotePrefix="0" xfId="0">
      <alignment vertical="center" wrapText="1"/>
    </xf>
    <xf numFmtId="0" fontId="6" fillId="0" borderId="3" applyAlignment="1" pivotButton="0" quotePrefix="0" xfId="0">
      <alignment wrapText="1"/>
    </xf>
    <xf numFmtId="0" fontId="3" fillId="0" borderId="3" applyAlignment="1" pivotButton="0" quotePrefix="0" xfId="1">
      <alignment vertical="top" wrapText="1"/>
    </xf>
    <xf numFmtId="0" fontId="0" fillId="0" borderId="3" applyAlignment="1" pivotButton="0" quotePrefix="0" xfId="0">
      <alignment horizontal="center" vertical="center"/>
    </xf>
    <xf numFmtId="0" fontId="12" fillId="0" borderId="3" applyAlignment="1" pivotButton="0" quotePrefix="0" xfId="0">
      <alignment horizontal="center" vertical="top" wrapText="1"/>
    </xf>
    <xf numFmtId="0" fontId="9" fillId="0" borderId="3" applyAlignment="1" pivotButton="0" quotePrefix="0" xfId="0">
      <alignment wrapText="1"/>
    </xf>
    <xf numFmtId="0" fontId="0" fillId="0" borderId="3" applyAlignment="1" pivotButton="0" quotePrefix="0" xfId="0">
      <alignment vertical="center"/>
    </xf>
    <xf numFmtId="0" fontId="0" fillId="0" borderId="3" applyAlignment="1" pivotButton="0" quotePrefix="0" xfId="0">
      <alignment vertical="center" wrapText="1"/>
    </xf>
    <xf numFmtId="0" fontId="2" fillId="0" borderId="3" applyAlignment="1" pivotButton="0" quotePrefix="0" xfId="0">
      <alignment horizontal="center"/>
    </xf>
    <xf numFmtId="0" fontId="2" fillId="0" borderId="5" applyAlignment="1" pivotButton="0" quotePrefix="0" xfId="0">
      <alignment horizontal="center"/>
    </xf>
    <xf numFmtId="0" fontId="2" fillId="0" borderId="9" applyAlignment="1" pivotButton="0" quotePrefix="0" xfId="0">
      <alignment horizontal="center"/>
    </xf>
    <xf numFmtId="0" fontId="2" fillId="0" borderId="5" pivotButton="0" quotePrefix="0" xfId="0"/>
    <xf numFmtId="0" fontId="0" fillId="0" borderId="4" applyAlignment="1" pivotButton="0" quotePrefix="0" xfId="0">
      <alignment horizontal="center" vertical="center"/>
    </xf>
    <xf numFmtId="0" fontId="0" fillId="0" borderId="10" applyAlignment="1" pivotButton="0" quotePrefix="0" xfId="0">
      <alignment horizontal="center" vertical="center" wrapText="1"/>
    </xf>
    <xf numFmtId="43" fontId="0" fillId="2" borderId="3" applyAlignment="1" pivotButton="0" quotePrefix="0" xfId="0">
      <alignment vertical="top" wrapText="1"/>
    </xf>
    <xf numFmtId="43" fontId="2" fillId="0" borderId="3" applyAlignment="1" pivotButton="0" quotePrefix="0" xfId="0">
      <alignment wrapText="1"/>
    </xf>
    <xf numFmtId="0" fontId="2" fillId="0" borderId="3" applyAlignment="1" pivotButton="0" quotePrefix="0" xfId="0">
      <alignment vertical="center" wrapText="1"/>
    </xf>
    <xf numFmtId="9" fontId="0" fillId="0" borderId="3" applyAlignment="1" pivotButton="0" quotePrefix="0" xfId="0">
      <alignment vertical="center" wrapText="1"/>
    </xf>
    <xf numFmtId="0" fontId="0" fillId="0" borderId="0" applyAlignment="1" pivotButton="0" quotePrefix="0" xfId="0">
      <alignment vertical="center"/>
    </xf>
    <xf numFmtId="43" fontId="2" fillId="0" borderId="3" applyAlignment="1" pivotButton="0" quotePrefix="0" xfId="0">
      <alignment horizontal="center" vertical="center" wrapText="1"/>
    </xf>
    <xf numFmtId="49" fontId="2" fillId="0" borderId="3" applyAlignment="1" pivotButton="0" quotePrefix="0" xfId="0">
      <alignment horizontal="center" vertical="center" wrapText="1"/>
    </xf>
    <xf numFmtId="0" fontId="0" fillId="0" borderId="3" applyAlignment="1" pivotButton="0" quotePrefix="0" xfId="0">
      <alignment horizontal="center" vertical="top" wrapText="1"/>
    </xf>
    <xf numFmtId="0" fontId="3" fillId="0" borderId="3" applyAlignment="1" pivotButton="0" quotePrefix="0" xfId="1">
      <alignment horizontal="center" vertical="top" wrapText="1"/>
    </xf>
    <xf numFmtId="0" fontId="0" fillId="0" borderId="5"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0" fontId="0" fillId="0" borderId="3" applyAlignment="1" pivotButton="0" quotePrefix="0" xfId="0">
      <alignment horizontal="center" vertical="top"/>
    </xf>
    <xf numFmtId="0" fontId="3" fillId="0" borderId="3" applyAlignment="1" pivotButton="0" quotePrefix="0" xfId="1">
      <alignment horizontal="center" vertical="top"/>
    </xf>
    <xf numFmtId="49" fontId="10" fillId="4" borderId="3" applyAlignment="1" pivotButton="0" quotePrefix="0" xfId="0">
      <alignment vertical="center" wrapText="1"/>
    </xf>
    <xf numFmtId="0" fontId="10" fillId="4" borderId="3" applyAlignment="1" pivotButton="0" quotePrefix="0" xfId="0">
      <alignment horizontal="left" vertical="center" wrapText="1"/>
    </xf>
    <xf numFmtId="0" fontId="10" fillId="4" borderId="3" applyAlignment="1" pivotButton="0" quotePrefix="0" xfId="0">
      <alignment horizontal="center" vertical="center" wrapText="1"/>
    </xf>
    <xf numFmtId="49" fontId="10" fillId="4" borderId="3" applyAlignment="1" pivotButton="0" quotePrefix="0" xfId="0">
      <alignment horizontal="center" vertical="center" wrapText="1"/>
    </xf>
    <xf numFmtId="0" fontId="1" fillId="2" borderId="3" applyAlignment="1" pivotButton="0" quotePrefix="0" xfId="0">
      <alignment vertical="top" wrapText="1"/>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0" fillId="5" borderId="3" applyAlignment="1" pivotButton="0" quotePrefix="0" xfId="0">
      <alignment vertical="top" wrapText="1"/>
    </xf>
    <xf numFmtId="0" fontId="0" fillId="5" borderId="3" applyAlignment="1" pivotButton="0" quotePrefix="0" xfId="0">
      <alignment horizontal="left" vertical="top" wrapText="1"/>
    </xf>
    <xf numFmtId="0" fontId="6" fillId="5" borderId="3" applyAlignment="1" pivotButton="0" quotePrefix="0" xfId="0">
      <alignment wrapText="1"/>
    </xf>
    <xf numFmtId="0" fontId="0" fillId="0" borderId="8" pivotButton="0" quotePrefix="0" xfId="0"/>
    <xf numFmtId="0" fontId="15"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06770" TargetMode="External" Id="rId1"/></Relationships>
</file>

<file path=xl/worksheets/_rels/sheet2.xml.rels><Relationships xmlns="http://schemas.openxmlformats.org/package/2006/relationships"><Relationship Type="http://schemas.openxmlformats.org/officeDocument/2006/relationships/hyperlink" Target="http://open.undp.org/projects/00106770" TargetMode="External" Id="rId1"/><Relationship Type="http://schemas.openxmlformats.org/officeDocument/2006/relationships/hyperlink" Target="http://open.undp.org/projects/00135714" TargetMode="External" Id="rId2"/><Relationship Type="http://schemas.openxmlformats.org/officeDocument/2006/relationships/hyperlink" Target="http://open.undp.org/projects/00137393" TargetMode="External" Id="rId3"/></Relationships>
</file>

<file path=xl/worksheets/_rels/sheet3.xml.rels><Relationships xmlns="http://schemas.openxmlformats.org/package/2006/relationships"><Relationship Type="http://schemas.openxmlformats.org/officeDocument/2006/relationships/hyperlink" Target="http://open.undp.org/projects/00106770" TargetMode="External" Id="rId1"/><Relationship Type="http://schemas.openxmlformats.org/officeDocument/2006/relationships/hyperlink" Target="http://open.undp.org/projects/00135714" TargetMode="External" Id="rId2"/><Relationship Type="http://schemas.openxmlformats.org/officeDocument/2006/relationships/hyperlink" Target="http://open.undp.org/projects/00137393" TargetMode="External" Id="rId3"/></Relationships>
</file>

<file path=xl/worksheets/sheet1.xml><?xml version="1.0" encoding="utf-8"?>
<worksheet xmlns="http://schemas.openxmlformats.org/spreadsheetml/2006/main">
  <sheetPr>
    <outlinePr summaryBelow="1" summaryRight="1"/>
    <pageSetUpPr/>
  </sheetPr>
  <dimension ref="A1:AE19"/>
  <sheetViews>
    <sheetView tabSelected="1" workbookViewId="0">
      <pane ySplit="1" topLeftCell="O16" activePane="bottomLeft" state="frozen"/>
      <selection pane="bottomLeft" activeCell="AC17" sqref="AC17"/>
    </sheetView>
  </sheetViews>
  <sheetFormatPr baseColWidth="8" defaultRowHeight="15"/>
  <cols>
    <col width="51.28515625" bestFit="1" customWidth="1" min="2" max="2"/>
    <col width="20.7109375" customWidth="1" min="3" max="3"/>
    <col width="13" customWidth="1" min="4" max="4"/>
    <col width="13" customWidth="1" min="5" max="5"/>
    <col width="13" customWidth="1" min="6" max="6"/>
    <col width="13" customWidth="1" min="7" max="7"/>
    <col width="13" customWidth="1" min="8" max="8"/>
    <col width="32.7109375" customWidth="1" min="9" max="9"/>
    <col width="12" customWidth="1" min="10" max="10"/>
    <col width="9.140625" customWidth="1" style="63" min="11" max="11"/>
    <col width="12.85546875" bestFit="1" customWidth="1" min="12" max="12"/>
    <col width="4.28515625" bestFit="1" customWidth="1" style="36" min="13" max="13"/>
    <col width="14.42578125" bestFit="1" customWidth="1" min="14" max="14"/>
    <col width="14.85546875" bestFit="1" customWidth="1" min="15" max="15"/>
    <col width="16.5703125" bestFit="1" customWidth="1" min="17" max="17"/>
    <col width="18.140625" bestFit="1" customWidth="1" min="18" max="18"/>
    <col width="13.42578125" bestFit="1" customWidth="1" min="19" max="19"/>
    <col width="11.28515625" customWidth="1" min="25" max="25"/>
    <col width="14.42578125" customWidth="1" min="27" max="27"/>
    <col width="12.7109375" customWidth="1" min="28" max="28"/>
  </cols>
  <sheetData>
    <row r="1" ht="45.75" customHeight="1">
      <c r="A1" s="41" t="inlineStr">
        <is>
          <t>Project ID</t>
        </is>
      </c>
      <c r="B1" s="41" t="inlineStr">
        <is>
          <t>Title</t>
        </is>
      </c>
      <c r="C1" s="41" t="inlineStr">
        <is>
          <t>Link</t>
        </is>
      </c>
      <c r="D1" s="41" t="inlineStr">
        <is>
          <t>Budget</t>
        </is>
      </c>
      <c r="E1" s="41" t="inlineStr">
        <is>
          <t>Start Year</t>
        </is>
      </c>
      <c r="F1" s="41" t="inlineStr">
        <is>
          <t>End Year</t>
        </is>
      </c>
      <c r="G1" s="41" t="inlineStr">
        <is>
          <t>Status</t>
        </is>
      </c>
      <c r="H1" s="41" t="inlineStr">
        <is>
          <t>VF or Non-VF</t>
        </is>
      </c>
      <c r="I1" s="41" t="inlineStr">
        <is>
          <t>Beneficiary Category</t>
        </is>
      </c>
      <c r="J1" s="41" t="inlineStr">
        <is>
          <t>Indicator</t>
        </is>
      </c>
      <c r="K1" s="41" t="inlineStr">
        <is>
          <t>Baseline</t>
        </is>
      </c>
      <c r="L1" s="41" t="inlineStr">
        <is>
          <t>Target</t>
        </is>
      </c>
      <c r="M1" s="41" t="inlineStr">
        <is>
          <t>Notes</t>
        </is>
      </c>
      <c r="N1" s="42" t="inlineStr">
        <is>
          <t>Donors</t>
        </is>
      </c>
      <c r="O1" s="61" t="inlineStr">
        <is>
          <t>Gender (% female)</t>
        </is>
      </c>
      <c r="P1" s="54" t="inlineStr">
        <is>
          <t>Tag</t>
        </is>
      </c>
      <c r="Q1" s="53" t="inlineStr">
        <is>
          <t>SEH Taxonomy</t>
        </is>
      </c>
      <c r="R1" s="53" t="inlineStr">
        <is>
          <t>RISE Taxonomy</t>
        </is>
      </c>
      <c r="S1" s="54" t="inlineStr">
        <is>
          <t>Flagship</t>
        </is>
      </c>
      <c r="T1" s="54" t="inlineStr">
        <is>
          <t>Indirect Category</t>
        </is>
      </c>
      <c r="U1" s="55" t="inlineStr">
        <is>
          <t>Indirect Taxonomy</t>
        </is>
      </c>
      <c r="V1" s="56" t="inlineStr">
        <is>
          <t>Technology</t>
        </is>
      </c>
      <c r="W1" s="55" t="inlineStr">
        <is>
          <t>Policy or Regulatory Framework</t>
        </is>
      </c>
      <c r="X1" s="56" t="inlineStr">
        <is>
          <t>Policy Population</t>
        </is>
      </c>
    </row>
    <row r="2" ht="60.75" customHeight="1">
      <c r="A2" s="20" t="n">
        <v>106770</v>
      </c>
      <c r="B2" s="20" t="inlineStr">
        <is>
          <t>Enhanced Rural Resilience in Yemen II</t>
        </is>
      </c>
      <c r="C2" s="47" t="inlineStr">
        <is>
          <t>http://open.undp.org/projects/00106770</t>
        </is>
      </c>
      <c r="D2" s="20" t="n">
        <v>24261743</v>
      </c>
      <c r="E2" s="81" t="n"/>
      <c r="F2" s="81" t="n"/>
      <c r="G2" s="81" t="n"/>
      <c r="H2" s="20" t="inlineStr">
        <is>
          <t>Non-VF</t>
        </is>
      </c>
      <c r="I2" s="18" t="inlineStr">
        <is>
          <t>Electricity Access</t>
        </is>
      </c>
      <c r="J2" s="17" t="inlineStr">
        <is>
          <t># of HHs supported through introduction of solar energy (disaggregated by female-headed households)</t>
        </is>
      </c>
      <c r="K2" s="18" t="n">
        <v>5600</v>
      </c>
      <c r="L2" s="18" t="inlineStr">
        <is>
          <t>7560 HH</t>
        </is>
      </c>
      <c r="M2" s="17" t="inlineStr">
        <is>
          <t>5600 by 2018 through ERRY I</t>
        </is>
      </c>
      <c r="N2" s="20" t="inlineStr">
        <is>
          <t>EU, SIDA</t>
        </is>
      </c>
      <c r="O2" s="52" t="n"/>
      <c r="P2" s="48" t="n"/>
      <c r="Q2" s="58" t="inlineStr">
        <is>
          <t>Close the gap on energy access</t>
        </is>
      </c>
      <c r="R2" s="48" t="n"/>
      <c r="S2" s="48" t="n"/>
      <c r="T2" s="48" t="n"/>
      <c r="U2" s="48" t="n"/>
      <c r="V2" s="51" t="inlineStr">
        <is>
          <t>Solar</t>
        </is>
      </c>
      <c r="W2" s="48" t="n"/>
      <c r="X2" s="51" t="n"/>
      <c r="AA2" s="51" t="inlineStr">
        <is>
          <t>Non-VF</t>
        </is>
      </c>
      <c r="AB2" s="43" t="n"/>
      <c r="AC2" s="44" t="n"/>
      <c r="AD2" s="44" t="inlineStr">
        <is>
          <t>Accelerating just energy transition</t>
        </is>
      </c>
      <c r="AE2" s="44" t="inlineStr">
        <is>
          <t>Electricity Access</t>
        </is>
      </c>
    </row>
    <row r="3" ht="45.75" customHeight="1">
      <c r="A3" s="20" t="n"/>
      <c r="B3" s="20" t="n"/>
      <c r="C3" s="47" t="n"/>
      <c r="D3" s="20" t="n"/>
      <c r="E3" s="20" t="n"/>
      <c r="F3" s="20" t="n"/>
      <c r="G3" s="20" t="n"/>
      <c r="H3" s="20" t="n"/>
      <c r="I3" s="18" t="inlineStr">
        <is>
          <t>Agriculture and Food System</t>
        </is>
      </c>
      <c r="J3" s="18" t="inlineStr">
        <is>
          <t># of beneficiaries</t>
        </is>
      </c>
      <c r="K3" s="18" t="n">
        <v>19</v>
      </c>
      <c r="L3" s="18" t="inlineStr">
        <is>
          <t xml:space="preserve">
363</t>
        </is>
      </c>
      <c r="M3" s="17" t="inlineStr">
        <is>
          <t>19 by 2018 through ERRY I</t>
        </is>
      </c>
      <c r="N3" s="20" t="inlineStr">
        <is>
          <t>EU, SIDA</t>
        </is>
      </c>
      <c r="O3" s="52" t="n"/>
      <c r="P3" s="48" t="n"/>
      <c r="Q3" s="58" t="inlineStr">
        <is>
          <t>Close the gap on energy access</t>
        </is>
      </c>
      <c r="R3" s="48" t="n"/>
      <c r="S3" s="48" t="n"/>
      <c r="T3" s="48" t="n"/>
      <c r="U3" s="48" t="n"/>
      <c r="V3" s="51" t="n"/>
      <c r="W3" s="48" t="n"/>
      <c r="X3" s="51" t="n"/>
      <c r="AA3" s="51" t="n"/>
      <c r="AB3" s="43" t="n"/>
      <c r="AC3" s="44" t="n"/>
      <c r="AD3" s="44" t="inlineStr">
        <is>
          <t>Accelerating just energy transition</t>
        </is>
      </c>
      <c r="AE3" s="44" t="inlineStr">
        <is>
          <t>Electricity Access</t>
        </is>
      </c>
    </row>
    <row r="4" ht="183" customHeight="1">
      <c r="A4" s="20" t="n"/>
      <c r="B4" s="20" t="n"/>
      <c r="C4" s="47" t="n"/>
      <c r="D4" s="20" t="n"/>
      <c r="E4" s="20" t="n"/>
      <c r="F4" s="20" t="n"/>
      <c r="G4" s="20" t="n"/>
      <c r="H4" s="20" t="n"/>
      <c r="I4" s="18" t="inlineStr">
        <is>
          <t>Education Services</t>
        </is>
      </c>
      <c r="J4" s="18" t="inlineStr">
        <is>
          <t># of public institution facilities (health, education, water, and district offices) supported with solar systems</t>
        </is>
      </c>
      <c r="K4" s="77" t="n">
        <v>137983</v>
      </c>
      <c r="L4" s="77" t="n">
        <v>182000</v>
      </c>
      <c r="M4" s="17" t="inlineStr">
        <is>
          <t xml:space="preserve">
210 by 2018 through ERRY I
Number of people benefitting from access to clean energy: 137,983 
111 schools and local offices supported with solar systems by 2022
Number of people benefitting from access to clean energy: 182,000
</t>
        </is>
      </c>
      <c r="N4" s="20" t="inlineStr">
        <is>
          <t>EU, SIDA</t>
        </is>
      </c>
      <c r="O4" s="52" t="n"/>
      <c r="P4" s="48" t="n"/>
      <c r="Q4" s="58" t="inlineStr">
        <is>
          <t>Close the gap on energy access</t>
        </is>
      </c>
      <c r="R4" s="48" t="n"/>
      <c r="S4" s="48" t="n"/>
      <c r="T4" s="48" t="n"/>
      <c r="U4" s="48" t="n"/>
      <c r="V4" s="51" t="n"/>
      <c r="W4" s="48" t="n"/>
      <c r="X4" s="51" t="n"/>
      <c r="AA4" s="51" t="n"/>
      <c r="AB4" s="76" t="inlineStr">
        <is>
          <t xml:space="preserve">
182,000</t>
        </is>
      </c>
      <c r="AC4" s="44" t="n"/>
      <c r="AD4" s="44" t="inlineStr">
        <is>
          <t>Accelerating just energy transition</t>
        </is>
      </c>
      <c r="AE4" s="44" t="inlineStr">
        <is>
          <t>Electricity Access</t>
        </is>
      </c>
    </row>
    <row r="5" ht="45.75" customHeight="1">
      <c r="A5" s="20" t="n"/>
      <c r="B5" s="20" t="n"/>
      <c r="C5" s="47" t="n"/>
      <c r="D5" s="20" t="n"/>
      <c r="E5" s="20" t="n"/>
      <c r="F5" s="20" t="n"/>
      <c r="G5" s="20" t="n"/>
      <c r="H5" s="20" t="n"/>
      <c r="I5" s="18" t="inlineStr">
        <is>
          <t>Small Enterprises</t>
        </is>
      </c>
      <c r="J5" s="18" t="inlineStr">
        <is>
          <t># of solar micro-enterprises established (disaggregated by gender</t>
        </is>
      </c>
      <c r="K5" s="18" t="n">
        <v>200</v>
      </c>
      <c r="L5" s="18" t="n">
        <v>543</v>
      </c>
      <c r="M5" s="17" t="inlineStr">
        <is>
          <t>200 micro businesses in 2018</t>
        </is>
      </c>
      <c r="N5" s="20" t="inlineStr">
        <is>
          <t>EU, SIDA</t>
        </is>
      </c>
      <c r="O5" s="52" t="n"/>
      <c r="P5" s="48" t="n"/>
      <c r="Q5" s="58" t="inlineStr">
        <is>
          <t>Close the gap on energy access</t>
        </is>
      </c>
      <c r="R5" s="48" t="n"/>
      <c r="S5" s="48" t="n"/>
      <c r="T5" s="48" t="n"/>
      <c r="U5" s="48" t="n"/>
      <c r="V5" s="51" t="n"/>
      <c r="W5" s="48" t="n"/>
      <c r="X5" s="51" t="n"/>
      <c r="AA5" s="51" t="n"/>
      <c r="AB5" s="43" t="n"/>
      <c r="AC5" s="44" t="n"/>
      <c r="AD5" s="44" t="inlineStr">
        <is>
          <t>Accelerating just energy transition</t>
        </is>
      </c>
      <c r="AE5" s="44" t="inlineStr">
        <is>
          <t>Electricity Access</t>
        </is>
      </c>
    </row>
    <row r="6" ht="152.25" customHeight="1">
      <c r="A6" s="20" t="n"/>
      <c r="B6" s="20" t="n"/>
      <c r="C6" s="47" t="n"/>
      <c r="D6" s="20" t="n"/>
      <c r="E6" s="20" t="n"/>
      <c r="F6" s="20" t="n"/>
      <c r="G6" s="20" t="n"/>
      <c r="H6" s="20" t="n"/>
      <c r="I6" s="18" t="inlineStr">
        <is>
          <t>Agriculture and Food System</t>
        </is>
      </c>
      <c r="J6" s="18" t="inlineStr">
        <is>
          <t># of HH supported by efficient water and land management</t>
        </is>
      </c>
      <c r="K6" s="77" t="inlineStr">
        <is>
          <t>32 HH</t>
        </is>
      </c>
      <c r="L6" s="77" t="inlineStr">
        <is>
          <t>80 HH</t>
        </is>
      </c>
      <c r="M6" s="77" t="inlineStr">
        <is>
          <t>4 by 2018
32 farmer's households, 124 hictar farmland, total individual 192.
4 solar water irrigation systems established supporting 4 WUAs by 2022
According to offical documents, the total beneficaries for the 4 systems is 80 HHs</t>
        </is>
      </c>
      <c r="N6" s="20" t="inlineStr">
        <is>
          <t>EU, SIDA</t>
        </is>
      </c>
      <c r="O6" s="45" t="n"/>
      <c r="P6" s="48" t="n"/>
      <c r="Q6" s="58" t="inlineStr">
        <is>
          <t>Close the gap on energy access</t>
        </is>
      </c>
      <c r="R6" s="48" t="n"/>
      <c r="S6" s="48" t="n"/>
      <c r="T6" s="48" t="n"/>
      <c r="U6" s="48" t="n"/>
      <c r="V6" s="51" t="n"/>
      <c r="W6" s="48" t="n"/>
      <c r="X6" s="51" t="n"/>
      <c r="AA6" s="51" t="n"/>
      <c r="AB6" s="75" t="inlineStr">
        <is>
          <t xml:space="preserve">
752</t>
        </is>
      </c>
      <c r="AC6" s="44" t="n"/>
      <c r="AD6" s="44" t="inlineStr">
        <is>
          <t>Accelerating just energy transition</t>
        </is>
      </c>
      <c r="AE6" s="44" t="inlineStr">
        <is>
          <t>Electricity Access</t>
        </is>
      </c>
    </row>
    <row r="7" ht="213" customHeight="1">
      <c r="A7" s="20" t="n"/>
      <c r="B7" s="20" t="n"/>
      <c r="C7" s="47" t="n"/>
      <c r="D7" s="20" t="n"/>
      <c r="E7" s="20" t="n"/>
      <c r="F7" s="20" t="n"/>
      <c r="G7" s="20" t="n"/>
      <c r="H7" s="20" t="n"/>
      <c r="I7" s="18" t="inlineStr">
        <is>
          <t>Water Services</t>
        </is>
      </c>
      <c r="J7" s="18" t="inlineStr">
        <is>
          <t># of beneficiaries</t>
        </is>
      </c>
      <c r="K7" s="77" t="n">
        <v>4462</v>
      </c>
      <c r="L7" s="77" t="n">
        <v>6195</v>
      </c>
      <c r="M7" s="18" t="inlineStr">
        <is>
          <t>3 solar pumping systems + 1 solar powered desalination systems
4 by 2018
818 Households, 1871 women, 2003 men, 243 girls and 345 boys. Total individual 4462
4 solar water pumping systems installed supporting 4 community drinking water projects by 2022
805 HHs
2460 male, 3735 female. Total individual 6195</t>
        </is>
      </c>
      <c r="N7" s="20" t="inlineStr">
        <is>
          <t>EU, SIDA</t>
        </is>
      </c>
      <c r="O7" s="45">
        <f>2460/6195</f>
        <v/>
      </c>
      <c r="P7" s="48" t="n"/>
      <c r="Q7" s="58" t="inlineStr">
        <is>
          <t>Close the gap on energy access</t>
        </is>
      </c>
      <c r="R7" s="48" t="n"/>
      <c r="S7" s="48" t="n"/>
      <c r="T7" s="48" t="n"/>
      <c r="U7" s="48" t="n"/>
      <c r="V7" s="51" t="n"/>
      <c r="W7" s="48" t="n"/>
      <c r="X7" s="51" t="n"/>
      <c r="AA7" s="51" t="n"/>
      <c r="AB7" s="74" t="inlineStr">
        <is>
          <t xml:space="preserve">
10,657</t>
        </is>
      </c>
      <c r="AC7" s="44" t="n"/>
      <c r="AD7" s="44" t="inlineStr">
        <is>
          <t>Accelerating just energy transition</t>
        </is>
      </c>
      <c r="AE7" s="44" t="inlineStr">
        <is>
          <t>Electricity Access</t>
        </is>
      </c>
    </row>
    <row r="8" ht="60.75" customHeight="1">
      <c r="A8" s="20" t="n"/>
      <c r="B8" s="20" t="n"/>
      <c r="C8" s="47" t="n"/>
      <c r="D8" s="20" t="n"/>
      <c r="E8" s="20" t="n"/>
      <c r="F8" s="20" t="n"/>
      <c r="G8" s="20" t="n"/>
      <c r="H8" s="20" t="n"/>
      <c r="I8" s="18" t="inlineStr">
        <is>
          <t>Health Services</t>
        </is>
      </c>
      <c r="J8" s="18" t="inlineStr">
        <is>
          <t># of beneficiaries</t>
        </is>
      </c>
      <c r="K8" s="18" t="n"/>
      <c r="L8" s="23" t="n">
        <v>60000</v>
      </c>
      <c r="M8" s="46" t="inlineStr">
        <is>
          <t>72 solar-powered vaccine refrigerators installed in health centers, benefiting 60,000 individuals by 2022</t>
        </is>
      </c>
      <c r="N8" s="20" t="inlineStr">
        <is>
          <t>EU, SIDA</t>
        </is>
      </c>
      <c r="O8" s="52" t="n"/>
      <c r="P8" s="48" t="n"/>
      <c r="Q8" s="58" t="inlineStr">
        <is>
          <t>Close the gap on energy access</t>
        </is>
      </c>
      <c r="R8" s="48" t="n"/>
      <c r="S8" s="48" t="n"/>
      <c r="T8" s="48" t="n"/>
      <c r="U8" s="48" t="n"/>
      <c r="V8" s="51" t="n"/>
      <c r="W8" s="48" t="n"/>
      <c r="X8" s="51" t="n"/>
      <c r="AA8" s="51" t="n"/>
      <c r="AB8" s="65" t="inlineStr">
        <is>
          <t>60,000</t>
        </is>
      </c>
      <c r="AC8" s="44" t="inlineStr">
        <is>
          <t>h</t>
        </is>
      </c>
      <c r="AD8" s="44" t="inlineStr">
        <is>
          <t>Accelerating just energy transition</t>
        </is>
      </c>
      <c r="AE8" s="44" t="inlineStr">
        <is>
          <t>Electricity Access</t>
        </is>
      </c>
    </row>
    <row r="9" ht="45.75" customHeight="1">
      <c r="A9" s="20" t="n"/>
      <c r="B9" s="20" t="n"/>
      <c r="C9" s="47" t="n"/>
      <c r="D9" s="20" t="n"/>
      <c r="E9" s="20" t="n"/>
      <c r="F9" s="20" t="n"/>
      <c r="G9" s="20" t="n"/>
      <c r="H9" s="20" t="n"/>
      <c r="I9" s="26" t="inlineStr">
        <is>
          <t>Capacity Building Training</t>
        </is>
      </c>
      <c r="J9" s="26" t="inlineStr">
        <is>
          <t># of trained and certified women and youth in solar system installation who have adopted solar innovation</t>
        </is>
      </c>
      <c r="K9" s="26" t="n">
        <v>0</v>
      </c>
      <c r="L9" s="26" t="n">
        <v>713</v>
      </c>
      <c r="M9" s="46" t="inlineStr">
        <is>
          <t>713 women and youth received vocational training in solar system installation by 2022</t>
        </is>
      </c>
      <c r="N9" s="20" t="inlineStr">
        <is>
          <t>EU, SIDA</t>
        </is>
      </c>
      <c r="O9" s="52" t="n"/>
      <c r="P9" s="48" t="n"/>
      <c r="Q9" s="58" t="inlineStr">
        <is>
          <t>Close the gap on energy access</t>
        </is>
      </c>
      <c r="R9" s="48" t="n"/>
      <c r="S9" s="48" t="n"/>
      <c r="T9" s="48" t="n"/>
      <c r="U9" s="48" t="n"/>
      <c r="V9" s="51" t="n"/>
      <c r="W9" s="48" t="n"/>
      <c r="X9" s="51" t="n"/>
      <c r="AA9" s="51" t="n"/>
      <c r="AB9" s="65" t="n">
        <v>713</v>
      </c>
      <c r="AC9" s="44" t="n"/>
      <c r="AD9" s="44" t="inlineStr">
        <is>
          <t>Accelerating just energy transition</t>
        </is>
      </c>
      <c r="AE9" s="44" t="inlineStr">
        <is>
          <t>Electricity Access</t>
        </is>
      </c>
    </row>
    <row r="10" ht="121.5" customHeight="1">
      <c r="A10" s="20" t="n"/>
      <c r="B10" s="20" t="n"/>
      <c r="C10" s="47" t="n"/>
      <c r="D10" s="20" t="n"/>
      <c r="E10" s="20" t="n"/>
      <c r="F10" s="20" t="n"/>
      <c r="G10" s="20" t="n"/>
      <c r="H10" s="20" t="n"/>
      <c r="I10" s="26" t="inlineStr">
        <is>
          <t>Energy (MW added)</t>
        </is>
      </c>
      <c r="J10" s="26" t="inlineStr">
        <is>
          <t>Installed capacity in MW for access/productive-use outputs</t>
        </is>
      </c>
      <c r="K10" s="26" t="n">
        <v>0</v>
      </c>
      <c r="L10" s="82" t="n"/>
      <c r="M10" s="83" t="inlineStr">
        <is>
          <t>[AUTO-ADDED] Project reports access/productive-use beneficiary numbers but no MW value. Please add installed capacity (MW) or confirm not applicable.</t>
        </is>
      </c>
      <c r="N10" s="20" t="n"/>
      <c r="O10" s="52" t="n"/>
      <c r="P10" s="48" t="n"/>
      <c r="Q10" s="58" t="n"/>
      <c r="R10" s="48" t="n"/>
      <c r="S10" s="48" t="n"/>
      <c r="T10" s="48" t="n"/>
      <c r="U10" s="48" t="n"/>
      <c r="V10" s="51" t="n"/>
      <c r="W10" s="48" t="n"/>
      <c r="X10" s="51" t="n"/>
      <c r="AA10" s="51" t="n"/>
      <c r="AB10" s="65" t="n"/>
      <c r="AC10" s="44" t="n"/>
      <c r="AD10" s="44" t="n"/>
      <c r="AE10" s="44" t="n"/>
    </row>
    <row r="11" ht="121.5" customHeight="1">
      <c r="A11" s="20" t="n">
        <v>135714</v>
      </c>
      <c r="B11" s="20" t="inlineStr">
        <is>
          <t>Supporting Resilient Livelihoods, Food Security and Clim</t>
        </is>
      </c>
      <c r="C11" s="47" t="inlineStr">
        <is>
          <t>http://open.undp.org/projects/00135714</t>
        </is>
      </c>
      <c r="D11" s="20" t="n">
        <v>2727783</v>
      </c>
      <c r="E11" s="81" t="n"/>
      <c r="F11" s="81" t="n"/>
      <c r="G11" s="81" t="n"/>
      <c r="H11" s="20" t="inlineStr">
        <is>
          <t>Non-VF</t>
        </is>
      </c>
      <c r="I11" s="18" t="inlineStr">
        <is>
          <t>Health Services</t>
        </is>
      </c>
      <c r="J11" s="18" t="inlineStr">
        <is>
          <t>Number of beneficiaries
public facilities and households provided with access to renewable energy solutions (disaggregated by facility/household, men/women-headed, sector, and location, women institutions/services ), with support of the intervention</t>
        </is>
      </c>
      <c r="K11" s="29" t="inlineStr">
        <is>
          <t>182000 Individuals through ERRY I &amp; II</t>
        </is>
      </c>
      <c r="L11" s="23" t="n">
        <v>200000</v>
      </c>
      <c r="M11" s="18" t="inlineStr">
        <is>
          <t>The category of this intervention includes education, health, and water.
140 facilities supported with solar systems benfiting 250,000 Individuals  by 2024</t>
        </is>
      </c>
      <c r="N11" s="20" t="inlineStr">
        <is>
          <t>EU, SIDA</t>
        </is>
      </c>
      <c r="O11" s="52" t="n"/>
      <c r="P11" s="48" t="n"/>
      <c r="Q11" s="58" t="inlineStr">
        <is>
          <t>Close the gap on energy access</t>
        </is>
      </c>
      <c r="R11" s="48" t="n"/>
      <c r="S11" s="48" t="n"/>
      <c r="T11" s="48" t="n"/>
      <c r="U11" s="48" t="n"/>
      <c r="V11" s="51" t="n"/>
      <c r="W11" s="48" t="n"/>
      <c r="X11" s="51" t="n"/>
      <c r="AA11" s="52" t="inlineStr">
        <is>
          <t>Non-VF</t>
        </is>
      </c>
      <c r="AB11" s="65" t="n">
        <v>250000</v>
      </c>
      <c r="AC11" s="44" t="inlineStr">
        <is>
          <t>h</t>
        </is>
      </c>
      <c r="AD11" s="44" t="inlineStr">
        <is>
          <t>Accelerating just energy transition</t>
        </is>
      </c>
      <c r="AE11" s="44" t="inlineStr">
        <is>
          <t>Electricity Access</t>
        </is>
      </c>
    </row>
    <row r="12" ht="138" customHeight="1">
      <c r="A12" s="20" t="n"/>
      <c r="B12" s="20" t="n"/>
      <c r="C12" s="47" t="n"/>
      <c r="D12" s="20" t="n"/>
      <c r="E12" s="20" t="n"/>
      <c r="F12" s="20" t="n"/>
      <c r="G12" s="20" t="n"/>
      <c r="H12" s="20" t="n"/>
      <c r="I12" s="18" t="inlineStr">
        <is>
          <t>Electricity Access</t>
        </is>
      </c>
      <c r="J12" s="18" t="inlineStr">
        <is>
          <t>Number of public facilities and households provided with access to renewable energy solutions (disaggregated by facility/household, men/women-headed, sector, and location, women institutions/services ), with support of the intervention</t>
        </is>
      </c>
      <c r="K12" s="29" t="inlineStr">
        <is>
          <t>13160 through ERRY I &amp; II</t>
        </is>
      </c>
      <c r="L12" s="18" t="inlineStr">
        <is>
          <t>500 HH</t>
        </is>
      </c>
      <c r="M12" s="17" t="n"/>
      <c r="N12" s="20" t="inlineStr">
        <is>
          <t>EU, SIDA</t>
        </is>
      </c>
      <c r="O12" s="52" t="n"/>
      <c r="P12" s="48" t="n"/>
      <c r="Q12" s="58" t="inlineStr">
        <is>
          <t>Close the gap on energy access</t>
        </is>
      </c>
      <c r="R12" s="48" t="n"/>
      <c r="S12" s="48" t="n"/>
      <c r="T12" s="48" t="n"/>
      <c r="U12" s="48" t="n"/>
      <c r="V12" s="51" t="inlineStr">
        <is>
          <t>Some Sources</t>
        </is>
      </c>
      <c r="W12" s="48" t="n"/>
      <c r="X12" s="51" t="n"/>
      <c r="AA12" s="52" t="n"/>
      <c r="AB12" s="65" t="inlineStr">
        <is>
          <t>3500</t>
        </is>
      </c>
      <c r="AC12" s="44" t="n"/>
      <c r="AD12" s="44" t="inlineStr">
        <is>
          <t>Accelerating just energy transition</t>
        </is>
      </c>
      <c r="AE12" s="44" t="inlineStr">
        <is>
          <t>Electricity Access</t>
        </is>
      </c>
    </row>
    <row r="13" ht="91.5" customHeight="1">
      <c r="A13" s="20" t="n"/>
      <c r="B13" s="20" t="n"/>
      <c r="C13" s="47" t="n"/>
      <c r="D13" s="20" t="n"/>
      <c r="E13" s="20" t="n"/>
      <c r="F13" s="20" t="n"/>
      <c r="G13" s="20" t="n"/>
      <c r="H13" s="20" t="n"/>
      <c r="I13" s="18" t="inlineStr">
        <is>
          <t>Energy (MW added)</t>
        </is>
      </c>
      <c r="J13" s="18" t="inlineStr">
        <is>
          <t>Number of solar/wind energy mini-grids established in small and medium markets and commercial centers and shops, with support of the intervention</t>
        </is>
      </c>
      <c r="K13" s="26" t="n">
        <v>0</v>
      </c>
      <c r="L13" s="77" t="n">
        <v>0.2</v>
      </c>
      <c r="M13" s="18" t="inlineStr">
        <is>
          <t>1 Solar and Wind minigrids
Total Capacity is 0.2 Mw
by 2024</t>
        </is>
      </c>
      <c r="N13" s="20" t="inlineStr">
        <is>
          <t>EU, SIDA</t>
        </is>
      </c>
      <c r="O13" s="52" t="n"/>
      <c r="P13" s="48" t="n"/>
      <c r="Q13" s="58" t="inlineStr">
        <is>
          <t>Close the gap on energy access</t>
        </is>
      </c>
      <c r="R13" s="48" t="n"/>
      <c r="S13" s="48" t="n"/>
      <c r="T13" s="48" t="n"/>
      <c r="U13" s="48" t="n"/>
      <c r="V13" s="51" t="inlineStr">
        <is>
          <t>Some Sources</t>
        </is>
      </c>
      <c r="W13" s="48" t="n"/>
      <c r="X13" s="51" t="n"/>
      <c r="AA13" s="52" t="n"/>
      <c r="AB13" s="73" t="inlineStr">
        <is>
          <t xml:space="preserve">
it is Total
the target amend to be one minigrid, and total capacity is 0.2MW</t>
        </is>
      </c>
      <c r="AC13" s="44" t="n"/>
      <c r="AD13" s="44" t="inlineStr">
        <is>
          <t>Close the gap on energy access</t>
        </is>
      </c>
      <c r="AE13" s="44" t="inlineStr">
        <is>
          <t>Renewable Energy</t>
        </is>
      </c>
    </row>
    <row r="14" ht="121.5" customHeight="1">
      <c r="A14" s="20" t="n"/>
      <c r="B14" s="20" t="n"/>
      <c r="C14" s="47" t="n"/>
      <c r="D14" s="20" t="n"/>
      <c r="E14" s="20" t="n"/>
      <c r="F14" s="20" t="n"/>
      <c r="G14" s="20" t="n"/>
      <c r="H14" s="20" t="n"/>
      <c r="I14" s="18" t="inlineStr">
        <is>
          <t>Entrepreneurship Training</t>
        </is>
      </c>
      <c r="J14" s="18" t="inlineStr">
        <is>
          <t xml:space="preserve">Number of people who increase their knowledge and skills on decentralized renewable energy innovation and solutions (disaggregated by: women/men, age), with support of the intervention </t>
        </is>
      </c>
      <c r="K14" s="26" t="n">
        <v>0</v>
      </c>
      <c r="L14" s="18" t="n">
        <v>500</v>
      </c>
      <c r="M14" s="18" t="inlineStr">
        <is>
          <t>Training and seed grants</t>
        </is>
      </c>
      <c r="N14" s="20" t="inlineStr">
        <is>
          <t>EU, SIDA</t>
        </is>
      </c>
      <c r="O14" s="52" t="n"/>
      <c r="P14" s="48" t="n"/>
      <c r="Q14" s="58" t="inlineStr">
        <is>
          <t>Close the gap on energy access</t>
        </is>
      </c>
      <c r="R14" s="48" t="n"/>
      <c r="S14" s="48" t="n"/>
      <c r="T14" s="48" t="n"/>
      <c r="U14" s="48" t="n"/>
      <c r="V14" s="51" t="n"/>
      <c r="W14" s="48" t="n"/>
      <c r="X14" s="51" t="n"/>
      <c r="AA14" s="52" t="n"/>
      <c r="AB14" s="43" t="inlineStr">
        <is>
          <t>500</t>
        </is>
      </c>
      <c r="AC14" s="44" t="n"/>
      <c r="AD14" s="44" t="n"/>
      <c r="AE14" s="44" t="n"/>
    </row>
    <row r="15" ht="91.5" customHeight="1">
      <c r="A15" s="20" t="n"/>
      <c r="B15" s="20" t="n"/>
      <c r="C15" s="47" t="n"/>
      <c r="D15" s="20" t="n"/>
      <c r="E15" s="20" t="n"/>
      <c r="F15" s="20" t="n"/>
      <c r="G15" s="20" t="n"/>
      <c r="H15" s="20" t="n"/>
      <c r="I15" s="18" t="inlineStr">
        <is>
          <t>Water Services</t>
        </is>
      </c>
      <c r="J15" s="18" t="inlineStr">
        <is>
          <t>Support water desalination business initiatives with the engagement women, youths and private sector for enviroment protection and improvement in collaboration with SDGs Climate initiative.
Number of Water Desalination established</t>
        </is>
      </c>
      <c r="K15" s="26" t="n">
        <v>1</v>
      </c>
      <c r="L15" s="18" t="n">
        <v>6000</v>
      </c>
      <c r="M15" s="18" t="inlineStr">
        <is>
          <t>1 water desalination plant by 2023
initial estimation is 6,000 individual</t>
        </is>
      </c>
      <c r="N15" s="20" t="inlineStr">
        <is>
          <t>EU, SIDA</t>
        </is>
      </c>
      <c r="O15" s="52" t="n"/>
      <c r="P15" s="48" t="n"/>
      <c r="Q15" s="58" t="inlineStr">
        <is>
          <t>Close the gap on energy access</t>
        </is>
      </c>
      <c r="R15" s="48" t="n"/>
      <c r="S15" s="48" t="n"/>
      <c r="T15" s="48" t="n"/>
      <c r="U15" s="48" t="n"/>
      <c r="V15" s="51" t="n"/>
      <c r="W15" s="48" t="n"/>
      <c r="X15" s="51" t="n"/>
      <c r="AA15" s="52" t="n"/>
      <c r="AB15" s="64" t="inlineStr">
        <is>
          <t xml:space="preserve">
5000</t>
        </is>
      </c>
      <c r="AC15" s="44" t="n"/>
      <c r="AD15" s="44" t="inlineStr">
        <is>
          <t>Accelerating just energy transition</t>
        </is>
      </c>
      <c r="AE15" s="44" t="inlineStr">
        <is>
          <t>Energy Efficiency</t>
        </is>
      </c>
    </row>
    <row r="16" ht="91.5" customHeight="1">
      <c r="A16" s="20" t="n">
        <v>137393</v>
      </c>
      <c r="B16" s="20" t="inlineStr">
        <is>
          <t>Renewable Energy Improved Access to Health Services</t>
        </is>
      </c>
      <c r="C16" s="47" t="inlineStr">
        <is>
          <t>http://open.undp.org/projects/00137393</t>
        </is>
      </c>
      <c r="D16" s="20" t="n">
        <v>463769</v>
      </c>
      <c r="E16" s="81" t="n"/>
      <c r="F16" s="81" t="n"/>
      <c r="G16" s="81" t="n"/>
      <c r="H16" s="20" t="inlineStr">
        <is>
          <t>Non-VF</t>
        </is>
      </c>
      <c r="I16" s="18" t="inlineStr">
        <is>
          <t>Health Services</t>
        </is>
      </c>
      <c r="J16" s="59" t="inlineStr">
        <is>
          <t>4 Hospitals
208,000 indviduals</t>
        </is>
      </c>
      <c r="K16" s="26" t="inlineStr">
        <is>
          <t>4 Hospitals
205,000 indvidual</t>
        </is>
      </c>
      <c r="L16" s="29" t="n">
        <v>205000</v>
      </c>
      <c r="M16" s="18" t="inlineStr">
        <is>
          <t>208K is the number of patients benefit from the solar intervention in the 4 Hospitals.</t>
        </is>
      </c>
      <c r="N16" s="20" t="inlineStr">
        <is>
          <t>KUWAIT FUND FOR ARAB ECONOMIC DEVELOPMENT</t>
        </is>
      </c>
      <c r="O16" s="62" t="n">
        <v>0.55</v>
      </c>
      <c r="P16" s="48" t="n"/>
      <c r="Q16" s="58" t="inlineStr">
        <is>
          <t>Close the gap on energy access</t>
        </is>
      </c>
      <c r="R16" s="48" t="n"/>
      <c r="S16" s="48" t="n"/>
      <c r="T16" s="48" t="n"/>
      <c r="U16" s="48" t="n"/>
      <c r="V16" s="51" t="inlineStr">
        <is>
          <t>Solar</t>
        </is>
      </c>
      <c r="W16" s="48" t="n"/>
      <c r="X16" s="51" t="n"/>
      <c r="AA16" s="52" t="inlineStr">
        <is>
          <t>Non-VF</t>
        </is>
      </c>
      <c r="AB16" s="60" t="n">
        <v>205000</v>
      </c>
      <c r="AC16" s="44" t="inlineStr">
        <is>
          <t>h</t>
        </is>
      </c>
      <c r="AD16" s="44" t="inlineStr">
        <is>
          <t>Close the gap on energy access</t>
        </is>
      </c>
      <c r="AE16" s="44" t="inlineStr">
        <is>
          <t>Renewable Energy</t>
        </is>
      </c>
    </row>
    <row r="17" ht="91.5" customHeight="1">
      <c r="A17" s="32" t="n"/>
      <c r="B17" s="32" t="n"/>
      <c r="C17" s="32" t="n"/>
      <c r="D17" s="32" t="n"/>
      <c r="E17" s="66" t="n"/>
      <c r="F17" s="66" t="n"/>
      <c r="G17" s="66" t="n"/>
      <c r="H17" s="66" t="n"/>
      <c r="I17" s="18" t="inlineStr">
        <is>
          <t>Electricity Access</t>
        </is>
      </c>
      <c r="J17" s="18" t="inlineStr">
        <is>
          <t xml:space="preserve">Number of beneficiaries
</t>
        </is>
      </c>
      <c r="K17" s="26" t="n">
        <v>11200</v>
      </c>
      <c r="L17" s="26" t="n">
        <v>11200</v>
      </c>
      <c r="M17" s="26" t="inlineStr">
        <is>
          <t>41 microgrid stations by 2024</t>
        </is>
      </c>
      <c r="N17" s="20" t="inlineStr">
        <is>
          <t>KUWAIT FUND FOR ARAB ECONOMIC DEVELOPMENT</t>
        </is>
      </c>
      <c r="O17" s="62" t="n">
        <v>0.37</v>
      </c>
      <c r="P17" s="48" t="n"/>
      <c r="Q17" s="58" t="inlineStr">
        <is>
          <t>Close the gap on energy access</t>
        </is>
      </c>
      <c r="R17" s="48" t="n"/>
      <c r="S17" s="48" t="n"/>
      <c r="T17" s="48" t="n"/>
      <c r="U17" s="48" t="n"/>
      <c r="V17" s="51" t="inlineStr">
        <is>
          <t>Solar</t>
        </is>
      </c>
      <c r="W17" s="48" t="n"/>
      <c r="X17" s="51" t="n"/>
      <c r="AA17" s="52" t="n"/>
      <c r="AB17" s="43" t="inlineStr">
        <is>
          <t>11200</t>
        </is>
      </c>
      <c r="AC17" s="44" t="n"/>
      <c r="AD17" s="44" t="inlineStr">
        <is>
          <t>Close the gap on energy access</t>
        </is>
      </c>
      <c r="AE17" s="44" t="inlineStr">
        <is>
          <t>Renewable Energy</t>
        </is>
      </c>
    </row>
    <row r="18" ht="91.5" customHeight="1">
      <c r="A18" s="32" t="n"/>
      <c r="B18" s="32" t="n"/>
      <c r="C18" s="32" t="n"/>
      <c r="D18" s="32" t="n"/>
      <c r="E18" s="32" t="n"/>
      <c r="F18" s="32" t="n"/>
      <c r="G18" s="32" t="n"/>
      <c r="H18" s="32" t="n"/>
      <c r="I18" s="18" t="inlineStr">
        <is>
          <t>Energy (MW added)</t>
        </is>
      </c>
      <c r="J18" s="18" t="inlineStr">
        <is>
          <t>MW
Indicator 3: # solar microgrids stations have supported households/commercial places to access clean energy</t>
        </is>
      </c>
      <c r="K18" s="26" t="n">
        <v>4800</v>
      </c>
      <c r="L18" s="18" t="n">
        <v>4800</v>
      </c>
      <c r="M18" s="18" t="n">
        <v>4800</v>
      </c>
      <c r="N18" s="20" t="inlineStr">
        <is>
          <t>KUWAIT FUND FOR ARAB ECONOMIC DEVELOPMENT</t>
        </is>
      </c>
      <c r="O18" s="62" t="n">
        <v>0.32</v>
      </c>
      <c r="P18" s="48" t="n"/>
      <c r="Q18" s="58" t="inlineStr">
        <is>
          <t>Close the gap on energy access</t>
        </is>
      </c>
      <c r="R18" s="48" t="n"/>
      <c r="S18" s="48" t="n"/>
      <c r="T18" s="48" t="n"/>
      <c r="U18" s="48" t="n"/>
      <c r="V18" s="51" t="inlineStr">
        <is>
          <t>Solar</t>
        </is>
      </c>
      <c r="W18" s="48" t="n"/>
      <c r="X18" s="51" t="n"/>
      <c r="AA18" s="52" t="n"/>
      <c r="AB18" s="43" t="inlineStr">
        <is>
          <t>4800</t>
        </is>
      </c>
      <c r="AC18" s="44" t="n"/>
      <c r="AD18" s="44" t="inlineStr">
        <is>
          <t>Close the gap on energy access</t>
        </is>
      </c>
      <c r="AE18" s="44" t="inlineStr">
        <is>
          <t>Renewable Energy</t>
        </is>
      </c>
    </row>
    <row r="19">
      <c r="A19" s="20" t="n"/>
      <c r="B19" s="20" t="n"/>
      <c r="C19" s="47" t="n"/>
      <c r="D19" s="20" t="n"/>
      <c r="E19" s="20" t="n"/>
      <c r="F19" s="20" t="n"/>
      <c r="G19" s="20" t="n"/>
      <c r="H19" s="20" t="n"/>
      <c r="I19" s="18" t="inlineStr">
        <is>
          <t>Entrepreneurship Training</t>
        </is>
      </c>
      <c r="J19" s="18" t="inlineStr">
        <is>
          <t>Indicator 4: # number of women and men have improved access to sustained income through solar microgrids
Baseline: 30
Target: 500</t>
        </is>
      </c>
      <c r="K19" s="26" t="n">
        <v>30</v>
      </c>
      <c r="L19" s="18" t="n">
        <v>500</v>
      </c>
      <c r="M19" s="18" t="n">
        <v>360</v>
      </c>
      <c r="N19" s="20" t="inlineStr">
        <is>
          <t>KUWAIT FUND FOR ARAB ECONOMIC DEVELOPMENT</t>
        </is>
      </c>
      <c r="O19" s="62" t="n">
        <v>0.37</v>
      </c>
      <c r="P19" s="48" t="n"/>
      <c r="Q19" s="58" t="inlineStr">
        <is>
          <t>Close the gap on energy access</t>
        </is>
      </c>
      <c r="R19" s="48" t="n"/>
      <c r="S19" s="48" t="n"/>
      <c r="T19" s="48" t="n"/>
      <c r="U19" s="48" t="n"/>
      <c r="V19" s="51" t="n"/>
      <c r="W19" s="48" t="n"/>
      <c r="X19" s="51" t="n"/>
      <c r="AA19" s="52" t="n"/>
      <c r="AB19" s="43" t="inlineStr">
        <is>
          <t>360</t>
        </is>
      </c>
      <c r="AC19" s="44" t="n"/>
      <c r="AD19" s="44" t="inlineStr">
        <is>
          <t>Accelerating just energy transition</t>
        </is>
      </c>
      <c r="AE19" s="44" t="inlineStr">
        <is>
          <t>Electricity Access</t>
        </is>
      </c>
    </row>
  </sheetData>
  <mergeCells count="4">
    <mergeCell ref="C16:C17"/>
    <mergeCell ref="A16:A17"/>
    <mergeCell ref="D16:D17"/>
    <mergeCell ref="B16:B17"/>
  </mergeCells>
  <dataValidations count="13">
    <dataValidation sqref="Q2:Q1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8" showDropDown="0" showInputMessage="1" showErrorMessage="1" allowBlank="1" type="list">
      <formula1>"AMP, PUDC, Solar4Health, Action Opportunities, Italy UNDP Energy Partnership"</formula1>
    </dataValidation>
    <dataValidation sqref="AB2:AB18" showDropDown="0" showInputMessage="1" showErrorMessage="1" allowBlank="1" type="list">
      <formula1>"Electricity Access, Energy Efficiency, Clean Cooking, Renewable Energy"</formula1>
    </dataValidation>
    <dataValidation sqref="N2:N18 AA2:AA18" showDropDown="0" showInputMessage="1" showErrorMessage="1" allowBlank="1" type="list">
      <formula1>"Accelerating just energy transition, Close the gap on energy access, Scale up energy finance"</formula1>
    </dataValidation>
    <dataValidation sqref="O2:O18" showDropDown="0" showInputMessage="1" showErrorMessage="1" allowBlank="1" type="list">
      <formula1>"Electricity Access, Energy Efficiency, Clean Cooking, Renewable Energy, Overall"</formula1>
    </dataValidation>
    <dataValidation sqref="M2:M18" showDropDown="0" showInputMessage="1" showErrorMessage="1" allowBlank="1" type="list">
      <formula1>"Finance, Gender, Efficiency, Just, Health"</formula1>
    </dataValidation>
    <dataValidation sqref="T2:T18" showDropDown="0" showInputMessage="1" showErrorMessage="1" allowBlank="1" type="list">
      <formula1>"National, Regional, City, Community"</formula1>
    </dataValidation>
    <dataValidation sqref="L2:L18" showDropDown="0" showInputMessage="1" showErrorMessage="1" allowBlank="1" type="list">
      <formula1>"Non-VF, VF"</formula1>
    </dataValidation>
    <dataValidation sqref="R2:R1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8"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9"/>
  <sheetViews>
    <sheetView topLeftCell="A4" workbookViewId="0">
      <selection activeCell="I4" sqref="I4"/>
    </sheetView>
  </sheetViews>
  <sheetFormatPr baseColWidth="8" defaultRowHeight="15"/>
  <cols>
    <col width="51.28515625" bestFit="1" customWidth="1" min="2" max="2"/>
    <col width="20.7109375" customWidth="1" min="3" max="3"/>
    <col width="20.7109375" customWidth="1" min="5" max="5"/>
    <col width="34.140625" customWidth="1" min="6" max="6"/>
    <col width="14.5703125" customWidth="1" min="7" max="7"/>
    <col width="28.140625" customWidth="1" min="8" max="8"/>
    <col width="32.7109375" customWidth="1" min="9" max="9"/>
    <col width="12" customWidth="1" min="10" max="10"/>
    <col width="40" customWidth="1" style="36" min="13" max="13"/>
  </cols>
  <sheetData>
    <row r="1">
      <c r="A1" s="15" t="inlineStr">
        <is>
          <t>Project ID</t>
        </is>
      </c>
      <c r="B1" s="15" t="inlineStr">
        <is>
          <t>Title</t>
        </is>
      </c>
      <c r="C1" s="15" t="inlineStr">
        <is>
          <t>Link</t>
        </is>
      </c>
      <c r="D1" s="15" t="inlineStr">
        <is>
          <t>Budget</t>
        </is>
      </c>
      <c r="E1" s="15" t="inlineStr">
        <is>
          <t>Beneficiary Category</t>
        </is>
      </c>
      <c r="F1" s="15" t="inlineStr">
        <is>
          <t>Indicator</t>
        </is>
      </c>
      <c r="G1" s="15" t="inlineStr">
        <is>
          <t>Baseline</t>
        </is>
      </c>
      <c r="H1" s="15" t="inlineStr">
        <is>
          <t>Target</t>
        </is>
      </c>
      <c r="I1" s="15" t="inlineStr">
        <is>
          <t>Notes</t>
        </is>
      </c>
      <c r="J1" s="13" t="inlineStr">
        <is>
          <t>Donors</t>
        </is>
      </c>
      <c r="K1" s="13" t="inlineStr">
        <is>
          <t>Gender (% female)</t>
        </is>
      </c>
      <c r="L1" s="13" t="inlineStr">
        <is>
          <t>Category</t>
        </is>
      </c>
      <c r="M1" s="14" t="inlineStr">
        <is>
          <t>Comments</t>
        </is>
      </c>
      <c r="O1" s="1" t="inlineStr">
        <is>
          <t>SEH Taxonomy</t>
        </is>
      </c>
      <c r="P1" s="1" t="inlineStr">
        <is>
          <t>RISE Taxonomy</t>
        </is>
      </c>
      <c r="Q1" s="1" t="inlineStr">
        <is>
          <t>Flagship</t>
        </is>
      </c>
      <c r="R1" s="1" t="inlineStr">
        <is>
          <t>Indirect Category</t>
        </is>
      </c>
      <c r="S1" s="1" t="inlineStr">
        <is>
          <t>Indirect Taxonomy</t>
        </is>
      </c>
    </row>
    <row r="2" ht="60.75" customHeight="1">
      <c r="A2" s="71" t="n">
        <v>106770</v>
      </c>
      <c r="B2" s="71" t="inlineStr">
        <is>
          <t>Enhanced Rural Resilience in Yemen II</t>
        </is>
      </c>
      <c r="C2" s="72" t="inlineStr">
        <is>
          <t>http://open.undp.org/projects/00106770</t>
        </is>
      </c>
      <c r="D2" s="71" t="n">
        <v>24261743</v>
      </c>
      <c r="E2" s="16" t="inlineStr">
        <is>
          <t>Electricity Access</t>
        </is>
      </c>
      <c r="F2" s="17" t="inlineStr">
        <is>
          <t># of HHs supported through introduction of solar energy (disaggregated by female-headed households)</t>
        </is>
      </c>
      <c r="G2" s="18" t="inlineStr">
        <is>
          <t>5600 by 2018 through ERRY I</t>
        </is>
      </c>
      <c r="H2" s="18" t="inlineStr">
        <is>
          <t>7,560 HH</t>
        </is>
      </c>
      <c r="I2" s="19" t="n"/>
      <c r="J2" s="20" t="inlineStr">
        <is>
          <t>EU and SIDA</t>
        </is>
      </c>
      <c r="K2" s="21" t="n"/>
      <c r="L2" s="48" t="inlineStr">
        <is>
          <t>Non-VF</t>
        </is>
      </c>
      <c r="M2" s="14" t="n"/>
      <c r="O2" t="inlineStr">
        <is>
          <t>Accelerating just energy transition</t>
        </is>
      </c>
      <c r="P2" t="inlineStr">
        <is>
          <t>Electricity Access</t>
        </is>
      </c>
    </row>
    <row r="3" ht="30.75" customHeight="1">
      <c r="A3" s="84" t="n"/>
      <c r="B3" s="84" t="n"/>
      <c r="C3" s="84" t="n"/>
      <c r="D3" s="84" t="n"/>
      <c r="E3" s="16" t="inlineStr">
        <is>
          <t>Agricultural Services</t>
        </is>
      </c>
      <c r="F3" s="18" t="inlineStr">
        <is>
          <t># of beneficiaries</t>
        </is>
      </c>
      <c r="G3" s="18" t="inlineStr">
        <is>
          <t>19 by 2018 through ERRY I</t>
        </is>
      </c>
      <c r="H3" s="18" t="inlineStr">
        <is>
          <t xml:space="preserve">
363</t>
        </is>
      </c>
      <c r="I3" s="19" t="n"/>
      <c r="J3" s="20" t="inlineStr">
        <is>
          <t>EU and SIDA</t>
        </is>
      </c>
      <c r="K3" s="21" t="n"/>
      <c r="L3" s="84" t="n"/>
      <c r="M3" s="14" t="n"/>
      <c r="O3" t="inlineStr">
        <is>
          <t>Accelerating just energy transition</t>
        </is>
      </c>
      <c r="P3" t="inlineStr">
        <is>
          <t>Electricity Access</t>
        </is>
      </c>
    </row>
    <row r="4" ht="121.5" customHeight="1">
      <c r="A4" s="84" t="n"/>
      <c r="B4" s="84" t="n"/>
      <c r="C4" s="84" t="n"/>
      <c r="D4" s="84" t="n"/>
      <c r="E4" s="16" t="inlineStr">
        <is>
          <t>Education Services</t>
        </is>
      </c>
      <c r="F4" s="18" t="inlineStr">
        <is>
          <t># of public institution facilities (health, education, water, and district offices) supported with solar systems</t>
        </is>
      </c>
      <c r="G4" s="77" t="inlineStr">
        <is>
          <t xml:space="preserve">210 by 2018 through ERRY I
Number of people benefitting from access to clean energy: 137,983 </t>
        </is>
      </c>
      <c r="H4" s="77" t="inlineStr">
        <is>
          <t>111 schools and local offices supported with solar systems by 2022
Number of people benefitting from access to clean energy: 182,000</t>
        </is>
      </c>
      <c r="I4" s="19" t="n"/>
      <c r="J4" s="20" t="inlineStr">
        <is>
          <t>EU and SIDA</t>
        </is>
      </c>
      <c r="K4" s="21" t="n"/>
      <c r="L4" s="84" t="n"/>
      <c r="M4" s="37" t="inlineStr">
        <is>
          <t>to the CO: Please estimate number of beneficiaries.</t>
        </is>
      </c>
      <c r="O4" t="inlineStr">
        <is>
          <t>Accelerating just energy transition</t>
        </is>
      </c>
      <c r="P4" t="inlineStr">
        <is>
          <t>Electricity Access</t>
        </is>
      </c>
    </row>
    <row r="5" ht="45.75" customHeight="1">
      <c r="A5" s="84" t="n"/>
      <c r="B5" s="84" t="n"/>
      <c r="C5" s="84" t="n"/>
      <c r="D5" s="84" t="n"/>
      <c r="E5" s="16" t="inlineStr">
        <is>
          <t>Small Enterprises</t>
        </is>
      </c>
      <c r="F5" s="18" t="inlineStr">
        <is>
          <t># of solar micro-enterprises established (disaggregated by gender</t>
        </is>
      </c>
      <c r="G5" s="18" t="inlineStr">
        <is>
          <t>200 micro businesses in 2018</t>
        </is>
      </c>
      <c r="H5" s="18" t="n">
        <v>543</v>
      </c>
      <c r="I5" s="19" t="n"/>
      <c r="J5" s="20" t="inlineStr">
        <is>
          <t>EU and SIDA</t>
        </is>
      </c>
      <c r="K5" s="31" t="n"/>
      <c r="L5" s="84" t="n"/>
      <c r="M5" s="34" t="n"/>
      <c r="O5" t="inlineStr">
        <is>
          <t>Accelerating just energy transition</t>
        </is>
      </c>
      <c r="P5" t="inlineStr">
        <is>
          <t>Electricity Access</t>
        </is>
      </c>
    </row>
    <row r="6" ht="106.5" customHeight="1">
      <c r="A6" s="84" t="n"/>
      <c r="B6" s="84" t="n"/>
      <c r="C6" s="84" t="n"/>
      <c r="D6" s="84" t="n"/>
      <c r="E6" s="16" t="inlineStr">
        <is>
          <t>Agricultural Services</t>
        </is>
      </c>
      <c r="F6" s="18" t="inlineStr">
        <is>
          <t># of WUAs supported to promote efficient water and land management</t>
        </is>
      </c>
      <c r="G6" s="77" t="inlineStr">
        <is>
          <t>4 by 2018
32 farmer's households, 124 hictar farmland, total individual 192.</t>
        </is>
      </c>
      <c r="H6" s="77" t="inlineStr">
        <is>
          <t>4 solar water irrigation systems established supporting 4 WUAs by 2022
According to offical documents, the total beneficaries for the 4 systems is 80 HHs</t>
        </is>
      </c>
      <c r="I6" s="19" t="n"/>
      <c r="J6" s="30" t="inlineStr">
        <is>
          <t>EU and SIDA</t>
        </is>
      </c>
      <c r="K6" s="22" t="n"/>
      <c r="L6" s="84" t="n"/>
      <c r="M6" s="38" t="inlineStr">
        <is>
          <t>to the CO: Please estimate number of beneficiaries.</t>
        </is>
      </c>
      <c r="O6" t="inlineStr">
        <is>
          <t>Accelerating just energy transition</t>
        </is>
      </c>
      <c r="P6" t="inlineStr">
        <is>
          <t>Electricity Access</t>
        </is>
      </c>
    </row>
    <row r="7" ht="121.5" customHeight="1">
      <c r="A7" s="84" t="n"/>
      <c r="B7" s="84" t="n"/>
      <c r="C7" s="84" t="n"/>
      <c r="D7" s="84" t="n"/>
      <c r="E7" s="16" t="inlineStr">
        <is>
          <t>Water Services</t>
        </is>
      </c>
      <c r="F7" s="18" t="inlineStr">
        <is>
          <t># of public institution facilities (health, education, water, and district offices) supported with solar systems</t>
        </is>
      </c>
      <c r="G7" s="77" t="inlineStr">
        <is>
          <t>4 by 2018
818 Households, 1871 women, 2003 men, 243 girls and 345 boys. Total individual 4462</t>
        </is>
      </c>
      <c r="H7" s="77" t="inlineStr">
        <is>
          <t>4 solar water pumping systems installed supporting 4 community drinking water projects by 2022
805 HHs
2460 male, 3735 female. Total individual 6195</t>
        </is>
      </c>
      <c r="I7" s="18" t="inlineStr">
        <is>
          <t>3 solar pumping systems + 1 solar powered desalination systems</t>
        </is>
      </c>
      <c r="J7" s="30" t="inlineStr">
        <is>
          <t>EU and SIDA</t>
        </is>
      </c>
      <c r="K7" s="33" t="n"/>
      <c r="L7" s="84" t="n"/>
      <c r="M7" s="38" t="inlineStr">
        <is>
          <t>to the CO: Please estimate number of beneficiaries.</t>
        </is>
      </c>
      <c r="O7" t="inlineStr">
        <is>
          <t>Accelerating just energy transition</t>
        </is>
      </c>
      <c r="P7" t="inlineStr">
        <is>
          <t>Electricity Access</t>
        </is>
      </c>
    </row>
    <row r="8" ht="30.75" customHeight="1">
      <c r="A8" s="84" t="n"/>
      <c r="B8" s="84" t="n"/>
      <c r="C8" s="84" t="n"/>
      <c r="D8" s="84" t="n"/>
      <c r="E8" s="16" t="inlineStr">
        <is>
          <t>Health Services</t>
        </is>
      </c>
      <c r="F8" s="18" t="inlineStr">
        <is>
          <t># of beneficiaries</t>
        </is>
      </c>
      <c r="G8" s="18" t="inlineStr">
        <is>
          <t>72 by 2018 through ERRY I</t>
        </is>
      </c>
      <c r="H8" s="23" t="n">
        <v>60000</v>
      </c>
      <c r="I8" s="24" t="inlineStr">
        <is>
          <t>72 solar-powered vaccine refrigerators installed in health centers, benefiting 60,000 individuals by 2022</t>
        </is>
      </c>
      <c r="J8" s="20" t="inlineStr">
        <is>
          <t>EU and SIDA</t>
        </is>
      </c>
      <c r="K8" s="32" t="n"/>
      <c r="L8" s="84" t="n"/>
      <c r="M8" s="35" t="n"/>
      <c r="O8" t="inlineStr">
        <is>
          <t>Accelerating just energy transition</t>
        </is>
      </c>
      <c r="P8" t="inlineStr">
        <is>
          <t>Electricity Access</t>
        </is>
      </c>
    </row>
    <row r="9" ht="45.75" customHeight="1">
      <c r="A9" s="32" t="n"/>
      <c r="B9" s="32" t="n"/>
      <c r="C9" s="32" t="n"/>
      <c r="D9" s="32" t="n"/>
      <c r="E9" s="25" t="inlineStr">
        <is>
          <t>Capacity Training</t>
        </is>
      </c>
      <c r="F9" s="26" t="inlineStr">
        <is>
          <t># of trained and certified women and youth in solar system installation who have adopted solar innovation</t>
        </is>
      </c>
      <c r="G9" s="26" t="n">
        <v>0</v>
      </c>
      <c r="H9" s="26" t="n">
        <v>713</v>
      </c>
      <c r="I9" s="24" t="inlineStr">
        <is>
          <t>713 women and youth received vocational training in solar system installation by 2022</t>
        </is>
      </c>
      <c r="J9" s="20" t="inlineStr">
        <is>
          <t>EU and SIDA</t>
        </is>
      </c>
      <c r="K9" s="21" t="n"/>
      <c r="L9" s="32" t="n"/>
      <c r="M9" s="14" t="n"/>
      <c r="O9" t="inlineStr">
        <is>
          <t>Accelerating just energy transition</t>
        </is>
      </c>
      <c r="P9" t="inlineStr">
        <is>
          <t>Electricity Access</t>
        </is>
      </c>
    </row>
    <row r="10" ht="121.5" customHeight="1">
      <c r="A10" s="27" t="n">
        <v>135714</v>
      </c>
      <c r="B10" s="27" t="inlineStr">
        <is>
          <t>Supporting Resilient Livelihoods, Food Security and Clim</t>
        </is>
      </c>
      <c r="C10" s="28" t="inlineStr">
        <is>
          <t>http://open.undp.org/projects/00135714</t>
        </is>
      </c>
      <c r="D10" s="27" t="n">
        <v>2727783</v>
      </c>
      <c r="E10" s="16" t="inlineStr">
        <is>
          <t>Health Services</t>
        </is>
      </c>
      <c r="F10" s="18" t="inlineStr">
        <is>
          <t>Number of beneficiaries
public facilities and households provided with access to renewable energy solutions (disaggregated by facility/household, men/women-headed, sector, and location, women institutions/services ), with support of the intervention</t>
        </is>
      </c>
      <c r="G10" s="29" t="inlineStr">
        <is>
          <t>182000 Individuals through ERRY I &amp; II</t>
        </is>
      </c>
      <c r="H10" s="23" t="n">
        <v>100000</v>
      </c>
      <c r="I10" s="18" t="inlineStr">
        <is>
          <t>The category of this intervention includes education, health, and water.
100 facilities supported with solar systems benfiting 100,000 Individuals  by 2024</t>
        </is>
      </c>
      <c r="J10" s="20" t="inlineStr">
        <is>
          <t>EU and SIDA</t>
        </is>
      </c>
      <c r="K10" s="21" t="n"/>
      <c r="L10" s="48" t="inlineStr">
        <is>
          <t>Non-VF</t>
        </is>
      </c>
      <c r="M10" s="14" t="n"/>
      <c r="O10" t="inlineStr">
        <is>
          <t>Accelerating just energy transition</t>
        </is>
      </c>
      <c r="P10" t="inlineStr">
        <is>
          <t>Electricity Access</t>
        </is>
      </c>
    </row>
    <row r="11" ht="121.5" customHeight="1">
      <c r="A11" s="27" t="n"/>
      <c r="B11" s="27" t="n"/>
      <c r="C11" s="28" t="n"/>
      <c r="D11" s="27" t="n"/>
      <c r="E11" s="16" t="inlineStr">
        <is>
          <t>Electricity Access</t>
        </is>
      </c>
      <c r="F11" s="18" t="inlineStr">
        <is>
          <t>Number of public facilities and households provided with access to renewable energy solutions (disaggregated by facility/household, men/women-headed, sector, and location, women institutions/services ), with support of the intervention</t>
        </is>
      </c>
      <c r="G11" s="29" t="inlineStr">
        <is>
          <t>13160 through ERRY I &amp; II</t>
        </is>
      </c>
      <c r="H11" s="18" t="inlineStr">
        <is>
          <t>500 HH</t>
        </is>
      </c>
      <c r="I11" s="19" t="n"/>
      <c r="J11" s="20" t="inlineStr">
        <is>
          <t>EU and SIDA</t>
        </is>
      </c>
      <c r="K11" s="21" t="n"/>
      <c r="L11" s="84" t="n"/>
      <c r="M11" s="14" t="n"/>
      <c r="O11" t="inlineStr">
        <is>
          <t>Accelerating just energy transition</t>
        </is>
      </c>
      <c r="P11" t="inlineStr">
        <is>
          <t>Electricity Access</t>
        </is>
      </c>
    </row>
    <row r="12" ht="76.5" customHeight="1">
      <c r="A12" s="27" t="n"/>
      <c r="B12" s="27" t="n"/>
      <c r="C12" s="28" t="n"/>
      <c r="D12" s="27" t="n"/>
      <c r="E12" s="16" t="inlineStr">
        <is>
          <t>Energy (MW added)</t>
        </is>
      </c>
      <c r="F12" s="18" t="inlineStr">
        <is>
          <t>Number of solar/wind energy mini-grids established in small and medium markets and commercial centers and shops, with support of the intervention</t>
        </is>
      </c>
      <c r="G12" s="26" t="n">
        <v>0</v>
      </c>
      <c r="H12" s="77" t="inlineStr">
        <is>
          <t>2 Solar and Wind minigrids
Total Capacity is 0.3 Mw
by 2024</t>
        </is>
      </c>
      <c r="I12" s="18" t="n"/>
      <c r="J12" s="20" t="inlineStr">
        <is>
          <t>EU and SIDA</t>
        </is>
      </c>
      <c r="K12" s="21" t="n"/>
      <c r="L12" s="84" t="n"/>
      <c r="M12" s="40" t="inlineStr">
        <is>
          <t>to the CO: Please estimate the number of MW (is this value per minigrid, or total?)
it is Total</t>
        </is>
      </c>
      <c r="O12" t="inlineStr">
        <is>
          <t>Close the gap on energy access</t>
        </is>
      </c>
      <c r="P12" t="inlineStr">
        <is>
          <t>Renewable Energy</t>
        </is>
      </c>
    </row>
    <row r="13" ht="118.5" customHeight="1">
      <c r="A13" s="27" t="n"/>
      <c r="B13" s="27" t="n"/>
      <c r="C13" s="28" t="n"/>
      <c r="D13" s="27" t="n"/>
      <c r="E13" s="16" t="inlineStr">
        <is>
          <t>Energy (MW added)</t>
        </is>
      </c>
      <c r="F13" s="18" t="inlineStr">
        <is>
          <t>Support waste to energy and water desalination business initiatives with the engagement women, youths and private sector for enviroment protection and improvement in collaboration with SDGs Climate initiative.
Number of waste to energy (WtE) plants established</t>
        </is>
      </c>
      <c r="G13" s="26" t="n">
        <v>2</v>
      </c>
      <c r="H13" s="18" t="inlineStr">
        <is>
          <t>2 waste to energy plants
0.2 Mw
by 2024</t>
        </is>
      </c>
      <c r="I13" s="18" t="n"/>
      <c r="J13" s="20" t="inlineStr">
        <is>
          <t>EU and SIDA</t>
        </is>
      </c>
      <c r="K13" s="21" t="n"/>
      <c r="L13" s="84" t="n"/>
      <c r="M13" s="40" t="inlineStr">
        <is>
          <t>to the CO: Please estimate the number of MW (is this value per minigrid, or total?)
it is Total</t>
        </is>
      </c>
      <c r="O13" t="inlineStr">
        <is>
          <t>Accelerating just energy transition</t>
        </is>
      </c>
      <c r="P13" t="inlineStr">
        <is>
          <t>Energy Efficiency</t>
        </is>
      </c>
    </row>
    <row r="14" ht="91.5" customHeight="1">
      <c r="A14" s="27" t="n"/>
      <c r="B14" s="27" t="n"/>
      <c r="C14" s="28" t="n"/>
      <c r="D14" s="27" t="n"/>
      <c r="E14" s="18" t="inlineStr">
        <is>
          <t>Entrepreneurship Training</t>
        </is>
      </c>
      <c r="F14" s="18" t="inlineStr">
        <is>
          <t xml:space="preserve">Number of people who increase their knowledge and skills on decentralized renewable energy innovation and solutions (disaggregated by: women/men, age), with support of the intervention </t>
        </is>
      </c>
      <c r="G14" s="26" t="n">
        <v>0</v>
      </c>
      <c r="H14" s="18" t="n">
        <v>500</v>
      </c>
      <c r="I14" s="18" t="inlineStr">
        <is>
          <t>Training and seed grants</t>
        </is>
      </c>
      <c r="J14" s="20" t="inlineStr">
        <is>
          <t>EU and SIDA</t>
        </is>
      </c>
      <c r="K14" s="21" t="n"/>
      <c r="L14" s="84" t="n"/>
      <c r="M14" s="14" t="n"/>
    </row>
    <row r="15" ht="104.1" customHeight="1">
      <c r="A15" s="27" t="n"/>
      <c r="B15" s="27" t="n"/>
      <c r="C15" s="28" t="n"/>
      <c r="D15" s="27" t="n"/>
      <c r="E15" s="16" t="inlineStr">
        <is>
          <t>Water Services</t>
        </is>
      </c>
      <c r="F15" s="18" t="inlineStr">
        <is>
          <t>Support waste to energy and water desalination business initiatives with the engagement women, youths and private sector for enviroment protection and improvement in collaboration with SDGs Climate initiative.
Number of Water Desalination established</t>
        </is>
      </c>
      <c r="G15" s="26" t="n">
        <v>1</v>
      </c>
      <c r="H15" s="18" t="inlineStr">
        <is>
          <t>1 water desalination plant by 2023
initial estimation is 6,000 individual</t>
        </is>
      </c>
      <c r="I15" s="18" t="n"/>
      <c r="J15" s="20" t="inlineStr">
        <is>
          <t>EU and SIDA</t>
        </is>
      </c>
      <c r="K15" s="21" t="n"/>
      <c r="L15" s="32" t="n"/>
      <c r="M15" s="39" t="inlineStr">
        <is>
          <t>to the CO: Please estimate number of beneficiaries.</t>
        </is>
      </c>
      <c r="O15" t="inlineStr">
        <is>
          <t>Accelerating just energy transition</t>
        </is>
      </c>
      <c r="P15" t="inlineStr">
        <is>
          <t>Energy Efficiency</t>
        </is>
      </c>
    </row>
    <row r="16" ht="91.5" customHeight="1">
      <c r="A16" s="27" t="n">
        <v>137393</v>
      </c>
      <c r="B16" s="27" t="inlineStr">
        <is>
          <t>Renewable Energy Improved Access to Health Services</t>
        </is>
      </c>
      <c r="C16" s="28" t="inlineStr">
        <is>
          <t>http://open.undp.org/projects/00137393</t>
        </is>
      </c>
      <c r="D16" s="27" t="n">
        <v>463769</v>
      </c>
      <c r="E16" s="16" t="inlineStr">
        <is>
          <t>Health Services</t>
        </is>
      </c>
      <c r="F16" s="18" t="inlineStr">
        <is>
          <t xml:space="preserve">Number of beneficiaries
</t>
        </is>
      </c>
      <c r="G16" s="26" t="n">
        <v>1</v>
      </c>
      <c r="H16" s="26" t="inlineStr">
        <is>
          <t xml:space="preserve">
80,000</t>
        </is>
      </c>
      <c r="I16" s="18" t="n"/>
      <c r="J16" s="20" t="inlineStr">
        <is>
          <t>KUWAIT FUND FOR ARAB ECONOMIC DEVELOPMENT</t>
        </is>
      </c>
      <c r="K16" s="21" t="n"/>
      <c r="L16" s="48" t="inlineStr">
        <is>
          <t>Non-VF</t>
        </is>
      </c>
      <c r="M16" s="14" t="n"/>
      <c r="O16" t="inlineStr">
        <is>
          <t>Close the gap on energy access</t>
        </is>
      </c>
      <c r="P16" t="inlineStr">
        <is>
          <t>Renewable Energy</t>
        </is>
      </c>
    </row>
    <row r="17">
      <c r="A17" s="71" t="n"/>
      <c r="B17" s="71" t="n"/>
      <c r="C17" s="72" t="n"/>
      <c r="D17" s="71" t="n"/>
      <c r="E17" s="16" t="inlineStr">
        <is>
          <t>Other Energy Services</t>
        </is>
      </c>
      <c r="F17" s="24" t="inlineStr">
        <is>
          <t>benfiting individuals</t>
        </is>
      </c>
      <c r="G17" s="26" t="n"/>
      <c r="H17" s="26" t="n">
        <v>11200</v>
      </c>
      <c r="I17" s="24" t="inlineStr">
        <is>
          <t>32 microgrid stations by 2023</t>
        </is>
      </c>
      <c r="J17" s="20" t="n"/>
      <c r="K17" s="21" t="n"/>
      <c r="L17" s="84" t="n"/>
      <c r="M17" s="14" t="n"/>
      <c r="O17" t="inlineStr">
        <is>
          <t>Close the gap on energy access</t>
        </is>
      </c>
      <c r="P17" t="inlineStr">
        <is>
          <t>Renewable Energy</t>
        </is>
      </c>
    </row>
    <row r="18" ht="91.5" customHeight="1">
      <c r="A18" s="32" t="n"/>
      <c r="B18" s="32" t="n"/>
      <c r="C18" s="32" t="n"/>
      <c r="D18" s="32" t="n"/>
      <c r="E18" s="16" t="inlineStr">
        <is>
          <t>Energy (MW added)</t>
        </is>
      </c>
      <c r="F18" s="18" t="inlineStr">
        <is>
          <t>MW
Indicator 3: # solar microgrids stations have supported households/commercial places to access clean energy</t>
        </is>
      </c>
      <c r="G18" s="26" t="n">
        <v>3</v>
      </c>
      <c r="H18" s="18" t="inlineStr">
        <is>
          <t xml:space="preserve">
0.481</t>
        </is>
      </c>
      <c r="I18" s="18" t="n"/>
      <c r="J18" s="20" t="inlineStr">
        <is>
          <t>KUWAIT FUND FOR ARAB ECONOMIC DEVELOPMENT</t>
        </is>
      </c>
      <c r="K18" s="21" t="n"/>
      <c r="L18" s="84" t="n"/>
      <c r="M18" s="14" t="n"/>
      <c r="O18" t="inlineStr">
        <is>
          <t>Close the gap on energy access</t>
        </is>
      </c>
      <c r="P18" t="inlineStr">
        <is>
          <t>Renewable Energy</t>
        </is>
      </c>
    </row>
    <row r="19" ht="91.5" customHeight="1">
      <c r="A19" s="27" t="n"/>
      <c r="B19" s="27" t="n"/>
      <c r="C19" s="28" t="n"/>
      <c r="D19" s="27" t="n"/>
      <c r="E19" s="16" t="inlineStr">
        <is>
          <t>Entrepreneurship Training</t>
        </is>
      </c>
      <c r="F19" s="18" t="inlineStr">
        <is>
          <t>Indicator 4: # number of women and men have improved access to sustained income through solar microgrids
Baseline: 30
Target: 500</t>
        </is>
      </c>
      <c r="G19" s="26" t="n">
        <v>30</v>
      </c>
      <c r="H19" s="18" t="n">
        <v>500</v>
      </c>
      <c r="I19" s="18" t="n"/>
      <c r="J19" s="20" t="inlineStr">
        <is>
          <t>KUWAIT FUND FOR ARAB ECONOMIC DEVELOPMENT</t>
        </is>
      </c>
      <c r="K19" s="21" t="n"/>
      <c r="L19" s="32" t="n"/>
      <c r="M19" s="14" t="n"/>
      <c r="O19" t="inlineStr">
        <is>
          <t>Accelerating just energy transition</t>
        </is>
      </c>
      <c r="P19" t="inlineStr">
        <is>
          <t>Electricity Access</t>
        </is>
      </c>
    </row>
  </sheetData>
  <mergeCells count="11">
    <mergeCell ref="A2:A9"/>
    <mergeCell ref="A17:A18"/>
    <mergeCell ref="C2:C9"/>
    <mergeCell ref="C17:C18"/>
    <mergeCell ref="B17:B18"/>
    <mergeCell ref="L16:L19"/>
    <mergeCell ref="L2:L9"/>
    <mergeCell ref="D17:D18"/>
    <mergeCell ref="B2:B9"/>
    <mergeCell ref="D2:D9"/>
    <mergeCell ref="L10:L15"/>
  </mergeCells>
  <dataValidations count="5">
    <dataValidation sqref="O2:O19" showDropDown="0" showInputMessage="1" showErrorMessage="1" allowBlank="1" type="list">
      <formula1>"Accelerating just energy transition, Close the gap on energy access, Scale up energy finance"</formula1>
    </dataValidation>
    <dataValidation sqref="P2:P19" showDropDown="0" showInputMessage="1" showErrorMessage="1" allowBlank="1" type="list">
      <formula1>"Electricity Access, Energy Efficiency, Clean Cooking, Renewable Energy"</formula1>
    </dataValidation>
    <dataValidation sqref="Q2:Q19" showDropDown="0" showInputMessage="1" showErrorMessage="1" allowBlank="1" type="list">
      <formula1>"AMP, PUDC, Solar4Health, Action Opportunities, Italy UNDP Energy Partnership"</formula1>
    </dataValidation>
    <dataValidation sqref="R2:R1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19"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10" r:id="rId2"/>
    <hyperlink xmlns:r="http://schemas.openxmlformats.org/officeDocument/2006/relationships" ref="C16" r:id="rId3"/>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8"/>
  <sheetViews>
    <sheetView topLeftCell="B14" workbookViewId="0">
      <selection activeCell="E14" sqref="E14"/>
    </sheetView>
  </sheetViews>
  <sheetFormatPr baseColWidth="8" defaultRowHeight="14.45"/>
  <cols>
    <col width="51.28515625" bestFit="1" customWidth="1" min="2" max="2"/>
    <col width="20.7109375" customWidth="1" min="3" max="3"/>
    <col width="20.7109375" customWidth="1" min="5" max="5"/>
    <col width="34.140625" customWidth="1" min="6" max="6"/>
    <col width="14.5703125" customWidth="1" min="7" max="7"/>
    <col width="28.140625" customWidth="1" min="8" max="8"/>
    <col width="32.7109375" customWidth="1" min="9" max="9"/>
    <col width="12" customWidth="1" min="10" max="10"/>
  </cols>
  <sheetData>
    <row r="1" ht="15" customHeight="1">
      <c r="A1" s="2"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2" t="inlineStr">
        <is>
          <t>Notes</t>
        </is>
      </c>
      <c r="J1" s="1" t="inlineStr">
        <is>
          <t>Donors</t>
        </is>
      </c>
      <c r="K1" s="13" t="inlineStr">
        <is>
          <t>Gender (% female)</t>
        </is>
      </c>
      <c r="L1" s="13" t="inlineStr">
        <is>
          <t>Category</t>
        </is>
      </c>
      <c r="M1" s="13" t="inlineStr">
        <is>
          <t>Comments</t>
        </is>
      </c>
    </row>
    <row r="2" ht="57.95" customHeight="1">
      <c r="A2" s="3" t="n">
        <v>106770</v>
      </c>
      <c r="B2" s="3" t="inlineStr">
        <is>
          <t>Enhanced Rural Resilience in Yemen II</t>
        </is>
      </c>
      <c r="C2" s="4" t="inlineStr">
        <is>
          <t>http://open.undp.org/projects/00106770</t>
        </is>
      </c>
      <c r="D2" s="3" t="n">
        <v>24261743</v>
      </c>
      <c r="E2" s="5" t="inlineStr">
        <is>
          <t>Electricity Access</t>
        </is>
      </c>
      <c r="F2" s="6" t="inlineStr">
        <is>
          <t># of HHs supported through introduction of solar energy (disaggregated by female-headed households)</t>
        </is>
      </c>
      <c r="G2" s="7" t="inlineStr">
        <is>
          <t>5600 by 2018 through ERRY I</t>
        </is>
      </c>
      <c r="H2" s="7" t="inlineStr">
        <is>
          <t>7,560 HHs supported with solar household solutions by 2022</t>
        </is>
      </c>
      <c r="I2" s="8" t="n"/>
      <c r="J2" s="9" t="inlineStr">
        <is>
          <t>EU and SIDA</t>
        </is>
      </c>
    </row>
    <row r="3" ht="57.95" customHeight="1">
      <c r="A3" s="3" t="n"/>
      <c r="B3" s="3" t="n"/>
      <c r="C3" s="4" t="n"/>
      <c r="D3" s="3" t="n"/>
      <c r="E3" s="5" t="inlineStr">
        <is>
          <t>Agricultural Services</t>
        </is>
      </c>
      <c r="F3" s="7" t="inlineStr">
        <is>
          <t># of community productive assets (MSME) supported through introduction of solar energy</t>
        </is>
      </c>
      <c r="G3" s="7" t="inlineStr">
        <is>
          <t>19 by 2018 through ERRY I</t>
        </is>
      </c>
      <c r="H3" s="7" t="inlineStr">
        <is>
          <t>22 dairy productive groups received solar systems.
363 beneficiaries</t>
        </is>
      </c>
      <c r="I3" s="8" t="n"/>
      <c r="J3" s="9" t="inlineStr">
        <is>
          <t>EU and SIDA</t>
        </is>
      </c>
    </row>
    <row r="4" ht="57.95" customHeight="1">
      <c r="A4" s="3" t="n"/>
      <c r="B4" s="3" t="n"/>
      <c r="C4" s="4" t="n"/>
      <c r="D4" s="3" t="n"/>
      <c r="E4" s="5" t="inlineStr">
        <is>
          <t>Education Services</t>
        </is>
      </c>
      <c r="F4" s="7" t="inlineStr">
        <is>
          <t># of public institution facilities (health, education, water, and district offices) supported with solar systems</t>
        </is>
      </c>
      <c r="G4" s="7" t="inlineStr">
        <is>
          <t>210 by 2018 through ERRY I</t>
        </is>
      </c>
      <c r="H4" s="7" t="inlineStr">
        <is>
          <t>111 schools and local offices supported with solar systems by 2022</t>
        </is>
      </c>
      <c r="I4" s="8" t="n"/>
      <c r="J4" s="9" t="inlineStr">
        <is>
          <t>EU and SIDA</t>
        </is>
      </c>
    </row>
    <row r="5" ht="43.5" customHeight="1">
      <c r="A5" s="3" t="n"/>
      <c r="B5" s="3" t="n"/>
      <c r="C5" s="4" t="n"/>
      <c r="D5" s="3" t="n"/>
      <c r="E5" s="5" t="inlineStr">
        <is>
          <t>Entrepreneurship Training</t>
        </is>
      </c>
      <c r="F5" s="7" t="inlineStr">
        <is>
          <t># of solar micro-enterprises established (disaggregated by gender</t>
        </is>
      </c>
      <c r="G5" s="7" t="inlineStr">
        <is>
          <t>200 micro businesses in 2018</t>
        </is>
      </c>
      <c r="H5" s="7" t="inlineStr">
        <is>
          <t>543 micro business established by 2022</t>
        </is>
      </c>
      <c r="I5" s="8" t="n"/>
      <c r="J5" s="9" t="inlineStr">
        <is>
          <t>EU and SIDA</t>
        </is>
      </c>
    </row>
    <row r="6" ht="72.59999999999999" customHeight="1">
      <c r="A6" s="3" t="n"/>
      <c r="B6" s="3" t="n"/>
      <c r="C6" s="4" t="n"/>
      <c r="D6" s="3" t="n"/>
      <c r="E6" s="5" t="inlineStr">
        <is>
          <t>Agricultural Services</t>
        </is>
      </c>
      <c r="F6" s="7" t="inlineStr">
        <is>
          <t># of WUAs supported to promote efficient water and land management</t>
        </is>
      </c>
      <c r="G6" s="5" t="inlineStr">
        <is>
          <t>4 by 2018</t>
        </is>
      </c>
      <c r="H6" s="7" t="inlineStr">
        <is>
          <t>4 solar water irrigation systems established supporting 4 WUAs by 2022</t>
        </is>
      </c>
      <c r="I6" s="8" t="n"/>
      <c r="J6" s="9" t="inlineStr">
        <is>
          <t>EU and SIDA</t>
        </is>
      </c>
    </row>
    <row r="7" ht="87" customHeight="1">
      <c r="A7" s="3" t="n"/>
      <c r="B7" s="3" t="n"/>
      <c r="C7" s="4" t="n"/>
      <c r="D7" s="3" t="n"/>
      <c r="E7" s="5" t="inlineStr">
        <is>
          <t>Water Services</t>
        </is>
      </c>
      <c r="F7" s="7" t="inlineStr">
        <is>
          <t># of public institution facilities (health, education, water, and district offices) supported with solar systems</t>
        </is>
      </c>
      <c r="G7" s="5" t="inlineStr">
        <is>
          <t>4 by 2018</t>
        </is>
      </c>
      <c r="H7" s="7" t="inlineStr">
        <is>
          <t>4 solar water pumping systems installed supporting 4 community drinking water projects by 2022</t>
        </is>
      </c>
      <c r="I7" s="7" t="inlineStr">
        <is>
          <t>3 solar pumping systems + 1 solar powered desalination systems</t>
        </is>
      </c>
      <c r="J7" s="9" t="inlineStr">
        <is>
          <t>EU and SIDA</t>
        </is>
      </c>
    </row>
    <row r="8" ht="87" customHeight="1">
      <c r="A8" s="3" t="n"/>
      <c r="B8" s="3" t="n"/>
      <c r="C8" s="4" t="n"/>
      <c r="D8" s="3" t="n"/>
      <c r="E8" s="5" t="inlineStr">
        <is>
          <t>Health Services</t>
        </is>
      </c>
      <c r="F8" s="7" t="inlineStr">
        <is>
          <t># of public institution facilities (health, education, water, and district offices) supported with solar systems</t>
        </is>
      </c>
      <c r="G8" s="7" t="inlineStr">
        <is>
          <t>72 by 2018 through ERRY I</t>
        </is>
      </c>
      <c r="H8" s="7" t="inlineStr">
        <is>
          <t>72 solar-powered vaccine refrigerators installed in health centers, benefiting 60,000 individuals by 2022</t>
        </is>
      </c>
      <c r="I8" s="8" t="n"/>
      <c r="J8" s="9" t="inlineStr">
        <is>
          <t>EU and SIDA</t>
        </is>
      </c>
    </row>
    <row r="9" ht="72.59999999999999" customHeight="1">
      <c r="A9" s="3" t="n"/>
      <c r="B9" s="3" t="n"/>
      <c r="C9" s="4" t="n"/>
      <c r="D9" s="3" t="n"/>
      <c r="E9" s="10" t="inlineStr">
        <is>
          <t>Capacity Training</t>
        </is>
      </c>
      <c r="F9" s="11" t="inlineStr">
        <is>
          <t># of trained and certified women and youth in solar system installation who have adopted solar innovation</t>
        </is>
      </c>
      <c r="G9" s="11" t="n">
        <v>0</v>
      </c>
      <c r="H9" s="11" t="inlineStr">
        <is>
          <t>713 women and youth received vocational training in solar system installation by 2022</t>
        </is>
      </c>
      <c r="I9" s="10" t="n"/>
      <c r="J9" s="9" t="inlineStr">
        <is>
          <t>EU and SIDA</t>
        </is>
      </c>
    </row>
    <row r="10" ht="101.45" customHeight="1">
      <c r="A10" s="3" t="n">
        <v>135714</v>
      </c>
      <c r="B10" s="3" t="inlineStr">
        <is>
          <t>Supporting Resilient Livelihoods, Food Security and Clim</t>
        </is>
      </c>
      <c r="C10" s="4" t="inlineStr">
        <is>
          <t>http://open.undp.org/projects/00135714</t>
        </is>
      </c>
      <c r="D10" s="3" t="n">
        <v>2727783</v>
      </c>
      <c r="E10" s="5" t="inlineStr">
        <is>
          <t>Health Services</t>
        </is>
      </c>
      <c r="F10" s="7" t="inlineStr">
        <is>
          <t>Number of public facilities and households provided with access to renewable energy solutions (disaggregated by facility/household, men/women-headed, sector, and location, women institutions/services ), with support of the intervention</t>
        </is>
      </c>
      <c r="G10" s="12" t="inlineStr">
        <is>
          <t>182000 Individuals through ERRY I &amp; II</t>
        </is>
      </c>
      <c r="H10" s="7" t="inlineStr">
        <is>
          <t>100 facilities supported with solar systems benfiting 100,000 Individuals  by 2024</t>
        </is>
      </c>
      <c r="I10" s="7" t="inlineStr">
        <is>
          <t>The category of this intervention includes education, health, and water.</t>
        </is>
      </c>
      <c r="J10" s="9" t="inlineStr">
        <is>
          <t>EU and SIDA</t>
        </is>
      </c>
    </row>
    <row r="11" ht="101.45" customHeight="1">
      <c r="A11" s="3" t="n"/>
      <c r="B11" s="3" t="n"/>
      <c r="C11" s="4" t="n"/>
      <c r="D11" s="3" t="n"/>
      <c r="E11" s="5" t="inlineStr">
        <is>
          <t>Electricity Access</t>
        </is>
      </c>
      <c r="F11" s="7" t="inlineStr">
        <is>
          <t>Number of public facilities and households provided with access to renewable energy solutions (disaggregated by facility/household, men/women-headed, sector, and location, women institutions/services ), with support of the intervention</t>
        </is>
      </c>
      <c r="G11" s="12" t="inlineStr">
        <is>
          <t>13160 through ERRY I &amp; II</t>
        </is>
      </c>
      <c r="H11" s="7" t="inlineStr">
        <is>
          <t>500 HHs have access to electricty at affordable price by 2024</t>
        </is>
      </c>
      <c r="I11" s="8" t="n"/>
      <c r="J11" s="9" t="inlineStr">
        <is>
          <t>EU and SIDA</t>
        </is>
      </c>
    </row>
    <row r="12" ht="57.95" customHeight="1">
      <c r="A12" s="3" t="n"/>
      <c r="B12" s="3" t="n"/>
      <c r="C12" s="4" t="n"/>
      <c r="D12" s="3" t="n"/>
      <c r="E12" s="5" t="inlineStr">
        <is>
          <t>Energy (MW added)</t>
        </is>
      </c>
      <c r="F12" s="7" t="inlineStr">
        <is>
          <t>Number of solar/wind energy mini-grids established in small and medium markets and commercial centers and shops, with support of the intervention</t>
        </is>
      </c>
      <c r="G12" s="11" t="n">
        <v>0</v>
      </c>
      <c r="H12" s="7" t="inlineStr">
        <is>
          <t>2 Solar and Wind minigrids
0.3 Mw
by 2024</t>
        </is>
      </c>
      <c r="I12" s="7" t="n"/>
      <c r="J12" s="9" t="inlineStr">
        <is>
          <t>EU and SIDA</t>
        </is>
      </c>
    </row>
    <row r="13" ht="118.5" customHeight="1">
      <c r="A13" s="3" t="n"/>
      <c r="B13" s="3" t="n"/>
      <c r="C13" s="4" t="n"/>
      <c r="D13" s="3" t="n"/>
      <c r="E13" s="5" t="inlineStr">
        <is>
          <t>Energy (MW added)</t>
        </is>
      </c>
      <c r="F13" s="7" t="inlineStr">
        <is>
          <t>Support waste to energy and water desalination business initiatives with the engagement women, youths and private sector for enviroment protection and improvement in collaboration with SDGs Climate initiative.
Number of waste to energy (WtE) plants established</t>
        </is>
      </c>
      <c r="G13" s="11" t="n">
        <v>2</v>
      </c>
      <c r="H13" s="7" t="inlineStr">
        <is>
          <t>2 waste to energy plants
0.2 Mw
by 2024</t>
        </is>
      </c>
      <c r="I13" s="7" t="n"/>
      <c r="J13" s="9" t="inlineStr">
        <is>
          <t>EU and SIDA</t>
        </is>
      </c>
    </row>
    <row r="14" ht="87" customHeight="1">
      <c r="A14" s="3" t="n"/>
      <c r="B14" s="3" t="n"/>
      <c r="C14" s="4" t="n"/>
      <c r="D14" s="3" t="n"/>
      <c r="E14" s="7" t="inlineStr">
        <is>
          <t>Entrepreneurship Training</t>
        </is>
      </c>
      <c r="F14" s="7" t="inlineStr">
        <is>
          <t xml:space="preserve">Number of people who increase their knowledge and skills on decentralized renewable energy innovation and solutions (disaggregated by: women/men, age), with support of the intervention </t>
        </is>
      </c>
      <c r="G14" s="11" t="n">
        <v>0</v>
      </c>
      <c r="H14" s="7" t="inlineStr">
        <is>
          <t>500 Entrepreneurs by 2024</t>
        </is>
      </c>
      <c r="I14" s="7" t="inlineStr">
        <is>
          <t>Training and seed grants</t>
        </is>
      </c>
      <c r="J14" s="9" t="inlineStr">
        <is>
          <t>EU and SIDA</t>
        </is>
      </c>
    </row>
    <row r="15" ht="104.1" customHeight="1">
      <c r="A15" s="3" t="n"/>
      <c r="B15" s="3" t="n"/>
      <c r="C15" s="4" t="n"/>
      <c r="D15" s="3" t="n"/>
      <c r="E15" s="5" t="inlineStr">
        <is>
          <t>Water Services</t>
        </is>
      </c>
      <c r="F15" s="7" t="inlineStr">
        <is>
          <t>Support waste to energy and water desalination business initiatives with the engagement women, youths and private sector for enviroment protection and improvement in collaboration with SDGs Climate initiative.
Number of Water Desalination established</t>
        </is>
      </c>
      <c r="G15" s="11" t="n">
        <v>1</v>
      </c>
      <c r="H15" s="7" t="inlineStr">
        <is>
          <t>1 water desalintaion plant by 2023</t>
        </is>
      </c>
      <c r="I15" s="7" t="n"/>
      <c r="J15" s="9" t="inlineStr">
        <is>
          <t>EU and SIDA</t>
        </is>
      </c>
    </row>
    <row r="16" ht="87" customHeight="1">
      <c r="A16" s="3" t="n">
        <v>137393</v>
      </c>
      <c r="B16" s="3" t="inlineStr">
        <is>
          <t>Renewable Energy Improved Access to Health Services</t>
        </is>
      </c>
      <c r="C16" s="4" t="inlineStr">
        <is>
          <t>http://open.undp.org/projects/00137393</t>
        </is>
      </c>
      <c r="D16" s="3" t="n">
        <v>463769</v>
      </c>
      <c r="E16" s="5" t="inlineStr">
        <is>
          <t>Health Services</t>
        </is>
      </c>
      <c r="F16" s="7" t="inlineStr">
        <is>
          <t xml:space="preserve">Indicator 1: # Number of health facilities supported </t>
        </is>
      </c>
      <c r="G16" s="11" t="n">
        <v>1</v>
      </c>
      <c r="H16" s="11" t="inlineStr">
        <is>
          <t>4 hospitals
80,000 individuals
by 2023</t>
        </is>
      </c>
      <c r="I16" s="7" t="n"/>
      <c r="J16" s="9" t="inlineStr">
        <is>
          <t>KUWAIT FUND FOR ARAB ECONOMIC DEVELOPMENT</t>
        </is>
      </c>
    </row>
    <row r="17" ht="87" customHeight="1">
      <c r="A17" s="3" t="n"/>
      <c r="B17" s="3" t="n"/>
      <c r="C17" s="4" t="n"/>
      <c r="D17" s="3" t="n"/>
      <c r="E17" s="5" t="inlineStr">
        <is>
          <t>Energy (MW added)</t>
        </is>
      </c>
      <c r="F17" s="7" t="inlineStr">
        <is>
          <t>Indicator 3: # solar microgrids stations have supported households/commercial places to access clean energy</t>
        </is>
      </c>
      <c r="G17" s="11" t="n">
        <v>3</v>
      </c>
      <c r="H17" s="7" t="inlineStr">
        <is>
          <t xml:space="preserve">32 microgrid stations by 2023
50 consumers per microgrid
Total benfiting individuals: 11200
0.481 Mw
</t>
        </is>
      </c>
      <c r="I17" s="7" t="n"/>
      <c r="J17" s="9" t="inlineStr">
        <is>
          <t>KUWAIT FUND FOR ARAB ECONOMIC DEVELOPMENT</t>
        </is>
      </c>
    </row>
    <row r="18" ht="87" customHeight="1">
      <c r="A18" s="3" t="n"/>
      <c r="B18" s="3" t="n"/>
      <c r="C18" s="4" t="n"/>
      <c r="D18" s="3" t="n"/>
      <c r="E18" s="5" t="inlineStr">
        <is>
          <t>Entrepreneurship Training</t>
        </is>
      </c>
      <c r="F18" s="7" t="inlineStr">
        <is>
          <t>Indicator 4: # number of women and men have improved access to sustained income through solar microgrids
Baseline: 30
Target: 500</t>
        </is>
      </c>
      <c r="G18" s="11" t="n">
        <v>30</v>
      </c>
      <c r="H18" s="7" t="inlineStr">
        <is>
          <t>500 women and men have improved access to sustained income through solar microgrids by 2023</t>
        </is>
      </c>
      <c r="I18" s="7" t="n"/>
      <c r="J18" s="9" t="inlineStr">
        <is>
          <t>KUWAIT FUND FOR ARAB ECONOMIC DEVELOPMENT</t>
        </is>
      </c>
    </row>
  </sheetData>
  <hyperlinks>
    <hyperlink xmlns:r="http://schemas.openxmlformats.org/officeDocument/2006/relationships" ref="C2" r:id="rId1"/>
    <hyperlink xmlns:r="http://schemas.openxmlformats.org/officeDocument/2006/relationships" ref="C10" r:id="rId2"/>
    <hyperlink xmlns:r="http://schemas.openxmlformats.org/officeDocument/2006/relationships" ref="C16" r:id="rId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ustomHeight="1"/>
  <cols>
    <col width="36" customWidth="1" min="1" max="2"/>
    <col width="110" customWidth="1" min="2" max="2"/>
  </cols>
  <sheetData>
    <row r="1">
      <c r="A1" s="85" t="inlineStr">
        <is>
          <t>Beneficiary Category</t>
        </is>
      </c>
      <c r="B1" s="85" t="inlineStr">
        <is>
          <t>Indicator</t>
        </is>
      </c>
    </row>
    <row r="2" ht="45.75" customHeight="1">
      <c r="A2" s="86" t="inlineStr">
        <is>
          <t>Electricity Access</t>
        </is>
      </c>
      <c r="B2" s="86" t="inlineStr">
        <is>
          <t>Number of people, disaggregated by sex, who gain access to clean electricity (direct access to electricity, lighting, cooling, etc.).</t>
        </is>
      </c>
    </row>
    <row r="3">
      <c r="A3" s="86" t="inlineStr">
        <is>
          <t>Energy (MW added)</t>
        </is>
      </c>
      <c r="B3" s="86" t="inlineStr">
        <is>
          <t>Installed renewable or clean-energy power capacity added, in MW.</t>
        </is>
      </c>
    </row>
    <row r="4" ht="30.75" customHeight="1">
      <c r="A4" s="86" t="inlineStr">
        <is>
          <t>Energy Storage (MW)</t>
        </is>
      </c>
      <c r="B4" s="86" t="inlineStr">
        <is>
          <t>Installed energy storage power capacity added, in MW.</t>
        </is>
      </c>
    </row>
    <row r="5" ht="30.75" customHeight="1">
      <c r="A5" s="86" t="inlineStr">
        <is>
          <t>Clean Cooking</t>
        </is>
      </c>
      <c r="B5" s="86" t="inlineStr">
        <is>
          <t>Number of people who gain access to clean cooking (direct access to clean cook stoves, clean fuels, biomass, etc.).</t>
        </is>
      </c>
    </row>
    <row r="6" ht="91.5" customHeight="1">
      <c r="A6" s="86" t="inlineStr">
        <is>
          <t>Clean Heating</t>
        </is>
      </c>
      <c r="B6" s="86" t="inlineStr">
        <is>
          <t>Number of people who gain access to clean heating (direct access to clean electric heaters, clean fuels, etc.).</t>
        </is>
      </c>
    </row>
    <row r="7" ht="45.75" customHeight="1">
      <c r="A7" s="86" t="inlineStr">
        <is>
          <t>Agriculture and Food System</t>
        </is>
      </c>
      <c r="B7" s="86" t="inlineStr">
        <is>
          <t>Number of people who gain access to clean, affordable, and sustainable energy for agricultural and food-system activities.</t>
        </is>
      </c>
    </row>
    <row r="8" ht="45.75" customHeight="1">
      <c r="A8" s="86" t="inlineStr">
        <is>
          <t>Health Services</t>
        </is>
      </c>
      <c r="B8" s="86" t="inlineStr">
        <is>
          <t>Number of people who gain access to health care facilities through clean energy systems.</t>
        </is>
      </c>
    </row>
    <row r="9" ht="45.75" customHeight="1">
      <c r="A9" s="86" t="inlineStr">
        <is>
          <t>Water Services</t>
        </is>
      </c>
      <c r="B9" s="86" t="inlineStr">
        <is>
          <t>Number of people who gain access to water services through clean energy systems.</t>
        </is>
      </c>
    </row>
    <row r="10" ht="30.75" customHeight="1">
      <c r="A10" s="86" t="inlineStr">
        <is>
          <t>Education Services</t>
        </is>
      </c>
      <c r="B10" s="86" t="inlineStr">
        <is>
          <t>Number of people who gain access to education services through clean energy systems, including students and teachers.</t>
        </is>
      </c>
    </row>
    <row r="11" ht="30.75" customHeight="1">
      <c r="A11" s="86" t="inlineStr">
        <is>
          <t>Transportation and E-mobility Services</t>
        </is>
      </c>
      <c r="B11" s="86" t="inlineStr">
        <is>
          <t>Number of people served or energy saved from transport and e-mobility interventions, such as electric vehicles or charging stations.</t>
        </is>
      </c>
    </row>
    <row r="12" ht="45.75" customHeight="1">
      <c r="A12" s="86" t="inlineStr">
        <is>
          <t>Energy Efficiency Services</t>
        </is>
      </c>
      <c r="B12" s="86" t="inlineStr">
        <is>
          <t>Energy saved from energy-efficiency interventions, such as building or industrial efficiency.</t>
        </is>
      </c>
    </row>
    <row r="13" ht="30.75" customHeight="1">
      <c r="A13" s="86" t="inlineStr">
        <is>
          <t>Energy Infrastructure Services</t>
        </is>
      </c>
      <c r="B13" s="86" t="inlineStr">
        <is>
          <t>Number of people benefiting from energy infrastructure interventions, such as streetlights, transmission, and distribution lines.</t>
        </is>
      </c>
    </row>
    <row r="14">
      <c r="A14" s="86" t="inlineStr">
        <is>
          <t>Other Energy Services</t>
        </is>
      </c>
      <c r="B14" s="86" t="inlineStr">
        <is>
          <t>Access to other energy services not captured by the categories above.</t>
        </is>
      </c>
    </row>
    <row r="15" ht="30.75" customHeight="1">
      <c r="A15" s="86" t="inlineStr">
        <is>
          <t>Financing support</t>
        </is>
      </c>
      <c r="B15" s="86" t="inlineStr">
        <is>
          <t>Support for the development of the energy market ecosystem.</t>
        </is>
      </c>
    </row>
    <row r="16" ht="30.75" customHeight="1">
      <c r="A16" s="86" t="inlineStr">
        <is>
          <t>Medium Enterprises</t>
        </is>
      </c>
      <c r="B16" s="86" t="inlineStr">
        <is>
          <t>Support for the development of medium enterprises in the energy transition market.</t>
        </is>
      </c>
    </row>
    <row r="17" ht="30.75" customHeight="1">
      <c r="A17" s="86" t="inlineStr">
        <is>
          <t>Small Enterprises</t>
        </is>
      </c>
      <c r="B17" s="86" t="inlineStr">
        <is>
          <t>Support for the development of small enterprises in the energy transition market.</t>
        </is>
      </c>
    </row>
    <row r="18" ht="30.75" customHeight="1">
      <c r="A18" s="86" t="inlineStr">
        <is>
          <t>Capacity Building Training</t>
        </is>
      </c>
      <c r="B18" s="86" t="inlineStr">
        <is>
          <t>Number of people benefiting from training on energy business, energy finance, or related implementation capacity.</t>
        </is>
      </c>
    </row>
    <row r="19" ht="76.5" customHeight="1">
      <c r="A19" s="86" t="inlineStr">
        <is>
          <t>Entrepreneurship Training</t>
        </is>
      </c>
      <c r="B19" s="86" t="inlineStr">
        <is>
          <t>Training for enterprises on the energy business, assumed to result in direct beneficiaries.</t>
        </is>
      </c>
    </row>
    <row r="20" ht="30.75" customHeight="1">
      <c r="A20" s="86" t="inlineStr">
        <is>
          <t>Market Intervention</t>
        </is>
      </c>
      <c r="B20" s="86" t="inlineStr">
        <is>
          <t>Volume of investment leveraged or barriers removed for clean, reliable, affordable, and sustainable energy solutions.</t>
        </is>
      </c>
    </row>
    <row r="21" ht="45.75" customHeight="1">
      <c r="A21" s="86" t="inlineStr">
        <is>
          <t>Campaign Participant</t>
        </is>
      </c>
      <c r="B21" s="86" t="inlineStr">
        <is>
          <t>Individuals who participate in advocacy or awareness campaigns on energy.</t>
        </is>
      </c>
    </row>
    <row r="22" ht="30.75" customHeight="1">
      <c r="A22" s="86" t="inlineStr">
        <is>
          <t>Policy or Regulatory Framework</t>
        </is>
      </c>
      <c r="B22" s="86" t="inlineStr">
        <is>
          <t>Policies, regulations, strategies, plans, or frameworks developed, approved, implemented, or strengthened.</t>
        </is>
      </c>
    </row>
    <row r="23">
      <c r="A23" s="86" t="inlineStr">
        <is>
          <t>GHG Emissions Reduction</t>
        </is>
      </c>
      <c r="B23" s="86" t="inlineStr">
        <is>
          <t>Greenhouse gas emissions reduced or mitigated, in tCO2e.</t>
        </is>
      </c>
    </row>
    <row r="24">
      <c r="A24" s="86" t="inlineStr">
        <is>
          <t>Other</t>
        </is>
      </c>
      <c r="B24" s="8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Abdo.Seif</dc:creator>
  <dcterms:created xmlns:dcterms="http://purl.org/dc/terms/" xmlns:xsi="http://www.w3.org/2001/XMLSchema-instance" xsi:type="dcterms:W3CDTF">2023-05-05T09:33:40Z</dcterms:created>
  <dcterms:modified xmlns:dcterms="http://purl.org/dc/terms/" xmlns:xsi="http://www.w3.org/2001/XMLSchema-instance" xsi:type="dcterms:W3CDTF">2026-06-08T15:49:49Z</dcterms:modified>
  <cp:lastModifiedBy>Sami Al-Hakimi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