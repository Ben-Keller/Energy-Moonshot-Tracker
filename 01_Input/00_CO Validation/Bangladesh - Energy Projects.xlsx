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_-* #,##0_-;\-* #,##0_-;_-* &quot;-&quot;??_-;_-@_-"/>
    <numFmt numFmtId="165" formatCode="_(* #,##0_);_(* \(#,##0\);_(* &quot;-&quot;??_);_(@_)"/>
  </numFmts>
  <fonts count="19">
    <font>
      <name val="Calibri"/>
      <family val="2"/>
      <color theme="1"/>
      <sz val="11"/>
      <scheme val="minor"/>
    </font>
    <font>
      <name val="Calibri"/>
      <color theme="1"/>
      <sz val="11"/>
      <scheme val="minor"/>
    </font>
    <font>
      <name val="Calibri"/>
      <family val="2"/>
      <b val="1"/>
      <color theme="1"/>
      <sz val="11"/>
      <scheme val="minor"/>
    </font>
    <font>
      <name val="Arial"/>
      <family val="2"/>
      <color rgb="FF000000"/>
      <sz val="11"/>
    </font>
    <font>
      <name val="Calibri"/>
      <family val="2"/>
      <color theme="1"/>
      <sz val="11"/>
      <scheme val="minor"/>
    </font>
    <font>
      <name val="Calibri"/>
      <family val="2"/>
      <color theme="10"/>
      <sz val="11"/>
      <u val="single"/>
      <scheme val="minor"/>
    </font>
    <font>
      <name val="Calibri"/>
      <family val="2"/>
      <color rgb="FF000000"/>
      <sz val="11"/>
      <scheme val="minor"/>
    </font>
    <font>
      <name val="Calibri"/>
      <family val="2"/>
      <sz val="8"/>
      <scheme val="minor"/>
    </font>
    <font>
      <name val="Calibri"/>
      <family val="2"/>
      <color rgb="FFED7D31"/>
      <sz val="11"/>
      <scheme val="minor"/>
    </font>
    <font>
      <name val="Calibri"/>
      <family val="2"/>
      <color rgb="FFFF0000"/>
      <sz val="11"/>
      <scheme val="minor"/>
    </font>
    <font>
      <name val="Calibri"/>
      <family val="2"/>
      <sz val="11"/>
      <scheme val="minor"/>
    </font>
    <font>
      <name val="Calibri"/>
      <family val="2"/>
      <b val="1"/>
      <color rgb="FF000000"/>
      <sz val="11"/>
    </font>
    <font>
      <name val="Calibri"/>
      <charset val="1"/>
      <color rgb="FF000000"/>
      <sz val="11"/>
    </font>
    <font>
      <name val="Calibri"/>
      <family val="2"/>
      <color rgb="FFFF0000"/>
      <sz val="11"/>
    </font>
    <font>
      <name val="Calibri"/>
      <family val="2"/>
      <color rgb="FF000000"/>
      <sz val="11"/>
    </font>
    <font>
      <name val="Calibri"/>
      <color rgb="FF000000"/>
      <sz val="11"/>
      <scheme val="minor"/>
    </font>
    <font>
      <name val="Calibri"/>
      <b val="1"/>
      <color theme="1"/>
      <sz val="11"/>
      <scheme val="minor"/>
    </font>
    <font>
      <name val="Calibri"/>
      <color rgb="FFFF0000"/>
      <sz val="11"/>
      <scheme val="minor"/>
    </font>
    <font>
      <b val="1"/>
    </font>
  </fonts>
  <fills count="7">
    <fill>
      <patternFill/>
    </fill>
    <fill>
      <patternFill patternType="gray125"/>
    </fill>
    <fill>
      <patternFill patternType="solid">
        <fgColor theme="9" tint="0.5999938962981048"/>
        <bgColor indexed="64"/>
      </patternFill>
    </fill>
    <fill>
      <patternFill patternType="solid">
        <fgColor rgb="FFFCD5B4"/>
        <bgColor rgb="FF000000"/>
      </patternFill>
    </fill>
    <fill>
      <patternFill patternType="solid">
        <fgColor rgb="FFFFFF00"/>
        <bgColor indexed="64"/>
      </patternFill>
    </fill>
    <fill>
      <patternFill patternType="solid">
        <fgColor theme="0"/>
        <bgColor indexed="64"/>
      </patternFill>
    </fill>
    <fill>
      <patternFill patternType="solid">
        <fgColor rgb="00FFFF00"/>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auto="1"/>
      </left>
      <right/>
      <top/>
      <bottom/>
      <diagonal/>
    </border>
  </borders>
  <cellStyleXfs count="3">
    <xf numFmtId="0" fontId="4" fillId="0" borderId="0"/>
    <xf numFmtId="43" fontId="4" fillId="0" borderId="0"/>
    <xf numFmtId="0" fontId="5" fillId="0" borderId="0"/>
  </cellStyleXfs>
  <cellXfs count="290">
    <xf numFmtId="0" fontId="0" fillId="0" borderId="0" pivotButton="0" quotePrefix="0" xfId="0"/>
    <xf numFmtId="0" fontId="2" fillId="0" borderId="1" applyAlignment="1" pivotButton="0" quotePrefix="0" xfId="0">
      <alignment horizontal="center" vertical="top"/>
    </xf>
    <xf numFmtId="164" fontId="0" fillId="0" borderId="1" applyAlignment="1" pivotButton="0" quotePrefix="0" xfId="1">
      <alignment horizontal="center" vertical="center"/>
    </xf>
    <xf numFmtId="0" fontId="0" fillId="0" borderId="1" applyAlignment="1" pivotButton="0" quotePrefix="0" xfId="0">
      <alignment horizontal="left" vertical="top" wrapText="1"/>
    </xf>
    <xf numFmtId="3" fontId="0" fillId="0" borderId="1" applyAlignment="1" pivotButton="0" quotePrefix="0" xfId="0">
      <alignment horizontal="center" vertical="top"/>
    </xf>
    <xf numFmtId="0" fontId="0" fillId="0" borderId="1" applyAlignment="1" pivotButton="0" quotePrefix="0" xfId="0">
      <alignment vertical="center" wrapText="1"/>
    </xf>
    <xf numFmtId="0" fontId="2" fillId="0" borderId="1" applyAlignment="1" pivotButton="0" quotePrefix="0" xfId="0">
      <alignment horizontal="left" vertical="top"/>
    </xf>
    <xf numFmtId="0" fontId="0" fillId="0" borderId="1" applyAlignment="1" pivotButton="0" quotePrefix="0" xfId="0">
      <alignment horizontal="left" vertical="top"/>
    </xf>
    <xf numFmtId="3" fontId="0" fillId="0" borderId="1" applyAlignment="1" pivotButton="0" quotePrefix="0" xfId="0">
      <alignment horizontal="right" vertical="top"/>
    </xf>
    <xf numFmtId="0" fontId="2" fillId="0" borderId="1" applyAlignment="1" pivotButton="0" quotePrefix="0" xfId="0">
      <alignment horizontal="left" vertical="top" wrapText="1"/>
    </xf>
    <xf numFmtId="3"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0" fillId="0" borderId="1"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horizontal="left"/>
    </xf>
    <xf numFmtId="0" fontId="6" fillId="0" borderId="1" applyAlignment="1" pivotButton="0" quotePrefix="0" xfId="0">
      <alignment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vertical="top" wrapText="1"/>
    </xf>
    <xf numFmtId="0" fontId="5" fillId="0" borderId="1" applyAlignment="1" pivotButton="0" quotePrefix="0" xfId="2">
      <alignment vertical="top" wrapText="1"/>
    </xf>
    <xf numFmtId="3" fontId="0" fillId="0" borderId="1" applyAlignment="1" pivotButton="0" quotePrefix="0" xfId="0">
      <alignment vertical="top" wrapText="1"/>
    </xf>
    <xf numFmtId="0" fontId="0" fillId="0" borderId="1" applyAlignment="1" pivotButton="0" quotePrefix="0" xfId="0">
      <alignment vertical="top"/>
    </xf>
    <xf numFmtId="3" fontId="0" fillId="0" borderId="1" applyAlignment="1" pivotButton="0" quotePrefix="0" xfId="0">
      <alignment horizontal="left" vertical="center"/>
    </xf>
    <xf numFmtId="3" fontId="0" fillId="0" borderId="1" applyAlignment="1" pivotButton="0" quotePrefix="0" xfId="0">
      <alignment horizontal="left" vertical="center" wrapText="1"/>
    </xf>
    <xf numFmtId="9" fontId="0" fillId="0" borderId="1" applyAlignment="1" pivotButton="0" quotePrefix="0" xfId="0">
      <alignment horizontal="left" vertical="center"/>
    </xf>
    <xf numFmtId="165" fontId="0" fillId="0" borderId="1" applyAlignment="1" pivotButton="0" quotePrefix="0" xfId="1">
      <alignment horizontal="left" vertical="center" wrapText="1"/>
    </xf>
    <xf numFmtId="165" fontId="0" fillId="0" borderId="1" applyAlignment="1" pivotButton="0" quotePrefix="0" xfId="1">
      <alignment horizontal="left" vertical="center"/>
    </xf>
    <xf numFmtId="49" fontId="0" fillId="0" borderId="1" pivotButton="0" quotePrefix="0" xfId="0"/>
    <xf numFmtId="3" fontId="0" fillId="0" borderId="1" pivotButton="0" quotePrefix="0" xfId="0"/>
    <xf numFmtId="0" fontId="0" fillId="0" borderId="1" applyAlignment="1" pivotButton="0" quotePrefix="0" xfId="0">
      <alignment wrapText="1"/>
    </xf>
    <xf numFmtId="0" fontId="0" fillId="0" borderId="1" applyAlignment="1" pivotButton="0" quotePrefix="0" xfId="0">
      <alignment horizontal="left" wrapText="1"/>
    </xf>
    <xf numFmtId="3" fontId="0" fillId="0" borderId="1" applyAlignment="1" pivotButton="0" quotePrefix="0" xfId="0">
      <alignment horizontal="center" vertical="top" wrapText="1"/>
    </xf>
    <xf numFmtId="0" fontId="0" fillId="0" borderId="1" applyAlignment="1" pivotButton="0" quotePrefix="0" xfId="0">
      <alignment horizontal="center" vertical="center"/>
    </xf>
    <xf numFmtId="0" fontId="2" fillId="0" borderId="1" applyAlignment="1" pivotButton="0" quotePrefix="0" xfId="0">
      <alignment vertical="top" wrapText="1"/>
    </xf>
    <xf numFmtId="0" fontId="0" fillId="0" borderId="0" applyAlignment="1" pivotButton="0" quotePrefix="0" xfId="0">
      <alignment vertical="top"/>
    </xf>
    <xf numFmtId="0" fontId="2" fillId="0" borderId="5" pivotButton="0" quotePrefix="0" xfId="0"/>
    <xf numFmtId="0" fontId="2" fillId="0" borderId="0" pivotButton="0" quotePrefix="0" xfId="0"/>
    <xf numFmtId="0" fontId="9" fillId="0" borderId="6"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4" applyAlignment="1" pivotButton="0" quotePrefix="0" xfId="0">
      <alignment vertical="center" wrapText="1"/>
    </xf>
    <xf numFmtId="0" fontId="10" fillId="0" borderId="2" applyAlignment="1" pivotButton="0" quotePrefix="0" xfId="0">
      <alignment vertical="center" wrapText="1"/>
    </xf>
    <xf numFmtId="0" fontId="8" fillId="0" borderId="3" applyAlignment="1" pivotButton="0" quotePrefix="0" xfId="0">
      <alignment vertical="center" wrapText="1"/>
    </xf>
    <xf numFmtId="0" fontId="10" fillId="0" borderId="4" applyAlignment="1" pivotButton="0" quotePrefix="0" xfId="0">
      <alignment vertical="center" wrapText="1"/>
    </xf>
    <xf numFmtId="164" fontId="0" fillId="0" borderId="1" applyAlignment="1" pivotButton="0" quotePrefix="0" xfId="1">
      <alignment horizontal="center" vertical="center" wrapText="1"/>
    </xf>
    <xf numFmtId="0" fontId="0" fillId="0" borderId="2" applyAlignment="1" pivotButton="0" quotePrefix="0" xfId="0">
      <alignment horizontal="left" vertical="center"/>
    </xf>
    <xf numFmtId="0" fontId="10" fillId="0" borderId="1" applyAlignment="1" pivotButton="0" quotePrefix="0" xfId="0">
      <alignment wrapText="1"/>
    </xf>
    <xf numFmtId="0" fontId="9" fillId="0" borderId="1" applyAlignment="1" pivotButton="0" quotePrefix="0" xfId="0">
      <alignment vertical="center"/>
    </xf>
    <xf numFmtId="0" fontId="9" fillId="0" borderId="1" applyAlignment="1" pivotButton="0" quotePrefix="0" xfId="0">
      <alignment vertical="center" wrapText="1"/>
    </xf>
    <xf numFmtId="0" fontId="0" fillId="0" borderId="1" applyAlignment="1" pivotButton="0" quotePrefix="0" xfId="0">
      <alignment vertical="center"/>
    </xf>
    <xf numFmtId="0" fontId="8" fillId="0" borderId="1" pivotButton="0" quotePrefix="0" xfId="0"/>
    <xf numFmtId="0" fontId="10" fillId="0" borderId="1" applyAlignment="1" pivotButton="0" quotePrefix="0" xfId="0">
      <alignment vertical="center" wrapText="1"/>
    </xf>
    <xf numFmtId="0" fontId="11" fillId="0" borderId="1" pivotButton="0" quotePrefix="0" xfId="0"/>
    <xf numFmtId="0" fontId="11" fillId="0" borderId="7" pivotButton="0" quotePrefix="0" xfId="0"/>
    <xf numFmtId="0" fontId="2" fillId="0" borderId="5" applyAlignment="1" pivotButton="0" quotePrefix="0" xfId="0">
      <alignment horizontal="center" vertical="top"/>
    </xf>
    <xf numFmtId="0" fontId="11" fillId="0" borderId="5" pivotButton="0" quotePrefix="0" xfId="0"/>
    <xf numFmtId="0" fontId="0" fillId="0" borderId="5" pivotButton="0" quotePrefix="0" xfId="0"/>
    <xf numFmtId="0" fontId="0" fillId="0" borderId="5" applyAlignment="1" pivotButton="0" quotePrefix="0" xfId="0">
      <alignment vertical="center" wrapText="1"/>
    </xf>
    <xf numFmtId="0" fontId="0" fillId="0" borderId="5" applyAlignment="1" pivotButton="0" quotePrefix="0" xfId="0">
      <alignment horizontal="left" vertical="top" wrapText="1"/>
    </xf>
    <xf numFmtId="0" fontId="6" fillId="0" borderId="5" applyAlignment="1" pivotButton="0" quotePrefix="0" xfId="0">
      <alignment wrapText="1"/>
    </xf>
    <xf numFmtId="0" fontId="2" fillId="0" borderId="5" applyAlignment="1" pivotButton="0" quotePrefix="0" xfId="0">
      <alignment horizontal="left" vertical="top"/>
    </xf>
    <xf numFmtId="0" fontId="0" fillId="0" borderId="5" applyAlignment="1" pivotButton="0" quotePrefix="0" xfId="0">
      <alignment horizontal="left" vertical="top"/>
    </xf>
    <xf numFmtId="0" fontId="0" fillId="0" borderId="5" applyAlignment="1" pivotButton="0" quotePrefix="0" xfId="0">
      <alignment vertical="center"/>
    </xf>
    <xf numFmtId="0" fontId="0" fillId="0" borderId="5"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5" applyAlignment="1" pivotButton="0" quotePrefix="0" xfId="0">
      <alignment horizontal="left" vertical="center"/>
    </xf>
    <xf numFmtId="0" fontId="0" fillId="0" borderId="5" applyAlignment="1" pivotButton="0" quotePrefix="0" xfId="0">
      <alignment horizontal="center" vertical="center"/>
    </xf>
    <xf numFmtId="0" fontId="0" fillId="0" borderId="5" applyAlignment="1" pivotButton="0" quotePrefix="0" xfId="0">
      <alignment horizontal="center"/>
    </xf>
    <xf numFmtId="0" fontId="0" fillId="0" borderId="5" applyAlignment="1" pivotButton="0" quotePrefix="0" xfId="0">
      <alignment vertical="top" wrapText="1"/>
    </xf>
    <xf numFmtId="0" fontId="5" fillId="0" borderId="5" applyAlignment="1" pivotButton="0" quotePrefix="0" xfId="2">
      <alignment vertical="top" wrapText="1"/>
    </xf>
    <xf numFmtId="3" fontId="0" fillId="0" borderId="5" applyAlignment="1" pivotButton="0" quotePrefix="0" xfId="0">
      <alignment vertical="top" wrapText="1"/>
    </xf>
    <xf numFmtId="0" fontId="0" fillId="0" borderId="5" applyAlignment="1" pivotButton="0" quotePrefix="0" xfId="0">
      <alignment vertical="top"/>
    </xf>
    <xf numFmtId="49" fontId="0" fillId="0" borderId="5" pivotButton="0" quotePrefix="0" xfId="0"/>
    <xf numFmtId="0" fontId="2" fillId="0" borderId="5" applyAlignment="1" pivotButton="0" quotePrefix="0" xfId="0">
      <alignment vertical="top" wrapText="1"/>
    </xf>
    <xf numFmtId="0" fontId="0" fillId="0" borderId="5" applyAlignment="1" pivotButton="0" quotePrefix="0" xfId="0">
      <alignment wrapText="1"/>
    </xf>
    <xf numFmtId="3" fontId="0" fillId="0" borderId="5" applyAlignment="1" pivotButton="0" quotePrefix="0" xfId="0">
      <alignment horizontal="left" vertical="center"/>
    </xf>
    <xf numFmtId="0" fontId="11" fillId="0" borderId="5" applyAlignment="1" pivotButton="0" quotePrefix="0" xfId="0">
      <alignment horizontal="center"/>
    </xf>
    <xf numFmtId="3" fontId="0" fillId="0" borderId="5" applyAlignment="1" pivotButton="0" quotePrefix="0" xfId="0">
      <alignment horizontal="left" vertical="top"/>
    </xf>
    <xf numFmtId="3" fontId="0" fillId="0" borderId="5" applyAlignment="1" pivotButton="0" quotePrefix="0" xfId="0">
      <alignment horizontal="left" vertical="top" wrapText="1"/>
    </xf>
    <xf numFmtId="164" fontId="0" fillId="0" borderId="5" applyAlignment="1" pivotButton="0" quotePrefix="0" xfId="1">
      <alignment horizontal="left" vertical="top" wrapText="1"/>
    </xf>
    <xf numFmtId="165" fontId="0" fillId="0" borderId="5" applyAlignment="1" pivotButton="0" quotePrefix="0" xfId="1">
      <alignment horizontal="left" vertical="top" wrapText="1"/>
    </xf>
    <xf numFmtId="0" fontId="6" fillId="0" borderId="5" applyAlignment="1" pivotButton="0" quotePrefix="0" xfId="0">
      <alignment vertical="center" wrapText="1"/>
    </xf>
    <xf numFmtId="0" fontId="0" fillId="2" borderId="5" applyAlignment="1" pivotButton="0" quotePrefix="0" xfId="0">
      <alignment vertical="center" wrapText="1"/>
    </xf>
    <xf numFmtId="0" fontId="2" fillId="2" borderId="5" applyAlignment="1" pivotButton="0" quotePrefix="0" xfId="0">
      <alignment horizontal="center" vertical="top"/>
    </xf>
    <xf numFmtId="0" fontId="0" fillId="2" borderId="5" applyAlignment="1" pivotButton="0" quotePrefix="0" xfId="0">
      <alignment vertical="top" wrapText="1"/>
    </xf>
    <xf numFmtId="0" fontId="0" fillId="2" borderId="5" applyAlignment="1" pivotButton="0" quotePrefix="0" xfId="0">
      <alignment horizontal="left" vertical="top" wrapText="1"/>
    </xf>
    <xf numFmtId="0" fontId="0" fillId="2" borderId="0" pivotButton="0" quotePrefix="0" xfId="0"/>
    <xf numFmtId="3" fontId="0" fillId="2" borderId="5" applyAlignment="1" pivotButton="0" quotePrefix="0" xfId="0">
      <alignment horizontal="left" vertical="top"/>
    </xf>
    <xf numFmtId="0" fontId="0" fillId="0" borderId="5" applyAlignment="1" pivotButton="0" quotePrefix="0" xfId="0">
      <alignment horizontal="center" vertical="top"/>
    </xf>
    <xf numFmtId="0" fontId="12" fillId="0" borderId="0" applyAlignment="1" pivotButton="0" quotePrefix="0" xfId="0">
      <alignment vertical="top"/>
    </xf>
    <xf numFmtId="3" fontId="0" fillId="2" borderId="5" applyAlignment="1" pivotButton="0" quotePrefix="0" xfId="0">
      <alignment horizontal="left" vertical="top" wrapText="1"/>
    </xf>
    <xf numFmtId="0" fontId="0" fillId="2" borderId="5" applyAlignment="1" pivotButton="0" quotePrefix="0" xfId="0">
      <alignment horizontal="center" vertical="center" wrapText="1"/>
    </xf>
    <xf numFmtId="0" fontId="12" fillId="2" borderId="0" applyAlignment="1" pivotButton="0" quotePrefix="0" xfId="0">
      <alignment horizontal="left" vertical="top"/>
    </xf>
    <xf numFmtId="0" fontId="0" fillId="2" borderId="0" applyAlignment="1" pivotButton="0" quotePrefix="0" xfId="0">
      <alignment vertical="center" wrapText="1"/>
    </xf>
    <xf numFmtId="0" fontId="0" fillId="2" borderId="5" applyAlignment="1" pivotButton="0" quotePrefix="0" xfId="0">
      <alignment horizontal="left" vertical="center"/>
    </xf>
    <xf numFmtId="164" fontId="0" fillId="2" borderId="5" applyAlignment="1" pivotButton="0" quotePrefix="0" xfId="1">
      <alignment horizontal="left" vertical="top"/>
    </xf>
    <xf numFmtId="0" fontId="0" fillId="2" borderId="5" applyAlignment="1" pivotButton="0" quotePrefix="0" xfId="0">
      <alignment horizontal="center" vertical="center"/>
    </xf>
    <xf numFmtId="0" fontId="0" fillId="2" borderId="5" applyAlignment="1" pivotButton="0" quotePrefix="0" xfId="0">
      <alignment vertical="top"/>
    </xf>
    <xf numFmtId="0" fontId="0" fillId="2" borderId="5" applyAlignment="1" pivotButton="0" quotePrefix="0" xfId="0">
      <alignment horizontal="left" vertical="center" wrapText="1"/>
    </xf>
    <xf numFmtId="0" fontId="0" fillId="2" borderId="5" pivotButton="0" quotePrefix="0" xfId="0"/>
    <xf numFmtId="0" fontId="0" fillId="0" borderId="0" applyAlignment="1" pivotButton="0" quotePrefix="0" xfId="0">
      <alignment horizontal="left" vertical="top"/>
    </xf>
    <xf numFmtId="9" fontId="0" fillId="0" borderId="5" applyAlignment="1" pivotButton="0" quotePrefix="0" xfId="0">
      <alignment vertical="top"/>
    </xf>
    <xf numFmtId="0" fontId="5" fillId="2" borderId="5" applyAlignment="1" pivotButton="0" quotePrefix="0" xfId="2">
      <alignment vertical="top" wrapText="1"/>
    </xf>
    <xf numFmtId="3" fontId="0" fillId="2" borderId="5" applyAlignment="1" pivotButton="0" quotePrefix="0" xfId="0">
      <alignment vertical="top" wrapText="1"/>
    </xf>
    <xf numFmtId="0" fontId="0" fillId="2" borderId="5" applyAlignment="1" pivotButton="0" quotePrefix="0" xfId="0">
      <alignment vertical="center"/>
    </xf>
    <xf numFmtId="0" fontId="2" fillId="2" borderId="5" applyAlignment="1" pivotButton="0" quotePrefix="0" xfId="0">
      <alignment horizontal="left" vertical="top" wrapText="1"/>
    </xf>
    <xf numFmtId="3" fontId="0" fillId="2" borderId="5" applyAlignment="1" pivotButton="0" quotePrefix="0" xfId="0">
      <alignment horizontal="left" vertical="center"/>
    </xf>
    <xf numFmtId="9" fontId="0" fillId="2" borderId="5" applyAlignment="1" pivotButton="0" quotePrefix="0" xfId="0">
      <alignment horizontal="left" vertical="center"/>
    </xf>
    <xf numFmtId="0" fontId="6" fillId="2" borderId="5" applyAlignment="1" pivotButton="0" quotePrefix="0" xfId="0">
      <alignment vertical="center" wrapText="1"/>
    </xf>
    <xf numFmtId="165" fontId="0" fillId="2" borderId="5" applyAlignment="1" pivotButton="0" quotePrefix="0" xfId="1">
      <alignment horizontal="left" vertical="center"/>
    </xf>
    <xf numFmtId="165" fontId="0" fillId="2" borderId="5" applyAlignment="1" pivotButton="0" quotePrefix="0" xfId="1">
      <alignment horizontal="left" vertical="top" wrapText="1"/>
    </xf>
    <xf numFmtId="0" fontId="11" fillId="0" borderId="0" pivotButton="0" quotePrefix="0" xfId="0"/>
    <xf numFmtId="0" fontId="13" fillId="3" borderId="0" pivotButton="0" quotePrefix="0" xfId="0"/>
    <xf numFmtId="0" fontId="14" fillId="0" borderId="0" pivotButton="0" quotePrefix="0" xfId="0"/>
    <xf numFmtId="0" fontId="13" fillId="3" borderId="0" applyAlignment="1" pivotButton="0" quotePrefix="0" xfId="0">
      <alignment wrapText="1"/>
    </xf>
    <xf numFmtId="0" fontId="14" fillId="0" borderId="0" applyAlignment="1" pivotButton="0" quotePrefix="0" xfId="0">
      <alignment wrapText="1"/>
    </xf>
    <xf numFmtId="0" fontId="13" fillId="3" borderId="1" applyAlignment="1" pivotButton="0" quotePrefix="0" xfId="0">
      <alignment wrapText="1"/>
    </xf>
    <xf numFmtId="0" fontId="13" fillId="3" borderId="1" pivotButton="0" quotePrefix="0" xfId="0"/>
    <xf numFmtId="0" fontId="13" fillId="3" borderId="4" pivotButton="0" quotePrefix="0" xfId="0"/>
    <xf numFmtId="0" fontId="13" fillId="0" borderId="0" pivotButton="0" quotePrefix="0" xfId="0"/>
    <xf numFmtId="0" fontId="0"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0" applyAlignment="1" pivotButton="0" quotePrefix="0" xfId="0">
      <alignment horizontal="center" vertical="center"/>
    </xf>
    <xf numFmtId="165" fontId="0" fillId="0" borderId="5" applyAlignment="1" pivotButton="0" quotePrefix="0" xfId="1">
      <alignment horizontal="center" vertical="center" wrapText="1"/>
    </xf>
    <xf numFmtId="0" fontId="5" fillId="0" borderId="10" applyAlignment="1" pivotButton="0" quotePrefix="0" xfId="2">
      <alignment horizontal="center" vertical="center" wrapText="1"/>
    </xf>
    <xf numFmtId="0" fontId="5" fillId="0" borderId="14" applyAlignment="1" pivotButton="0" quotePrefix="0" xfId="2">
      <alignment vertical="center" wrapText="1"/>
    </xf>
    <xf numFmtId="0" fontId="5" fillId="0" borderId="15" applyAlignment="1" pivotButton="0" quotePrefix="0" xfId="2">
      <alignment vertical="center" wrapText="1"/>
    </xf>
    <xf numFmtId="0" fontId="5" fillId="0" borderId="16" applyAlignment="1" pivotButton="0" quotePrefix="0" xfId="2">
      <alignment vertical="center" wrapText="1"/>
    </xf>
    <xf numFmtId="0" fontId="5" fillId="0" borderId="19" applyAlignment="1" pivotButton="0" quotePrefix="0" xfId="2">
      <alignment vertical="center" wrapText="1"/>
    </xf>
    <xf numFmtId="0" fontId="5" fillId="0" borderId="0" applyAlignment="1" pivotButton="0" quotePrefix="0" xfId="2">
      <alignment vertical="center" wrapText="1"/>
    </xf>
    <xf numFmtId="0" fontId="5" fillId="0" borderId="20" applyAlignment="1" pivotButton="0" quotePrefix="0" xfId="2">
      <alignment vertical="center" wrapText="1"/>
    </xf>
    <xf numFmtId="0" fontId="5" fillId="0" borderId="17" applyAlignment="1" pivotButton="0" quotePrefix="0" xfId="2">
      <alignment vertical="center" wrapText="1"/>
    </xf>
    <xf numFmtId="0" fontId="5" fillId="0" borderId="18" applyAlignment="1" pivotButton="0" quotePrefix="0" xfId="2">
      <alignment vertical="center" wrapText="1"/>
    </xf>
    <xf numFmtId="0" fontId="5" fillId="0" borderId="13" applyAlignment="1" pivotButton="0" quotePrefix="0" xfId="2">
      <alignment vertical="center" wrapText="1"/>
    </xf>
    <xf numFmtId="0" fontId="2" fillId="0" borderId="5" applyAlignment="1" pivotButton="0" quotePrefix="0" xfId="0">
      <alignment horizontal="center" vertical="center" wrapText="1"/>
    </xf>
    <xf numFmtId="0" fontId="11" fillId="0" borderId="5" applyAlignment="1" pivotButton="0" quotePrefix="0" xfId="0">
      <alignment horizontal="center" vertical="center" wrapText="1"/>
    </xf>
    <xf numFmtId="49" fontId="0" fillId="0" borderId="8" applyAlignment="1" pivotButton="0" quotePrefix="0" xfId="0">
      <alignment horizontal="center" vertical="center" wrapText="1"/>
    </xf>
    <xf numFmtId="0" fontId="2" fillId="0" borderId="8" applyAlignment="1" pivotButton="0" quotePrefix="0" xfId="0">
      <alignment horizontal="center" vertical="center" wrapText="1"/>
    </xf>
    <xf numFmtId="0" fontId="5" fillId="0" borderId="8" applyAlignment="1" pivotButton="0" quotePrefix="0" xfId="2">
      <alignment horizontal="center" vertical="center" wrapText="1"/>
    </xf>
    <xf numFmtId="3" fontId="0" fillId="0" borderId="8" applyAlignment="1" pivotButton="0" quotePrefix="0" xfId="0">
      <alignment horizontal="center" vertical="center" wrapText="1"/>
    </xf>
    <xf numFmtId="0" fontId="6" fillId="0" borderId="8" applyAlignment="1" pivotButton="0" quotePrefix="0" xfId="0">
      <alignment horizontal="center" vertical="center" wrapText="1"/>
    </xf>
    <xf numFmtId="49" fontId="0" fillId="0" borderId="14" applyAlignment="1" pivotButton="0" quotePrefix="0" xfId="0">
      <alignment horizontal="center" vertical="center" wrapText="1"/>
    </xf>
    <xf numFmtId="0" fontId="2" fillId="0" borderId="15" applyAlignment="1" pivotButton="0" quotePrefix="0" xfId="0">
      <alignment horizontal="center" vertical="center" wrapText="1"/>
    </xf>
    <xf numFmtId="0" fontId="5" fillId="0" borderId="15" applyAlignment="1" pivotButton="0" quotePrefix="0" xfId="2">
      <alignment horizontal="center" vertical="center" wrapText="1"/>
    </xf>
    <xf numFmtId="3" fontId="0" fillId="0" borderId="16" applyAlignment="1" pivotButton="0" quotePrefix="0" xfId="0">
      <alignment horizontal="center" vertical="center" wrapText="1"/>
    </xf>
    <xf numFmtId="0" fontId="6" fillId="0" borderId="16" applyAlignment="1" pivotButton="0" quotePrefix="0" xfId="0">
      <alignment horizontal="center" vertical="center" wrapText="1"/>
    </xf>
    <xf numFmtId="0" fontId="6" fillId="0" borderId="9" applyAlignment="1" pivotButton="0" quotePrefix="0" xfId="0">
      <alignment vertical="center" wrapText="1"/>
    </xf>
    <xf numFmtId="0" fontId="0" fillId="0" borderId="12" applyAlignment="1" pivotButton="0" quotePrefix="0" xfId="0">
      <alignment horizontal="center" vertical="center" wrapText="1"/>
    </xf>
    <xf numFmtId="49" fontId="0" fillId="0" borderId="17" applyAlignment="1" pivotButton="0" quotePrefix="0" xfId="0">
      <alignment horizontal="center" vertical="center" wrapText="1"/>
    </xf>
    <xf numFmtId="0" fontId="2" fillId="0" borderId="18" applyAlignment="1" pivotButton="0" quotePrefix="0" xfId="0">
      <alignment horizontal="center" vertical="center" wrapText="1"/>
    </xf>
    <xf numFmtId="0" fontId="5" fillId="0" borderId="18" applyAlignment="1" pivotButton="0" quotePrefix="0" xfId="2">
      <alignment horizontal="center" vertical="center" wrapText="1"/>
    </xf>
    <xf numFmtId="3" fontId="0" fillId="0" borderId="18" applyAlignment="1" pivotButton="0" quotePrefix="0" xfId="0">
      <alignment horizontal="center" vertical="center" wrapText="1"/>
    </xf>
    <xf numFmtId="0" fontId="6" fillId="0" borderId="10" applyAlignment="1" pivotButton="0" quotePrefix="0" xfId="0">
      <alignment vertical="center" wrapText="1"/>
    </xf>
    <xf numFmtId="49" fontId="0" fillId="0" borderId="10" applyAlignment="1" pivotButton="0" quotePrefix="0" xfId="0">
      <alignment vertical="center" wrapText="1"/>
    </xf>
    <xf numFmtId="0" fontId="2" fillId="0" borderId="10" applyAlignment="1" pivotButton="0" quotePrefix="0" xfId="0">
      <alignment vertical="center" wrapText="1"/>
    </xf>
    <xf numFmtId="0" fontId="2" fillId="0" borderId="10" applyAlignment="1" pivotButton="0" quotePrefix="0" xfId="0">
      <alignment horizontal="center" vertical="center" wrapText="1"/>
    </xf>
    <xf numFmtId="3" fontId="0"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15" fillId="0" borderId="5" applyAlignment="1" pivotButton="0" quotePrefix="0" xfId="0">
      <alignment horizontal="center" vertical="center" wrapText="1"/>
    </xf>
    <xf numFmtId="49" fontId="0" fillId="0" borderId="14" applyAlignment="1" pivotButton="0" quotePrefix="0" xfId="0">
      <alignment vertical="center" wrapText="1"/>
    </xf>
    <xf numFmtId="49" fontId="0" fillId="0" borderId="15" applyAlignment="1" pivotButton="0" quotePrefix="0" xfId="0">
      <alignment vertical="center" wrapText="1"/>
    </xf>
    <xf numFmtId="49" fontId="0" fillId="0" borderId="16" applyAlignment="1" pivotButton="0" quotePrefix="0" xfId="0">
      <alignment vertical="center" wrapText="1"/>
    </xf>
    <xf numFmtId="49" fontId="0" fillId="0" borderId="17" applyAlignment="1" pivotButton="0" quotePrefix="0" xfId="0">
      <alignment vertical="center" wrapText="1"/>
    </xf>
    <xf numFmtId="49" fontId="0" fillId="0" borderId="18" applyAlignment="1" pivotButton="0" quotePrefix="0" xfId="0">
      <alignment vertical="center" wrapText="1"/>
    </xf>
    <xf numFmtId="49" fontId="0" fillId="0" borderId="13" applyAlignment="1" pivotButton="0" quotePrefix="0" xfId="0">
      <alignment vertical="center" wrapText="1"/>
    </xf>
    <xf numFmtId="0" fontId="6" fillId="0" borderId="5" applyAlignment="1" pivotButton="0" quotePrefix="0" xfId="0">
      <alignment horizontal="center" vertical="center" wrapText="1"/>
    </xf>
    <xf numFmtId="0" fontId="12" fillId="0" borderId="5" applyAlignment="1" pivotButton="0" quotePrefix="0" xfId="0">
      <alignment horizontal="center" vertical="center" wrapText="1"/>
    </xf>
    <xf numFmtId="0" fontId="3" fillId="0" borderId="8" applyAlignment="1" pivotButton="0" quotePrefix="0" xfId="0">
      <alignment vertical="center" wrapText="1"/>
    </xf>
    <xf numFmtId="0" fontId="2" fillId="0" borderId="8" applyAlignment="1" pivotButton="0" quotePrefix="0" xfId="0">
      <alignment vertical="center" wrapText="1"/>
    </xf>
    <xf numFmtId="0" fontId="0" fillId="0" borderId="8" applyAlignment="1" pivotButton="0" quotePrefix="0" xfId="0">
      <alignment horizontal="center" vertical="center" wrapText="1"/>
    </xf>
    <xf numFmtId="0" fontId="3" fillId="0" borderId="14" applyAlignment="1" pivotButton="0" quotePrefix="0" xfId="0">
      <alignment vertical="center" wrapText="1"/>
    </xf>
    <xf numFmtId="0" fontId="2" fillId="0" borderId="15" applyAlignment="1" pivotButton="0" quotePrefix="0" xfId="0">
      <alignment vertical="center" wrapText="1"/>
    </xf>
    <xf numFmtId="0" fontId="0" fillId="0" borderId="15" applyAlignment="1" pivotButton="0" quotePrefix="0" xfId="0">
      <alignment horizontal="center" vertical="center" wrapText="1"/>
    </xf>
    <xf numFmtId="0" fontId="0" fillId="0" borderId="16" applyAlignment="1" pivotButton="0" quotePrefix="0" xfId="0">
      <alignment horizontal="center" vertical="center" wrapText="1"/>
    </xf>
    <xf numFmtId="0" fontId="0" fillId="0" borderId="8" applyAlignment="1" pivotButton="0" quotePrefix="0" xfId="0">
      <alignment vertical="center" wrapText="1"/>
    </xf>
    <xf numFmtId="0" fontId="3" fillId="0" borderId="17" applyAlignment="1" pivotButton="0" quotePrefix="0" xfId="0">
      <alignment vertical="center" wrapText="1"/>
    </xf>
    <xf numFmtId="0" fontId="2" fillId="0" borderId="18" applyAlignment="1" pivotButton="0" quotePrefix="0" xfId="0">
      <alignment vertical="center" wrapText="1"/>
    </xf>
    <xf numFmtId="0" fontId="0" fillId="0" borderId="18"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0" applyAlignment="1" pivotButton="0" quotePrefix="0" xfId="0">
      <alignment vertical="center" wrapText="1"/>
    </xf>
    <xf numFmtId="49" fontId="0" fillId="0" borderId="9" applyAlignment="1" pivotButton="0" quotePrefix="0" xfId="0">
      <alignment vertical="center" wrapText="1"/>
    </xf>
    <xf numFmtId="0" fontId="2" fillId="0" borderId="9" applyAlignment="1" pivotButton="0" quotePrefix="0" xfId="0">
      <alignment vertical="center" wrapText="1"/>
    </xf>
    <xf numFmtId="0" fontId="5" fillId="0" borderId="9" applyAlignment="1" pivotButton="0" quotePrefix="0" xfId="2">
      <alignment horizontal="center" vertical="center" wrapText="1"/>
    </xf>
    <xf numFmtId="164" fontId="0" fillId="0" borderId="10" applyAlignment="1" pivotButton="0" quotePrefix="0" xfId="1">
      <alignment horizontal="center" vertical="center" wrapText="1"/>
    </xf>
    <xf numFmtId="164" fontId="0" fillId="0" borderId="12" applyAlignment="1" pivotButton="0" quotePrefix="0" xfId="1">
      <alignment horizontal="center" vertical="center" wrapText="1"/>
    </xf>
    <xf numFmtId="3" fontId="0" fillId="0" borderId="5" applyAlignment="1" pivotButton="0" quotePrefix="0" xfId="0">
      <alignment horizontal="center" vertical="center" wrapText="1"/>
    </xf>
    <xf numFmtId="0" fontId="0" fillId="0" borderId="9" applyAlignment="1" pivotButton="0" quotePrefix="0" xfId="0">
      <alignment vertical="center" wrapText="1"/>
    </xf>
    <xf numFmtId="9" fontId="0" fillId="0" borderId="5" applyAlignment="1" pivotButton="0" quotePrefix="0" xfId="0">
      <alignment horizontal="center" vertical="center" wrapText="1"/>
    </xf>
    <xf numFmtId="49" fontId="0" fillId="0" borderId="5" applyAlignment="1" pivotButton="0" quotePrefix="0" xfId="0">
      <alignment horizontal="center" vertical="center" wrapText="1"/>
    </xf>
    <xf numFmtId="165" fontId="0" fillId="0" borderId="5" applyAlignment="1" pivotButton="0" quotePrefix="0" xfId="1">
      <alignment vertical="center" wrapText="1"/>
    </xf>
    <xf numFmtId="0" fontId="16" fillId="0" borderId="5" applyAlignment="1" pivotButton="0" quotePrefix="0" xfId="0">
      <alignment horizontal="center" vertical="top" wrapText="1"/>
    </xf>
    <xf numFmtId="0" fontId="15" fillId="0" borderId="5" applyAlignment="1" pivotButton="0" quotePrefix="0" xfId="0">
      <alignment wrapText="1"/>
    </xf>
    <xf numFmtId="0" fontId="0" fillId="0" borderId="12" applyAlignment="1" pivotButton="0" quotePrefix="0" xfId="0">
      <alignment vertical="center" wrapText="1"/>
    </xf>
    <xf numFmtId="0" fontId="6" fillId="0" borderId="8" applyAlignment="1" pivotButton="0" quotePrefix="0" xfId="0">
      <alignment vertical="center" wrapText="1"/>
    </xf>
    <xf numFmtId="0" fontId="2" fillId="0" borderId="5" applyAlignment="1" pivotButton="0" quotePrefix="0" xfId="0">
      <alignment horizontal="center"/>
    </xf>
    <xf numFmtId="0" fontId="2" fillId="0" borderId="8" applyAlignment="1" pivotButton="0" quotePrefix="0" xfId="0">
      <alignment horizontal="center"/>
    </xf>
    <xf numFmtId="0" fontId="2" fillId="0" borderId="14" applyAlignment="1" pivotButton="0" quotePrefix="0" xfId="0">
      <alignment horizontal="center"/>
    </xf>
    <xf numFmtId="0" fontId="2" fillId="0" borderId="8" pivotButton="0" quotePrefix="0" xfId="0"/>
    <xf numFmtId="0" fontId="0" fillId="0" borderId="11" applyAlignment="1" pivotButton="0" quotePrefix="0" xfId="0">
      <alignment horizontal="center" vertical="center"/>
    </xf>
    <xf numFmtId="0" fontId="5" fillId="0" borderId="8" applyAlignment="1" pivotButton="0" quotePrefix="0" xfId="2">
      <alignment horizontal="center" vertical="center" wrapText="1"/>
    </xf>
    <xf numFmtId="3" fontId="5" fillId="0" borderId="5" applyAlignment="1" pivotButton="0" quotePrefix="0" xfId="2">
      <alignment horizontal="center" vertical="center" wrapText="1"/>
    </xf>
    <xf numFmtId="0" fontId="5" fillId="0" borderId="5" applyAlignment="1" pivotButton="0" quotePrefix="0" xfId="2">
      <alignment horizontal="center" vertical="center" wrapText="1"/>
    </xf>
    <xf numFmtId="0" fontId="0" fillId="4" borderId="5" applyAlignment="1" pivotButton="0" quotePrefix="0" xfId="0">
      <alignment horizontal="center" vertical="center" wrapText="1"/>
    </xf>
    <xf numFmtId="49" fontId="0" fillId="0" borderId="19" applyAlignment="1" pivotButton="0" quotePrefix="0" xfId="0">
      <alignment vertical="center" wrapText="1"/>
    </xf>
    <xf numFmtId="49" fontId="0" fillId="0" borderId="0" applyAlignment="1" pivotButton="0" quotePrefix="0" xfId="0">
      <alignment vertical="center" wrapText="1"/>
    </xf>
    <xf numFmtId="0" fontId="6" fillId="0" borderId="10" applyAlignment="1" pivotButton="0" quotePrefix="0" xfId="0">
      <alignment horizontal="center" vertical="center" wrapText="1"/>
    </xf>
    <xf numFmtId="0" fontId="0" fillId="4" borderId="1" pivotButton="0" quotePrefix="0" xfId="0"/>
    <xf numFmtId="0" fontId="0" fillId="4" borderId="12" applyAlignment="1" pivotButton="0" quotePrefix="0" xfId="0">
      <alignment horizontal="center" vertical="center" wrapText="1"/>
    </xf>
    <xf numFmtId="0" fontId="2" fillId="4" borderId="5" applyAlignment="1" pivotButton="0" quotePrefix="0" xfId="0">
      <alignment horizontal="center" vertical="center" wrapText="1"/>
    </xf>
    <xf numFmtId="3" fontId="0" fillId="4" borderId="5" applyAlignment="1" pivotButton="0" quotePrefix="0" xfId="0">
      <alignment horizontal="center" vertical="center" wrapText="1"/>
    </xf>
    <xf numFmtId="9" fontId="0" fillId="4" borderId="5" applyAlignment="1" pivotButton="0" quotePrefix="0" xfId="0">
      <alignment vertical="center" wrapText="1"/>
    </xf>
    <xf numFmtId="9" fontId="0" fillId="4" borderId="5" applyAlignment="1" pivotButton="0" quotePrefix="0" xfId="0">
      <alignment horizontal="center" vertical="center" wrapText="1"/>
    </xf>
    <xf numFmtId="0" fontId="0" fillId="4" borderId="5" applyAlignment="1" pivotButton="0" quotePrefix="0" xfId="0">
      <alignment horizontal="left" vertical="center" wrapText="1"/>
    </xf>
    <xf numFmtId="0" fontId="0" fillId="5" borderId="5"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1" applyAlignment="1" pivotButton="0" quotePrefix="0" xfId="0">
      <alignment horizontal="center" vertical="center" wrapText="1"/>
    </xf>
    <xf numFmtId="0" fontId="6" fillId="0" borderId="8" applyAlignment="1" pivotButton="0" quotePrefix="0" xfId="0">
      <alignment horizontal="left" vertical="top"/>
    </xf>
    <xf numFmtId="0" fontId="6" fillId="0" borderId="9"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0" fillId="0" borderId="10" applyAlignment="1" pivotButton="0" quotePrefix="0" xfId="0">
      <alignment horizontal="left" vertical="top"/>
    </xf>
    <xf numFmtId="0" fontId="0" fillId="0" borderId="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3" fillId="0" borderId="5" applyAlignment="1" pivotButton="0" quotePrefix="0" xfId="0">
      <alignment horizontal="left" vertical="center" wrapText="1"/>
    </xf>
    <xf numFmtId="0" fontId="2" fillId="0" borderId="5" applyAlignment="1" pivotButton="0" quotePrefix="0" xfId="0">
      <alignment horizontal="left" vertical="top" wrapText="1"/>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5" applyAlignment="1" pivotButton="0" quotePrefix="0" xfId="0">
      <alignment horizontal="left" vertical="top" wrapText="1"/>
    </xf>
    <xf numFmtId="0" fontId="2" fillId="0" borderId="8" applyAlignment="1" pivotButton="0" quotePrefix="0" xfId="0">
      <alignment horizontal="center" vertical="top"/>
    </xf>
    <xf numFmtId="0" fontId="2" fillId="0" borderId="9" applyAlignment="1" pivotButton="0" quotePrefix="0" xfId="0">
      <alignment horizontal="center" vertical="top"/>
    </xf>
    <xf numFmtId="0" fontId="2" fillId="0" borderId="10" applyAlignment="1" pivotButton="0" quotePrefix="0" xfId="0">
      <alignment horizontal="center" vertical="top"/>
    </xf>
    <xf numFmtId="3" fontId="0" fillId="0" borderId="8" applyAlignment="1" pivotButton="0" quotePrefix="0" xfId="0">
      <alignment horizontal="center" vertical="top"/>
    </xf>
    <xf numFmtId="3" fontId="0" fillId="0" borderId="9" applyAlignment="1" pivotButton="0" quotePrefix="0" xfId="0">
      <alignment horizontal="center" vertical="top"/>
    </xf>
    <xf numFmtId="3" fontId="0" fillId="0" borderId="10" applyAlignment="1" pivotButton="0" quotePrefix="0" xfId="0">
      <alignment horizontal="center" vertical="top"/>
    </xf>
    <xf numFmtId="49" fontId="0" fillId="0" borderId="5" applyAlignment="1" pivotButton="0" quotePrefix="0" xfId="0">
      <alignment horizontal="center" vertical="center"/>
    </xf>
    <xf numFmtId="49" fontId="0" fillId="0" borderId="8" applyAlignment="1" pivotButton="0" quotePrefix="0" xfId="0">
      <alignment horizontal="center" vertical="top"/>
    </xf>
    <xf numFmtId="49" fontId="0" fillId="0" borderId="9" applyAlignment="1" pivotButton="0" quotePrefix="0" xfId="0">
      <alignment horizontal="center" vertical="top"/>
    </xf>
    <xf numFmtId="49" fontId="0" fillId="0" borderId="10" applyAlignment="1" pivotButton="0" quotePrefix="0" xfId="0">
      <alignment horizontal="center" vertical="top"/>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10" applyAlignment="1" pivotButton="0" quotePrefix="0" xfId="0">
      <alignment horizontal="left" vertical="top" wrapText="1"/>
    </xf>
    <xf numFmtId="49" fontId="0" fillId="0" borderId="5" applyAlignment="1" pivotButton="0" quotePrefix="0" xfId="0">
      <alignment horizontal="center" vertical="top"/>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49" fontId="0" fillId="0" borderId="1" applyAlignment="1" pivotButton="0" quotePrefix="0" xfId="0">
      <alignment horizontal="center" vertical="center"/>
    </xf>
    <xf numFmtId="0" fontId="2" fillId="0" borderId="1" applyAlignment="1" pivotButton="0" quotePrefix="0" xfId="0">
      <alignment horizontal="left" vertical="top" wrapText="1"/>
    </xf>
    <xf numFmtId="49" fontId="0" fillId="0" borderId="2" applyAlignment="1" pivotButton="0" quotePrefix="0" xfId="0">
      <alignment horizontal="center" vertical="top"/>
    </xf>
    <xf numFmtId="49" fontId="0" fillId="0" borderId="3" applyAlignment="1" pivotButton="0" quotePrefix="0" xfId="0">
      <alignment horizontal="center" vertical="top"/>
    </xf>
    <xf numFmtId="49" fontId="0" fillId="0" borderId="4" applyAlignment="1" pivotButton="0" quotePrefix="0" xfId="0">
      <alignment horizontal="center" vertical="top"/>
    </xf>
    <xf numFmtId="0" fontId="3" fillId="0" borderId="2" applyAlignment="1" pivotButton="0" quotePrefix="0" xfId="0">
      <alignment horizontal="left"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1" fillId="0" borderId="0" applyAlignment="1" pivotButton="0" quotePrefix="0" xfId="0">
      <alignment wrapText="1"/>
    </xf>
    <xf numFmtId="0" fontId="1" fillId="0" borderId="8" applyAlignment="1" pivotButton="0" quotePrefix="0" xfId="0">
      <alignment horizontal="left" vertical="top" wrapText="1"/>
    </xf>
    <xf numFmtId="0" fontId="1" fillId="0" borderId="5" applyAlignment="1" pivotButton="0" quotePrefix="0" xfId="0">
      <alignment horizontal="left" vertical="center" wrapText="1"/>
    </xf>
    <xf numFmtId="0" fontId="1" fillId="0" borderId="5" applyAlignment="1" pivotButton="0" quotePrefix="0" xfId="0">
      <alignment wrapText="1"/>
    </xf>
    <xf numFmtId="0" fontId="1" fillId="0" borderId="5" applyAlignment="1" pivotButton="0" quotePrefix="0" xfId="0">
      <alignment vertical="center" wrapText="1"/>
    </xf>
    <xf numFmtId="3" fontId="0" fillId="6" borderId="8" applyAlignment="1" pivotButton="0" quotePrefix="0" xfId="0">
      <alignment horizontal="center" vertical="center" wrapText="1"/>
    </xf>
    <xf numFmtId="0" fontId="1" fillId="0" borderId="18" applyAlignment="1" pivotButton="0" quotePrefix="0" xfId="0">
      <alignment wrapText="1"/>
    </xf>
    <xf numFmtId="3" fontId="0" fillId="6" borderId="10" applyAlignment="1" pivotButton="0" quotePrefix="0" xfId="0">
      <alignment horizontal="center" vertical="center" wrapText="1"/>
    </xf>
    <xf numFmtId="164" fontId="0" fillId="6" borderId="10" applyAlignment="1" pivotButton="0" quotePrefix="0" xfId="1">
      <alignment horizontal="center" vertical="center" wrapText="1"/>
    </xf>
    <xf numFmtId="3" fontId="0" fillId="6" borderId="5" applyAlignment="1" pivotButton="0" quotePrefix="0" xfId="0">
      <alignment horizontal="center" vertical="center" wrapText="1"/>
    </xf>
    <xf numFmtId="0" fontId="4" fillId="0" borderId="5" applyAlignment="1" pivotButton="0" quotePrefix="0" xfId="0">
      <alignment horizontal="center" vertical="center" wrapText="1"/>
    </xf>
    <xf numFmtId="0" fontId="4" fillId="6" borderId="5" applyAlignment="1" pivotButton="0" quotePrefix="0" xfId="0">
      <alignment horizontal="center" vertical="center" wrapText="1"/>
    </xf>
    <xf numFmtId="0" fontId="4" fillId="0" borderId="10" applyAlignment="1" pivotButton="0" quotePrefix="0" xfId="0">
      <alignment vertical="center" wrapText="1"/>
    </xf>
    <xf numFmtId="0" fontId="4" fillId="0" borderId="5" applyAlignment="1" pivotButton="0" quotePrefix="0" xfId="0">
      <alignment horizontal="center" vertical="center"/>
    </xf>
    <xf numFmtId="0" fontId="4" fillId="0" borderId="12" applyAlignment="1" pivotButton="0" quotePrefix="0" xfId="0">
      <alignment horizontal="center" vertical="center" wrapText="1"/>
    </xf>
    <xf numFmtId="0" fontId="4" fillId="0" borderId="5" applyAlignment="1" pivotButton="0" quotePrefix="0" xfId="0">
      <alignment vertical="center"/>
    </xf>
    <xf numFmtId="165" fontId="4" fillId="0" borderId="5" applyAlignment="1" pivotButton="0" quotePrefix="0" xfId="1">
      <alignment horizontal="center" vertical="center" wrapText="1"/>
    </xf>
    <xf numFmtId="165" fontId="4" fillId="0" borderId="5" applyAlignment="1" pivotButton="0" quotePrefix="0" xfId="1">
      <alignment vertical="center" wrapText="1"/>
    </xf>
    <xf numFmtId="3" fontId="0" fillId="0" borderId="5" applyAlignment="1" pivotButton="0" quotePrefix="0" xfId="0">
      <alignment horizontal="center" vertical="top"/>
    </xf>
    <xf numFmtId="0" fontId="1" fillId="0" borderId="5" applyAlignment="1" pivotButton="0" quotePrefix="0" xfId="0">
      <alignment horizontal="left" vertical="top" wrapText="1"/>
    </xf>
    <xf numFmtId="0" fontId="0" fillId="0" borderId="9" pivotButton="0" quotePrefix="0" xfId="0"/>
    <xf numFmtId="0" fontId="0" fillId="0" borderId="10" pivotButton="0" quotePrefix="0" xfId="0"/>
    <xf numFmtId="49" fontId="0" fillId="0" borderId="1" applyAlignment="1" pivotButton="0" quotePrefix="0" xfId="0">
      <alignment horizontal="center" vertical="top"/>
    </xf>
    <xf numFmtId="0" fontId="3" fillId="0" borderId="1" applyAlignment="1" pivotButton="0" quotePrefix="0" xfId="0">
      <alignment horizontal="left" vertical="center" wrapText="1"/>
    </xf>
    <xf numFmtId="0" fontId="18"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Comma" xfId="1" builtinId="3"/>
    <cellStyle name="Hyperlink" xfId="2"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tc={33AAE0C7-20DB-431D-B68F-2AE92B1E54FA}</author>
    <author>tc={19BDA1B9-E07E-4FD8-9A58-298F2E5F5765}</author>
    <author>tc={59D014D4-747A-4DE4-96E6-5AA8FEA984BB}</author>
    <author>CO validation update</author>
    <author>tc={E1032D12-67C6-4765-8703-4600D0039D02}</author>
  </authors>
  <commentList>
    <comment ref="L4" authorId="0" shapeId="0">
      <text>
        <t>[Threaded comment]
Your version of Excel allows you to read this threaded comment; however, any edits to it will get removed if the file is opened in a newer version of Excel. Learn more: https://go.microsoft.com/fwlink/?linkid=870924
Comment:
    Instead of using ODP ton, I used ton CO2 eq based on their information</t>
      </text>
    </comment>
    <comment ref="A5" authorId="1" shapeId="0">
      <text>
        <t>[Threaded comment]
Your version of Excel allows you to read this threaded comment; however, any edits to it will get removed if the file is opened in a newer version of Excel. Learn more: https://go.microsoft.com/fwlink/?linkid=870924
Comment:
    There is no such ID on the website</t>
      </text>
    </comment>
    <comment ref="L15" authorId="2" shapeId="0">
      <text>
        <t>[Threaded comment]
Your version of Excel allows you to read this threaded comment; however, any edits to it will get removed if the file is opened in a newer version of Excel. Learn more: https://go.microsoft.com/fwlink/?linkid=870924
Comment:
    Instead of using ODP ton, I used ton CO2 eq based on their information</t>
      </text>
    </comment>
    <comment ref="K19" authorId="3" shapeId="0">
      <text>
        <t>[AUTO-ADDED] Project reports access/productive-use beneficiary numbers but no MW value. Please add installed capacity (MW) or confirm not applicable.</t>
      </text>
    </comment>
    <comment ref="L19" authorId="3" shapeId="0">
      <text>
        <t>[AUTO-ADDED] Project reports access/productive-use beneficiary numbers but no MW value. Please add installed capacity (MW) or confirm not applicable.</t>
      </text>
    </comment>
    <comment ref="A20" authorId="4" shapeId="0">
      <text>
        <t>[Threaded comment]
Your version of Excel allows you to read this threaded comment; however, any edits to it will get removed if the file is opened in a newer version of Excel. Learn more: https://go.microsoft.com/fwlink/?linkid=870924
Comment:
    This ID on the website is different</t>
      </text>
    </comment>
    <comment ref="K26" authorId="3" shapeId="0">
      <text>
        <t>[AUTO-ADDED] Project reports access/productive-use beneficiary numbers but no MW value. Please add installed capacity (MW) or confirm not applicable.</t>
      </text>
    </comment>
    <comment ref="L26" authorId="3"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17898" TargetMode="External" Id="rId1"/><Relationship Type="http://schemas.openxmlformats.org/officeDocument/2006/relationships/hyperlink" Target="https://open.undp.org/projects/00093848" TargetMode="External" Id="rId2"/><Relationship Type="http://schemas.openxmlformats.org/officeDocument/2006/relationships/hyperlink" Target="https://open.undp.org/projects/00085984" TargetMode="External" Id="rId3"/><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4"/><Relationship Type="http://schemas.openxmlformats.org/officeDocument/2006/relationships/hyperlink" Target="https://open.undp.org/projects/00093849" TargetMode="Externa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1"/><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2"/><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3"/><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4"/></Relationships>
</file>

<file path=xl/worksheets/_rels/sheet3.xml.rels><Relationships xmlns="http://schemas.openxmlformats.org/package/2006/relationships"><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1"/><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2"/><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3"/><Relationship Type="http://schemas.openxmlformats.org/officeDocument/2006/relationships/hyperlink" Target="https://estm.fa.em2.oraclecloud.com/fscmUI/faces/FuseOverview?fnd=%3B%3B%3B%3Bfalse%3B256%3B%3B%3B&amp;fndGlobalItemNodeId=EXT_EXTN1620938503605_MENU_1671460481111&amp;_adf.ctrl-state=ug4rn6hn7_1&amp;_afrLoop=25953375321712438&amp;_afrFS=16&amp;_afrMT=screen&amp;_afrMFW=1280&amp;_afrMFH=595&amp;_afrMFDW=1280&amp;_afrMFDH=720&amp;_afrMFC=8&amp;_afrMFCI=0&amp;_afrMFM=0&amp;_afrMFR=144&amp;_afrMFG=0&amp;_afrMFS=0&amp;_afrMFO=0" TargetMode="External" Id="rId4"/></Relationships>
</file>

<file path=xl/worksheets/sheet1.xml><?xml version="1.0" encoding="utf-8"?>
<worksheet xmlns="http://schemas.openxmlformats.org/spreadsheetml/2006/main">
  <sheetPr>
    <outlinePr summaryBelow="1" summaryRight="1"/>
    <pageSetUpPr/>
  </sheetPr>
  <dimension ref="A1:X27"/>
  <sheetViews>
    <sheetView showGridLines="0" tabSelected="1" topLeftCell="F1" zoomScaleNormal="50" workbookViewId="0">
      <pane ySplit="1" topLeftCell="F18" activePane="bottomLeft" state="frozen"/>
      <selection pane="bottomLeft" activeCell="I20" sqref="I20"/>
      <selection activeCell="B1" sqref="B1"/>
    </sheetView>
  </sheetViews>
  <sheetFormatPr baseColWidth="8" defaultColWidth="8.85546875" defaultRowHeight="15"/>
  <cols>
    <col width="9.28515625" bestFit="1" customWidth="1" style="128" min="1" max="1"/>
    <col width="33" customWidth="1" style="128" min="2" max="2"/>
    <col width="20.7109375" customWidth="1" style="128" min="3" max="3"/>
    <col width="16.42578125" bestFit="1" customWidth="1" style="128" min="4" max="4"/>
    <col width="16.42578125" customWidth="1" style="128" min="5" max="5"/>
    <col width="16.42578125" customWidth="1" style="128" min="6" max="6"/>
    <col width="16.42578125" customWidth="1" style="128" min="7" max="7"/>
    <col width="16.42578125" customWidth="1" style="128" min="8" max="8"/>
    <col width="93.140625" customWidth="1" style="128" min="9" max="9"/>
    <col width="19.42578125" customWidth="1" style="128" min="10" max="10"/>
    <col width="18" bestFit="1" customWidth="1" style="128" min="11" max="11"/>
    <col width="12.85546875" bestFit="1" customWidth="1" style="128" min="12" max="12"/>
    <col width="8.85546875" customWidth="1" style="128" min="13" max="13"/>
    <col width="31.7109375" bestFit="1" customWidth="1" style="128" min="14" max="14"/>
    <col width="23.7109375" customWidth="1" style="128" min="15" max="15"/>
    <col width="8.42578125" bestFit="1" customWidth="1" style="128" min="16" max="16"/>
    <col width="21.5703125" bestFit="1" customWidth="1" style="128" min="17" max="17"/>
    <col width="23.140625" bestFit="1" customWidth="1" style="128" min="18" max="18"/>
    <col width="11.28515625" bestFit="1" customWidth="1" style="128" min="19" max="19"/>
    <col width="30.28515625" bestFit="1" customWidth="1" style="128" min="20" max="20"/>
    <col width="16.7109375" bestFit="1" customWidth="1" style="128" min="21" max="21"/>
    <col width="8.85546875" customWidth="1" style="128" min="22" max="16384"/>
  </cols>
  <sheetData>
    <row r="1" ht="30" customHeight="1">
      <c r="A1" s="141" t="inlineStr">
        <is>
          <t>Project ID</t>
        </is>
      </c>
      <c r="B1" s="142" t="inlineStr">
        <is>
          <t>Title</t>
        </is>
      </c>
      <c r="C1" s="142" t="inlineStr">
        <is>
          <t>Link</t>
        </is>
      </c>
      <c r="D1" s="142" t="inlineStr">
        <is>
          <t>Budget</t>
        </is>
      </c>
      <c r="E1" s="142" t="inlineStr">
        <is>
          <t>Start Year</t>
        </is>
      </c>
      <c r="F1" s="142" t="inlineStr">
        <is>
          <t>End Year</t>
        </is>
      </c>
      <c r="G1" s="142" t="inlineStr">
        <is>
          <t>Status</t>
        </is>
      </c>
      <c r="H1" s="142" t="inlineStr">
        <is>
          <t>VF or Non-VF</t>
        </is>
      </c>
      <c r="I1" s="141" t="inlineStr">
        <is>
          <t>Beneficiary Category</t>
        </is>
      </c>
      <c r="J1" s="141" t="inlineStr">
        <is>
          <t>Indicator</t>
        </is>
      </c>
      <c r="K1" s="141" t="inlineStr">
        <is>
          <t>Baseline</t>
        </is>
      </c>
      <c r="L1" s="141" t="inlineStr">
        <is>
          <t>Target</t>
        </is>
      </c>
      <c r="M1" s="141" t="inlineStr">
        <is>
          <t>Notes</t>
        </is>
      </c>
      <c r="N1" s="141" t="inlineStr">
        <is>
          <t>Donors</t>
        </is>
      </c>
      <c r="O1" s="141" t="inlineStr">
        <is>
          <t>Gender (% female)</t>
        </is>
      </c>
      <c r="P1" s="202" t="inlineStr">
        <is>
          <t>Tag</t>
        </is>
      </c>
      <c r="Q1" s="201" t="inlineStr">
        <is>
          <t>SEH Taxonomy</t>
        </is>
      </c>
      <c r="R1" s="201" t="inlineStr">
        <is>
          <t>RISE Taxonomy</t>
        </is>
      </c>
      <c r="S1" s="202" t="inlineStr">
        <is>
          <t>Flagship</t>
        </is>
      </c>
      <c r="T1" s="202" t="inlineStr">
        <is>
          <t>Indirect Category</t>
        </is>
      </c>
      <c r="U1" s="203" t="inlineStr">
        <is>
          <t>Indirect Taxonomy</t>
        </is>
      </c>
      <c r="V1" s="204" t="inlineStr">
        <is>
          <t>Technology</t>
        </is>
      </c>
      <c r="W1" s="203" t="inlineStr">
        <is>
          <t>Policy or Regulatory Framework</t>
        </is>
      </c>
      <c r="X1" s="204" t="inlineStr">
        <is>
          <t>Policy Population</t>
        </is>
      </c>
    </row>
    <row r="2" ht="91.5" customFormat="1" customHeight="1" s="129">
      <c r="A2" s="143" t="inlineStr">
        <is>
          <t>117898</t>
        </is>
      </c>
      <c r="B2" s="144" t="inlineStr">
        <is>
          <t>Promoting Energy-Related Low Carbon Urban Development in Bangladesh (LCUD)</t>
        </is>
      </c>
      <c r="C2" s="206" t="inlineStr">
        <is>
          <t>https://open.undp.org/projects/00117898</t>
        </is>
      </c>
      <c r="D2" s="146" t="n">
        <v>3767810</v>
      </c>
      <c r="E2" s="269" t="n"/>
      <c r="F2" s="269" t="n"/>
      <c r="G2" s="269" t="n"/>
      <c r="H2" s="146" t="inlineStr">
        <is>
          <t>Non-VF</t>
        </is>
      </c>
      <c r="I2" s="221" t="inlineStr">
        <is>
          <t>Energy (MW added)</t>
        </is>
      </c>
      <c r="J2" s="221" t="inlineStr">
        <is>
          <t>Energy (MW added)</t>
        </is>
      </c>
      <c r="K2" s="141" t="n"/>
      <c r="L2" s="209" t="n">
        <v>0.6</v>
      </c>
      <c r="M2" s="270" t="inlineStr">
        <is>
          <t>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2 waste to energy
3 rooftop PV (public)
10 rooftop PV (private)
6 energy effociency in buildings(public)
24 energy efficiency in buildings(private)
On comment column: Expected to generate 1MW of energy</t>
        </is>
      </c>
      <c r="N2" s="147" t="inlineStr">
        <is>
          <t>GEF</t>
        </is>
      </c>
      <c r="O2" s="217" t="n">
        <v>0.5</v>
      </c>
      <c r="P2" s="72" t="n"/>
      <c r="Q2" s="154" t="inlineStr">
        <is>
          <t>Accelerating just energy transition</t>
        </is>
      </c>
      <c r="R2" s="72" t="n"/>
      <c r="S2" s="72" t="n"/>
      <c r="T2" s="72" t="n"/>
      <c r="U2" s="72" t="n"/>
      <c r="V2" s="68" t="inlineStr">
        <is>
          <t>Solar</t>
        </is>
      </c>
      <c r="W2" s="72" t="n"/>
      <c r="X2" s="68" t="n"/>
    </row>
    <row r="3" ht="106.5" customHeight="1">
      <c r="A3" s="148" t="n"/>
      <c r="B3" s="149" t="n"/>
      <c r="C3" s="150" t="n"/>
      <c r="D3" s="151" t="n"/>
      <c r="E3" s="151" t="n"/>
      <c r="F3" s="151" t="n"/>
      <c r="G3" s="151" t="n"/>
      <c r="H3" s="151" t="n"/>
      <c r="I3" s="152" t="inlineStr">
        <is>
          <t>Policy or Regulatory Framework</t>
        </is>
      </c>
      <c r="J3" s="221" t="inlineStr">
        <is>
          <t>No. of low carbon policy, guideline and standard</t>
        </is>
      </c>
      <c r="K3" s="141" t="n"/>
      <c r="L3" s="219" t="inlineStr">
        <is>
          <t xml:space="preserve">2 Policies/regulatory frameworks:               (1) GHG inventory system adopted in Dhaka &amp; Chittagong City  
(2) Dhaka &amp; Chittagong City have formulated investment plans for LCUD investments and measures
</t>
        </is>
      </c>
      <c r="N3" s="153" t="n"/>
      <c r="O3" s="199" t="n"/>
      <c r="P3" s="72" t="n"/>
      <c r="Q3" s="154" t="inlineStr">
        <is>
          <t>Accelerating just energy transition</t>
        </is>
      </c>
      <c r="R3" s="72" t="inlineStr">
        <is>
          <t>Renewable Energy</t>
        </is>
      </c>
      <c r="S3" s="72" t="n"/>
      <c r="T3" s="72" t="inlineStr">
        <is>
          <t>National Strategy</t>
        </is>
      </c>
      <c r="U3" s="72" t="inlineStr">
        <is>
          <t>Renewable Energy</t>
        </is>
      </c>
      <c r="V3" s="68" t="n"/>
      <c r="W3" s="72" t="inlineStr">
        <is>
          <t>National</t>
        </is>
      </c>
      <c r="X3" s="68" t="n"/>
    </row>
    <row r="4" ht="154.5" customHeight="1">
      <c r="A4" s="155" t="n"/>
      <c r="B4" s="156" t="n"/>
      <c r="C4" s="157" t="n"/>
      <c r="D4" s="158" t="n"/>
      <c r="E4" s="158" t="n"/>
      <c r="F4" s="158" t="n"/>
      <c r="G4" s="158" t="n"/>
      <c r="H4" s="158" t="n"/>
      <c r="I4" t="inlineStr">
        <is>
          <t>GHG Emissions Reduction</t>
        </is>
      </c>
      <c r="J4" s="154" t="inlineStr">
        <is>
          <t>GHG Emission Reduction target in updated NDC</t>
        </is>
      </c>
      <c r="K4" s="141" t="n"/>
      <c r="L4" s="216" t="inlineStr">
        <is>
          <t>1.57 M Ton CO2eq</t>
        </is>
      </c>
      <c r="N4" s="159" t="n"/>
      <c r="O4" s="199" t="n"/>
      <c r="P4" s="72" t="n"/>
      <c r="Q4" s="154" t="inlineStr">
        <is>
          <t>Accelerating just energy transition</t>
        </is>
      </c>
      <c r="R4" s="72" t="n"/>
      <c r="S4" s="72" t="n"/>
      <c r="T4" s="72" t="n"/>
      <c r="U4" s="72" t="n"/>
      <c r="V4" s="68" t="n"/>
      <c r="W4" s="72" t="n"/>
      <c r="X4" s="68" t="n"/>
    </row>
    <row r="5" ht="60.75" customFormat="1" customHeight="1" s="129">
      <c r="A5" s="160" t="inlineStr">
        <is>
          <t>116395</t>
        </is>
      </c>
      <c r="B5" s="161" t="inlineStr">
        <is>
          <t xml:space="preserve">Bangladesh Enabling Electric Vehicles Adoption (BEEVA) in the Framework of Sustainable Energy-based Transportation </t>
        </is>
      </c>
      <c r="C5" s="162" t="n"/>
      <c r="D5" s="163" t="n">
        <v>1788991</v>
      </c>
      <c r="E5" s="271" t="n"/>
      <c r="F5" s="271" t="n"/>
      <c r="G5" s="271" t="n"/>
      <c r="H5" s="163" t="inlineStr">
        <is>
          <t>Non-VF</t>
        </is>
      </c>
      <c r="I5" s="164" t="inlineStr">
        <is>
          <t>Transportation and E-mobility Services</t>
        </is>
      </c>
      <c r="J5" s="165" t="inlineStr">
        <is>
          <t>Number of people benefiting from the development of EV ecosystem</t>
        </is>
      </c>
      <c r="K5" s="141" t="n"/>
      <c r="L5" s="209" t="n">
        <v>672600</v>
      </c>
      <c r="M5" s="221" t="inlineStr">
        <is>
          <t xml:space="preserve">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
100 persons will be trained on operation and maintenance of charging infrastructure (e-Buses and 2-3-wheeler station; 100 persons will be trained on environmentally sound and safe handling and recycling of batteries and verification
Installation of 4 Charging Station (EV Charger, 300-500 kW) for e-Buses; Installation of 3 Solar Hybrid (80 kW; 25 to 30 kW from Solar) for 2-3-4 Wheelers; 
</t>
        </is>
      </c>
      <c r="N5" s="200" t="inlineStr">
        <is>
          <t>GEF</t>
        </is>
      </c>
      <c r="O5" s="217" t="n">
        <v>0.5</v>
      </c>
      <c r="P5" s="72" t="n"/>
      <c r="Q5" s="154" t="inlineStr">
        <is>
          <t>Accelerating just energy transition</t>
        </is>
      </c>
      <c r="R5" s="72" t="n"/>
      <c r="S5" s="72" t="n"/>
      <c r="T5" s="72" t="n"/>
      <c r="U5" s="72" t="n"/>
      <c r="V5" s="68" t="n"/>
      <c r="W5" s="72" t="n"/>
      <c r="X5" s="68" t="n"/>
    </row>
    <row r="6" ht="81" customHeight="1">
      <c r="A6" s="166" t="n"/>
      <c r="B6" s="167" t="n"/>
      <c r="C6" s="167" t="n"/>
      <c r="D6" s="168" t="n"/>
      <c r="E6" s="168" t="n"/>
      <c r="F6" s="168" t="n"/>
      <c r="G6" s="168" t="n"/>
      <c r="H6" s="168" t="n"/>
      <c r="I6" t="inlineStr">
        <is>
          <t>GHG Emissions Reduction</t>
        </is>
      </c>
      <c r="J6" s="221" t="inlineStr">
        <is>
          <t xml:space="preserve">GHG Emission Reduction target </t>
        </is>
      </c>
      <c r="K6" s="141" t="n">
        <v>0</v>
      </c>
      <c r="L6" s="209" t="inlineStr">
        <is>
          <t>oo</t>
        </is>
      </c>
      <c r="N6" s="153" t="n"/>
      <c r="O6" s="199" t="n"/>
      <c r="P6" s="72" t="n"/>
      <c r="Q6" s="154" t="inlineStr">
        <is>
          <t>Accelerating just energy transition</t>
        </is>
      </c>
      <c r="R6" s="72" t="n"/>
      <c r="S6" s="72" t="n"/>
      <c r="T6" s="72" t="n"/>
      <c r="U6" s="72" t="n"/>
      <c r="V6" s="68" t="n"/>
      <c r="W6" s="72" t="n"/>
      <c r="X6" s="68" t="n"/>
    </row>
    <row r="7" ht="81" customHeight="1">
      <c r="A7" s="210" t="n"/>
      <c r="B7" s="211" t="n"/>
      <c r="C7" s="211" t="n"/>
      <c r="D7" s="211" t="n"/>
      <c r="E7" s="211" t="n"/>
      <c r="F7" s="211" t="n"/>
      <c r="G7" s="211" t="n"/>
      <c r="H7" s="211" t="n"/>
      <c r="I7" s="213" t="inlineStr">
        <is>
          <t>Energy (MW added)</t>
        </is>
      </c>
      <c r="J7" s="214" t="inlineStr">
        <is>
          <t>Number of MW installed capacity</t>
        </is>
      </c>
      <c r="K7" s="215" t="n">
        <v>0</v>
      </c>
      <c r="L7" s="209" t="n">
        <v>0.03</v>
      </c>
      <c r="N7" s="153" t="n"/>
      <c r="O7" s="199" t="n"/>
      <c r="P7" s="72" t="n"/>
      <c r="Q7" s="154" t="n"/>
      <c r="R7" s="72" t="n"/>
      <c r="S7" s="72" t="n"/>
      <c r="T7" s="72" t="n"/>
      <c r="U7" s="72" t="n"/>
      <c r="V7" s="68" t="n"/>
      <c r="W7" s="72" t="n"/>
      <c r="X7" s="68" t="n"/>
    </row>
    <row r="8" ht="200.25" customHeight="1">
      <c r="A8" s="169" t="n"/>
      <c r="B8" s="170" t="n"/>
      <c r="C8" s="170" t="n"/>
      <c r="D8" s="171" t="n"/>
      <c r="E8" s="171" t="n"/>
      <c r="F8" s="171" t="n"/>
      <c r="G8" s="171" t="n"/>
      <c r="H8" s="171" t="n"/>
      <c r="I8" s="212" t="inlineStr">
        <is>
          <t>Capacity Building Training</t>
        </is>
      </c>
      <c r="J8" s="173" t="inlineStr">
        <is>
          <t>Number of people trained/educated/informed 
through technical transfers, dialogues, workshops, 
campaigns, and other efforts</t>
        </is>
      </c>
      <c r="K8" s="141" t="n">
        <v>0</v>
      </c>
      <c r="L8" s="221" t="n">
        <v>200</v>
      </c>
      <c r="N8" s="159" t="n"/>
      <c r="O8" s="199" t="n"/>
      <c r="P8" s="72" t="n"/>
      <c r="Q8" s="154" t="inlineStr">
        <is>
          <t>Accelerating just energy transition</t>
        </is>
      </c>
      <c r="R8" s="72" t="n"/>
      <c r="S8" s="72" t="n"/>
      <c r="T8" s="72" t="n"/>
      <c r="U8" s="72" t="n"/>
      <c r="V8" s="68" t="n"/>
      <c r="W8" s="72" t="n"/>
      <c r="X8" s="68" t="n"/>
    </row>
    <row r="9" ht="91.5" customFormat="1" customHeight="1" s="126">
      <c r="A9" s="174" t="n">
        <v>93848</v>
      </c>
      <c r="B9" s="175" t="inlineStr">
        <is>
          <t>Adaptation Initiative for Climate Vulnerable Offshore Small Islands and Riverine Charland in Bangladesh</t>
        </is>
      </c>
      <c r="C9" s="206" t="inlineStr">
        <is>
          <t>https://open.undp.org/projects/00093848</t>
        </is>
      </c>
      <c r="D9" s="146" t="n">
        <v>9212322</v>
      </c>
      <c r="E9" s="269" t="n"/>
      <c r="F9" s="269" t="n"/>
      <c r="G9" s="269" t="n"/>
      <c r="H9" s="146" t="inlineStr">
        <is>
          <t>Non-VF</t>
        </is>
      </c>
      <c r="I9" s="221" t="inlineStr">
        <is>
          <t>Energy (MW added)</t>
        </is>
      </c>
      <c r="J9" s="221" t="inlineStr">
        <is>
          <t>Energy (MW added)</t>
        </is>
      </c>
      <c r="K9" s="221" t="n">
        <v>0</v>
      </c>
      <c r="L9" s="209" t="n">
        <v>0.06</v>
      </c>
      <c r="M9" s="173" t="inlineStr">
        <is>
          <t>Nano-grid will cover 20-25 households
30 nano-grids with covering
300 to 450 households 
On comment column: It is expected that about 1MW energy will be generated</t>
        </is>
      </c>
      <c r="N9" s="164" t="inlineStr">
        <is>
          <t>Adaptation Fund</t>
        </is>
      </c>
      <c r="O9" s="217" t="n">
        <v>0.5</v>
      </c>
      <c r="P9" s="72" t="n"/>
      <c r="Q9" s="154" t="inlineStr">
        <is>
          <t>Close the gap on energy access</t>
        </is>
      </c>
      <c r="R9" s="72" t="n"/>
      <c r="S9" s="72" t="n"/>
      <c r="T9" s="72" t="n"/>
      <c r="U9" s="72" t="n"/>
      <c r="V9" s="68" t="inlineStr">
        <is>
          <t>Solar</t>
        </is>
      </c>
      <c r="W9" s="72" t="n"/>
      <c r="X9" s="68" t="n"/>
    </row>
    <row r="10" ht="30.75" customFormat="1" customHeight="1" s="127">
      <c r="A10" s="177" t="n"/>
      <c r="B10" s="178" t="n"/>
      <c r="C10" s="179" t="n"/>
      <c r="D10" s="180" t="n"/>
      <c r="E10" s="180" t="n"/>
      <c r="F10" s="180" t="n"/>
      <c r="G10" s="180" t="n"/>
      <c r="H10" s="180" t="n"/>
      <c r="I10" s="154" t="inlineStr">
        <is>
          <t>Agriculture and Food System</t>
        </is>
      </c>
      <c r="J10" s="221" t="inlineStr">
        <is>
          <t>Energy (MW added)</t>
        </is>
      </c>
      <c r="K10" s="221" t="n">
        <v>0</v>
      </c>
      <c r="L10" s="209" t="n">
        <v>0.15</v>
      </c>
      <c r="M10" s="221" t="inlineStr">
        <is>
          <t>Install solar irrigation pumps for community</t>
        </is>
      </c>
      <c r="N10" s="181" t="n"/>
      <c r="O10" s="63" t="n"/>
      <c r="P10" s="72" t="n"/>
      <c r="Q10" s="154" t="inlineStr">
        <is>
          <t>Close the gap on energy access</t>
        </is>
      </c>
      <c r="R10" s="72" t="n"/>
      <c r="S10" s="72" t="n"/>
      <c r="T10" s="72" t="n"/>
      <c r="U10" s="72" t="n"/>
      <c r="V10" s="68" t="n"/>
      <c r="W10" s="72" t="n"/>
      <c r="X10" s="68" t="n"/>
    </row>
    <row r="11" ht="45.75" customFormat="1" customHeight="1" s="127">
      <c r="A11" s="182" t="n"/>
      <c r="B11" s="183" t="n"/>
      <c r="C11" s="184" t="n"/>
      <c r="D11" s="185" t="n"/>
      <c r="E11" s="185" t="n"/>
      <c r="F11" s="185" t="n"/>
      <c r="G11" s="185" t="n"/>
      <c r="H11" s="185" t="n"/>
      <c r="I11" s="154" t="inlineStr">
        <is>
          <t>Agriculture and Food System</t>
        </is>
      </c>
      <c r="J11" s="221" t="inlineStr">
        <is>
          <t>Energy (MW added)</t>
        </is>
      </c>
      <c r="K11" s="221" t="n">
        <v>0</v>
      </c>
      <c r="L11" s="209" t="n">
        <v>0.036</v>
      </c>
      <c r="M11" s="221" t="inlineStr">
        <is>
          <t>Install solar cold storage
Farmers and fishers are the users of the solar cold storage</t>
        </is>
      </c>
      <c r="N11" s="186" t="n"/>
      <c r="O11" s="63" t="n"/>
      <c r="P11" s="72" t="n"/>
      <c r="Q11" s="154" t="inlineStr">
        <is>
          <t>Close the gap on energy access</t>
        </is>
      </c>
      <c r="R11" s="72" t="n"/>
      <c r="S11" s="72" t="n"/>
      <c r="T11" s="72" t="n"/>
      <c r="U11" s="72" t="n"/>
      <c r="V11" s="68" t="n"/>
      <c r="W11" s="72" t="n"/>
      <c r="X11" s="68" t="n"/>
    </row>
    <row r="12" ht="78" customHeight="1">
      <c r="A12" s="187" t="inlineStr">
        <is>
          <t>85984</t>
        </is>
      </c>
      <c r="B12" s="188" t="inlineStr">
        <is>
          <t>Local Government Initiative on Climate Change (LoGIC)</t>
        </is>
      </c>
      <c r="C12" s="189" t="inlineStr">
        <is>
          <t>https://open.undp.org/projects/00085984</t>
        </is>
      </c>
      <c r="D12" s="190" t="n">
        <v>35200000</v>
      </c>
      <c r="E12" s="272" t="n"/>
      <c r="F12" s="272" t="n"/>
      <c r="G12" s="272" t="n"/>
      <c r="H12" s="190" t="inlineStr">
        <is>
          <t>Non-VF</t>
        </is>
      </c>
      <c r="I12" s="221" t="inlineStr">
        <is>
          <t>Energy (MW added)</t>
        </is>
      </c>
      <c r="J12" s="221" t="inlineStr">
        <is>
          <t>Renewable energy capacity installed (MW)</t>
        </is>
      </c>
      <c r="K12" s="221" t="inlineStr">
        <is>
          <t>NA</t>
        </is>
      </c>
      <c r="L12" s="221" t="n">
        <v>1.12</v>
      </c>
      <c r="M12" s="221" t="inlineStr">
        <is>
          <t>59 community solar irrigation pumps implemented by Union Parishads
Total beneficieres are 400,000 vulnerable households. Main project componants are adaptive livelihood support, social protection service, support for solar home system.</t>
        </is>
      </c>
      <c r="N12" s="221" t="inlineStr">
        <is>
          <t>(EU-17.05m, SIDA-17.97m)</t>
        </is>
      </c>
      <c r="O12" s="218" t="n">
        <v>0.5</v>
      </c>
      <c r="P12" s="72" t="n"/>
      <c r="Q12" s="154" t="inlineStr">
        <is>
          <t>Accelerating just energy transition</t>
        </is>
      </c>
      <c r="R12" s="72" t="n"/>
      <c r="S12" s="72" t="n"/>
      <c r="T12" s="72" t="n"/>
      <c r="U12" s="72" t="n"/>
      <c r="V12" s="68" t="inlineStr">
        <is>
          <t>Solar</t>
        </is>
      </c>
      <c r="W12" s="72" t="n"/>
      <c r="X12" s="68" t="n"/>
    </row>
    <row r="13" ht="91.5" customHeight="1">
      <c r="A13" s="166" t="n"/>
      <c r="B13" s="178" t="n"/>
      <c r="C13" s="180" t="n"/>
      <c r="D13" s="191" t="n"/>
      <c r="E13" s="191" t="n"/>
      <c r="F13" s="191" t="n"/>
      <c r="G13" s="191" t="n"/>
      <c r="H13" s="191" t="n"/>
      <c r="I13" s="221" t="inlineStr">
        <is>
          <t>Water Services</t>
        </is>
      </c>
      <c r="J13" s="221" t="inlineStr">
        <is>
          <t>Number of people benefiting from drinking water supply with electric solar powered motors</t>
        </is>
      </c>
      <c r="K13" s="221" t="inlineStr">
        <is>
          <t>NA</t>
        </is>
      </c>
      <c r="L13" s="209" t="n">
        <v>1463</v>
      </c>
      <c r="M13" s="221" t="inlineStr">
        <is>
          <t>54 community level drinking water supply with electric solar powered motors implemented by Union Parishads
Budget is updated
On comment column: About 325 household will be benefitted</t>
        </is>
      </c>
      <c r="N13" s="181" t="n"/>
      <c r="O13" s="221" t="n"/>
      <c r="P13" s="72" t="n"/>
      <c r="Q13" s="154" t="inlineStr">
        <is>
          <t>Accelerating just energy transition</t>
        </is>
      </c>
      <c r="R13" s="72" t="n"/>
      <c r="S13" s="72" t="n"/>
      <c r="T13" s="72" t="n"/>
      <c r="U13" s="72" t="n"/>
      <c r="V13" s="68" t="n"/>
      <c r="W13" s="72" t="n"/>
      <c r="X13" s="68" t="n"/>
    </row>
    <row r="14" ht="75" customHeight="1">
      <c r="A14" s="169" t="n"/>
      <c r="B14" s="183" t="n"/>
      <c r="C14" s="185" t="n"/>
      <c r="D14" s="191" t="n"/>
      <c r="E14" s="191" t="n"/>
      <c r="F14" s="191" t="n"/>
      <c r="G14" s="191" t="n"/>
      <c r="H14" s="191" t="n"/>
      <c r="I14" s="221" t="inlineStr">
        <is>
          <t>Energy (MW added)</t>
        </is>
      </c>
      <c r="J14" s="221" t="inlineStr">
        <is>
          <t>Renewable energy capacity installed</t>
        </is>
      </c>
      <c r="K14" s="221" t="inlineStr">
        <is>
          <t>NA</t>
        </is>
      </c>
      <c r="L14" s="221" t="n">
        <v>0.35</v>
      </c>
      <c r="M14" s="221" t="inlineStr">
        <is>
          <t>7 community level rooftop solar home systems  implemented by Union Parishads
Budget is updated
On comment column: It is expected that about 350KW energy will be generated</t>
        </is>
      </c>
      <c r="N14" s="186" t="n"/>
      <c r="O14" s="221" t="n"/>
      <c r="P14" s="72" t="n"/>
      <c r="Q14" s="154" t="inlineStr">
        <is>
          <t>Accelerating just energy transition</t>
        </is>
      </c>
      <c r="R14" s="72" t="n"/>
      <c r="S14" s="72" t="n"/>
      <c r="T14" s="72" t="n"/>
      <c r="U14" s="72" t="n"/>
      <c r="V14" s="68" t="inlineStr">
        <is>
          <t>Solar</t>
        </is>
      </c>
      <c r="W14" s="72" t="n"/>
      <c r="X14" s="68" t="n"/>
    </row>
    <row r="15" ht="106.5" customHeight="1">
      <c r="A15" s="164" t="inlineStr">
        <is>
          <t>00110796(AC Unit) &amp; 00117012 (PMU)</t>
        </is>
      </c>
      <c r="B15" s="161" t="inlineStr">
        <is>
          <t>HCFC Phase-Out Management Plan (HPMP Stage-II) For Compliance with the 2020 and 2025 Control Targets Under the Montreal Protocol</t>
        </is>
      </c>
      <c r="C15" s="131" t="inlineStr">
        <is>
          <t>HPMP II (AC Unit); HPMP II (PMU)</t>
        </is>
      </c>
      <c r="D15" s="192" t="n">
        <v>5356014</v>
      </c>
      <c r="E15" s="273" t="n"/>
      <c r="F15" s="273" t="n"/>
      <c r="G15" s="273" t="n"/>
      <c r="H15" s="192" t="inlineStr">
        <is>
          <t>Non-VF</t>
        </is>
      </c>
      <c r="I15" t="inlineStr">
        <is>
          <t>GHG Emissions Reduction</t>
        </is>
      </c>
      <c r="J15" s="221" t="inlineStr">
        <is>
          <t>GHG emission reductions (ton CO2eq)</t>
        </is>
      </c>
      <c r="K15" s="192" t="n"/>
      <c r="L15" s="216" t="inlineStr">
        <is>
          <t>1.73 M Ton CO2eq</t>
        </is>
      </c>
      <c r="M15" s="221" t="inlineStr">
        <is>
          <t>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Baseline: Consumption of ODS 47.22 ODP ton</t>
        </is>
      </c>
      <c r="N15" s="176" t="inlineStr">
        <is>
          <t>MLF</t>
        </is>
      </c>
      <c r="O15" s="221" t="n"/>
      <c r="P15" s="72" t="n"/>
      <c r="Q15" s="154" t="inlineStr">
        <is>
          <t>Accelerating just energy transition</t>
        </is>
      </c>
      <c r="R15" s="72" t="n"/>
      <c r="S15" s="72" t="n"/>
      <c r="T15" s="72" t="n"/>
      <c r="U15" s="72" t="n"/>
      <c r="V15" s="68" t="n"/>
      <c r="W15" s="72" t="n"/>
      <c r="X15" s="68" t="n"/>
    </row>
    <row r="16" ht="135" customHeight="1">
      <c r="A16" s="132" t="n"/>
      <c r="B16" s="133" t="n"/>
      <c r="C16" s="133" t="n"/>
      <c r="D16" s="134" t="n"/>
      <c r="E16" s="134" t="n"/>
      <c r="F16" s="134" t="n"/>
      <c r="G16" s="134" t="n"/>
      <c r="H16" s="134" t="n"/>
      <c r="I16" s="221" t="inlineStr">
        <is>
          <t>Other Energy Services</t>
        </is>
      </c>
      <c r="J16" s="221" t="inlineStr">
        <is>
          <t>Number of people benefiting from livelihoods strengthened through solutions for management of natural resources, ecosystem services, chemicals and waste.</t>
        </is>
      </c>
      <c r="K16" s="192" t="n">
        <v>30268</v>
      </c>
      <c r="L16" s="192" t="n">
        <v>110000</v>
      </c>
      <c r="M16" s="221" t="inlineStr">
        <is>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is>
      </c>
      <c r="N16" s="193" t="n"/>
      <c r="O16" s="194" t="n">
        <v>0.4</v>
      </c>
      <c r="P16" s="72" t="n"/>
      <c r="Q16" s="154" t="inlineStr">
        <is>
          <t>Accelerating just energy transition</t>
        </is>
      </c>
      <c r="R16" s="72" t="n"/>
      <c r="S16" s="72" t="n"/>
      <c r="T16" s="72" t="n"/>
      <c r="U16" s="72" t="n"/>
      <c r="V16" s="68" t="n"/>
      <c r="W16" s="72" t="n"/>
      <c r="X16" s="68" t="n"/>
    </row>
    <row r="17" ht="105" customFormat="1" customHeight="1" s="129">
      <c r="A17" s="135" t="n"/>
      <c r="B17" s="136" t="n"/>
      <c r="C17" s="136" t="n"/>
      <c r="D17" s="137" t="n"/>
      <c r="E17" s="137" t="n"/>
      <c r="F17" s="137" t="n"/>
      <c r="G17" s="137" t="n"/>
      <c r="H17" s="137" t="n"/>
      <c r="I17" s="221" t="inlineStr">
        <is>
          <t>Small Enterprises</t>
        </is>
      </c>
      <c r="J17" s="221" t="inlineStr">
        <is>
          <t>Number of small enterprises benefiting from the project</t>
        </is>
      </c>
      <c r="K17" s="221" t="n"/>
      <c r="L17" s="192" t="n">
        <v>6</v>
      </c>
      <c r="M17" s="221" t="inlineStr">
        <is>
          <t xml:space="preserve">The HPMP Stage II project is supporting six private sector small enterprises namely Unitech Products (BD) Ltd., Elite Hi-Tech Industries Ltd., AC Bazar Industry, Supreme Air Conditioning, Cooling Point Engineering Services and Walton Hi-Tech Industries Ltd with a funding support of  5,356,014.
On comment column: Six private companies are getting benefits from the project.The objective of this project is to phase out of 17.09 ODP tones (1,730,798 CO2-eq tons) from 5 air conditioning and 1 chiller manufacturing/assembler enterprises. </t>
        </is>
      </c>
      <c r="N17" s="193" t="n"/>
      <c r="O17" s="221" t="n"/>
      <c r="P17" s="72" t="n"/>
      <c r="Q17" s="154" t="inlineStr">
        <is>
          <t>Accelerating just energy transition</t>
        </is>
      </c>
      <c r="R17" s="72" t="n"/>
      <c r="S17" s="72" t="n"/>
      <c r="T17" s="72" t="n"/>
      <c r="U17" s="72" t="n"/>
      <c r="V17" s="68" t="n"/>
      <c r="W17" s="72" t="n"/>
      <c r="X17" s="68" t="n"/>
    </row>
    <row r="18" ht="75" customHeight="1">
      <c r="A18" s="138" t="n"/>
      <c r="B18" s="139" t="n"/>
      <c r="C18" s="139" t="n"/>
      <c r="D18" s="140" t="n"/>
      <c r="E18" s="140" t="n"/>
      <c r="F18" s="140" t="n"/>
      <c r="G18" s="140" t="n"/>
      <c r="H18" s="140" t="n"/>
      <c r="I18" s="221" t="inlineStr">
        <is>
          <t>Capacity Building Training</t>
        </is>
      </c>
      <c r="J18" s="221" t="inlineStr">
        <is>
          <t xml:space="preserve">Number of individuals who participate in trainings for energy activities. </t>
        </is>
      </c>
      <c r="K18" s="221" t="n"/>
      <c r="L18" s="221" t="n">
        <v>1220</v>
      </c>
      <c r="M18" s="221" t="inlineStr">
        <is>
          <t>The project has a comprehensive capacity development plan to capacitate 1220 individuals on new technology, policies and regulations implementation.</t>
        </is>
      </c>
      <c r="N18" s="186" t="n"/>
      <c r="O18" s="221" t="n"/>
      <c r="P18" s="72" t="n"/>
      <c r="Q18" s="154" t="inlineStr">
        <is>
          <t>Accelerating just energy transition</t>
        </is>
      </c>
      <c r="R18" s="72" t="n"/>
      <c r="S18" s="72" t="n"/>
      <c r="T18" s="72" t="n"/>
      <c r="U18" s="72" t="n"/>
      <c r="V18" s="68" t="n"/>
      <c r="W18" s="72" t="n"/>
      <c r="X18" s="68" t="n"/>
    </row>
    <row r="19" ht="198" customHeight="1">
      <c r="A19" s="138" t="n"/>
      <c r="B19" s="139" t="n"/>
      <c r="C19" s="139" t="n"/>
      <c r="D19" s="140" t="n"/>
      <c r="E19" s="140" t="n"/>
      <c r="F19" s="140" t="n"/>
      <c r="G19" s="140" t="n"/>
      <c r="H19" s="140" t="n"/>
      <c r="I19" s="274" t="inlineStr">
        <is>
          <t>Energy (MW added)</t>
        </is>
      </c>
      <c r="J19" s="274" t="inlineStr">
        <is>
          <t>Installed capacity in MW for access/productive-use outputs</t>
        </is>
      </c>
      <c r="K19" s="275" t="n">
        <v>0</v>
      </c>
      <c r="L19" s="275" t="n"/>
      <c r="M19" s="274" t="n"/>
      <c r="N19" s="276" t="n"/>
      <c r="O19" s="274" t="n"/>
      <c r="P19" s="277" t="n"/>
      <c r="Q19" s="278" t="n"/>
      <c r="R19" s="277" t="n"/>
      <c r="S19" s="277" t="n"/>
      <c r="T19" s="277" t="n"/>
      <c r="U19" s="277" t="n"/>
      <c r="V19" s="279" t="n"/>
      <c r="W19" s="277" t="n"/>
      <c r="X19" s="279" t="n"/>
    </row>
    <row r="20" ht="106.5" customFormat="1" customHeight="1" s="129">
      <c r="A20" s="195" t="inlineStr">
        <is>
          <t>134586</t>
        </is>
      </c>
      <c r="B20" s="141" t="inlineStr">
        <is>
          <t>Climate Promise: From Pledge to Impact</t>
        </is>
      </c>
      <c r="C20" s="221" t="inlineStr">
        <is>
          <t>https://open.undp.org/projects/00093849</t>
        </is>
      </c>
      <c r="D20" s="192" t="n">
        <v>475000</v>
      </c>
      <c r="E20" s="273" t="n"/>
      <c r="F20" s="273" t="n"/>
      <c r="G20" s="273" t="n"/>
      <c r="H20" s="192" t="inlineStr">
        <is>
          <t>Non-VF</t>
        </is>
      </c>
      <c r="I20" s="221" t="inlineStr">
        <is>
          <t>Policy or Regulatory Framework</t>
        </is>
      </c>
      <c r="J20" s="221" t="inlineStr">
        <is>
          <t>Number of low carbon policy and strategy</t>
        </is>
      </c>
      <c r="K20" s="221" t="n"/>
      <c r="L20" s="219" t="inlineStr">
        <is>
          <t xml:space="preserve">Policy Recommendation on following 5 points:
1.	Climate finance strategy &amp; NDC investment plan
2.	Roadmap for Net Zero strategies
3.	Scoping study on adopting national circular economy strategy
4.	Roadmap on National Hydrogen Stategy
5.	Gender responsive NDC implementation plan
 </t>
        </is>
      </c>
      <c r="M20" s="221" t="inlineStr">
        <is>
          <t xml:space="preserve">Global project
Enhanced transparency framework and data transparency system for Paris agreement
Update emission reduction target for non-energy sector
National strategy and investment plan for achieving NET ZERO </t>
        </is>
      </c>
      <c r="N20" s="221" t="inlineStr">
        <is>
          <t>Government of Germany</t>
        </is>
      </c>
      <c r="O20" s="218" t="n">
        <v>0.5</v>
      </c>
      <c r="P20" s="72" t="n"/>
      <c r="Q20" s="154" t="inlineStr">
        <is>
          <t>Accelerating just energy transition</t>
        </is>
      </c>
      <c r="R20" s="72" t="inlineStr">
        <is>
          <t>Renewable Energy</t>
        </is>
      </c>
      <c r="S20" s="72" t="n"/>
      <c r="T20" s="72" t="inlineStr">
        <is>
          <t>NDC Support</t>
        </is>
      </c>
      <c r="U20" s="72" t="inlineStr">
        <is>
          <t>Decarbonization</t>
        </is>
      </c>
      <c r="V20" s="68" t="n"/>
      <c r="W20" s="72" t="inlineStr">
        <is>
          <t>National</t>
        </is>
      </c>
      <c r="X20" s="68" t="n"/>
    </row>
    <row r="21" ht="120" customFormat="1" customHeight="1" s="129">
      <c r="A21" s="221" t="n">
        <v>93849</v>
      </c>
      <c r="B21" s="141" t="inlineStr">
        <is>
          <t>Improved Cooking Stoves in CHT area (under A2I project)</t>
        </is>
      </c>
      <c r="C21" s="207" t="inlineStr">
        <is>
          <t>https://open.undp.org/projects/00093849</t>
        </is>
      </c>
      <c r="D21" s="192" t="n">
        <v>150000</v>
      </c>
      <c r="E21" s="273" t="n"/>
      <c r="F21" s="273" t="n"/>
      <c r="G21" s="273" t="n"/>
      <c r="H21" s="192" t="inlineStr">
        <is>
          <t>Non-VF</t>
        </is>
      </c>
      <c r="I21" s="221" t="inlineStr">
        <is>
          <t>Clean Cooking</t>
        </is>
      </c>
      <c r="J21" s="221" t="inlineStr">
        <is>
          <t>Number of households using improved cooking  stove</t>
        </is>
      </c>
      <c r="K21" s="221" t="n">
        <v>0</v>
      </c>
      <c r="L21" s="221" t="n">
        <v>22500</v>
      </c>
      <c r="M21" s="221" t="inlineStr">
        <is>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
15-25% of households using improved cooking stove
On comment column: About 5,000 Household got the benefits</t>
        </is>
      </c>
      <c r="N21" s="172" t="inlineStr">
        <is>
          <t>Government of Bangladesh-50 million, Other donors (Gate Foundation, FB, Vital strategy, etc.): 9 million)</t>
        </is>
      </c>
      <c r="O21" s="221" t="n"/>
      <c r="P21" s="72" t="n"/>
      <c r="Q21" s="154" t="inlineStr">
        <is>
          <t>Accelerating just energy transition</t>
        </is>
      </c>
      <c r="R21" s="72" t="n"/>
      <c r="S21" s="72" t="n"/>
      <c r="T21" s="72" t="n"/>
      <c r="U21" s="72" t="n"/>
      <c r="V21" s="68" t="n"/>
      <c r="W21" s="72" t="n"/>
      <c r="X21" s="68" t="n"/>
    </row>
    <row r="22" ht="90" customFormat="1" customHeight="1" s="129">
      <c r="A22" s="221" t="n"/>
      <c r="B22" s="221" t="n"/>
      <c r="C22" s="192" t="n"/>
      <c r="D22" s="192" t="n"/>
      <c r="E22" s="192" t="n"/>
      <c r="F22" s="192" t="n"/>
      <c r="G22" s="192" t="n"/>
      <c r="H22" s="192" t="n"/>
      <c r="I22" s="221" t="inlineStr">
        <is>
          <t>Water Services</t>
        </is>
      </c>
      <c r="J22" s="221" t="inlineStr">
        <is>
          <t>% of people with restrictive access to household water in remote CHT areas</t>
        </is>
      </c>
      <c r="K22" s="194" t="n">
        <v>0.7</v>
      </c>
      <c r="L22" s="221" t="n">
        <v>5000</v>
      </c>
      <c r="M22" s="221" t="inlineStr">
        <is>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
On comment column: About 5000 farmers get benefits</t>
        </is>
      </c>
      <c r="N22" s="172" t="inlineStr">
        <is>
          <t>Govt of Bangladesh-50 million, Other donors (Gate Foundation, FB, Vital strategy, etc.): 9 million)</t>
        </is>
      </c>
      <c r="O22" s="221" t="n"/>
      <c r="P22" s="72" t="n"/>
      <c r="Q22" s="154" t="inlineStr">
        <is>
          <t>Accelerating just energy transition</t>
        </is>
      </c>
      <c r="R22" s="72" t="n"/>
      <c r="S22" s="72" t="n"/>
      <c r="T22" s="72" t="n"/>
      <c r="U22" s="72" t="n"/>
      <c r="V22" s="68" t="n"/>
      <c r="W22" s="72" t="n"/>
      <c r="X22" s="68" t="n"/>
    </row>
    <row r="23" ht="144" customHeight="1">
      <c r="A23" s="221" t="n"/>
      <c r="B23" s="221" t="n"/>
      <c r="C23" s="221" t="n"/>
      <c r="D23" s="192" t="n"/>
      <c r="E23" s="192" t="n"/>
      <c r="F23" s="192" t="n"/>
      <c r="G23" s="192" t="n"/>
      <c r="H23" s="192" t="n"/>
      <c r="I23" s="221" t="inlineStr">
        <is>
          <t>Policy or Regulatory Framework</t>
        </is>
      </c>
      <c r="J23" s="221" t="inlineStr">
        <is>
          <t>Number of Research innovation centre in Bangladesh</t>
        </is>
      </c>
      <c r="K23" s="221" t="n">
        <v>0</v>
      </c>
      <c r="L23" s="221" t="n">
        <v>1</v>
      </c>
      <c r="M23" s="221" t="inlineStr">
        <is>
          <t>A2I is in the process of establishing an energy and environment RIC, that will be responsible to output innovative solutions to the energy ecosystem through research.</t>
        </is>
      </c>
      <c r="N23" s="172" t="inlineStr">
        <is>
          <t>Govt of Bangladesh-50 million, Other donors (Gate Foundation, FB, Vital strategy, etc.): 9 million)</t>
        </is>
      </c>
      <c r="O23" s="221" t="n"/>
      <c r="P23" s="72" t="n"/>
      <c r="Q23" s="154" t="inlineStr">
        <is>
          <t>Accelerating just energy transition</t>
        </is>
      </c>
      <c r="R23" s="72" t="inlineStr">
        <is>
          <t>Renewable Energy</t>
        </is>
      </c>
      <c r="S23" s="72" t="n"/>
      <c r="T23" s="72" t="inlineStr">
        <is>
          <t>Incentives and Support</t>
        </is>
      </c>
      <c r="U23" s="72" t="inlineStr">
        <is>
          <t>Research &amp; Innovation</t>
        </is>
      </c>
      <c r="V23" s="68" t="n"/>
      <c r="W23" s="72" t="inlineStr">
        <is>
          <t>National</t>
        </is>
      </c>
      <c r="X23" s="68" t="n"/>
    </row>
    <row r="24" ht="121.5" customFormat="1" customHeight="1" s="129">
      <c r="A24" s="221" t="n"/>
      <c r="B24" s="221" t="n"/>
      <c r="C24" s="192" t="n"/>
      <c r="D24" s="196" t="n"/>
      <c r="E24" s="196" t="n"/>
      <c r="F24" s="196" t="n"/>
      <c r="G24" s="196" t="n"/>
      <c r="H24" s="196" t="n"/>
      <c r="I24" s="221" t="inlineStr">
        <is>
          <t>Policy or Regulatory Framework</t>
        </is>
      </c>
      <c r="J24" s="221" t="inlineStr">
        <is>
          <t>Number of policy support provided relating to energy and environment</t>
        </is>
      </c>
      <c r="K24" s="221" t="n">
        <v>1</v>
      </c>
      <c r="L24" s="221" t="n">
        <v>3</v>
      </c>
      <c r="M24" s="221" t="inlineStr">
        <is>
          <t>A2I has been working with various goverrnment bodies to develop registration policies regarding the Energy and Environment sector.</t>
        </is>
      </c>
      <c r="N24" s="172" t="inlineStr">
        <is>
          <t>Govt of Bangladesh-50 million, Other donors (Gate Foundation, FB, Vital strategy, etc.): 9 million)</t>
        </is>
      </c>
      <c r="O24" s="221" t="n"/>
      <c r="P24" s="72" t="n"/>
      <c r="Q24" s="154" t="inlineStr">
        <is>
          <t>Accelerating just energy transition</t>
        </is>
      </c>
      <c r="R24" s="72" t="inlineStr">
        <is>
          <t>Overall</t>
        </is>
      </c>
      <c r="S24" s="72" t="n"/>
      <c r="T24" s="72" t="inlineStr">
        <is>
          <t>National Strategy</t>
        </is>
      </c>
      <c r="U24" s="72" t="inlineStr">
        <is>
          <t>Decarbonization</t>
        </is>
      </c>
      <c r="V24" s="68" t="n"/>
      <c r="W24" s="72" t="inlineStr">
        <is>
          <t>National</t>
        </is>
      </c>
      <c r="X24" s="68" t="n"/>
    </row>
    <row r="25" ht="275.25" customHeight="1">
      <c r="A25" s="221" t="n"/>
      <c r="B25" s="221" t="n"/>
      <c r="C25" s="130" t="n"/>
      <c r="D25" s="196" t="n"/>
      <c r="E25" s="196" t="n"/>
      <c r="F25" s="196" t="n"/>
      <c r="G25" s="196" t="n"/>
      <c r="H25" s="196" t="n"/>
      <c r="I25" s="221" t="inlineStr">
        <is>
          <t>Education Services</t>
        </is>
      </c>
      <c r="J25" s="221" t="inlineStr">
        <is>
          <t>No. of students that are using the Multimedia Classroom</t>
        </is>
      </c>
      <c r="K25" s="221" t="n">
        <v>326</v>
      </c>
      <c r="L25" s="221" t="n">
        <v>2000</v>
      </c>
      <c r="M25" s="221" t="inlineStr">
        <is>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
On comment column: About 2000 students get benefits</t>
        </is>
      </c>
      <c r="N25" s="172" t="inlineStr">
        <is>
          <t>Govt of Bangladesh-50 million, Other donors (Gate Foundation, FB, Vital strategy, etc.): 9 million)</t>
        </is>
      </c>
      <c r="O25" s="221" t="n"/>
      <c r="P25" s="72" t="n"/>
      <c r="Q25" s="154" t="inlineStr">
        <is>
          <t>Accelerating just energy transition</t>
        </is>
      </c>
      <c r="R25" s="72" t="n"/>
      <c r="S25" s="72" t="n"/>
      <c r="T25" s="72" t="n"/>
      <c r="U25" s="72" t="n"/>
      <c r="V25" s="68" t="n"/>
      <c r="W25" s="72" t="n"/>
      <c r="X25" s="68" t="n"/>
    </row>
    <row r="26">
      <c r="A26" s="274" t="n"/>
      <c r="B26" s="274" t="n"/>
      <c r="C26" s="280" t="n"/>
      <c r="D26" s="281" t="n"/>
      <c r="E26" s="281" t="n"/>
      <c r="F26" s="281" t="n"/>
      <c r="G26" s="281" t="n"/>
      <c r="H26" s="281" t="n"/>
      <c r="I26" s="274" t="inlineStr">
        <is>
          <t>Energy (MW added)</t>
        </is>
      </c>
      <c r="J26" s="274" t="inlineStr">
        <is>
          <t>Installed capacity in MW for access/productive-use outputs</t>
        </is>
      </c>
      <c r="K26" s="275" t="n">
        <v>0</v>
      </c>
      <c r="L26" s="275" t="n"/>
      <c r="M26" s="274" t="n"/>
      <c r="N26" s="172" t="n"/>
      <c r="O26" s="274" t="n"/>
      <c r="P26" s="277" t="n"/>
      <c r="Q26" s="278" t="n"/>
      <c r="R26" s="277" t="n"/>
      <c r="S26" s="277" t="n"/>
      <c r="T26" s="277" t="n"/>
      <c r="U26" s="277" t="n"/>
      <c r="V26" s="279" t="n"/>
      <c r="W26" s="277" t="n"/>
      <c r="X26" s="279" t="n"/>
    </row>
    <row r="27">
      <c r="A27" s="221" t="n">
        <v>105918</v>
      </c>
      <c r="B27" s="221" t="inlineStr">
        <is>
          <t>Bangladesh: First Biennial Update Report to the UNFCCC</t>
        </is>
      </c>
      <c r="C27" s="208" t="inlineStr">
        <is>
          <t>https://open.undp.org/projects/00105918</t>
        </is>
      </c>
      <c r="D27" s="192" t="n">
        <v>489000</v>
      </c>
      <c r="E27" s="273" t="n"/>
      <c r="F27" s="273" t="n"/>
      <c r="G27" s="273" t="n"/>
      <c r="H27" s="192" t="inlineStr">
        <is>
          <t>Non-VF</t>
        </is>
      </c>
      <c r="I27" s="221" t="inlineStr">
        <is>
          <t>Policy or Regulatory Framework</t>
        </is>
      </c>
      <c r="J27" s="220" t="inlineStr">
        <is>
          <t xml:space="preserve">1. GHG inventory for energy sector
2. Develop emission scenario until 2041
3. Identify mitigation optios and analyse domestic MRV
4. Update grid emission factors
5. Identify gaps and constraints, technical and financial need assesment and capacity building
</t>
        </is>
      </c>
      <c r="K27" s="220" t="inlineStr">
        <is>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is>
      </c>
      <c r="L27" s="221" t="n"/>
      <c r="M27" s="221" t="inlineStr">
        <is>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is>
      </c>
      <c r="N27" s="172" t="inlineStr">
        <is>
          <t>GEF</t>
        </is>
      </c>
      <c r="O27" s="218" t="n">
        <v>0.5</v>
      </c>
      <c r="P27" s="72" t="n"/>
      <c r="Q27" s="154" t="inlineStr">
        <is>
          <t>Accelerating just energy transition</t>
        </is>
      </c>
      <c r="R27" s="72" t="inlineStr">
        <is>
          <t>Renewable Energy</t>
        </is>
      </c>
      <c r="S27" s="72" t="n"/>
      <c r="T27" s="72" t="inlineStr">
        <is>
          <t>NDC Support</t>
        </is>
      </c>
      <c r="U27" s="72" t="inlineStr">
        <is>
          <t>Decarbonization</t>
        </is>
      </c>
      <c r="V27" s="68" t="n"/>
      <c r="W27" s="72" t="inlineStr">
        <is>
          <t>National</t>
        </is>
      </c>
      <c r="X27" s="68" t="n"/>
    </row>
  </sheetData>
  <dataValidations count="10">
    <dataValidation sqref="Q2:Q2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25" showDropDown="0" showInputMessage="1" showErrorMessage="1" allowBlank="1" type="list">
      <formula1>"AMP, PUDC, Solar4Health, Action Opportunities, Italy UNDP Energy Partnership"</formula1>
    </dataValidation>
    <dataValidation sqref="N2:N25" showDropDown="0" showInputMessage="1" showErrorMessage="1" allowBlank="1" type="list">
      <formula1>"Accelerating just energy transition, Close the gap on energy access, Scale up energy finance"</formula1>
    </dataValidation>
    <dataValidation sqref="O2:O25" showDropDown="0" showInputMessage="1" showErrorMessage="1" allowBlank="1" type="list">
      <formula1>"Electricity Access, Energy Efficiency, Clean Cooking, Renewable Energy, Overall"</formula1>
    </dataValidation>
    <dataValidation sqref="L2:L25" showDropDown="0" showInputMessage="1" showErrorMessage="1" allowBlank="1" type="list">
      <formula1>"Non-VF, VF"</formula1>
    </dataValidation>
    <dataValidation sqref="M2:M25" showDropDown="0" showInputMessage="1" showErrorMessage="1" allowBlank="1" type="list">
      <formula1>"Finance, Gender, Efficiency, Just, Health"</formula1>
    </dataValidation>
    <dataValidation sqref="T2:T25" showDropDown="0" showInputMessage="1" showErrorMessage="1" allowBlank="1" type="list">
      <formula1>"National, Regional, City, Community"</formula1>
    </dataValidation>
    <dataValidation sqref="S2:S25" showDropDown="0" showInputMessage="1" showErrorMessage="1" allowBlank="1" type="list">
      <formula1>"Solar, Wind, Bioenergy, Hydro, Geothermal, Waste, Other, Unknown"</formula1>
    </dataValidation>
    <dataValidation sqref="R2:R2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open.undp.org/projects/00117898" r:id="rId1"/>
    <hyperlink xmlns:r="http://schemas.openxmlformats.org/officeDocument/2006/relationships" ref="C9" r:id="rId2"/>
    <hyperlink xmlns:r="http://schemas.openxmlformats.org/officeDocument/2006/relationships" ref="C12" r:id="rId3"/>
    <hyperlink xmlns:r="http://schemas.openxmlformats.org/officeDocument/2006/relationships" ref="C15" display="HPMP II (AC Unit)" r:id="rId4"/>
    <hyperlink xmlns:r="http://schemas.openxmlformats.org/officeDocument/2006/relationships" ref="C20" r:id="rId5"/>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4"/>
  <sheetViews>
    <sheetView topLeftCell="B1" zoomScale="50" zoomScaleNormal="50" workbookViewId="0">
      <pane ySplit="1" topLeftCell="A2" activePane="bottomLeft" state="frozen"/>
      <selection pane="bottomLeft" activeCell="H2" sqref="H2"/>
      <selection activeCell="B1" sqref="B1"/>
    </sheetView>
  </sheetViews>
  <sheetFormatPr baseColWidth="8" defaultColWidth="8.85546875" defaultRowHeight="15"/>
  <cols>
    <col width="9.28515625" bestFit="1" customWidth="1" min="1" max="1"/>
    <col width="33" customWidth="1" min="2" max="2"/>
    <col width="20.7109375" customWidth="1" min="3" max="3"/>
    <col width="16.42578125" bestFit="1" customWidth="1" min="4" max="4"/>
    <col width="20.7109375" customWidth="1" min="5" max="5"/>
    <col width="18.28515625" customWidth="1" style="15" min="6" max="6"/>
    <col width="35.42578125" customWidth="1" style="16" min="7" max="7"/>
    <col width="20.7109375" customWidth="1" min="8" max="8"/>
    <col width="25.5703125" customWidth="1" min="9" max="9"/>
    <col width="19.42578125" customWidth="1" min="10" max="10"/>
    <col width="9.140625" customWidth="1" min="11" max="12"/>
    <col width="42.7109375" customWidth="1" min="13" max="13"/>
  </cols>
  <sheetData>
    <row r="1">
      <c r="A1" s="60" t="inlineStr">
        <is>
          <t>Project ID</t>
        </is>
      </c>
      <c r="B1" s="61" t="inlineStr">
        <is>
          <t>Title</t>
        </is>
      </c>
      <c r="C1" s="61" t="inlineStr">
        <is>
          <t>Link</t>
        </is>
      </c>
      <c r="D1" s="82" t="inlineStr">
        <is>
          <t xml:space="preserve">Budget </t>
        </is>
      </c>
      <c r="E1" s="60" t="inlineStr">
        <is>
          <t>Beneficiary Category</t>
        </is>
      </c>
      <c r="F1" s="60" t="inlineStr">
        <is>
          <t>Baseline</t>
        </is>
      </c>
      <c r="G1" s="60" t="inlineStr">
        <is>
          <t>Target</t>
        </is>
      </c>
      <c r="H1" s="60" t="inlineStr">
        <is>
          <t>Indicator</t>
        </is>
      </c>
      <c r="I1" s="60" t="inlineStr">
        <is>
          <t>Notes</t>
        </is>
      </c>
      <c r="J1" s="38" t="inlineStr">
        <is>
          <t>Donors</t>
        </is>
      </c>
      <c r="K1" s="38" t="inlineStr">
        <is>
          <t>Gender (% female)</t>
        </is>
      </c>
      <c r="L1" s="38" t="inlineStr">
        <is>
          <t>Category</t>
        </is>
      </c>
      <c r="M1" s="117" t="inlineStr">
        <is>
          <t>Comments</t>
        </is>
      </c>
    </row>
    <row r="2" ht="91.5" customFormat="1" customHeight="1" s="92">
      <c r="A2" s="249" t="inlineStr">
        <is>
          <t>00115022</t>
        </is>
      </c>
      <c r="B2" s="232" t="inlineStr">
        <is>
          <t>Promoting Energy-Related Low Carbon Urban Development in Bangladesh (LCUD)</t>
        </is>
      </c>
      <c r="C2" s="60" t="n"/>
      <c r="D2" s="282" t="inlineStr">
        <is>
          <t>US$3767810</t>
        </is>
      </c>
      <c r="E2" s="88" t="inlineStr">
        <is>
          <t>Energy (MW added)</t>
        </is>
      </c>
      <c r="F2" s="89" t="n"/>
      <c r="G2" s="90" t="inlineStr">
        <is>
          <t>2 waste to energy
3 rooftop PV (public)
10 rooftop PV (private)
6 energy effociency in buildings(public)
24 energy efficiency in buildings(private)</t>
        </is>
      </c>
      <c r="H2" s="91" t="inlineStr">
        <is>
          <t>No. of waste to energy facilities, rooftop PV, energy efficiency in building, etc</t>
        </is>
      </c>
      <c r="I2" s="283" t="inlineStr">
        <is>
          <t xml:space="preserve">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t>
        </is>
      </c>
      <c r="J2" s="223" t="inlineStr">
        <is>
          <t>GEF</t>
        </is>
      </c>
      <c r="K2" s="73" t="n"/>
      <c r="L2" s="67" t="inlineStr">
        <is>
          <t>VF</t>
        </is>
      </c>
      <c r="M2" s="118" t="inlineStr">
        <is>
          <t>Expected to generate 1MW of energy</t>
        </is>
      </c>
    </row>
    <row r="3" ht="45" customHeight="1">
      <c r="A3" s="284" t="n"/>
      <c r="B3" s="284" t="n"/>
      <c r="C3" s="284" t="n"/>
      <c r="D3" s="284" t="n"/>
      <c r="E3" s="65" t="inlineStr">
        <is>
          <t>Policy and Regulatory Frameworks</t>
        </is>
      </c>
      <c r="F3" s="66" t="n"/>
      <c r="G3" s="74" t="n"/>
      <c r="H3" s="235" t="inlineStr">
        <is>
          <t>No. of low carbon policy, guideline and standard</t>
        </is>
      </c>
      <c r="I3" s="284" t="n"/>
      <c r="J3" s="284" t="n"/>
      <c r="K3" s="284" t="n"/>
      <c r="L3" s="284" t="n"/>
      <c r="M3" s="119" t="n"/>
    </row>
    <row r="4" ht="45" customHeight="1">
      <c r="A4" s="285" t="n"/>
      <c r="B4" s="285" t="n"/>
      <c r="C4" s="285" t="n"/>
      <c r="D4" s="285" t="n"/>
      <c r="E4" s="67" t="inlineStr">
        <is>
          <t>GHG Emission Reduction</t>
        </is>
      </c>
      <c r="F4" s="60" t="n"/>
      <c r="G4" s="74" t="n">
        <v>1573000</v>
      </c>
      <c r="H4" s="235" t="inlineStr">
        <is>
          <t>GHG Emission Reduction target in updated NDC</t>
        </is>
      </c>
      <c r="I4" s="285" t="n"/>
      <c r="J4" s="284" t="n"/>
      <c r="K4" s="284" t="n"/>
      <c r="L4" s="284" t="n"/>
      <c r="M4" s="119" t="n"/>
    </row>
    <row r="5" ht="75" customFormat="1" customHeight="1" s="92">
      <c r="A5" s="249" t="inlineStr">
        <is>
          <t>00116395</t>
        </is>
      </c>
      <c r="B5" s="232" t="inlineStr">
        <is>
          <t xml:space="preserve">Bangladesh Enabling Electric Vehicles Adoption (BEEVA) in the Framework of Sustainable Energy-based Transportation </t>
        </is>
      </c>
      <c r="C5" s="89" t="n"/>
      <c r="D5" s="93" t="inlineStr">
        <is>
          <t>US$1788991</t>
        </is>
      </c>
      <c r="E5" s="89" t="inlineStr">
        <is>
          <t>Transport Services</t>
        </is>
      </c>
      <c r="F5" s="89" t="n"/>
      <c r="G5" s="90" t="inlineStr">
        <is>
          <t xml:space="preserve">Installation of 4 Charging Station (EV Charger, 300-500 kW) for e-Buses; Installation of 3 Solar Hybrid (80 kW; 25 to 30 kW from Solar) for 2-3-4 Wheelers; </t>
        </is>
      </c>
      <c r="H5" s="89" t="n"/>
      <c r="I5" s="235" t="inlineStr">
        <is>
          <t>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t>
        </is>
      </c>
      <c r="J5" s="284" t="n"/>
      <c r="K5" s="284" t="n"/>
      <c r="L5" s="284" t="n"/>
      <c r="M5" s="118" t="inlineStr">
        <is>
          <t>It is expected that 100,000 people will be benefitted</t>
        </is>
      </c>
    </row>
    <row r="6" ht="37.5" customHeight="1">
      <c r="A6" s="284" t="n"/>
      <c r="B6" s="284" t="n"/>
      <c r="C6" s="60" t="n"/>
      <c r="D6" s="66" t="n"/>
      <c r="E6" s="67" t="inlineStr">
        <is>
          <t>GHG Emission Reduction</t>
        </is>
      </c>
      <c r="F6" s="60" t="n"/>
      <c r="G6" s="74" t="n">
        <v>15660</v>
      </c>
      <c r="H6" s="94" t="inlineStr">
        <is>
          <t xml:space="preserve">GHG Emission Reduction target </t>
        </is>
      </c>
      <c r="I6" s="284" t="n"/>
      <c r="J6" s="284" t="n"/>
      <c r="K6" s="284" t="n"/>
      <c r="L6" s="284" t="n"/>
      <c r="M6" s="119" t="n"/>
    </row>
    <row r="7" ht="45" customHeight="1">
      <c r="A7" s="285" t="n"/>
      <c r="B7" s="285" t="n"/>
      <c r="C7" s="60" t="n"/>
      <c r="D7" s="66" t="n"/>
      <c r="E7" s="65" t="inlineStr">
        <is>
          <t>Capacity Training</t>
        </is>
      </c>
      <c r="F7" s="60" t="n"/>
      <c r="G7" s="74" t="n">
        <v>200</v>
      </c>
      <c r="H7" s="95" t="inlineStr">
        <is>
          <t>100 persons will be trained on operation and maintenance of charging infrastructure (e-Buses and 2-3-wheeler station; 100 persons will be trained on environmentally sound and safe handling and recycling of batteries and verification</t>
        </is>
      </c>
      <c r="I7" s="285" t="n"/>
      <c r="J7" s="284" t="n"/>
      <c r="K7" s="284" t="n"/>
      <c r="L7" s="284" t="n"/>
      <c r="M7" s="119" t="n"/>
    </row>
    <row r="8" ht="45" customFormat="1" customHeight="1" s="99">
      <c r="A8" s="231" t="n"/>
      <c r="B8" s="232" t="inlineStr">
        <is>
          <t>Adaptation Initiative for Climate Vulnerable Offshore Small Islands and Riverine Charland in Bangladesh</t>
        </is>
      </c>
      <c r="C8" s="88" t="n"/>
      <c r="D8" s="96" t="inlineStr">
        <is>
          <t>US$9212322</t>
        </is>
      </c>
      <c r="E8" s="88" t="inlineStr">
        <is>
          <t>Energy (MW added)</t>
        </is>
      </c>
      <c r="F8" s="97" t="n">
        <v>0</v>
      </c>
      <c r="G8" s="90" t="inlineStr">
        <is>
          <t xml:space="preserve">30 nano-grids with covering
300 to 450 households </t>
        </is>
      </c>
      <c r="H8" s="88" t="inlineStr">
        <is>
          <t>Number of nano-grids installed and operational.</t>
        </is>
      </c>
      <c r="I8" s="98" t="inlineStr">
        <is>
          <t>Nano-grid will cover 20-25 households</t>
        </is>
      </c>
      <c r="J8" s="88" t="inlineStr">
        <is>
          <t>Adaptation Fund</t>
        </is>
      </c>
      <c r="K8" s="284" t="n"/>
      <c r="L8" s="284" t="n"/>
      <c r="M8" s="120" t="inlineStr">
        <is>
          <t>It is expected that about 1MW energy will be generated</t>
        </is>
      </c>
    </row>
    <row r="9" ht="75" customFormat="1" customHeight="1" s="13">
      <c r="A9" s="284" t="n"/>
      <c r="B9" s="284" t="n"/>
      <c r="C9" s="63" t="n"/>
      <c r="D9" s="235" t="n"/>
      <c r="E9" s="63" t="inlineStr">
        <is>
          <t>Agricultural Services</t>
        </is>
      </c>
      <c r="F9" s="221" t="n">
        <v>0</v>
      </c>
      <c r="G9" s="74" t="n">
        <v>80</v>
      </c>
      <c r="H9" s="63" t="inlineStr">
        <is>
          <t xml:space="preserve">Hectares of agricultural land irrigated through solar irrigation pumps; </t>
        </is>
      </c>
      <c r="I9" s="63" t="inlineStr">
        <is>
          <t>Install solar irrigation pumps for community</t>
        </is>
      </c>
      <c r="J9" s="63" t="n"/>
      <c r="K9" s="284" t="n"/>
      <c r="L9" s="284" t="n"/>
      <c r="M9" s="121" t="n"/>
    </row>
    <row r="10" ht="75" customFormat="1" customHeight="1" s="13">
      <c r="A10" s="285" t="n"/>
      <c r="B10" s="285" t="n"/>
      <c r="C10" s="63" t="n"/>
      <c r="D10" s="235" t="n"/>
      <c r="E10" s="63" t="inlineStr">
        <is>
          <t>Agricultural Services</t>
        </is>
      </c>
      <c r="F10" s="221" t="n">
        <v>0</v>
      </c>
      <c r="G10" s="74" t="n">
        <v>2</v>
      </c>
      <c r="H10" s="63" t="inlineStr">
        <is>
          <t>Number of solar cold storage units installed and operational</t>
        </is>
      </c>
      <c r="I10" s="63" t="inlineStr">
        <is>
          <t>Install solar cold storage
Farmers and fishers are the users of the solar cold storage</t>
        </is>
      </c>
      <c r="J10" s="63" t="n"/>
      <c r="K10" s="285" t="n"/>
      <c r="L10" s="285" t="n"/>
      <c r="M10" s="121" t="n"/>
    </row>
    <row r="11" ht="180" customHeight="1">
      <c r="A11" s="242" t="inlineStr">
        <is>
          <t>0093426</t>
        </is>
      </c>
      <c r="B11" s="232" t="inlineStr">
        <is>
          <t>Local Governmrnt Initiative on Climate Change (LoGIC)</t>
        </is>
      </c>
      <c r="C11" s="71" t="n"/>
      <c r="D11" s="85" t="inlineStr">
        <is>
          <t>US$35.2 million;
(EU-17.05m, SIDA-17.97m)</t>
        </is>
      </c>
      <c r="E11" s="63" t="inlineStr">
        <is>
          <t>Energy (MW added)</t>
        </is>
      </c>
      <c r="F11" s="72" t="inlineStr">
        <is>
          <t>NA</t>
        </is>
      </c>
      <c r="G11" s="77" t="n">
        <v>1.12</v>
      </c>
      <c r="H11" s="72" t="inlineStr">
        <is>
          <t>MW</t>
        </is>
      </c>
      <c r="I11" s="235" t="inlineStr">
        <is>
          <t>59 community solar irrigation pumps implemented by Union Parishads
Total beneficieres are 400,000 vulnerable households. Main project componants are adaptive livelihood support, social protection service, support for solar home system.</t>
        </is>
      </c>
      <c r="J11" s="71" t="inlineStr">
        <is>
          <t>EU and SIDA</t>
        </is>
      </c>
      <c r="K11" s="62" t="n"/>
      <c r="L11" s="62" t="n"/>
      <c r="M11" s="119" t="n"/>
    </row>
    <row r="12" ht="105" customFormat="1" customHeight="1" s="92">
      <c r="A12" s="284" t="n"/>
      <c r="B12" s="284" t="n"/>
      <c r="C12" s="100" t="n"/>
      <c r="D12" s="101" t="inlineStr">
        <is>
          <t>US$7 million</t>
        </is>
      </c>
      <c r="E12" s="100" t="inlineStr">
        <is>
          <t>Water Services</t>
        </is>
      </c>
      <c r="F12" s="102" t="inlineStr">
        <is>
          <t>NA</t>
        </is>
      </c>
      <c r="G12" s="103" t="inlineStr">
        <is>
          <t>NA</t>
        </is>
      </c>
      <c r="H12" s="102" t="inlineStr">
        <is>
          <t>NA</t>
        </is>
      </c>
      <c r="I12" s="104" t="inlineStr">
        <is>
          <t>54 community level drinking water supply with electric solar powered motors implemented by Union Parishads
Budget is updated</t>
        </is>
      </c>
      <c r="J12" s="100" t="inlineStr">
        <is>
          <t>EU and SIDA</t>
        </is>
      </c>
      <c r="K12" s="105" t="n"/>
      <c r="L12" s="105" t="n"/>
      <c r="M12" s="118" t="inlineStr">
        <is>
          <t>About 325 household will be benefitted</t>
        </is>
      </c>
    </row>
    <row r="13" ht="90" customFormat="1" customHeight="1" s="92">
      <c r="A13" s="285" t="n"/>
      <c r="B13" s="285" t="n"/>
      <c r="C13" s="100" t="n"/>
      <c r="D13" s="101" t="inlineStr">
        <is>
          <t>US$1.3 million</t>
        </is>
      </c>
      <c r="E13" s="100" t="inlineStr">
        <is>
          <t>Electricity Access</t>
        </is>
      </c>
      <c r="F13" s="102" t="inlineStr">
        <is>
          <t>NA</t>
        </is>
      </c>
      <c r="G13" s="103" t="inlineStr">
        <is>
          <t>NA</t>
        </is>
      </c>
      <c r="H13" s="102" t="inlineStr">
        <is>
          <t>NA</t>
        </is>
      </c>
      <c r="I13" s="104" t="inlineStr">
        <is>
          <t>7 community level rooftop solar home systems  implemented by Union Parishads
Budget is updated</t>
        </is>
      </c>
      <c r="J13" s="100" t="inlineStr">
        <is>
          <t>EU and SIDA</t>
        </is>
      </c>
      <c r="K13" s="105" t="n"/>
      <c r="L13" s="105" t="n"/>
      <c r="M13" s="118" t="inlineStr">
        <is>
          <t>It is expected that about 350KW energy will be generated</t>
        </is>
      </c>
    </row>
    <row r="14" ht="315" customHeight="1">
      <c r="A14" s="74" t="inlineStr">
        <is>
          <t>00110796(AC Unit) &amp; 00117012 (PMU)</t>
        </is>
      </c>
      <c r="B14" s="232" t="inlineStr">
        <is>
          <t>HCFC Phase-Out Management Plan (HPMP Stage-II) For Compliance with the 2020 and 2025 Control Targets Under the Montreal Protocol</t>
        </is>
      </c>
      <c r="C14" s="75" t="inlineStr">
        <is>
          <t>HPMP II (AC Unit); HPMP II (PMU)</t>
        </is>
      </c>
      <c r="D14" s="84" t="inlineStr">
        <is>
          <t>US$5356014</t>
        </is>
      </c>
      <c r="E14" s="77" t="inlineStr">
        <is>
          <t>Other Energy Services</t>
        </is>
      </c>
      <c r="F14" s="76" t="inlineStr">
        <is>
          <t>Consumption of ODS 47.22 ODP ton</t>
        </is>
      </c>
      <c r="G14" s="76" t="n">
        <v>17.09</v>
      </c>
      <c r="H14" s="74" t="inlineStr">
        <is>
          <t xml:space="preserve">ODP ton </t>
        </is>
      </c>
      <c r="I14" s="74" t="inlineStr">
        <is>
          <t xml:space="preserve">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t>
        </is>
      </c>
      <c r="J14" s="71" t="inlineStr">
        <is>
          <t>MLF</t>
        </is>
      </c>
      <c r="K14" s="62" t="n"/>
      <c r="L14" s="62" t="n"/>
      <c r="M14" s="119" t="n"/>
    </row>
    <row r="15" ht="315" customHeight="1">
      <c r="A15" s="235" t="n"/>
      <c r="B15" s="284" t="n"/>
      <c r="C15" s="75" t="inlineStr">
        <is>
          <t>HPMP II (AC Unit); HPMP II (PMU)</t>
        </is>
      </c>
      <c r="D15" s="84" t="inlineStr">
        <is>
          <t>US$5356014</t>
        </is>
      </c>
      <c r="E15" s="77" t="inlineStr">
        <is>
          <t>Other Energy Services</t>
        </is>
      </c>
      <c r="F15" s="84" t="n">
        <v>30268</v>
      </c>
      <c r="G15" s="84" t="n">
        <v>110000</v>
      </c>
      <c r="H15" s="106" t="inlineStr">
        <is>
          <t>Number of people benefiting from livelihoods strengthened through solutions for management of natural resources, ecosystem services, chemicals and waste.</t>
        </is>
      </c>
      <c r="I15" s="74" t="inlineStr">
        <is>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is>
      </c>
      <c r="J15" s="71" t="inlineStr">
        <is>
          <t>MLF</t>
        </is>
      </c>
      <c r="K15" s="107" t="n">
        <v>0.4</v>
      </c>
      <c r="L15" s="62" t="n"/>
      <c r="M15" s="119" t="n"/>
    </row>
    <row r="16" ht="195" customFormat="1" customHeight="1" s="92">
      <c r="A16" s="284" t="n"/>
      <c r="B16" s="284" t="n"/>
      <c r="C16" s="108" t="inlineStr">
        <is>
          <t>HPMP II (AC Unit); HPMP II (PMU)</t>
        </is>
      </c>
      <c r="D16" s="91" t="inlineStr">
        <is>
          <t>US$5,356,014</t>
        </is>
      </c>
      <c r="E16" s="103" t="inlineStr">
        <is>
          <t>Small Enterprises</t>
        </is>
      </c>
      <c r="F16" s="90" t="n"/>
      <c r="G16" s="109" t="n"/>
      <c r="I16" s="90" t="inlineStr">
        <is>
          <t>The HPMP Stage II project is supporting six private sector small enterprises namely Unitech Products (BD) Ltd., Elite Hi-Tech Industries Ltd., AC Bazar Industry, Supreme Air Conditioning, Cooling Point Engineering Services and Walton Hi-Tech Industries Ltd with a funding support of US$ 5,356,014.</t>
        </is>
      </c>
      <c r="J16" s="110" t="inlineStr">
        <is>
          <t>MLF</t>
        </is>
      </c>
      <c r="K16" s="105" t="n"/>
      <c r="L16" s="105" t="n"/>
      <c r="M16" s="122" t="inlineStr">
        <is>
          <t xml:space="preserve">Six private companies are getting benefits from the project.The objective of this project is to phase out of 17.09 ODP tones (1,730,798 CO2-eq tons) from 5 air conditioning and 1 chiller manufacturing/assembler enterprises. </t>
        </is>
      </c>
    </row>
    <row r="17" ht="105" customHeight="1">
      <c r="A17" s="285" t="n"/>
      <c r="B17" s="285" t="n"/>
      <c r="C17" s="75" t="inlineStr">
        <is>
          <t>HPMP II (AC Unit); HPMP II (PMU)</t>
        </is>
      </c>
      <c r="D17" s="235" t="inlineStr">
        <is>
          <t>US$5,356,014</t>
        </is>
      </c>
      <c r="E17" s="77" t="inlineStr">
        <is>
          <t>Capacity Training</t>
        </is>
      </c>
      <c r="F17" s="74" t="n"/>
      <c r="G17" s="235" t="n">
        <v>1220</v>
      </c>
      <c r="H17" s="74" t="inlineStr">
        <is>
          <t xml:space="preserve">Number of individuals who participate in trainings for energy activities. </t>
        </is>
      </c>
      <c r="I17" s="74" t="inlineStr">
        <is>
          <t>The project has a comprehensive capacity development plan to capacitate 1220 individuals on new technology, policies and regulations implementation.</t>
        </is>
      </c>
      <c r="J17" s="62" t="inlineStr">
        <is>
          <t>MLF</t>
        </is>
      </c>
      <c r="K17" s="62" t="n"/>
      <c r="L17" s="62" t="n"/>
      <c r="M17" s="119" t="n"/>
    </row>
    <row r="18" ht="180" customHeight="1">
      <c r="A18" s="78" t="inlineStr">
        <is>
          <t>00134586</t>
        </is>
      </c>
      <c r="B18" s="79" t="inlineStr">
        <is>
          <t>Climate Promise: From Pledge to Impact</t>
        </is>
      </c>
      <c r="C18" s="62" t="n"/>
      <c r="D18" s="83" t="inlineStr">
        <is>
          <t>US$475000</t>
        </is>
      </c>
      <c r="E18" s="80" t="inlineStr">
        <is>
          <t>Policy or Regulatory Framework</t>
        </is>
      </c>
      <c r="F18" s="73" t="n"/>
      <c r="G18" s="74" t="n"/>
      <c r="H18" s="80" t="inlineStr">
        <is>
          <t>No. of low carbon policy and strategy</t>
        </is>
      </c>
      <c r="I18" s="235" t="inlineStr">
        <is>
          <t xml:space="preserve">Global project
Enhanced transparency framework and data transparency system for Paris agreement
Update emission reduction target for non-energy sector
National strategy and investment plan for achieving NET ZERO </t>
        </is>
      </c>
      <c r="J18" s="68" t="inlineStr">
        <is>
          <t>German Govt</t>
        </is>
      </c>
      <c r="K18" s="62" t="n"/>
      <c r="L18" s="62" t="n"/>
      <c r="M18" s="119" t="n"/>
    </row>
    <row r="19" ht="195" customFormat="1" customHeight="1" s="92">
      <c r="A19" s="105" t="n"/>
      <c r="B19" s="111" t="inlineStr">
        <is>
          <t>Improved Cooking Stoves in CHT area (under A2I project)</t>
        </is>
      </c>
      <c r="C19" s="112" t="n"/>
      <c r="D19" s="96" t="inlineStr">
        <is>
          <t>US$150000</t>
        </is>
      </c>
      <c r="E19" s="104" t="inlineStr">
        <is>
          <t>Clean Cooking</t>
        </is>
      </c>
      <c r="F19" s="113" t="n">
        <v>0</v>
      </c>
      <c r="G19" s="90" t="inlineStr">
        <is>
          <t>15-25% of households using improved cooking stove</t>
        </is>
      </c>
      <c r="H19" s="104" t="inlineStr">
        <is>
          <t>% of households using improved cooking  stove</t>
        </is>
      </c>
      <c r="I19" s="104" t="inlineStr">
        <is>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t>
        </is>
      </c>
      <c r="J19" s="114" t="inlineStr">
        <is>
          <t>Govt of Bangladesh-US$50 million, Other donors (Gate Foundation, FB, Vital strategy, etc.): US$9 million)</t>
        </is>
      </c>
      <c r="K19" s="105" t="n"/>
      <c r="L19" s="105" t="n"/>
      <c r="M19" s="123" t="inlineStr">
        <is>
          <t>About 5,000 Household got the benefits</t>
        </is>
      </c>
    </row>
    <row r="20" ht="345" customFormat="1" customHeight="1" s="92">
      <c r="A20" s="105" t="n"/>
      <c r="B20" s="88" t="inlineStr">
        <is>
          <t>Hydraulic Ramp Pump ( (under A2I project)</t>
        </is>
      </c>
      <c r="C20" s="112" t="n"/>
      <c r="D20" s="96" t="inlineStr">
        <is>
          <t>US$600000</t>
        </is>
      </c>
      <c r="E20" s="104" t="inlineStr">
        <is>
          <t>Water Services</t>
        </is>
      </c>
      <c r="F20" s="113" t="n">
        <v>0.7</v>
      </c>
      <c r="G20" s="90" t="n"/>
      <c r="H20" s="104" t="inlineStr">
        <is>
          <t>% of people with restrictive access to household water in remote CHT areas</t>
        </is>
      </c>
      <c r="I20" s="104" t="inlineStr">
        <is>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t>
        </is>
      </c>
      <c r="J20" s="114" t="inlineStr">
        <is>
          <t>Govt of Bangladesh-US$50 million, Other donors (Gate Foundation, FB, Vital strategy, etc.): US$9 million)</t>
        </is>
      </c>
      <c r="K20" s="105" t="n"/>
      <c r="L20" s="105" t="n"/>
      <c r="M20" s="124" t="inlineStr">
        <is>
          <t>About 5000 farmers get benefits</t>
        </is>
      </c>
    </row>
    <row r="21" ht="105" customFormat="1" customHeight="1" s="92">
      <c r="A21" s="62" t="n"/>
      <c r="B21" s="70" t="inlineStr">
        <is>
          <t>Energy and Environment RIC ( (under A2I project)</t>
        </is>
      </c>
      <c r="C21" s="71" t="n"/>
      <c r="D21" s="84" t="inlineStr">
        <is>
          <t>US$300000</t>
        </is>
      </c>
      <c r="E21" s="70" t="inlineStr">
        <is>
          <t>Policy or Regulatory Framework</t>
        </is>
      </c>
      <c r="F21" s="71" t="n">
        <v>0</v>
      </c>
      <c r="G21" s="74" t="n">
        <v>1</v>
      </c>
      <c r="H21" s="70" t="inlineStr">
        <is>
          <t>No. of Research innovation centre in Bangladesh</t>
        </is>
      </c>
      <c r="I21" s="70" t="inlineStr">
        <is>
          <t>A2I is in the process of establishing an energy and environment RIC, that will be responsible to output innovative solutions to the energy ecosystem through research.</t>
        </is>
      </c>
      <c r="J21" s="87" t="inlineStr">
        <is>
          <t>Govt of Bangladesh-US$50 million, Other donors (Gate Foundation, FB, Vital strategy, etc.): US$9 million)</t>
        </is>
      </c>
      <c r="K21" s="62" t="n"/>
      <c r="L21" s="62" t="n"/>
      <c r="M21" s="125" t="n"/>
    </row>
    <row r="22" ht="90" customHeight="1">
      <c r="A22" s="62" t="n"/>
      <c r="B22" s="70" t="inlineStr">
        <is>
          <t>EV registration Policy Support to RTHD ( (under A2I project)</t>
        </is>
      </c>
      <c r="C22" s="81" t="n"/>
      <c r="D22" s="86" t="inlineStr">
        <is>
          <t>US$160000</t>
        </is>
      </c>
      <c r="E22" s="70" t="inlineStr">
        <is>
          <t>Policy or Regulatory Framework</t>
        </is>
      </c>
      <c r="F22" s="71" t="n">
        <v>1</v>
      </c>
      <c r="G22" s="74" t="n">
        <v>3</v>
      </c>
      <c r="H22" s="70" t="inlineStr">
        <is>
          <t>Number of policy support provided relating to energy and environment</t>
        </is>
      </c>
      <c r="I22" s="70" t="inlineStr">
        <is>
          <t>A2I has been working with various goverrnment bodies to develop registration policies regarding the Energy and Environment sector.</t>
        </is>
      </c>
      <c r="J22" s="87" t="inlineStr">
        <is>
          <t>Govt of Bangladesh-US$50 million, Other donors (Gate Foundation, FB, Vital strategy, etc.): US$9 million)</t>
        </is>
      </c>
      <c r="K22" s="62" t="n"/>
      <c r="L22" s="62" t="n"/>
      <c r="M22" s="119" t="n"/>
    </row>
    <row r="23" ht="405" customFormat="1" customHeight="1" s="92">
      <c r="A23" s="105" t="n"/>
      <c r="B23" s="104" t="inlineStr">
        <is>
          <t>Solar Powered Multimedia Classroom ( (under A2I project)</t>
        </is>
      </c>
      <c r="C23" s="115" t="n"/>
      <c r="D23" s="116" t="inlineStr">
        <is>
          <t>US$1250000</t>
        </is>
      </c>
      <c r="E23" s="104" t="inlineStr">
        <is>
          <t>Education Services</t>
        </is>
      </c>
      <c r="F23" s="100" t="n">
        <v>326</v>
      </c>
      <c r="G23" s="90" t="n">
        <v>1000</v>
      </c>
      <c r="H23" s="104" t="inlineStr">
        <is>
          <t>No. of schools that are using the Multimedia Classroom</t>
        </is>
      </c>
      <c r="I23" s="104" t="inlineStr">
        <is>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t>
        </is>
      </c>
      <c r="J23" s="114" t="inlineStr">
        <is>
          <t>Govt of Bangladesh-US$50 million, Other donors (Gate Foundation, FB, Vital strategy, etc.): US$9 million)</t>
        </is>
      </c>
      <c r="K23" s="105" t="n"/>
      <c r="L23" s="105" t="n"/>
      <c r="M23" s="118" t="inlineStr">
        <is>
          <t>About 2000 students get benefits</t>
        </is>
      </c>
    </row>
    <row r="24" ht="345" customHeight="1">
      <c r="A24" s="77" t="n">
        <v>106912</v>
      </c>
      <c r="B24" s="235" t="inlineStr">
        <is>
          <t>Bangladesh: First Biennial Update Report to the UNFCCC</t>
        </is>
      </c>
      <c r="C24" s="77" t="n"/>
      <c r="D24" s="84" t="inlineStr">
        <is>
          <t>US$489000</t>
        </is>
      </c>
      <c r="E24" s="235" t="inlineStr">
        <is>
          <t>Policy and Regulatory Frameworks</t>
        </is>
      </c>
      <c r="F24" s="235" t="inlineStr">
        <is>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is>
      </c>
      <c r="G24" s="74" t="n"/>
      <c r="H24" s="235" t="inlineStr">
        <is>
          <t xml:space="preserve">1. GHG inventory for energy sector
2. Develop emission scenario until 2041
3. Identify mitigation optios and analyse domestic MRV
4. Update grid emission factors
5. Identify gaps and constraints, technical and financial need assesment and capacity building
</t>
        </is>
      </c>
      <c r="I24" s="235" t="inlineStr">
        <is>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is>
      </c>
      <c r="J24" s="87" t="inlineStr">
        <is>
          <t>GEF</t>
        </is>
      </c>
      <c r="K24" s="62" t="n"/>
      <c r="L24" s="67" t="inlineStr">
        <is>
          <t>VF</t>
        </is>
      </c>
      <c r="M24" s="119" t="n"/>
    </row>
  </sheetData>
  <mergeCells count="17">
    <mergeCell ref="I2:I4"/>
    <mergeCell ref="I5:I7"/>
    <mergeCell ref="B14:B17"/>
    <mergeCell ref="A8:A10"/>
    <mergeCell ref="A2:A4"/>
    <mergeCell ref="C2:C4"/>
    <mergeCell ref="A11:A13"/>
    <mergeCell ref="A15:A17"/>
    <mergeCell ref="B11:B13"/>
    <mergeCell ref="A5:A7"/>
    <mergeCell ref="L2:L10"/>
    <mergeCell ref="B2:B4"/>
    <mergeCell ref="J2:J7"/>
    <mergeCell ref="K2:K10"/>
    <mergeCell ref="B8:B10"/>
    <mergeCell ref="D2:D4"/>
    <mergeCell ref="B5:B7"/>
  </mergeCells>
  <hyperlinks>
    <hyperlink xmlns:r="http://schemas.openxmlformats.org/officeDocument/2006/relationships" ref="C14" display="HPMP II (AC Unit)" r:id="rId1"/>
    <hyperlink xmlns:r="http://schemas.openxmlformats.org/officeDocument/2006/relationships" ref="C15" display="HPMP II (AC Unit)" r:id="rId2"/>
    <hyperlink xmlns:r="http://schemas.openxmlformats.org/officeDocument/2006/relationships" ref="C16" display="HPMP II (AC Unit)" r:id="rId3"/>
    <hyperlink xmlns:r="http://schemas.openxmlformats.org/officeDocument/2006/relationships" ref="C17" display="HPMP II (AC Unit)" r:id="rId4"/>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K26"/>
  <sheetViews>
    <sheetView topLeftCell="B1" zoomScale="50" zoomScaleNormal="50" workbookViewId="0">
      <pane ySplit="1" topLeftCell="A2" activePane="bottomLeft" state="frozen"/>
      <selection pane="bottomLeft" activeCell="A2" sqref="A2:A4"/>
      <selection activeCell="B1" sqref="B1"/>
    </sheetView>
  </sheetViews>
  <sheetFormatPr baseColWidth="8" defaultColWidth="8.85546875" defaultRowHeight="15"/>
  <cols>
    <col width="9.28515625" bestFit="1" customWidth="1" min="1" max="1"/>
    <col width="33" customWidth="1" min="2" max="2"/>
    <col width="20.7109375" customWidth="1" min="3" max="3"/>
    <col width="16.42578125" bestFit="1" customWidth="1" min="4" max="4"/>
    <col width="20.7109375" customWidth="1" min="5" max="6"/>
    <col width="18.28515625" customWidth="1" style="15" min="7" max="7"/>
    <col width="35.42578125" customWidth="1" style="16" min="8" max="8"/>
    <col width="25.5703125" customWidth="1" min="9" max="9"/>
    <col width="19.42578125" customWidth="1" min="10" max="10"/>
    <col width="22.5703125" customWidth="1" min="11" max="11"/>
  </cols>
  <sheetData>
    <row r="1">
      <c r="A1" s="1" t="inlineStr">
        <is>
          <t>Project ID</t>
        </is>
      </c>
      <c r="B1" s="58" t="inlineStr">
        <is>
          <t>Title</t>
        </is>
      </c>
      <c r="C1" s="59" t="inlineStr">
        <is>
          <t>Link</t>
        </is>
      </c>
      <c r="D1" s="59" t="inlineStr">
        <is>
          <t>Budget (USD)</t>
        </is>
      </c>
      <c r="E1" s="1" t="inlineStr">
        <is>
          <t>Beneficiary Category</t>
        </is>
      </c>
      <c r="F1" s="1" t="inlineStr">
        <is>
          <t>Indicator</t>
        </is>
      </c>
      <c r="G1" s="1" t="inlineStr">
        <is>
          <t>Baseline</t>
        </is>
      </c>
      <c r="H1" s="1" t="inlineStr">
        <is>
          <t>Target</t>
        </is>
      </c>
      <c r="I1" s="1" t="inlineStr">
        <is>
          <t>Notes</t>
        </is>
      </c>
      <c r="J1" s="38" t="inlineStr">
        <is>
          <t>Donors</t>
        </is>
      </c>
      <c r="K1" s="39" t="inlineStr">
        <is>
          <t>Comments</t>
        </is>
      </c>
    </row>
    <row r="2" ht="105" customHeight="1">
      <c r="A2" s="286" t="inlineStr">
        <is>
          <t>00115022</t>
        </is>
      </c>
      <c r="B2" s="257" t="inlineStr">
        <is>
          <t>Promoting Energy-Related Low Carbon Urban Development in Bangladesh (LCUD)</t>
        </is>
      </c>
      <c r="C2" s="1" t="n"/>
      <c r="D2" s="4" t="n">
        <v>3767810</v>
      </c>
      <c r="E2" s="5" t="inlineStr">
        <is>
          <t>Energy (MW added)</t>
        </is>
      </c>
      <c r="F2" s="3" t="inlineStr">
        <is>
          <t>No. of waste to energy facilities, rooftop PV, energy efficiency in building, etc</t>
        </is>
      </c>
      <c r="G2" s="1" t="n"/>
      <c r="H2" s="3" t="inlineStr">
        <is>
          <t>2 waste to energy
3 rooftop PV (public)
10 rooftop PV (private)
6 energy effociency in buildings(public)
24 energy efficiency in buildings(private)</t>
        </is>
      </c>
      <c r="I2" s="3" t="inlineStr">
        <is>
          <t xml:space="preserve">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t>
        </is>
      </c>
      <c r="J2" s="40" t="inlineStr">
        <is>
          <t>GEF</t>
        </is>
      </c>
      <c r="K2" s="3" t="inlineStr">
        <is>
          <t>GHG emission reduction of 1.573 million tons of tCO2 (lifetime) resulting from EE, RE and W2E interventions (Direct) and 4.718 million tons of CO2 as consequential (indirect) emission reduction after the project’s end. About 600 Kw of energy generation is expected.</t>
        </is>
      </c>
    </row>
    <row r="3" ht="75" customHeight="1">
      <c r="A3" s="41" t="n"/>
      <c r="B3" s="41" t="n"/>
      <c r="C3" s="1" t="n"/>
      <c r="D3" s="1" t="n"/>
      <c r="E3" s="17" t="inlineStr">
        <is>
          <t>Policy and Regulatory Frameworks</t>
        </is>
      </c>
      <c r="F3" s="3" t="inlineStr">
        <is>
          <t>No. of low carbon policy, guideline and standard</t>
        </is>
      </c>
      <c r="G3" s="6" t="n"/>
      <c r="H3" s="3" t="inlineStr">
        <is>
          <t xml:space="preserve">1 Bangladesh Low-Carbon Cities Network established ; Database on energy performance on commercial building established at SREDA;BNBC revised with EE adopted </t>
        </is>
      </c>
      <c r="I3" s="41" t="n"/>
      <c r="J3" s="41" t="n"/>
      <c r="K3" s="41" t="n"/>
    </row>
    <row r="4" ht="60" customHeight="1">
      <c r="A4" s="42" t="n"/>
      <c r="B4" s="42" t="n"/>
      <c r="C4" s="1" t="n"/>
      <c r="D4" s="1" t="n"/>
      <c r="E4" s="7" t="inlineStr">
        <is>
          <t>GHG Emission Reduction</t>
        </is>
      </c>
      <c r="F4" s="3" t="inlineStr">
        <is>
          <t>GHG Emission Reduction target in updated NDC</t>
        </is>
      </c>
      <c r="G4" s="1" t="n"/>
      <c r="H4" s="3" t="inlineStr">
        <is>
          <t>GHG emission reduction of 1.573 million tons of tCO2 eqv (lifetime) resulting from EE, RE and W2E interventions (Direct)</t>
        </is>
      </c>
      <c r="I4" s="42" t="n"/>
      <c r="J4" s="42" t="n"/>
      <c r="K4" s="42" t="n"/>
    </row>
    <row r="5" ht="105" customHeight="1">
      <c r="A5" s="286" t="inlineStr">
        <is>
          <t>00116395</t>
        </is>
      </c>
      <c r="B5" s="257" t="inlineStr">
        <is>
          <t xml:space="preserve">Bangladesh Enabling Electric Vehicles Adoption (BEEVA) in the Framework of Sustainable Energy-based Transportation </t>
        </is>
      </c>
      <c r="C5" s="1" t="n"/>
      <c r="D5" s="8" t="n">
        <v>1788991</v>
      </c>
      <c r="E5" s="5" t="inlineStr">
        <is>
          <t>Energy (MW added)</t>
        </is>
      </c>
      <c r="F5" s="1" t="n"/>
      <c r="G5" s="1" t="n"/>
      <c r="H5" s="3" t="inlineStr">
        <is>
          <t xml:space="preserve">Installation of 4 Charging Station (EV Charger, 300-500 kW) for e-Buses; Installation of 3 Solar Hybrid (80 kW; 25 to 30 kW from Solar) for 2-3-4 Wheelers; Installation of recycling and disposal facility of waste lead-acid &amp; Li-ion battery </t>
        </is>
      </c>
      <c r="I5" s="3" t="inlineStr">
        <is>
          <t>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t>
        </is>
      </c>
      <c r="J5" s="43" t="inlineStr">
        <is>
          <t>GEF</t>
        </is>
      </c>
      <c r="K5" s="3" t="inlineStr">
        <is>
          <t>Total no. of project beneficiaries are 672,600 that includes passengers of e-bus, 2-3-4 wheelers, technicians, govt staffs, private sectors etc.</t>
        </is>
      </c>
    </row>
    <row r="6" ht="45" customHeight="1">
      <c r="A6" s="41" t="n"/>
      <c r="B6" s="41" t="n"/>
      <c r="C6" s="1" t="n"/>
      <c r="D6" s="1" t="n"/>
      <c r="E6" s="7" t="inlineStr">
        <is>
          <t>GHG Emission Reduction</t>
        </is>
      </c>
      <c r="F6" s="1" t="n"/>
      <c r="G6" s="1" t="n"/>
      <c r="H6" s="3" t="inlineStr">
        <is>
          <t>Direct emission reduction (from piloted charging facilities for EV) of 15660 CO2eqv</t>
        </is>
      </c>
      <c r="I6" s="41" t="n"/>
      <c r="J6" s="41" t="n"/>
      <c r="K6" s="41" t="n"/>
    </row>
    <row r="7" ht="105" customHeight="1">
      <c r="A7" s="41" t="n"/>
      <c r="B7" s="41" t="n"/>
      <c r="C7" s="1" t="n"/>
      <c r="D7" s="1" t="n"/>
      <c r="E7" s="17" t="inlineStr">
        <is>
          <t>Other Energy Services; Capacity Training</t>
        </is>
      </c>
      <c r="F7" s="257" t="n"/>
      <c r="G7" s="1" t="n"/>
      <c r="H7" s="3" t="inlineStr">
        <is>
          <t>100 persons will be trained on operation and maintenance of charging infrastructure (e-Buses and 2-3-wheeler station; 100 persons will be trained on environmentally sound and safe handling and recycling of batteries and verification</t>
        </is>
      </c>
      <c r="I7" s="41" t="n"/>
      <c r="J7" s="42" t="n"/>
      <c r="K7" s="42" t="n"/>
    </row>
    <row r="8" ht="180" customHeight="1">
      <c r="A8" s="42" t="n"/>
      <c r="B8" s="42" t="n"/>
      <c r="C8" s="1" t="n"/>
      <c r="D8" s="1" t="n"/>
      <c r="E8" s="7" t="inlineStr">
        <is>
          <t>Market Development</t>
        </is>
      </c>
      <c r="F8" s="1" t="n"/>
      <c r="G8" s="1" t="n"/>
      <c r="H8" s="3" t="inlineStr">
        <is>
          <t>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t>
        </is>
      </c>
      <c r="I8" s="42" t="n"/>
      <c r="J8" s="55" t="inlineStr">
        <is>
          <t>GEF</t>
        </is>
      </c>
      <c r="K8" s="56" t="n"/>
    </row>
    <row r="9" ht="45" customFormat="1" customHeight="1" s="13">
      <c r="A9" s="287" t="inlineStr">
        <is>
          <t>000 98085</t>
        </is>
      </c>
      <c r="B9" s="257" t="inlineStr">
        <is>
          <t>Adaptation Initiative for Climate Vulnerable Offshore Small Islands and Riverine Charland in Bangladesh</t>
        </is>
      </c>
      <c r="C9" s="5" t="n"/>
      <c r="D9" s="10" t="n">
        <v>9212322</v>
      </c>
      <c r="E9" s="5" t="inlineStr">
        <is>
          <t>Energy (MW added)</t>
        </is>
      </c>
      <c r="F9" s="5" t="inlineStr">
        <is>
          <t>Number of nano-grids installed and operational.</t>
        </is>
      </c>
      <c r="G9" s="11" t="n">
        <v>0</v>
      </c>
      <c r="H9" s="12" t="inlineStr">
        <is>
          <t xml:space="preserve">30 nano-grids with covering
300 to 450 households </t>
        </is>
      </c>
      <c r="I9" s="5" t="n"/>
      <c r="J9" s="44" t="inlineStr">
        <is>
          <t>Adaptation Fund</t>
        </is>
      </c>
      <c r="K9" s="47" t="inlineStr">
        <is>
          <t>Nano-grid will cover 20-25 households</t>
        </is>
      </c>
    </row>
    <row r="10" ht="75" customFormat="1" customHeight="1" s="13">
      <c r="A10" s="41" t="n"/>
      <c r="B10" s="41" t="n"/>
      <c r="C10" s="5" t="n"/>
      <c r="D10" s="5" t="n"/>
      <c r="E10" s="5" t="inlineStr">
        <is>
          <t>Agricultural Services</t>
        </is>
      </c>
      <c r="F10" s="5" t="inlineStr">
        <is>
          <t xml:space="preserve">Hectares of agricultural land irrigated through solar irrigation pumps; </t>
        </is>
      </c>
      <c r="G10" s="11" t="n">
        <v>0</v>
      </c>
      <c r="H10" s="12" t="inlineStr">
        <is>
          <t>80 ha</t>
        </is>
      </c>
      <c r="I10" s="5" t="inlineStr">
        <is>
          <t>Install solar irrigation pumps for community</t>
        </is>
      </c>
      <c r="J10" s="45" t="n"/>
      <c r="K10" s="48" t="n"/>
    </row>
    <row r="11" ht="60" customFormat="1" customHeight="1" s="13">
      <c r="A11" s="42" t="n"/>
      <c r="B11" s="42" t="n"/>
      <c r="C11" s="5" t="n"/>
      <c r="D11" s="5" t="n"/>
      <c r="E11" s="5" t="inlineStr">
        <is>
          <t>Agricultural Services</t>
        </is>
      </c>
      <c r="F11" s="5" t="inlineStr">
        <is>
          <t>Number of solar cold storage units installed and operational</t>
        </is>
      </c>
      <c r="G11" s="11" t="n">
        <v>0</v>
      </c>
      <c r="H11" s="12" t="inlineStr">
        <is>
          <t>2 nos</t>
        </is>
      </c>
      <c r="I11" s="5" t="inlineStr">
        <is>
          <t>Install solar cold storage</t>
        </is>
      </c>
      <c r="J11" s="46" t="n"/>
      <c r="K11" s="49" t="inlineStr">
        <is>
          <t>Farmers and fishers are the users of the solar cold storage</t>
        </is>
      </c>
    </row>
    <row r="12" ht="135" customHeight="1">
      <c r="A12" s="256" t="inlineStr">
        <is>
          <t>0093426</t>
        </is>
      </c>
      <c r="B12" s="257" t="inlineStr">
        <is>
          <t>Local Governmrnt Initiative on Climate Change (LoGIC)</t>
        </is>
      </c>
      <c r="C12" s="14" t="n"/>
      <c r="D12" s="50" t="inlineStr">
        <is>
          <t>35.2 million;
(EU-17.05m, SIDA-17.97m)</t>
        </is>
      </c>
      <c r="E12" s="5" t="inlineStr">
        <is>
          <t>Energy (MW added)</t>
        </is>
      </c>
      <c r="F12" s="35" t="inlineStr">
        <is>
          <t>NA</t>
        </is>
      </c>
      <c r="G12" s="35" t="inlineStr">
        <is>
          <t>NA</t>
        </is>
      </c>
      <c r="H12" s="35" t="inlineStr">
        <is>
          <t>1.12 MW</t>
        </is>
      </c>
      <c r="I12" s="12" t="inlineStr">
        <is>
          <t>59 community solar irrigation pumps implemented by Union Parishads</t>
        </is>
      </c>
      <c r="J12" s="51" t="inlineStr">
        <is>
          <t>EU and SIDA</t>
        </is>
      </c>
      <c r="K12" s="52" t="inlineStr">
        <is>
          <t>Total beneficieres are 400,000 vulnerable households. Main project componants are adaptive livelihood support, social protection service, support for solar home system.</t>
        </is>
      </c>
    </row>
    <row r="13" ht="75" customHeight="1">
      <c r="A13" s="41" t="n"/>
      <c r="B13" s="41" t="n"/>
      <c r="C13" s="14" t="n"/>
      <c r="D13" s="2" t="inlineStr">
        <is>
          <t>7 million</t>
        </is>
      </c>
      <c r="E13" s="14" t="inlineStr">
        <is>
          <t>Water Services</t>
        </is>
      </c>
      <c r="F13" s="35" t="inlineStr">
        <is>
          <t>NA</t>
        </is>
      </c>
      <c r="G13" s="35" t="inlineStr">
        <is>
          <t>NA</t>
        </is>
      </c>
      <c r="H13" s="35" t="inlineStr">
        <is>
          <t>NA</t>
        </is>
      </c>
      <c r="I13" s="12" t="inlineStr">
        <is>
          <t>54 community level drinking water supply with electric solar powered motors implemented by Union Parishads</t>
        </is>
      </c>
      <c r="J13" s="14" t="inlineStr">
        <is>
          <t>EU and SIDA</t>
        </is>
      </c>
      <c r="K13" s="57" t="inlineStr">
        <is>
          <t>Budget is updated</t>
        </is>
      </c>
    </row>
    <row r="14" ht="60" customHeight="1">
      <c r="A14" s="42" t="n"/>
      <c r="B14" s="42" t="n"/>
      <c r="C14" s="14" t="n"/>
      <c r="D14" s="2" t="inlineStr">
        <is>
          <t>1.3 million</t>
        </is>
      </c>
      <c r="E14" s="14" t="inlineStr">
        <is>
          <t>Electricity Access</t>
        </is>
      </c>
      <c r="F14" s="35" t="inlineStr">
        <is>
          <t>NA</t>
        </is>
      </c>
      <c r="G14" s="35" t="inlineStr">
        <is>
          <t>NA</t>
        </is>
      </c>
      <c r="H14" s="35" t="inlineStr">
        <is>
          <t>NA</t>
        </is>
      </c>
      <c r="I14" s="12" t="inlineStr">
        <is>
          <t>7 community level rooftop solar home systems  implemented by Union Parishads</t>
        </is>
      </c>
      <c r="J14" s="14" t="inlineStr">
        <is>
          <t>EU and SIDA</t>
        </is>
      </c>
      <c r="K14" s="57" t="inlineStr">
        <is>
          <t>Budget is updated</t>
        </is>
      </c>
    </row>
    <row r="15">
      <c r="A15" s="18" t="n"/>
      <c r="B15" s="18" t="n"/>
      <c r="C15" s="18" t="n"/>
      <c r="D15" s="18" t="n"/>
      <c r="E15" s="18" t="n"/>
      <c r="F15" s="18" t="n"/>
      <c r="G15" s="19" t="n"/>
      <c r="H15" s="20" t="n"/>
      <c r="I15" s="18" t="n"/>
    </row>
    <row r="16" ht="315" customHeight="1">
      <c r="A16" s="21" t="inlineStr">
        <is>
          <t>00110796(AC Unit) &amp; 00117012 (PMU)</t>
        </is>
      </c>
      <c r="B16" s="257" t="inlineStr">
        <is>
          <t>HCFC Phase-Out Management Plan (HPMP Stage-II) For Compliance with the 2020 and 2025 Control Targets Under the Montreal Protocol</t>
        </is>
      </c>
      <c r="C16" s="22" t="inlineStr">
        <is>
          <t>HPMP II (AC Unit); HPMP II (PMU)</t>
        </is>
      </c>
      <c r="D16" s="23" t="n">
        <v>5356014</v>
      </c>
      <c r="E16" s="24" t="inlineStr">
        <is>
          <t>Other Energy Services</t>
        </is>
      </c>
      <c r="F16" s="21" t="inlineStr">
        <is>
          <t>Access to other service (electric vehicles, industries efficiency etc.) - Access to clean/green technology</t>
        </is>
      </c>
      <c r="G16" s="23" t="inlineStr">
        <is>
          <t>Consumption of ODS 47.22 ODP ton</t>
        </is>
      </c>
      <c r="H16" s="23" t="inlineStr">
        <is>
          <t>17.09 ODP ton will be reduced by 2025</t>
        </is>
      </c>
      <c r="I16" s="21" t="inlineStr">
        <is>
          <t xml:space="preserve">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t>
        </is>
      </c>
      <c r="J16" s="14" t="inlineStr">
        <is>
          <t>MLF</t>
        </is>
      </c>
      <c r="K16" s="18" t="n"/>
    </row>
    <row r="17" ht="195" customHeight="1">
      <c r="A17" s="3" t="n"/>
      <c r="B17" s="41" t="n"/>
      <c r="C17" s="22" t="inlineStr">
        <is>
          <t>HPMP II (AC Unit); HPMP II (PMU)</t>
        </is>
      </c>
      <c r="D17" s="23" t="n">
        <v>5356014</v>
      </c>
      <c r="E17" s="24" t="inlineStr">
        <is>
          <t>Other Energy Services</t>
        </is>
      </c>
      <c r="F17" s="21" t="inlineStr">
        <is>
          <t xml:space="preserve">Access to other service (electric vehicles, industries efficiency etc.) - No of people will be benefiting from livelihoods strengthened through solutions for management of natural resources, ecosystem services, chemicals and waste. </t>
        </is>
      </c>
      <c r="G17" s="23" t="n">
        <v>30268</v>
      </c>
      <c r="H17" s="34" t="n">
        <v>110000</v>
      </c>
      <c r="I17" s="21" t="inlineStr">
        <is>
          <t xml:space="preserve">  A total of 110,000 (women: 44,000, men: 66,000) people will be benefiting from livelihoods strengthened through solutions for management of natural resources, ecosystem services, chemicals and waste. </t>
        </is>
      </c>
      <c r="J17" s="14" t="inlineStr">
        <is>
          <t>MLF</t>
        </is>
      </c>
      <c r="K17" s="18" t="n"/>
    </row>
    <row r="18" ht="195" customHeight="1">
      <c r="A18" s="41" t="n"/>
      <c r="B18" s="41" t="n"/>
      <c r="C18" s="22" t="inlineStr">
        <is>
          <t>HPMP II (AC Unit); HPMP II (PMU)</t>
        </is>
      </c>
      <c r="D18" s="21" t="inlineStr">
        <is>
          <t>US$ 5,356,014</t>
        </is>
      </c>
      <c r="E18" s="24" t="inlineStr">
        <is>
          <t>Small Enterprises</t>
        </is>
      </c>
      <c r="F18" s="21" t="inlineStr">
        <is>
          <t>Funding support for the development of small enterprises in the energy transition market.</t>
        </is>
      </c>
      <c r="G18" s="21" t="n"/>
      <c r="H18" s="23" t="inlineStr">
        <is>
          <t>US$ 5356014</t>
        </is>
      </c>
      <c r="I18" s="21" t="inlineStr">
        <is>
          <t>The HPMP Stage II project is supporting six private sector small enterprises namely Unitech Products (BD) Ltd., Elite Hi-Tech Industries Ltd., AC Bazar Industry, Supreme Air Conditioning, Cooling Point Engineering Services and Walton Hi-Tech Industries Ltd with a funding support of US$ 5,356,014.</t>
        </is>
      </c>
      <c r="J18" s="55" t="inlineStr">
        <is>
          <t>MLF</t>
        </is>
      </c>
      <c r="K18" s="18" t="n"/>
    </row>
    <row r="19" ht="105" customHeight="1">
      <c r="A19" s="42" t="n"/>
      <c r="B19" s="42" t="n"/>
      <c r="C19" s="22" t="inlineStr">
        <is>
          <t>HPMP II (AC Unit); HPMP II (PMU)</t>
        </is>
      </c>
      <c r="D19" s="21" t="inlineStr">
        <is>
          <t>US$ 5,356,014</t>
        </is>
      </c>
      <c r="E19" s="24" t="inlineStr">
        <is>
          <t>Capacity Training</t>
        </is>
      </c>
      <c r="F19" s="21" t="inlineStr">
        <is>
          <t xml:space="preserve">Number of individuals who participate in trainings for energy activities. </t>
        </is>
      </c>
      <c r="G19" s="21" t="n"/>
      <c r="H19" s="21" t="n">
        <v>1220</v>
      </c>
      <c r="I19" s="21" t="inlineStr">
        <is>
          <t>The project has a comprehensive capacity development plan to capacitate 1220 individuals on new technology, policies and regulations implementation.</t>
        </is>
      </c>
      <c r="J19" s="18" t="inlineStr">
        <is>
          <t>MLF</t>
        </is>
      </c>
      <c r="K19" s="18" t="n"/>
    </row>
    <row r="20" ht="105" customHeight="1">
      <c r="A20" s="30" t="inlineStr">
        <is>
          <t>00134586</t>
        </is>
      </c>
      <c r="B20" s="36" t="inlineStr">
        <is>
          <t>Climate Promise: From Pledge to Impact</t>
        </is>
      </c>
      <c r="C20" s="18" t="n"/>
      <c r="D20" s="31" t="n">
        <v>475000</v>
      </c>
      <c r="E20" s="32" t="inlineStr">
        <is>
          <t>Policy or Regulatory Framework</t>
        </is>
      </c>
      <c r="F20" s="32" t="inlineStr">
        <is>
          <t>No. of low carbon policy and strategy</t>
        </is>
      </c>
      <c r="G20" s="19" t="n"/>
      <c r="H20" s="33" t="inlineStr">
        <is>
          <t xml:space="preserve">Enhanced transparency framework and data transparency system for Paris agreement
Update emission reduction target for non-energy sector
National strategy and investment plan for achieving NET ZERO </t>
        </is>
      </c>
      <c r="I20" s="18" t="n"/>
      <c r="J20" s="55" t="inlineStr">
        <is>
          <t>German Govt</t>
        </is>
      </c>
      <c r="K20" s="55" t="inlineStr">
        <is>
          <t>Global project</t>
        </is>
      </c>
    </row>
    <row r="21" ht="195" customHeight="1">
      <c r="A21" s="18" t="n"/>
      <c r="B21" s="257" t="inlineStr">
        <is>
          <t>Improved Cooking Stoves in CHT area (under A2I project)</t>
        </is>
      </c>
      <c r="C21" s="25" t="n"/>
      <c r="D21" s="26" t="n">
        <v>150000</v>
      </c>
      <c r="E21" s="12" t="inlineStr">
        <is>
          <t>Clean Cooking</t>
        </is>
      </c>
      <c r="F21" s="12" t="inlineStr">
        <is>
          <t>% of households using improved cooking  stove</t>
        </is>
      </c>
      <c r="G21" s="27" t="n">
        <v>0</v>
      </c>
      <c r="H21" s="12" t="inlineStr">
        <is>
          <t>15-25% of households using improved cooking stove</t>
        </is>
      </c>
      <c r="I21" s="12" t="inlineStr">
        <is>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t>
        </is>
      </c>
      <c r="J21" s="54" t="inlineStr">
        <is>
          <t>Govt of Bangladesh-US$50 million, Other donors (Gate Foundation, FB, Vital strategy, etc.): US$9 million)</t>
        </is>
      </c>
      <c r="K21" s="18" t="n"/>
    </row>
    <row r="22" ht="345" customHeight="1">
      <c r="A22" s="18" t="n"/>
      <c r="B22" s="5" t="inlineStr">
        <is>
          <t>Hydraulic Ramp Pump ( (under A2I project)</t>
        </is>
      </c>
      <c r="C22" s="25" t="n"/>
      <c r="D22" s="26" t="n">
        <v>600000</v>
      </c>
      <c r="E22" s="12" t="inlineStr">
        <is>
          <t>Water Services</t>
        </is>
      </c>
      <c r="F22" s="12" t="inlineStr">
        <is>
          <t>% of people with restrictive access to household water in remote CHT areas</t>
        </is>
      </c>
      <c r="G22" s="27" t="n">
        <v>0.7</v>
      </c>
      <c r="H22" s="12" t="inlineStr">
        <is>
          <t>By 2025, we aim to support 15% of those 70% through our ramp pump.</t>
        </is>
      </c>
      <c r="I22" s="12" t="inlineStr">
        <is>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t>
        </is>
      </c>
      <c r="J22" s="53" t="inlineStr">
        <is>
          <t>same as above</t>
        </is>
      </c>
      <c r="K22" s="18" t="n"/>
    </row>
    <row r="23" ht="105" customHeight="1">
      <c r="A23" s="18" t="n"/>
      <c r="B23" s="12" t="inlineStr">
        <is>
          <t>Energy and Environment RIC ( (under A2I project)</t>
        </is>
      </c>
      <c r="C23" s="14" t="n"/>
      <c r="D23" s="26" t="n">
        <v>300000</v>
      </c>
      <c r="E23" s="12" t="inlineStr">
        <is>
          <t>Other Energy Services</t>
        </is>
      </c>
      <c r="F23" s="12" t="inlineStr">
        <is>
          <t>No. of Research innovation centre in Bangladesh</t>
        </is>
      </c>
      <c r="G23" s="14" t="n">
        <v>0</v>
      </c>
      <c r="H23" s="12" t="n">
        <v>1</v>
      </c>
      <c r="I23" s="12" t="inlineStr">
        <is>
          <t>A2I is in the process of establishing an energy and environment RIC, that will be responsible to output innovative solutions to the energy ecosystem through research.</t>
        </is>
      </c>
      <c r="J23" s="53" t="inlineStr">
        <is>
          <t>same as above</t>
        </is>
      </c>
      <c r="K23" s="18" t="n"/>
    </row>
    <row r="24" ht="90" customHeight="1">
      <c r="A24" s="18" t="n"/>
      <c r="B24" s="12" t="inlineStr">
        <is>
          <t>EV registration Policy Support to RTHD ( (under A2I project)</t>
        </is>
      </c>
      <c r="C24" s="25" t="n"/>
      <c r="D24" s="28" t="n">
        <v>160000</v>
      </c>
      <c r="E24" s="12" t="inlineStr">
        <is>
          <t>Policy or Regulatory Framework</t>
        </is>
      </c>
      <c r="F24" s="12" t="inlineStr">
        <is>
          <t>Number of policy support provided relating to energy and environment</t>
        </is>
      </c>
      <c r="G24" s="14" t="n">
        <v>1</v>
      </c>
      <c r="H24" s="12" t="n">
        <v>3</v>
      </c>
      <c r="I24" s="12" t="inlineStr">
        <is>
          <t>A2I has been working with various goverrnment bodies to develop registration policies regarding the Energy and Environment sector.</t>
        </is>
      </c>
      <c r="J24" s="53" t="inlineStr">
        <is>
          <t>same as above</t>
        </is>
      </c>
      <c r="K24" s="18" t="n"/>
    </row>
    <row r="25" ht="405" customHeight="1">
      <c r="A25" s="18" t="n"/>
      <c r="B25" s="12" t="inlineStr">
        <is>
          <t>Solar Powered Multimedia Classroom ( (under A2I project)</t>
        </is>
      </c>
      <c r="C25" s="29" t="n"/>
      <c r="D25" s="28" t="n">
        <v>1250000</v>
      </c>
      <c r="E25" s="12" t="inlineStr">
        <is>
          <t>Education Services</t>
        </is>
      </c>
      <c r="F25" s="12" t="inlineStr">
        <is>
          <t>No. of schools that are using the Multimedia Classroom</t>
        </is>
      </c>
      <c r="G25" s="14" t="n">
        <v>326</v>
      </c>
      <c r="H25" s="12" t="n">
        <v>1000</v>
      </c>
      <c r="I25" s="12" t="inlineStr">
        <is>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t>
        </is>
      </c>
      <c r="J25" s="53" t="inlineStr">
        <is>
          <t>same as above</t>
        </is>
      </c>
      <c r="K25" s="18" t="n"/>
    </row>
    <row r="26" ht="345" customHeight="1">
      <c r="A26" s="37" t="n">
        <v>106912</v>
      </c>
      <c r="B26" s="3" t="inlineStr">
        <is>
          <t>Bangladesh: First Biennial Update Report to the UNFCCC</t>
        </is>
      </c>
      <c r="C26" s="24" t="n"/>
      <c r="D26" s="34" t="n">
        <v>489000</v>
      </c>
      <c r="E26" s="3" t="inlineStr">
        <is>
          <t>Policy and Regulatory Frameworks</t>
        </is>
      </c>
      <c r="F26" s="3" t="inlineStr">
        <is>
          <t xml:space="preserve">1. GHG inventory for energy sector
2. Develop emission scenario until 2041
3. Identify mitigation optios and analyse domestic MRV
4. Update grid emission factors
5. Identify gaps and constraints, technical and financial need assesment and capacity building
</t>
        </is>
      </c>
      <c r="G26" s="3" t="inlineStr">
        <is>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is>
      </c>
      <c r="H26" s="3" t="inlineStr">
        <is>
          <t>1. GHG inventory until 2019 is prepared.
2. Emission Scenario until 2041 is prepared
3. Mitigation options and MRV updated
4. Draft Grid emission factor updated.
5. Gaps and constraints indentified</t>
        </is>
      </c>
      <c r="I26" s="3" t="inlineStr">
        <is>
          <t xml:space="preserve">BUR1 project is supporting government to prepare First Biennial Update Report. Through this project, country will get the updated energy circumstances, emission inventory until 2019 and emission scenario until 2041 from energy sector, updated MRV system and grid emission factor.   </t>
        </is>
      </c>
      <c r="J26" s="55" t="inlineStr">
        <is>
          <t>GEF</t>
        </is>
      </c>
      <c r="K26" s="18" t="n"/>
    </row>
  </sheetData>
  <mergeCells count="14">
    <mergeCell ref="I2:I4"/>
    <mergeCell ref="B5:B8"/>
    <mergeCell ref="I5:I8"/>
    <mergeCell ref="A12:A14"/>
    <mergeCell ref="A2:A4"/>
    <mergeCell ref="A17:A19"/>
    <mergeCell ref="B12:B14"/>
    <mergeCell ref="K2:K4"/>
    <mergeCell ref="B9:B11"/>
    <mergeCell ref="K5:K7"/>
    <mergeCell ref="A5:A8"/>
    <mergeCell ref="B16:B19"/>
    <mergeCell ref="A9:A11"/>
    <mergeCell ref="B2:B4"/>
  </mergeCells>
  <hyperlinks>
    <hyperlink xmlns:r="http://schemas.openxmlformats.org/officeDocument/2006/relationships" ref="C16" display="HPMP II (AC Unit)" r:id="rId1"/>
    <hyperlink xmlns:r="http://schemas.openxmlformats.org/officeDocument/2006/relationships" ref="C17" display="HPMP II (AC Unit)" r:id="rId2"/>
    <hyperlink xmlns:r="http://schemas.openxmlformats.org/officeDocument/2006/relationships" ref="C18" display="HPMP II (AC Unit)" r:id="rId3"/>
    <hyperlink xmlns:r="http://schemas.openxmlformats.org/officeDocument/2006/relationships" ref="C19" display="HPMP II (AC Unit)" r:id="rId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4"/>
  <sheetViews>
    <sheetView topLeftCell="A9" workbookViewId="0">
      <pane ySplit="1" topLeftCell="A2" activePane="bottomLeft" state="frozen"/>
      <selection pane="bottomLeft" activeCell="A13" sqref="A13"/>
    </sheetView>
  </sheetViews>
  <sheetFormatPr baseColWidth="8" defaultColWidth="8.85546875" defaultRowHeight="15" customHeight="1"/>
  <cols>
    <col width="36" customWidth="1" min="1" max="2"/>
    <col width="110" customWidth="1" min="2" max="2"/>
  </cols>
  <sheetData>
    <row r="1">
      <c r="A1" s="288" t="inlineStr">
        <is>
          <t>Beneficiary Category</t>
        </is>
      </c>
      <c r="B1" s="288" t="inlineStr">
        <is>
          <t>Indicator</t>
        </is>
      </c>
    </row>
    <row r="2" ht="45" customHeight="1">
      <c r="A2" s="289" t="inlineStr">
        <is>
          <t>Electricity Access</t>
        </is>
      </c>
      <c r="B2" s="289" t="inlineStr">
        <is>
          <t>Number of people, disaggregated by sex, who gain access to clean electricity (direct access to electricity, lighting, cooling, etc.).</t>
        </is>
      </c>
    </row>
    <row r="3">
      <c r="A3" s="289" t="inlineStr">
        <is>
          <t>Energy (MW added)</t>
        </is>
      </c>
      <c r="B3" s="289" t="inlineStr">
        <is>
          <t>Installed renewable or clean-energy power capacity added, in MW.</t>
        </is>
      </c>
    </row>
    <row r="4" ht="45" customHeight="1">
      <c r="A4" s="289" t="inlineStr">
        <is>
          <t>Energy Storage (MW)</t>
        </is>
      </c>
      <c r="B4" s="289" t="inlineStr">
        <is>
          <t>Installed energy storage power capacity added, in MW.</t>
        </is>
      </c>
    </row>
    <row r="5" ht="30" customHeight="1">
      <c r="A5" s="289" t="inlineStr">
        <is>
          <t>Clean Cooking</t>
        </is>
      </c>
      <c r="B5" s="289" t="inlineStr">
        <is>
          <t>Number of people who gain access to clean cooking (direct access to clean cook stoves, clean fuels, biomass, etc.).</t>
        </is>
      </c>
    </row>
    <row r="6" ht="90" customHeight="1">
      <c r="A6" s="289" t="inlineStr">
        <is>
          <t>Clean Heating</t>
        </is>
      </c>
      <c r="B6" s="289" t="inlineStr">
        <is>
          <t>Number of people who gain access to clean heating (direct access to clean electric heaters, clean fuels, etc.).</t>
        </is>
      </c>
    </row>
    <row r="7" ht="45" customHeight="1">
      <c r="A7" s="289" t="inlineStr">
        <is>
          <t>Agriculture and Food System</t>
        </is>
      </c>
      <c r="B7" s="289" t="inlineStr">
        <is>
          <t>Number of people who gain access to clean, affordable, and sustainable energy for agricultural and food-system activities.</t>
        </is>
      </c>
    </row>
    <row r="8" ht="45" customHeight="1">
      <c r="A8" s="289" t="inlineStr">
        <is>
          <t>Health Services</t>
        </is>
      </c>
      <c r="B8" s="289" t="inlineStr">
        <is>
          <t>Number of people who gain access to health care facilities through clean energy systems.</t>
        </is>
      </c>
    </row>
    <row r="9" ht="45" customHeight="1">
      <c r="A9" s="289" t="inlineStr">
        <is>
          <t>Water Services</t>
        </is>
      </c>
      <c r="B9" s="289" t="inlineStr">
        <is>
          <t>Number of people who gain access to water services through clean energy systems.</t>
        </is>
      </c>
    </row>
    <row r="10" ht="45" customHeight="1">
      <c r="A10" s="289" t="inlineStr">
        <is>
          <t>Education Services</t>
        </is>
      </c>
      <c r="B10" s="289" t="inlineStr">
        <is>
          <t>Number of people who gain access to education services through clean energy systems, including students and teachers.</t>
        </is>
      </c>
    </row>
    <row r="11" ht="30" customHeight="1">
      <c r="A11" s="289" t="inlineStr">
        <is>
          <t>Transportation and E-mobility Services</t>
        </is>
      </c>
      <c r="B11" s="289" t="inlineStr">
        <is>
          <t>Number of people served or energy saved from transport and e-mobility interventions, such as electric vehicles or charging stations.</t>
        </is>
      </c>
    </row>
    <row r="12" ht="45" customHeight="1">
      <c r="A12" s="289" t="inlineStr">
        <is>
          <t>Energy Efficiency Services</t>
        </is>
      </c>
      <c r="B12" s="289" t="inlineStr">
        <is>
          <t>Energy saved from energy-efficiency interventions, such as building or industrial efficiency.</t>
        </is>
      </c>
    </row>
    <row r="13" ht="30" customHeight="1">
      <c r="A13" s="289" t="inlineStr">
        <is>
          <t>Energy Infrastructure Services</t>
        </is>
      </c>
      <c r="B13" s="289" t="inlineStr">
        <is>
          <t>Number of people benefiting from energy infrastructure interventions, such as streetlights, transmission, and distribution lines.</t>
        </is>
      </c>
    </row>
    <row r="14">
      <c r="A14" s="289" t="inlineStr">
        <is>
          <t>Other Energy Services</t>
        </is>
      </c>
      <c r="B14" s="289" t="inlineStr">
        <is>
          <t>Access to other energy services not captured by the categories above.</t>
        </is>
      </c>
    </row>
    <row r="15" ht="30" customHeight="1">
      <c r="A15" s="289" t="inlineStr">
        <is>
          <t>Financing support</t>
        </is>
      </c>
      <c r="B15" s="289" t="inlineStr">
        <is>
          <t>Support for the development of the energy market ecosystem.</t>
        </is>
      </c>
    </row>
    <row r="16" ht="30" customHeight="1">
      <c r="A16" s="289" t="inlineStr">
        <is>
          <t>Medium Enterprises</t>
        </is>
      </c>
      <c r="B16" s="289" t="inlineStr">
        <is>
          <t>Support for the development of medium enterprises in the energy transition market.</t>
        </is>
      </c>
    </row>
    <row r="17" ht="30" customHeight="1">
      <c r="A17" s="289" t="inlineStr">
        <is>
          <t>Small Enterprises</t>
        </is>
      </c>
      <c r="B17" s="289" t="inlineStr">
        <is>
          <t>Support for the development of small enterprises in the energy transition market.</t>
        </is>
      </c>
    </row>
    <row r="18" ht="30" customHeight="1">
      <c r="A18" s="289" t="inlineStr">
        <is>
          <t>Capacity Building Training</t>
        </is>
      </c>
      <c r="B18" s="289" t="inlineStr">
        <is>
          <t>Number of people benefiting from training on energy business, energy finance, or related implementation capacity.</t>
        </is>
      </c>
    </row>
    <row r="19" ht="75" customHeight="1">
      <c r="A19" s="289" t="inlineStr">
        <is>
          <t>Entrepreneurship Training</t>
        </is>
      </c>
      <c r="B19" s="289" t="inlineStr">
        <is>
          <t>Training for enterprises on the energy business, assumed to result in direct beneficiaries.</t>
        </is>
      </c>
    </row>
    <row r="20" ht="30" customHeight="1">
      <c r="A20" s="289" t="inlineStr">
        <is>
          <t>Market Intervention</t>
        </is>
      </c>
      <c r="B20" s="289" t="inlineStr">
        <is>
          <t>Volume of investment leveraged or barriers removed for clean, reliable, affordable, and sustainable energy solutions.</t>
        </is>
      </c>
    </row>
    <row r="21" ht="45" customHeight="1">
      <c r="A21" s="289" t="inlineStr">
        <is>
          <t>Campaign Participant</t>
        </is>
      </c>
      <c r="B21" s="289" t="inlineStr">
        <is>
          <t>Individuals who participate in advocacy or awareness campaigns on energy.</t>
        </is>
      </c>
    </row>
    <row r="22" ht="30" customHeight="1">
      <c r="A22" s="289" t="inlineStr">
        <is>
          <t>Policy or Regulatory Framework</t>
        </is>
      </c>
      <c r="B22" s="289" t="inlineStr">
        <is>
          <t>Policies, regulations, strategies, plans, or frameworks developed, approved, implemented, or strengthened.</t>
        </is>
      </c>
    </row>
    <row r="23">
      <c r="A23" s="289" t="inlineStr">
        <is>
          <t>GHG Emissions Reduction</t>
        </is>
      </c>
      <c r="B23" s="289" t="inlineStr">
        <is>
          <t>Greenhouse gas emissions reduced or mitigated, in tCO2e.</t>
        </is>
      </c>
    </row>
    <row r="24">
      <c r="A24" s="289" t="inlineStr">
        <is>
          <t>Other</t>
        </is>
      </c>
      <c r="B24" s="289"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Arif Mohammad Faisal</dc:creator>
  <dcterms:created xmlns:dcterms="http://purl.org/dc/terms/" xmlns:xsi="http://www.w3.org/2001/XMLSchema-instance" xsi:type="dcterms:W3CDTF">2023-05-05T09:33:41Z</dcterms:created>
  <dcterms:modified xmlns:dcterms="http://purl.org/dc/terms/" xmlns:xsi="http://www.w3.org/2001/XMLSchema-instance" xsi:type="dcterms:W3CDTF">2026-06-10T12:20:12Z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