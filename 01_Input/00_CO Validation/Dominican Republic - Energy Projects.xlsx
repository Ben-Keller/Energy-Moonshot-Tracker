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Heebo"/>
      <charset val="1"/>
      <family val="2"/>
      <color rgb="FF0C110F"/>
      <sz val="12"/>
    </font>
    <font>
      <name val="Calibri"/>
      <charset val="1"/>
      <family val="2"/>
      <color rgb="FF444444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00FFFF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4" tint="0.3999755851924192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6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4" fillId="2" borderId="2" pivotButton="0" quotePrefix="0" xfId="0"/>
    <xf numFmtId="0" fontId="2" fillId="0" borderId="4" applyAlignment="1" pivotButton="0" quotePrefix="0" xfId="0">
      <alignment horizontal="center" vertical="top"/>
    </xf>
    <xf numFmtId="0" fontId="0" fillId="0" borderId="3" pivotButton="0" quotePrefix="0" xfId="0"/>
    <xf numFmtId="0" fontId="3" fillId="0" borderId="3" applyAlignment="1" pivotButton="0" quotePrefix="0" xfId="1">
      <alignment vertical="center"/>
    </xf>
    <xf numFmtId="0" fontId="5" fillId="0" borderId="3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164" fontId="0" fillId="3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wrapText="1"/>
    </xf>
    <xf numFmtId="0" fontId="0" fillId="0" borderId="3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3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applyAlignment="1" pivotButton="0" quotePrefix="0" xfId="0">
      <alignment horizontal="center" vertical="top"/>
    </xf>
    <xf numFmtId="0" fontId="2" fillId="0" borderId="3" pivotButton="0" quotePrefix="0" xfId="0"/>
    <xf numFmtId="0" fontId="0" fillId="0" borderId="9" pivotButton="0" quotePrefix="0" xfId="0"/>
    <xf numFmtId="0" fontId="3" fillId="0" borderId="9" applyAlignment="1" pivotButton="0" quotePrefix="0" xfId="1">
      <alignment vertical="center"/>
    </xf>
    <xf numFmtId="164" fontId="0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2" pivotButton="0" quotePrefix="0" xfId="0"/>
    <xf numFmtId="0" fontId="3" fillId="0" borderId="12" applyAlignment="1" pivotButton="0" quotePrefix="0" xfId="1">
      <alignment vertical="center"/>
    </xf>
    <xf numFmtId="164" fontId="0" fillId="0" borderId="1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4" pivotButton="0" quotePrefix="0" xfId="0"/>
    <xf numFmtId="0" fontId="3" fillId="0" borderId="0" applyAlignment="1" pivotButton="0" quotePrefix="0" xfId="1">
      <alignment vertical="center"/>
    </xf>
    <xf numFmtId="164" fontId="0" fillId="0" borderId="1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pivotButton="0" quotePrefix="0" xfId="0"/>
    <xf numFmtId="0" fontId="3" fillId="0" borderId="6" applyAlignment="1" pivotButton="0" quotePrefix="0" xfId="1">
      <alignment vertical="center"/>
    </xf>
    <xf numFmtId="164" fontId="0" fillId="0" borderId="16" applyAlignment="1" pivotButton="0" quotePrefix="0" xfId="0">
      <alignment horizontal="center" vertical="center"/>
    </xf>
    <xf numFmtId="0" fontId="4" fillId="0" borderId="17" pivotButton="0" quotePrefix="0" xfId="0"/>
    <xf numFmtId="0" fontId="0" fillId="0" borderId="18" pivotButton="0" quotePrefix="0" xfId="0"/>
    <xf numFmtId="0" fontId="3" fillId="0" borderId="18" applyAlignment="1" pivotButton="0" quotePrefix="0" xfId="1">
      <alignment vertical="center"/>
    </xf>
    <xf numFmtId="164" fontId="0" fillId="0" borderId="14" applyAlignment="1" pivotButton="0" quotePrefix="0" xfId="0">
      <alignment horizontal="center" vertical="center"/>
    </xf>
    <xf numFmtId="0" fontId="4" fillId="0" borderId="10" pivotButton="0" quotePrefix="0" xfId="0"/>
    <xf numFmtId="0" fontId="4" fillId="0" borderId="14" pivotButton="0" quotePrefix="0" xfId="0"/>
    <xf numFmtId="0" fontId="5" fillId="0" borderId="0" applyAlignment="1" pivotButton="0" quotePrefix="0" xfId="0">
      <alignment vertical="center"/>
    </xf>
    <xf numFmtId="0" fontId="4" fillId="0" borderId="11" pivotButton="0" quotePrefix="0" xfId="0"/>
    <xf numFmtId="0" fontId="5" fillId="0" borderId="6" applyAlignment="1" pivotButton="0" quotePrefix="0" xfId="0">
      <alignment vertical="center"/>
    </xf>
    <xf numFmtId="0" fontId="6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9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164" fontId="0" fillId="5" borderId="10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64" fontId="0" fillId="5" borderId="14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6" authorId="0" shapeId="0">
      <text>
        <t>[AUTO-ADDED] Project reports access/productive-use beneficiary numbers but no MW value. Please add installed capacity (MW) or confirm not applicable.</t>
      </text>
    </comment>
    <comment ref="L6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14336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14336" TargetMode="External" Id="rId1"/><Relationship Type="http://schemas.openxmlformats.org/officeDocument/2006/relationships/hyperlink" Target="https://www.thegef.org/projects-operations/projects/10414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14336" TargetMode="External" Id="rId1"/><Relationship Type="http://schemas.openxmlformats.org/officeDocument/2006/relationships/hyperlink" Target="http://open.undp.org/projects/00114336" TargetMode="External" Id="rId2"/><Relationship Type="http://schemas.openxmlformats.org/officeDocument/2006/relationships/hyperlink" Target="http://open.undp.org/projects/00114336" TargetMode="External" Id="rId3"/><Relationship Type="http://schemas.openxmlformats.org/officeDocument/2006/relationships/hyperlink" Target="http://open.undp.org/projects/00114336" TargetMode="External" Id="rId4"/><Relationship Type="http://schemas.openxmlformats.org/officeDocument/2006/relationships/hyperlink" Target="https://www.thegef.org/projects-operations/projects/10414" TargetMode="External" Id="rId5"/><Relationship Type="http://schemas.openxmlformats.org/officeDocument/2006/relationships/hyperlink" Target="https://www.thegef.org/projects-operations/projects/1041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xSplit="1" ySplit="1" topLeftCell="B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42.85546875" customWidth="1" min="2" max="2"/>
    <col width="53.42578125" customWidth="1" style="3" min="3" max="3"/>
    <col width="29.5703125" customWidth="1" min="4" max="4"/>
    <col width="29.5703125" bestFit="1" customWidth="1" min="5" max="5"/>
    <col width="29.5703125" customWidth="1" style="2" min="6" max="6"/>
    <col width="29.5703125" customWidth="1" min="7" max="7"/>
    <col width="29.5703125" customWidth="1" style="3" min="8" max="8"/>
    <col width="32.7109375" customWidth="1" min="9" max="9"/>
    <col width="18" bestFit="1" customWidth="1" min="11" max="11"/>
    <col width="12.85546875" bestFit="1" customWidth="1" min="12" max="12"/>
    <col width="13.7109375" customWidth="1" min="14" max="14"/>
    <col width="14.85546875" bestFit="1" customWidth="1" min="15" max="15"/>
    <col width="10.8554687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  <col width="9.140625" customWidth="1" style="53" min="22" max="22"/>
  </cols>
  <sheetData>
    <row r="1">
      <c r="A1" s="1" t="inlineStr">
        <is>
          <t>Project ID</t>
        </is>
      </c>
      <c r="B1" s="5" t="inlineStr">
        <is>
          <t>Title</t>
        </is>
      </c>
      <c r="C1" s="9" t="inlineStr">
        <is>
          <t>Link</t>
        </is>
      </c>
      <c r="D1" s="5" t="inlineStr">
        <is>
          <t>Budget</t>
        </is>
      </c>
      <c r="E1" s="5" t="inlineStr">
        <is>
          <t>Start Year</t>
        </is>
      </c>
      <c r="F1" s="5" t="inlineStr">
        <is>
          <t>End Year</t>
        </is>
      </c>
      <c r="G1" s="5" t="inlineStr">
        <is>
          <t>Status</t>
        </is>
      </c>
      <c r="H1" s="5" t="inlineStr">
        <is>
          <t>VF or Non-VF</t>
        </is>
      </c>
      <c r="I1" s="5" t="inlineStr">
        <is>
          <t>Beneficiary Category</t>
        </is>
      </c>
      <c r="J1" s="11" t="inlineStr">
        <is>
          <t>Indicator</t>
        </is>
      </c>
      <c r="K1" s="5" t="inlineStr">
        <is>
          <t>Baseline</t>
        </is>
      </c>
      <c r="L1" s="9" t="inlineStr">
        <is>
          <t>Target</t>
        </is>
      </c>
      <c r="M1" s="17" t="inlineStr">
        <is>
          <t>Notes</t>
        </is>
      </c>
      <c r="N1" s="18" t="inlineStr">
        <is>
          <t>Donors</t>
        </is>
      </c>
      <c r="O1" s="18" t="inlineStr">
        <is>
          <t>Gender (% female)</t>
        </is>
      </c>
      <c r="P1" s="47" t="inlineStr">
        <is>
          <t>Tag</t>
        </is>
      </c>
      <c r="Q1" s="46" t="inlineStr">
        <is>
          <t>SEH Taxonomy</t>
        </is>
      </c>
      <c r="R1" s="46" t="inlineStr">
        <is>
          <t>RISE Taxonomy</t>
        </is>
      </c>
      <c r="S1" s="47" t="inlineStr">
        <is>
          <t>Flagship</t>
        </is>
      </c>
      <c r="T1" s="47" t="inlineStr">
        <is>
          <t>Indirect Category</t>
        </is>
      </c>
      <c r="U1" s="48" t="inlineStr">
        <is>
          <t>Indirect Taxonomy</t>
        </is>
      </c>
      <c r="V1" s="49" t="inlineStr">
        <is>
          <t>Technology</t>
        </is>
      </c>
      <c r="W1" s="48" t="inlineStr">
        <is>
          <t>Policy or Regulatory Framework</t>
        </is>
      </c>
      <c r="X1" s="49" t="inlineStr">
        <is>
          <t>Policy Population</t>
        </is>
      </c>
      <c r="Y1" s="53" t="inlineStr">
        <is>
          <t>Project Document</t>
        </is>
      </c>
    </row>
    <row r="2" ht="46.5" customHeight="1">
      <c r="A2" t="n">
        <v>114336</v>
      </c>
      <c r="B2" s="19" t="inlineStr">
        <is>
          <t>Mejor calidad de vida en El Seibo</t>
        </is>
      </c>
      <c r="C2" s="20" t="inlineStr">
        <is>
          <t>http://open.undp.org/projects/00114336</t>
        </is>
      </c>
      <c r="D2" s="21" t="n">
        <v>650039</v>
      </c>
      <c r="E2" s="57" t="n"/>
      <c r="F2" s="57" t="n"/>
      <c r="G2" s="57" t="n"/>
      <c r="H2" s="21" t="inlineStr">
        <is>
          <t>Non-VF</t>
        </is>
      </c>
      <c r="I2" s="6" t="inlineStr">
        <is>
          <t>Electricity Access</t>
        </is>
      </c>
      <c r="J2" s="12" t="inlineStr">
        <is>
          <t>Number of families that gained access to electricity</t>
        </is>
      </c>
      <c r="K2" s="13" t="inlineStr">
        <is>
          <t>22 HH</t>
        </is>
      </c>
      <c r="L2" s="13" t="inlineStr">
        <is>
          <t>95 HH</t>
        </is>
      </c>
      <c r="M2" s="22" t="inlineStr">
        <is>
          <t>Achieved on date: 3,822</t>
        </is>
      </c>
      <c r="N2" s="6" t="n"/>
      <c r="O2" s="6" t="n"/>
      <c r="P2" s="13" t="n"/>
      <c r="Q2" s="51" t="inlineStr">
        <is>
          <t>Close the gap on energy access</t>
        </is>
      </c>
      <c r="R2" s="13" t="n"/>
      <c r="S2" s="13" t="n"/>
      <c r="T2" s="13" t="n"/>
      <c r="U2" s="13" t="n"/>
      <c r="V2" s="52" t="inlineStr">
        <is>
          <t>Unknown</t>
        </is>
      </c>
      <c r="W2" s="13" t="n"/>
      <c r="X2" s="52" t="n"/>
      <c r="Y2" s="53" t="inlineStr">
        <is>
          <t>yes</t>
        </is>
      </c>
    </row>
    <row r="3" ht="41.25" customHeight="1">
      <c r="A3" s="23" t="n"/>
      <c r="B3" s="24" t="n"/>
      <c r="C3" s="25" t="n"/>
      <c r="D3" s="26" t="n"/>
      <c r="E3" s="26" t="n"/>
      <c r="F3" s="26" t="n"/>
      <c r="G3" s="26" t="n"/>
      <c r="H3" s="26" t="n"/>
      <c r="I3" s="27" t="inlineStr">
        <is>
          <t>Water Services</t>
        </is>
      </c>
      <c r="J3" s="12" t="inlineStr">
        <is>
          <t>Number of families that gained access to water services</t>
        </is>
      </c>
      <c r="K3" s="13" t="n">
        <v>0</v>
      </c>
      <c r="L3" s="13" t="inlineStr">
        <is>
          <t>95 HH</t>
        </is>
      </c>
      <c r="M3" s="22" t="n"/>
      <c r="N3" s="6" t="n"/>
      <c r="O3" s="6" t="n"/>
      <c r="P3" s="13" t="n"/>
      <c r="Q3" s="51" t="inlineStr">
        <is>
          <t>Close the gap on energy access</t>
        </is>
      </c>
      <c r="R3" s="13" t="n"/>
      <c r="S3" s="13" t="n"/>
      <c r="T3" s="13" t="n"/>
      <c r="U3" s="13" t="n"/>
      <c r="V3" s="52" t="n"/>
      <c r="W3" s="13" t="n"/>
      <c r="X3" s="52" t="n"/>
    </row>
    <row r="4" ht="46.5" customHeight="1">
      <c r="A4" s="28" t="n"/>
      <c r="C4" s="29" t="n"/>
      <c r="D4" s="30" t="n"/>
      <c r="E4" s="30" t="n"/>
      <c r="F4" s="30" t="n"/>
      <c r="G4" s="30" t="n"/>
      <c r="H4" s="30" t="n"/>
      <c r="I4" s="27" t="inlineStr">
        <is>
          <t>Capacity Building Training</t>
        </is>
      </c>
      <c r="J4" s="12" t="inlineStr">
        <is>
          <t>Individuals trained to manage technology</t>
        </is>
      </c>
      <c r="K4" s="13" t="n">
        <v>0</v>
      </c>
      <c r="L4" s="13" t="n">
        <v>4</v>
      </c>
      <c r="M4" s="22" t="n"/>
      <c r="N4" s="6" t="n"/>
      <c r="O4" s="6" t="n"/>
      <c r="P4" s="13" t="n"/>
      <c r="Q4" s="51" t="inlineStr">
        <is>
          <t>Close the gap on energy access</t>
        </is>
      </c>
      <c r="R4" s="13" t="n"/>
      <c r="S4" s="13" t="n"/>
      <c r="T4" s="13" t="n"/>
      <c r="U4" s="13" t="n"/>
      <c r="V4" s="52" t="n"/>
      <c r="W4" s="13" t="n"/>
      <c r="X4" s="52" t="n"/>
    </row>
    <row r="5" ht="46.5" customHeight="1">
      <c r="A5" s="31" t="n"/>
      <c r="B5" s="32" t="n"/>
      <c r="C5" s="33" t="n"/>
      <c r="D5" s="34" t="n"/>
      <c r="E5" s="34" t="n"/>
      <c r="F5" s="34" t="n"/>
      <c r="G5" s="34" t="n"/>
      <c r="H5" s="34" t="n"/>
      <c r="I5" s="27" t="inlineStr">
        <is>
          <t>Capacity Building Training</t>
        </is>
      </c>
      <c r="J5" s="12" t="inlineStr">
        <is>
          <t>Number of families trained to access and manage water or electricity services</t>
        </is>
      </c>
      <c r="K5" s="13" t="n">
        <v>0</v>
      </c>
      <c r="L5" s="13" t="inlineStr">
        <is>
          <t>95 HH</t>
        </is>
      </c>
      <c r="M5" s="22" t="n"/>
      <c r="N5" s="6" t="n"/>
      <c r="O5" s="6" t="n"/>
      <c r="P5" s="13" t="n"/>
      <c r="Q5" s="51" t="inlineStr">
        <is>
          <t>Close the gap on energy access</t>
        </is>
      </c>
      <c r="R5" s="13" t="n"/>
      <c r="S5" s="13" t="n"/>
      <c r="T5" s="13" t="n"/>
      <c r="U5" s="13" t="n"/>
      <c r="V5" s="52" t="n"/>
      <c r="W5" s="13" t="n"/>
      <c r="X5" s="52" t="n"/>
    </row>
    <row r="6" ht="58.5" customHeight="1">
      <c r="A6" s="31" t="n"/>
      <c r="B6" s="32" t="n"/>
      <c r="C6" s="33" t="n"/>
      <c r="D6" s="34" t="n"/>
      <c r="E6" s="34" t="n"/>
      <c r="F6" s="34" t="n"/>
      <c r="G6" s="34" t="n"/>
      <c r="H6" s="34" t="n"/>
      <c r="I6" s="27" t="inlineStr">
        <is>
          <t>Energy (MW added)</t>
        </is>
      </c>
      <c r="J6" s="12" t="inlineStr">
        <is>
          <t>Installed capacity in MW for access/productive-use outputs</t>
        </is>
      </c>
      <c r="K6" s="58" t="n">
        <v>0</v>
      </c>
      <c r="L6" s="58" t="n"/>
      <c r="M6" s="22" t="n"/>
      <c r="N6" s="6" t="n"/>
      <c r="O6" s="6" t="n"/>
      <c r="P6" s="13" t="n"/>
      <c r="Q6" s="51" t="n"/>
      <c r="R6" s="13" t="n"/>
      <c r="S6" s="13" t="n"/>
      <c r="T6" s="13" t="n"/>
      <c r="U6" s="13" t="n"/>
      <c r="V6" s="52" t="n"/>
      <c r="W6" s="13" t="n"/>
      <c r="X6" s="52" t="n"/>
    </row>
    <row r="7" ht="40.5" customHeight="1">
      <c r="A7" s="35" t="n">
        <v>10414</v>
      </c>
      <c r="B7" s="36" t="inlineStr">
        <is>
          <t>GEF SGP 7th Operational Phase – Core (Part 2)</t>
        </is>
      </c>
      <c r="C7" s="37" t="inlineStr">
        <is>
          <t>https://www.thegef.org/projects-operations/projects/10414</t>
        </is>
      </c>
      <c r="D7" s="38" t="n">
        <v>20919834</v>
      </c>
      <c r="E7" s="59" t="n"/>
      <c r="F7" s="59" t="n"/>
      <c r="G7" s="59" t="n"/>
      <c r="H7" s="38" t="inlineStr">
        <is>
          <t>Non-VF</t>
        </is>
      </c>
      <c r="I7" s="6" t="inlineStr">
        <is>
          <t>Electricity Access</t>
        </is>
      </c>
      <c r="J7" s="12" t="inlineStr">
        <is>
          <t>Number of families that gained access to electricity</t>
        </is>
      </c>
      <c r="K7" s="13" t="n">
        <v>0</v>
      </c>
      <c r="L7" s="13" t="inlineStr">
        <is>
          <t>7500 HH</t>
        </is>
      </c>
      <c r="M7" s="22" t="inlineStr">
        <is>
          <t>Achieved on date: 3822</t>
        </is>
      </c>
      <c r="N7" s="6" t="inlineStr">
        <is>
          <t>GEF</t>
        </is>
      </c>
      <c r="O7" s="6" t="n"/>
      <c r="P7" s="13" t="n"/>
      <c r="Q7" s="51" t="inlineStr">
        <is>
          <t>Close the gap on energy access</t>
        </is>
      </c>
      <c r="R7" s="13" t="n"/>
      <c r="S7" s="13" t="n"/>
      <c r="T7" s="13" t="n"/>
      <c r="U7" s="13" t="n"/>
      <c r="V7" s="52" t="inlineStr">
        <is>
          <t>Unknown</t>
        </is>
      </c>
      <c r="W7" s="13" t="n"/>
      <c r="X7" s="52" t="n"/>
    </row>
    <row r="8" ht="45.75" customHeight="1">
      <c r="A8" s="39" t="n"/>
      <c r="B8" s="24" t="n"/>
      <c r="C8" s="25" t="n"/>
      <c r="D8" s="26" t="n"/>
      <c r="E8" s="26" t="n"/>
      <c r="F8" s="26" t="n"/>
      <c r="G8" s="26" t="n"/>
      <c r="H8" s="26" t="n"/>
      <c r="I8" s="27" t="inlineStr">
        <is>
          <t>Energy (MW added)</t>
        </is>
      </c>
      <c r="J8" s="12" t="inlineStr">
        <is>
          <t>MW</t>
        </is>
      </c>
      <c r="K8" s="13" t="n">
        <v>0</v>
      </c>
      <c r="L8" s="13" t="n">
        <v>3</v>
      </c>
      <c r="M8" s="22" t="inlineStr">
        <is>
          <t>Achieved on date:  1.4MW</t>
        </is>
      </c>
      <c r="N8" s="6" t="inlineStr">
        <is>
          <t>GEF</t>
        </is>
      </c>
      <c r="O8" s="6" t="n"/>
      <c r="P8" s="13" t="n"/>
      <c r="Q8" s="51" t="inlineStr">
        <is>
          <t>Close the gap on energy access</t>
        </is>
      </c>
      <c r="R8" s="13" t="n"/>
      <c r="S8" s="13" t="n"/>
      <c r="T8" s="13" t="n"/>
      <c r="U8" s="13" t="n"/>
      <c r="V8" s="52" t="n"/>
      <c r="W8" s="13" t="n"/>
      <c r="X8" s="52" t="n"/>
    </row>
    <row r="9" ht="45.75" customHeight="1">
      <c r="A9" s="40" t="n"/>
      <c r="C9" s="41" t="n"/>
      <c r="D9" s="30" t="n"/>
      <c r="E9" s="30" t="n"/>
      <c r="F9" s="30" t="n"/>
      <c r="G9" s="30" t="n"/>
      <c r="H9" s="30" t="n"/>
      <c r="I9" s="27" t="inlineStr">
        <is>
          <t>Water Services</t>
        </is>
      </c>
      <c r="J9" s="12" t="inlineStr">
        <is>
          <t>Number of families that gained access to water services</t>
        </is>
      </c>
      <c r="K9" s="13" t="n">
        <v>0</v>
      </c>
      <c r="L9" s="13" t="inlineStr">
        <is>
          <t>1500 HH</t>
        </is>
      </c>
      <c r="M9" s="22" t="inlineStr">
        <is>
          <t>Achieved on date:  450 (estimation)</t>
        </is>
      </c>
      <c r="N9" s="6" t="inlineStr">
        <is>
          <t>GEF</t>
        </is>
      </c>
      <c r="O9" s="6" t="n"/>
      <c r="P9" s="13" t="n"/>
      <c r="Q9" s="51" t="inlineStr">
        <is>
          <t>Close the gap on energy access</t>
        </is>
      </c>
      <c r="R9" s="13" t="n"/>
      <c r="S9" s="13" t="n"/>
      <c r="T9" s="13" t="n"/>
      <c r="U9" s="13" t="n"/>
      <c r="V9" s="52" t="n"/>
      <c r="W9" s="13" t="n"/>
      <c r="X9" s="52" t="n"/>
    </row>
    <row r="10" ht="45.75" customHeight="1">
      <c r="A10" s="40" t="n"/>
      <c r="C10" s="41" t="n"/>
      <c r="D10" s="30" t="n"/>
      <c r="E10" s="30" t="n"/>
      <c r="F10" s="30" t="n"/>
      <c r="G10" s="30" t="n"/>
      <c r="H10" s="30" t="n"/>
      <c r="I10" s="27" t="inlineStr">
        <is>
          <t>Capacity Building Training</t>
        </is>
      </c>
      <c r="J10" s="12" t="inlineStr">
        <is>
          <t>Individuals trained</t>
        </is>
      </c>
      <c r="K10" s="13" t="n">
        <v>0</v>
      </c>
      <c r="L10" s="13" t="n">
        <v>10000</v>
      </c>
      <c r="M10" s="22" t="inlineStr">
        <is>
          <t>Achieved on date: 4,500 (estimation)</t>
        </is>
      </c>
      <c r="N10" s="6" t="inlineStr">
        <is>
          <t>GEF</t>
        </is>
      </c>
      <c r="O10" s="6" t="n"/>
      <c r="P10" s="13" t="n"/>
      <c r="Q10" s="51" t="inlineStr">
        <is>
          <t>Close the gap on energy access</t>
        </is>
      </c>
      <c r="R10" s="13" t="n"/>
      <c r="S10" s="13" t="n"/>
      <c r="T10" s="13" t="n"/>
      <c r="U10" s="13" t="n"/>
      <c r="V10" s="52" t="n"/>
      <c r="W10" s="13" t="n"/>
      <c r="X10" s="52" t="n"/>
    </row>
    <row r="11" ht="45.75" customHeight="1">
      <c r="A11" s="40" t="n"/>
      <c r="C11" s="41" t="n"/>
      <c r="D11" s="30" t="n"/>
      <c r="E11" s="30" t="n"/>
      <c r="F11" s="30" t="n"/>
      <c r="G11" s="30" t="n"/>
      <c r="H11" s="30" t="n"/>
      <c r="I11" s="27" t="inlineStr">
        <is>
          <t>Medium Enterprises</t>
        </is>
      </c>
      <c r="J11" s="12" t="inlineStr">
        <is>
          <t>Number of enterprises with access to energy for productive purposes</t>
        </is>
      </c>
      <c r="K11" s="13" t="n">
        <v>0</v>
      </c>
      <c r="L11" s="13" t="n">
        <v>200</v>
      </c>
      <c r="M11" s="22" t="inlineStr">
        <is>
          <t>Achieved on date: 125</t>
        </is>
      </c>
      <c r="N11" s="6" t="inlineStr">
        <is>
          <t>GEF</t>
        </is>
      </c>
      <c r="O11" s="6" t="n"/>
      <c r="P11" s="13" t="n"/>
      <c r="Q11" s="51" t="inlineStr">
        <is>
          <t>Close the gap on energy access</t>
        </is>
      </c>
      <c r="R11" s="13" t="n"/>
      <c r="S11" s="13" t="n"/>
      <c r="T11" s="13" t="n"/>
      <c r="U11" s="13" t="n"/>
      <c r="V11" s="52" t="n"/>
      <c r="W11" s="13" t="n"/>
      <c r="X11" s="52" t="n"/>
    </row>
    <row r="12">
      <c r="A12" s="42" t="n"/>
      <c r="B12" s="32" t="n"/>
      <c r="C12" s="43" t="n"/>
      <c r="D12" s="34" t="n"/>
      <c r="E12" s="34" t="n"/>
      <c r="F12" s="34" t="n"/>
      <c r="G12" s="34" t="n"/>
      <c r="H12" s="34" t="n"/>
      <c r="I12" s="27" t="inlineStr">
        <is>
          <t>Entrepreneurship Training</t>
        </is>
      </c>
      <c r="J12" s="12" t="inlineStr">
        <is>
          <t>Number of entrepreneurs trained</t>
        </is>
      </c>
      <c r="K12" s="13" t="n">
        <v>0</v>
      </c>
      <c r="L12" s="13" t="n">
        <v>20</v>
      </c>
      <c r="M12" s="22" t="n">
        <v>12</v>
      </c>
      <c r="N12" s="6" t="inlineStr">
        <is>
          <t>GEF</t>
        </is>
      </c>
      <c r="O12" s="6" t="n"/>
      <c r="P12" s="13" t="n"/>
      <c r="Q12" s="51" t="inlineStr">
        <is>
          <t>Close the gap on energy access</t>
        </is>
      </c>
      <c r="R12" s="13" t="n"/>
      <c r="S12" s="13" t="n"/>
      <c r="T12" s="13" t="n"/>
      <c r="U12" s="13" t="n"/>
      <c r="V12" s="52" t="n"/>
      <c r="W12" s="13" t="n"/>
      <c r="X12" s="52" t="n"/>
    </row>
  </sheetData>
  <dataValidations count="10">
    <dataValidation sqref="R2:R11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11" showDropDown="0" showInputMessage="1" showErrorMessage="1" allowBlank="1" type="list">
      <formula1>"Solar, Wind, Bioenergy, Hydro, Geothermal, Waste, Other, Unknown"</formula1>
    </dataValidation>
    <dataValidation sqref="T2:T11" showDropDown="0" showInputMessage="1" showErrorMessage="1" allowBlank="1" type="list">
      <formula1>"National, Regional, City, Community"</formula1>
    </dataValidation>
    <dataValidation sqref="M2:M11" showDropDown="0" showInputMessage="1" showErrorMessage="1" allowBlank="1" type="list">
      <formula1>"Finance, Gender, Efficiency, Just, Health"</formula1>
    </dataValidation>
    <dataValidation sqref="L2:L11" showDropDown="0" showInputMessage="1" showErrorMessage="1" allowBlank="1" type="list">
      <formula1>"Non-VF, VF"</formula1>
    </dataValidation>
    <dataValidation sqref="O2:O11" showDropDown="0" showInputMessage="1" showErrorMessage="1" allowBlank="1" type="list">
      <formula1>"Electricity Access, Energy Efficiency, Clean Cooking, Renewable Energy, Overall"</formula1>
    </dataValidation>
    <dataValidation sqref="N2:N11" showDropDown="0" showInputMessage="1" showErrorMessage="1" allowBlank="1" type="list">
      <formula1>"Accelerating just energy transition, Close the gap on energy access, Scale up energy finance"</formula1>
    </dataValidation>
    <dataValidation sqref="Q2:Q11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1" showDropDown="0" showInputMessage="1" showErrorMessage="1" allowBlank="1" type="list">
      <formula1>"AMP, PUDC, Solar4Health, Action Opportunities, Italy UNDP Energy Partnership"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J13" activePane="bottomRight" state="frozen"/>
      <selection pane="bottomRight" activeCell="J13" sqref="J13"/>
      <selection pane="bottomLeft" activeCell="A1" sqref="A1"/>
      <selection pane="topRight" activeCell="A1" sqref="A1"/>
    </sheetView>
  </sheetViews>
  <sheetFormatPr baseColWidth="8" defaultRowHeight="15"/>
  <cols>
    <col width="42.85546875" customWidth="1" min="2" max="2"/>
    <col width="53.42578125" customWidth="1" style="3" min="3" max="3"/>
    <col width="29.5703125" customWidth="1" min="4" max="4"/>
    <col width="24.42578125" bestFit="1" customWidth="1" min="5" max="5"/>
    <col width="29.7109375" customWidth="1" style="2" min="6" max="6"/>
    <col width="12.7109375" customWidth="1" min="7" max="7"/>
    <col width="28.140625" customWidth="1" style="3" min="8" max="8"/>
    <col width="32.7109375" customWidth="1" min="9" max="9"/>
    <col width="18" bestFit="1" customWidth="1" min="11" max="11"/>
    <col width="12.85546875" bestFit="1" customWidth="1" min="12" max="12"/>
    <col width="13.7109375" customWidth="1" min="14" max="14"/>
    <col width="14.85546875" bestFit="1" customWidth="1" min="15" max="15"/>
    <col width="10.8554687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  <col width="9.140625" customWidth="1" style="53" min="22" max="22"/>
  </cols>
  <sheetData>
    <row r="1">
      <c r="A1" s="1" t="inlineStr">
        <is>
          <t>Project ID</t>
        </is>
      </c>
      <c r="B1" s="5" t="inlineStr">
        <is>
          <t>Title</t>
        </is>
      </c>
      <c r="C1" s="9" t="inlineStr">
        <is>
          <t>Link</t>
        </is>
      </c>
      <c r="D1" s="5" t="inlineStr">
        <is>
          <t>Budget</t>
        </is>
      </c>
      <c r="E1" s="5" t="inlineStr">
        <is>
          <t>Beneficiary Category</t>
        </is>
      </c>
      <c r="F1" s="11" t="inlineStr">
        <is>
          <t>Indicator</t>
        </is>
      </c>
      <c r="G1" s="5" t="inlineStr">
        <is>
          <t>Baseline</t>
        </is>
      </c>
      <c r="H1" s="9" t="inlineStr">
        <is>
          <t>Target</t>
        </is>
      </c>
      <c r="I1" s="17" t="inlineStr">
        <is>
          <t>Notes</t>
        </is>
      </c>
      <c r="J1" s="18" t="inlineStr">
        <is>
          <t>Donors</t>
        </is>
      </c>
      <c r="K1" s="18" t="inlineStr">
        <is>
          <t>Gender (% female)</t>
        </is>
      </c>
      <c r="L1" s="46" t="inlineStr">
        <is>
          <t>VF or Non-VF</t>
        </is>
      </c>
      <c r="M1" s="47" t="inlineStr">
        <is>
          <t>Tag</t>
        </is>
      </c>
      <c r="N1" s="46" t="inlineStr">
        <is>
          <t>SEH Taxonomy</t>
        </is>
      </c>
      <c r="O1" s="46" t="inlineStr">
        <is>
          <t>RISE Taxonomy</t>
        </is>
      </c>
      <c r="P1" s="47" t="inlineStr">
        <is>
          <t>Flagship</t>
        </is>
      </c>
      <c r="Q1" s="47" t="inlineStr">
        <is>
          <t>Indirect Category</t>
        </is>
      </c>
      <c r="R1" s="48" t="inlineStr">
        <is>
          <t>Indirect Taxonomy</t>
        </is>
      </c>
      <c r="S1" s="49" t="inlineStr">
        <is>
          <t>Technology</t>
        </is>
      </c>
      <c r="T1" s="48" t="inlineStr">
        <is>
          <t>Policy or Regulatory Framework</t>
        </is>
      </c>
      <c r="U1" s="49" t="inlineStr">
        <is>
          <t>Policy Population</t>
        </is>
      </c>
      <c r="V1" s="53" t="inlineStr">
        <is>
          <t>Project Document</t>
        </is>
      </c>
    </row>
    <row r="2" ht="46.5" customHeight="1">
      <c r="A2" t="n">
        <v>114336</v>
      </c>
      <c r="B2" s="19" t="inlineStr">
        <is>
          <t>Mejor calidad de vida en El Seibo</t>
        </is>
      </c>
      <c r="C2" s="20" t="inlineStr">
        <is>
          <t>http://open.undp.org/projects/00114336</t>
        </is>
      </c>
      <c r="D2" s="21" t="n">
        <v>650039</v>
      </c>
      <c r="E2" s="6" t="inlineStr">
        <is>
          <t>Electricity Access</t>
        </is>
      </c>
      <c r="F2" s="12" t="inlineStr">
        <is>
          <t>Number of families that gained access to electricity</t>
        </is>
      </c>
      <c r="G2" s="13" t="inlineStr">
        <is>
          <t>22 HH</t>
        </is>
      </c>
      <c r="H2" s="13" t="inlineStr">
        <is>
          <t>95 HH</t>
        </is>
      </c>
      <c r="I2" s="22" t="inlineStr">
        <is>
          <t>Achieved on date: 3,822</t>
        </is>
      </c>
      <c r="J2" s="6" t="n"/>
      <c r="K2" s="6" t="n"/>
      <c r="L2" s="50" t="inlineStr">
        <is>
          <t>Non-VF</t>
        </is>
      </c>
      <c r="M2" s="13" t="n"/>
      <c r="N2" s="51" t="inlineStr">
        <is>
          <t>Close the gap on energy access</t>
        </is>
      </c>
      <c r="O2" s="13" t="n"/>
      <c r="P2" s="13" t="n"/>
      <c r="Q2" s="13" t="n"/>
      <c r="R2" s="13" t="n"/>
      <c r="S2" s="52" t="inlineStr">
        <is>
          <t>Unknown</t>
        </is>
      </c>
      <c r="T2" s="13" t="n"/>
      <c r="U2" s="52" t="n"/>
      <c r="V2" s="53" t="inlineStr">
        <is>
          <t>yes</t>
        </is>
      </c>
    </row>
    <row r="3" ht="41.25" customHeight="1">
      <c r="A3" s="23" t="n"/>
      <c r="B3" s="24" t="n"/>
      <c r="C3" s="25" t="n"/>
      <c r="D3" s="26" t="n"/>
      <c r="E3" s="27" t="inlineStr">
        <is>
          <t>Water Services</t>
        </is>
      </c>
      <c r="F3" s="12" t="inlineStr">
        <is>
          <t>Number of families that gained access to water services</t>
        </is>
      </c>
      <c r="G3" s="13" t="n">
        <v>0</v>
      </c>
      <c r="H3" s="13" t="inlineStr">
        <is>
          <t>95 HH</t>
        </is>
      </c>
      <c r="I3" s="22" t="n"/>
      <c r="J3" s="6" t="n"/>
      <c r="K3" s="6" t="n"/>
      <c r="L3" s="50" t="inlineStr">
        <is>
          <t>Non-VF</t>
        </is>
      </c>
      <c r="M3" s="13" t="n"/>
      <c r="N3" s="51" t="inlineStr">
        <is>
          <t>Close the gap on energy access</t>
        </is>
      </c>
      <c r="O3" s="13" t="n"/>
      <c r="P3" s="13" t="n"/>
      <c r="Q3" s="13" t="n"/>
      <c r="R3" s="13" t="n"/>
      <c r="S3" s="52" t="n"/>
      <c r="T3" s="13" t="n"/>
      <c r="U3" s="52" t="n"/>
    </row>
    <row r="4" ht="46.5" customHeight="1">
      <c r="A4" s="28" t="n"/>
      <c r="C4" s="29" t="n"/>
      <c r="D4" s="30" t="n"/>
      <c r="E4" s="27" t="inlineStr">
        <is>
          <t>Capacity Building Training</t>
        </is>
      </c>
      <c r="F4" s="12" t="inlineStr">
        <is>
          <t>Individuals trained to manage technology</t>
        </is>
      </c>
      <c r="G4" s="13" t="n">
        <v>0</v>
      </c>
      <c r="H4" s="13" t="n">
        <v>4</v>
      </c>
      <c r="I4" s="22" t="n"/>
      <c r="J4" s="6" t="n"/>
      <c r="K4" s="6" t="n"/>
      <c r="L4" s="50" t="inlineStr">
        <is>
          <t>Non-VF</t>
        </is>
      </c>
      <c r="M4" s="13" t="n"/>
      <c r="N4" s="51" t="inlineStr">
        <is>
          <t>Close the gap on energy access</t>
        </is>
      </c>
      <c r="O4" s="13" t="n"/>
      <c r="P4" s="13" t="n"/>
      <c r="Q4" s="13" t="n"/>
      <c r="R4" s="13" t="n"/>
      <c r="S4" s="52" t="n"/>
      <c r="T4" s="13" t="n"/>
      <c r="U4" s="52" t="n"/>
    </row>
    <row r="5" ht="46.5" customHeight="1">
      <c r="A5" s="31" t="n"/>
      <c r="B5" s="32" t="n"/>
      <c r="C5" s="33" t="n"/>
      <c r="D5" s="34" t="n"/>
      <c r="E5" s="27" t="inlineStr">
        <is>
          <t>Capacity Building Training</t>
        </is>
      </c>
      <c r="F5" s="12" t="inlineStr">
        <is>
          <t>Number of families trained to access and manage water or electricity services</t>
        </is>
      </c>
      <c r="G5" s="13" t="n">
        <v>0</v>
      </c>
      <c r="H5" s="13" t="inlineStr">
        <is>
          <t>95 HH</t>
        </is>
      </c>
      <c r="I5" s="22" t="n"/>
      <c r="J5" s="6" t="n"/>
      <c r="K5" s="6" t="n"/>
      <c r="L5" s="50" t="inlineStr">
        <is>
          <t>Non-VF</t>
        </is>
      </c>
      <c r="M5" s="13" t="n"/>
      <c r="N5" s="51" t="inlineStr">
        <is>
          <t>Close the gap on energy access</t>
        </is>
      </c>
      <c r="O5" s="13" t="n"/>
      <c r="P5" s="13" t="n"/>
      <c r="Q5" s="13" t="n"/>
      <c r="R5" s="13" t="n"/>
      <c r="S5" s="52" t="n"/>
      <c r="T5" s="13" t="n"/>
      <c r="U5" s="52" t="n"/>
    </row>
    <row r="6" ht="58.5" customHeight="1">
      <c r="A6" s="35" t="n">
        <v>10414</v>
      </c>
      <c r="B6" s="36" t="inlineStr">
        <is>
          <t>GEF SGP 7th Operational Phase – Core (Part 2)</t>
        </is>
      </c>
      <c r="C6" s="37" t="inlineStr">
        <is>
          <t>https://www.thegef.org/projects-operations/projects/10414</t>
        </is>
      </c>
      <c r="D6" s="38" t="n">
        <v>20919834</v>
      </c>
      <c r="E6" s="6" t="inlineStr">
        <is>
          <t>Electricity Access</t>
        </is>
      </c>
      <c r="F6" s="12" t="inlineStr">
        <is>
          <t>Number of families that gained access to electricity</t>
        </is>
      </c>
      <c r="G6" s="13" t="n">
        <v>0</v>
      </c>
      <c r="H6" s="13" t="inlineStr">
        <is>
          <t>7500 HH</t>
        </is>
      </c>
      <c r="I6" s="22" t="inlineStr">
        <is>
          <t>Achieved on date: 3822</t>
        </is>
      </c>
      <c r="J6" s="6" t="inlineStr">
        <is>
          <t>GEF</t>
        </is>
      </c>
      <c r="K6" s="6" t="n"/>
      <c r="L6" s="50" t="inlineStr">
        <is>
          <t>Non-VF</t>
        </is>
      </c>
      <c r="M6" s="13" t="n"/>
      <c r="N6" s="51" t="inlineStr">
        <is>
          <t>Close the gap on energy access</t>
        </is>
      </c>
      <c r="O6" s="13" t="n"/>
      <c r="P6" s="13" t="n"/>
      <c r="Q6" s="13" t="n"/>
      <c r="R6" s="13" t="n"/>
      <c r="S6" s="52" t="inlineStr">
        <is>
          <t>Unknown</t>
        </is>
      </c>
      <c r="T6" s="13" t="n"/>
      <c r="U6" s="52" t="n"/>
    </row>
    <row r="7" ht="40.5" customHeight="1">
      <c r="A7" s="39" t="n"/>
      <c r="B7" s="24" t="n"/>
      <c r="C7" s="25" t="n"/>
      <c r="D7" s="26" t="n"/>
      <c r="E7" s="27" t="inlineStr">
        <is>
          <t>Energy (MW added)</t>
        </is>
      </c>
      <c r="F7" s="12" t="inlineStr">
        <is>
          <t>MW</t>
        </is>
      </c>
      <c r="G7" s="13" t="n">
        <v>0</v>
      </c>
      <c r="H7" s="13" t="n">
        <v>3</v>
      </c>
      <c r="I7" s="22" t="inlineStr">
        <is>
          <t>Achieved on date:  1.4MW</t>
        </is>
      </c>
      <c r="J7" s="6" t="inlineStr">
        <is>
          <t>GEF</t>
        </is>
      </c>
      <c r="K7" s="6" t="n"/>
      <c r="L7" s="50" t="inlineStr">
        <is>
          <t>Non-VF</t>
        </is>
      </c>
      <c r="M7" s="13" t="n"/>
      <c r="N7" s="51" t="inlineStr">
        <is>
          <t>Close the gap on energy access</t>
        </is>
      </c>
      <c r="O7" s="13" t="n"/>
      <c r="P7" s="13" t="n"/>
      <c r="Q7" s="13" t="n"/>
      <c r="R7" s="13" t="n"/>
      <c r="S7" s="52" t="n"/>
      <c r="T7" s="13" t="n"/>
      <c r="U7" s="52" t="n"/>
    </row>
    <row r="8" ht="45.75" customHeight="1">
      <c r="A8" s="40" t="n"/>
      <c r="C8" s="41" t="n"/>
      <c r="D8" s="30" t="n"/>
      <c r="E8" s="27" t="inlineStr">
        <is>
          <t>Water Services</t>
        </is>
      </c>
      <c r="F8" s="12" t="inlineStr">
        <is>
          <t>Number of families that gained access to water services</t>
        </is>
      </c>
      <c r="G8" s="13" t="n">
        <v>0</v>
      </c>
      <c r="H8" s="13" t="inlineStr">
        <is>
          <t>1500 HH</t>
        </is>
      </c>
      <c r="I8" s="22" t="inlineStr">
        <is>
          <t>Achieved on date:  450 (estimation)</t>
        </is>
      </c>
      <c r="J8" s="6" t="inlineStr">
        <is>
          <t>GEF</t>
        </is>
      </c>
      <c r="K8" s="6" t="n"/>
      <c r="L8" s="50" t="inlineStr">
        <is>
          <t>Non-VF</t>
        </is>
      </c>
      <c r="M8" s="13" t="n"/>
      <c r="N8" s="51" t="inlineStr">
        <is>
          <t>Close the gap on energy access</t>
        </is>
      </c>
      <c r="O8" s="13" t="n"/>
      <c r="P8" s="13" t="n"/>
      <c r="Q8" s="13" t="n"/>
      <c r="R8" s="13" t="n"/>
      <c r="S8" s="52" t="n"/>
      <c r="T8" s="13" t="n"/>
      <c r="U8" s="52" t="n"/>
    </row>
    <row r="9" ht="45.75" customHeight="1">
      <c r="A9" s="40" t="n"/>
      <c r="C9" s="41" t="n"/>
      <c r="D9" s="30" t="n"/>
      <c r="E9" s="27" t="inlineStr">
        <is>
          <t>Capacity Building Training</t>
        </is>
      </c>
      <c r="F9" s="12" t="inlineStr">
        <is>
          <t>Individuals trained</t>
        </is>
      </c>
      <c r="G9" s="13" t="n">
        <v>0</v>
      </c>
      <c r="H9" s="13" t="n">
        <v>10000</v>
      </c>
      <c r="I9" s="22" t="inlineStr">
        <is>
          <t>Achieved on date: 4,500 (estimation)</t>
        </is>
      </c>
      <c r="J9" s="6" t="inlineStr">
        <is>
          <t>GEF</t>
        </is>
      </c>
      <c r="K9" s="6" t="n"/>
      <c r="L9" s="50" t="inlineStr">
        <is>
          <t>Non-VF</t>
        </is>
      </c>
      <c r="M9" s="13" t="n"/>
      <c r="N9" s="51" t="inlineStr">
        <is>
          <t>Close the gap on energy access</t>
        </is>
      </c>
      <c r="O9" s="13" t="n"/>
      <c r="P9" s="13" t="n"/>
      <c r="Q9" s="13" t="n"/>
      <c r="R9" s="13" t="n"/>
      <c r="S9" s="52" t="n"/>
      <c r="T9" s="13" t="n"/>
      <c r="U9" s="52" t="n"/>
    </row>
    <row r="10" ht="45.75" customHeight="1">
      <c r="A10" s="40" t="n"/>
      <c r="C10" s="41" t="n"/>
      <c r="D10" s="30" t="n"/>
      <c r="E10" s="27" t="inlineStr">
        <is>
          <t>Medium Enterprises</t>
        </is>
      </c>
      <c r="F10" s="12" t="inlineStr">
        <is>
          <t>Number of enterprises with access to energy for productive purposes</t>
        </is>
      </c>
      <c r="G10" s="13" t="n">
        <v>0</v>
      </c>
      <c r="H10" s="13" t="n">
        <v>200</v>
      </c>
      <c r="I10" s="22" t="inlineStr">
        <is>
          <t>Achieved on date: 125</t>
        </is>
      </c>
      <c r="J10" s="6" t="inlineStr">
        <is>
          <t>GEF</t>
        </is>
      </c>
      <c r="K10" s="6" t="n"/>
      <c r="L10" s="50" t="inlineStr">
        <is>
          <t>Non-VF</t>
        </is>
      </c>
      <c r="M10" s="13" t="n"/>
      <c r="N10" s="51" t="inlineStr">
        <is>
          <t>Close the gap on energy access</t>
        </is>
      </c>
      <c r="O10" s="13" t="n"/>
      <c r="P10" s="13" t="n"/>
      <c r="Q10" s="13" t="n"/>
      <c r="R10" s="13" t="n"/>
      <c r="S10" s="52" t="n"/>
      <c r="T10" s="13" t="n"/>
      <c r="U10" s="52" t="n"/>
    </row>
    <row r="11" ht="45.75" customHeight="1">
      <c r="A11" s="42" t="n"/>
      <c r="B11" s="32" t="n"/>
      <c r="C11" s="43" t="n"/>
      <c r="D11" s="34" t="n"/>
      <c r="E11" s="27" t="inlineStr">
        <is>
          <t>Entrepreneurship Training</t>
        </is>
      </c>
      <c r="F11" s="12" t="inlineStr">
        <is>
          <t>Number of entrepreneurs trained</t>
        </is>
      </c>
      <c r="G11" s="13" t="n">
        <v>0</v>
      </c>
      <c r="H11" s="13" t="n">
        <v>20</v>
      </c>
      <c r="I11" s="22" t="n">
        <v>12</v>
      </c>
      <c r="J11" s="6" t="inlineStr">
        <is>
          <t>GEF</t>
        </is>
      </c>
      <c r="K11" s="6" t="n"/>
      <c r="L11" s="50" t="inlineStr">
        <is>
          <t>Non-VF</t>
        </is>
      </c>
      <c r="M11" s="13" t="n"/>
      <c r="N11" s="51" t="inlineStr">
        <is>
          <t>Close the gap on energy access</t>
        </is>
      </c>
      <c r="O11" s="13" t="n"/>
      <c r="P11" s="13" t="n"/>
      <c r="Q11" s="13" t="n"/>
      <c r="R11" s="13" t="n"/>
      <c r="S11" s="52" t="n"/>
      <c r="T11" s="13" t="n"/>
      <c r="U11" s="52" t="n"/>
    </row>
  </sheetData>
  <dataValidations count="9">
    <dataValidation sqref="P2:P11" showDropDown="0" showInputMessage="1" showErrorMessage="1" allowBlank="1" type="list">
      <formula1>"AMP, PUDC, Solar4Health, Action Opportunities, Italy UNDP Energy Partnership"</formula1>
    </dataValidation>
    <dataValidation sqref="Q2:Q11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11" showDropDown="0" showInputMessage="1" showErrorMessage="1" allowBlank="1" type="list">
      <formula1>"Accelerating just energy transition, Close the gap on energy access, Scale up energy finance"</formula1>
    </dataValidation>
    <dataValidation sqref="O2:O11" showDropDown="0" showInputMessage="1" showErrorMessage="1" allowBlank="1" type="list">
      <formula1>"Electricity Access, Energy Efficiency, Clean Cooking, Renewable Energy, Overall"</formula1>
    </dataValidation>
    <dataValidation sqref="L2:L11" showDropDown="0" showInputMessage="1" showErrorMessage="1" allowBlank="1" type="list">
      <formula1>"Non-VF, VF"</formula1>
    </dataValidation>
    <dataValidation sqref="M2:M11" showDropDown="0" showInputMessage="1" showErrorMessage="1" allowBlank="1" type="list">
      <formula1>"Finance, Gender, Efficiency, Just, Health"</formula1>
    </dataValidation>
    <dataValidation sqref="T2:T11" showDropDown="0" showInputMessage="1" showErrorMessage="1" allowBlank="1" type="list">
      <formula1>"National, Regional, City, Community"</formula1>
    </dataValidation>
    <dataValidation sqref="S2:S11" showDropDown="0" showInputMessage="1" showErrorMessage="1" allowBlank="1" type="list">
      <formula1>"Solar, Wind, Bioenergy, Hydro, Geothermal, Waste, Other, Unknown"</formula1>
    </dataValidation>
    <dataValidation sqref="R2:R11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6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D1" workbookViewId="0">
      <selection activeCell="G4" sqref="G4"/>
    </sheetView>
  </sheetViews>
  <sheetFormatPr baseColWidth="8" defaultRowHeight="15"/>
  <cols>
    <col width="42.85546875" customWidth="1" min="2" max="2"/>
    <col width="53.42578125" customWidth="1" style="3" min="3" max="3"/>
    <col width="29.5703125" customWidth="1" min="4" max="4"/>
    <col width="20.7109375" customWidth="1" min="5" max="5"/>
    <col width="29.7109375" customWidth="1" style="2" min="6" max="6"/>
    <col width="12.7109375" customWidth="1" min="7" max="7"/>
    <col width="28.140625" customWidth="1" style="3" min="8" max="8"/>
    <col width="32.7109375" customWidth="1" min="9" max="9"/>
  </cols>
  <sheetData>
    <row r="1">
      <c r="A1" s="1" t="inlineStr">
        <is>
          <t>Project ID</t>
        </is>
      </c>
      <c r="B1" s="5" t="inlineStr">
        <is>
          <t>Title</t>
        </is>
      </c>
      <c r="C1" s="9" t="inlineStr">
        <is>
          <t>Link</t>
        </is>
      </c>
      <c r="D1" s="5" t="inlineStr">
        <is>
          <t>Budget</t>
        </is>
      </c>
      <c r="E1" s="5" t="inlineStr">
        <is>
          <t>Beneficiary Category</t>
        </is>
      </c>
      <c r="F1" s="11" t="inlineStr">
        <is>
          <t>Indicator</t>
        </is>
      </c>
      <c r="G1" s="5" t="inlineStr">
        <is>
          <t>Baseline</t>
        </is>
      </c>
      <c r="H1" s="9" t="inlineStr">
        <is>
          <t>Target</t>
        </is>
      </c>
      <c r="I1" s="5" t="inlineStr">
        <is>
          <t>Notes</t>
        </is>
      </c>
      <c r="J1" s="16" t="n"/>
    </row>
    <row r="2" ht="46.5" customHeight="1">
      <c r="A2" s="14" t="n">
        <v>114336</v>
      </c>
      <c r="B2" s="6" t="inlineStr">
        <is>
          <t>Mejor calidad de vida en El Seibo</t>
        </is>
      </c>
      <c r="C2" s="7" t="inlineStr">
        <is>
          <t>http://open.undp.org/projects/00114336</t>
        </is>
      </c>
      <c r="D2" s="10" t="n">
        <v>650039</v>
      </c>
      <c r="E2" s="6" t="inlineStr">
        <is>
          <t>Electricity Access</t>
        </is>
      </c>
      <c r="F2" s="12" t="inlineStr">
        <is>
          <t>Number of families that gained access to electricity</t>
        </is>
      </c>
      <c r="G2" s="13" t="n">
        <v>22</v>
      </c>
      <c r="H2" s="13" t="n">
        <v>95</v>
      </c>
      <c r="I2" s="15" t="inlineStr">
        <is>
          <t>Achieved on date: 3,822</t>
        </is>
      </c>
    </row>
    <row r="3" ht="41.25" customHeight="1">
      <c r="A3" s="14" t="n">
        <v>114336</v>
      </c>
      <c r="B3" s="6" t="inlineStr">
        <is>
          <t>Mejor calidad de vida en El Seibo</t>
        </is>
      </c>
      <c r="C3" s="7" t="inlineStr">
        <is>
          <t>http://open.undp.org/projects/00114337</t>
        </is>
      </c>
      <c r="D3" s="10" t="n">
        <v>650039</v>
      </c>
      <c r="E3" s="6" t="inlineStr">
        <is>
          <t>Water Services</t>
        </is>
      </c>
      <c r="F3" s="12" t="inlineStr">
        <is>
          <t>Number of families that gained access to water services</t>
        </is>
      </c>
      <c r="G3" s="13" t="n">
        <v>0</v>
      </c>
      <c r="H3" s="13" t="n">
        <v>95</v>
      </c>
      <c r="I3" s="15" t="n"/>
    </row>
    <row r="4" ht="46.5" customHeight="1">
      <c r="A4" s="14" t="n">
        <v>114336</v>
      </c>
      <c r="B4" s="6" t="inlineStr">
        <is>
          <t>Mejor calidad de vida en El Seibo</t>
        </is>
      </c>
      <c r="C4" s="7" t="inlineStr">
        <is>
          <t>http://open.undp.org/projects/00114338</t>
        </is>
      </c>
      <c r="D4" s="10" t="n">
        <v>650039</v>
      </c>
      <c r="E4" s="6" t="inlineStr">
        <is>
          <t>Capacity Training</t>
        </is>
      </c>
      <c r="F4" s="12" t="inlineStr">
        <is>
          <t>Individuals trained to manage technology</t>
        </is>
      </c>
      <c r="G4" s="13" t="n">
        <v>0</v>
      </c>
      <c r="H4" s="13" t="n">
        <v>4</v>
      </c>
      <c r="I4" s="15" t="n"/>
    </row>
    <row r="5" ht="46.5" customHeight="1">
      <c r="A5" s="14" t="n">
        <v>114336</v>
      </c>
      <c r="B5" s="6" t="inlineStr">
        <is>
          <t>Mejor calidad de vida en El Seibo</t>
        </is>
      </c>
      <c r="C5" s="7" t="inlineStr">
        <is>
          <t>http://open.undp.org/projects/00114339</t>
        </is>
      </c>
      <c r="D5" s="10" t="n">
        <v>650039</v>
      </c>
      <c r="E5" s="6" t="inlineStr">
        <is>
          <t>Capacity Training</t>
        </is>
      </c>
      <c r="F5" s="12" t="inlineStr">
        <is>
          <t>Number of families trained to access and manage water or electricity services</t>
        </is>
      </c>
      <c r="G5" s="13" t="n">
        <v>0</v>
      </c>
      <c r="H5" s="13" t="n">
        <v>95</v>
      </c>
      <c r="I5" s="15" t="n"/>
    </row>
    <row r="6" ht="58.5" customHeight="1">
      <c r="A6" s="4" t="n">
        <v>10414</v>
      </c>
      <c r="B6" s="6" t="inlineStr">
        <is>
          <t>GEF SGP 7th Operational Phase – Core (Part 2)</t>
        </is>
      </c>
      <c r="C6" s="7" t="inlineStr">
        <is>
          <t>https://www.thegef.org/projects-operations/projects/10414</t>
        </is>
      </c>
      <c r="D6" s="10" t="n">
        <v>20919834</v>
      </c>
      <c r="E6" s="6" t="inlineStr">
        <is>
          <t>Electricity Access</t>
        </is>
      </c>
      <c r="F6" s="12" t="inlineStr">
        <is>
          <t>Number of families that gained access to electricity</t>
        </is>
      </c>
      <c r="G6" s="13" t="n">
        <v>0</v>
      </c>
      <c r="H6" s="13" t="n">
        <v>7500</v>
      </c>
      <c r="I6" s="15" t="inlineStr">
        <is>
          <t>Achieved on date: 3822</t>
        </is>
      </c>
    </row>
    <row r="7" ht="40.5" customHeight="1">
      <c r="A7" s="4" t="n">
        <v>10414</v>
      </c>
      <c r="B7" s="6" t="inlineStr">
        <is>
          <t>GEF SGP 7th Operational Phase – Core (Part 2)</t>
        </is>
      </c>
      <c r="C7" s="7" t="inlineStr">
        <is>
          <t>https://www.thegef.org/projects-operations/projects/10415</t>
        </is>
      </c>
      <c r="D7" s="10" t="n">
        <v>20919834</v>
      </c>
      <c r="E7" s="6" t="inlineStr">
        <is>
          <t>Energy (MW added)</t>
        </is>
      </c>
      <c r="F7" s="12" t="inlineStr">
        <is>
          <t>MW</t>
        </is>
      </c>
      <c r="G7" s="13" t="n">
        <v>0</v>
      </c>
      <c r="H7" s="13" t="inlineStr">
        <is>
          <t>3MW</t>
        </is>
      </c>
      <c r="I7" s="15" t="inlineStr">
        <is>
          <t>Achieved on date:  1.4MW</t>
        </is>
      </c>
    </row>
    <row r="8" ht="30.75" customHeight="1">
      <c r="A8" s="4" t="n">
        <v>10414</v>
      </c>
      <c r="B8" s="6" t="inlineStr">
        <is>
          <t>GEF SGP 7th Operational Phase – Core (Part 2)</t>
        </is>
      </c>
      <c r="C8" s="8" t="inlineStr">
        <is>
          <t>https://www.thegef.org/projects-operations/projects/10415</t>
        </is>
      </c>
      <c r="D8" s="10" t="n">
        <v>20919834</v>
      </c>
      <c r="E8" s="6" t="inlineStr">
        <is>
          <t>Water Services</t>
        </is>
      </c>
      <c r="F8" s="12" t="inlineStr">
        <is>
          <t>Number of families that gained access to water services</t>
        </is>
      </c>
      <c r="G8" s="13" t="n">
        <v>0</v>
      </c>
      <c r="H8" s="13" t="n">
        <v>1500</v>
      </c>
      <c r="I8" s="15" t="inlineStr">
        <is>
          <t>Achieved on date:  450 (estimation)</t>
        </is>
      </c>
    </row>
    <row r="9" ht="19.5" customHeight="1">
      <c r="A9" s="4" t="n">
        <v>10414</v>
      </c>
      <c r="B9" s="6" t="inlineStr">
        <is>
          <t>GEF SGP 7th Operational Phase – Core (Part 2)</t>
        </is>
      </c>
      <c r="C9" s="8" t="inlineStr">
        <is>
          <t>https://www.thegef.org/projects-operations/projects/10416</t>
        </is>
      </c>
      <c r="D9" s="10" t="n">
        <v>20919834</v>
      </c>
      <c r="E9" s="6" t="inlineStr">
        <is>
          <t>Capacity Training</t>
        </is>
      </c>
      <c r="F9" s="12" t="inlineStr">
        <is>
          <t>Individuals trained</t>
        </is>
      </c>
      <c r="G9" s="13" t="n">
        <v>0</v>
      </c>
      <c r="H9" s="13" t="n">
        <v>10000</v>
      </c>
      <c r="I9" s="15" t="inlineStr">
        <is>
          <t>Achieved on date: 4,500 (estimation)</t>
        </is>
      </c>
    </row>
    <row r="10" ht="45.75" customHeight="1">
      <c r="A10" s="4" t="n">
        <v>10414</v>
      </c>
      <c r="B10" s="6" t="inlineStr">
        <is>
          <t>GEF SGP 7th Operational Phase – Core (Part 2)</t>
        </is>
      </c>
      <c r="C10" s="8" t="inlineStr">
        <is>
          <t>https://www.thegef.org/projects-operations/projects/10417</t>
        </is>
      </c>
      <c r="D10" s="10" t="n">
        <v>20919834</v>
      </c>
      <c r="E10" s="6" t="inlineStr">
        <is>
          <t>Medium Enterprises</t>
        </is>
      </c>
      <c r="F10" s="12" t="inlineStr">
        <is>
          <t>Number of enterprises with access to energy for productive purposes</t>
        </is>
      </c>
      <c r="G10" s="13" t="n">
        <v>0</v>
      </c>
      <c r="H10" s="13" t="n">
        <v>200</v>
      </c>
      <c r="I10" s="15" t="inlineStr">
        <is>
          <t>Achieved on date: 125</t>
        </is>
      </c>
    </row>
    <row r="11" ht="30.75" customHeight="1">
      <c r="A11" s="4" t="n">
        <v>10414</v>
      </c>
      <c r="B11" s="6" t="inlineStr">
        <is>
          <t>GEF SGP 7th Operational Phase – Core (Part 2)</t>
        </is>
      </c>
      <c r="C11" s="8" t="inlineStr">
        <is>
          <t>https://www.thegef.org/projects-operations/projects/10418</t>
        </is>
      </c>
      <c r="D11" s="10" t="n">
        <v>20919834</v>
      </c>
      <c r="E11" s="6" t="inlineStr">
        <is>
          <t>Entrepreneurship Training</t>
        </is>
      </c>
      <c r="F11" s="12" t="inlineStr">
        <is>
          <t>Number of entrepreneurs trained</t>
        </is>
      </c>
      <c r="G11" s="13" t="n">
        <v>0</v>
      </c>
      <c r="H11" s="13" t="n">
        <v>20</v>
      </c>
      <c r="I11" s="15" t="n">
        <v>12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display="https://www.thegef.org/projects-operations/projects/10414" r:id="rId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3" sqref="A13"/>
    </sheetView>
  </sheetViews>
  <sheetFormatPr baseColWidth="8" defaultRowHeight="15"/>
  <cols>
    <col width="36" customWidth="1" min="1" max="2"/>
    <col width="110" customWidth="1" min="2" max="2"/>
  </cols>
  <sheetData>
    <row r="1">
      <c r="A1" s="60" t="inlineStr">
        <is>
          <t>Beneficiary Category</t>
        </is>
      </c>
      <c r="B1" s="60" t="inlineStr">
        <is>
          <t>Indicator</t>
        </is>
      </c>
    </row>
    <row r="2" ht="45.75" customHeight="1">
      <c r="A2" s="61" t="inlineStr">
        <is>
          <t>Electricity Access</t>
        </is>
      </c>
      <c r="B2" s="61" t="inlineStr">
        <is>
          <t>Number of people, disaggregated by sex, who gain access to clean electricity (direct access to electricity, lighting, cooling, etc.).</t>
        </is>
      </c>
    </row>
    <row r="3">
      <c r="A3" s="61" t="inlineStr">
        <is>
          <t>Energy (MW added)</t>
        </is>
      </c>
      <c r="B3" s="61" t="inlineStr">
        <is>
          <t>Installed renewable or clean-energy power capacity added, in MW.</t>
        </is>
      </c>
    </row>
    <row r="4" ht="30.75" customHeight="1">
      <c r="A4" s="61" t="inlineStr">
        <is>
          <t>Energy Storage (MW)</t>
        </is>
      </c>
      <c r="B4" s="61" t="inlineStr">
        <is>
          <t>Installed energy storage power capacity added, in MW.</t>
        </is>
      </c>
    </row>
    <row r="5" ht="30.75" customHeight="1">
      <c r="A5" s="61" t="inlineStr">
        <is>
          <t>Clean Cooking</t>
        </is>
      </c>
      <c r="B5" s="61" t="inlineStr">
        <is>
          <t>Number of people who gain access to clean cooking (direct access to clean cook stoves, clean fuels, biomass, etc.).</t>
        </is>
      </c>
    </row>
    <row r="6" ht="91.5" customHeight="1">
      <c r="A6" s="61" t="inlineStr">
        <is>
          <t>Clean Heating</t>
        </is>
      </c>
      <c r="B6" s="61" t="inlineStr">
        <is>
          <t>Number of people who gain access to clean heating (direct access to clean electric heaters, clean fuels, etc.).</t>
        </is>
      </c>
    </row>
    <row r="7" ht="45.75" customHeight="1">
      <c r="A7" s="61" t="inlineStr">
        <is>
          <t>Agriculture and Food System</t>
        </is>
      </c>
      <c r="B7" s="61" t="inlineStr">
        <is>
          <t>Number of people who gain access to clean, affordable, and sustainable energy for agricultural and food-system activities.</t>
        </is>
      </c>
    </row>
    <row r="8" ht="45.75" customHeight="1">
      <c r="A8" s="61" t="inlineStr">
        <is>
          <t>Health Services</t>
        </is>
      </c>
      <c r="B8" s="61" t="inlineStr">
        <is>
          <t>Number of people who gain access to health care facilities through clean energy systems.</t>
        </is>
      </c>
    </row>
    <row r="9" ht="45.75" customHeight="1">
      <c r="A9" s="61" t="inlineStr">
        <is>
          <t>Water Services</t>
        </is>
      </c>
      <c r="B9" s="61" t="inlineStr">
        <is>
          <t>Number of people who gain access to water services through clean energy systems.</t>
        </is>
      </c>
    </row>
    <row r="10" ht="30.75" customHeight="1">
      <c r="A10" s="61" t="inlineStr">
        <is>
          <t>Education Services</t>
        </is>
      </c>
      <c r="B10" s="61" t="inlineStr">
        <is>
          <t>Number of people who gain access to education services through clean energy systems, including students and teachers.</t>
        </is>
      </c>
    </row>
    <row r="11" ht="30.75" customHeight="1">
      <c r="A11" s="61" t="inlineStr">
        <is>
          <t>Transportation and E-mobility Services</t>
        </is>
      </c>
      <c r="B11" s="61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61" t="inlineStr">
        <is>
          <t>Energy Efficiency Services</t>
        </is>
      </c>
      <c r="B12" s="61" t="inlineStr">
        <is>
          <t>Energy saved from energy-efficiency interventions, such as building or industrial efficiency.</t>
        </is>
      </c>
    </row>
    <row r="13" ht="30.75" customHeight="1">
      <c r="A13" s="61" t="inlineStr">
        <is>
          <t>Energy Infrastructure Services</t>
        </is>
      </c>
      <c r="B13" s="61" t="inlineStr">
        <is>
          <t>Number of people benefiting from energy infrastructure interventions, such as streetlights, transmission, and distribution lines.</t>
        </is>
      </c>
    </row>
    <row r="14">
      <c r="A14" s="61" t="inlineStr">
        <is>
          <t>Other Energy Services</t>
        </is>
      </c>
      <c r="B14" s="61" t="inlineStr">
        <is>
          <t>Access to other energy services not captured by the categories above.</t>
        </is>
      </c>
    </row>
    <row r="15" ht="30.75" customHeight="1">
      <c r="A15" s="61" t="inlineStr">
        <is>
          <t>Financing support</t>
        </is>
      </c>
      <c r="B15" s="61" t="inlineStr">
        <is>
          <t>Support for the development of the energy market ecosystem.</t>
        </is>
      </c>
    </row>
    <row r="16" ht="30.75" customHeight="1">
      <c r="A16" s="61" t="inlineStr">
        <is>
          <t>Medium Enterprises</t>
        </is>
      </c>
      <c r="B16" s="61" t="inlineStr">
        <is>
          <t>Support for the development of medium enterprises in the energy transition market.</t>
        </is>
      </c>
    </row>
    <row r="17" ht="30.75" customHeight="1">
      <c r="A17" s="61" t="inlineStr">
        <is>
          <t>Small Enterprises</t>
        </is>
      </c>
      <c r="B17" s="61" t="inlineStr">
        <is>
          <t>Support for the development of small enterprises in the energy transition market.</t>
        </is>
      </c>
    </row>
    <row r="18" ht="30.75" customHeight="1">
      <c r="A18" s="61" t="inlineStr">
        <is>
          <t>Capacity Building Training</t>
        </is>
      </c>
      <c r="B18" s="61" t="inlineStr">
        <is>
          <t>Number of people benefiting from training on energy business, energy finance, or related implementation capacity.</t>
        </is>
      </c>
    </row>
    <row r="19" ht="76.5" customHeight="1">
      <c r="A19" s="61" t="inlineStr">
        <is>
          <t>Entrepreneurship Training</t>
        </is>
      </c>
      <c r="B19" s="61" t="inlineStr">
        <is>
          <t>Training for enterprises on the energy business, assumed to result in direct beneficiaries.</t>
        </is>
      </c>
    </row>
    <row r="20" ht="30.75" customHeight="1">
      <c r="A20" s="61" t="inlineStr">
        <is>
          <t>Market Intervention</t>
        </is>
      </c>
      <c r="B20" s="61" t="inlineStr">
        <is>
          <t>Volume of investment leveraged or barriers removed for clean, reliable, affordable, and sustainable energy solutions.</t>
        </is>
      </c>
    </row>
    <row r="21" ht="45.75" customHeight="1">
      <c r="A21" s="61" t="inlineStr">
        <is>
          <t>Campaign Participant</t>
        </is>
      </c>
      <c r="B21" s="61" t="inlineStr">
        <is>
          <t>Individuals who participate in advocacy or awareness campaigns on energy.</t>
        </is>
      </c>
    </row>
    <row r="22" ht="30.75" customHeight="1">
      <c r="A22" s="61" t="inlineStr">
        <is>
          <t>Policy or Regulatory Framework</t>
        </is>
      </c>
      <c r="B22" s="61" t="inlineStr">
        <is>
          <t>Policies, regulations, strategies, plans, or frameworks developed, approved, implemented, or strengthened.</t>
        </is>
      </c>
    </row>
    <row r="23">
      <c r="A23" s="61" t="inlineStr">
        <is>
          <t>GHG Emissions Reduction</t>
        </is>
      </c>
      <c r="B23" s="61" t="inlineStr">
        <is>
          <t>Greenhouse gas emissions reduced or mitigated, in tCO2e.</t>
        </is>
      </c>
    </row>
    <row r="24">
      <c r="A24" s="61" t="inlineStr">
        <is>
          <t>Other</t>
        </is>
      </c>
      <c r="B24" s="6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2026-06-10T12:20:13Z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