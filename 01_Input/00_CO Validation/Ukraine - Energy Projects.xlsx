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381" firstSheet="0" activeTab="0" autoFilterDateGrouping="1"/>
  </bookViews>
  <sheets>
    <sheet xmlns:r="http://schemas.openxmlformats.org/officeDocument/2006/relationships" name="Projects (3)" sheetId="1" state="visible" r:id="rId1"/>
    <sheet xmlns:r="http://schemas.openxmlformats.org/officeDocument/2006/relationships" name="Projects (2.6)" sheetId="2" state="visible" r:id="rId2"/>
    <sheet xmlns:r="http://schemas.openxmlformats.org/officeDocument/2006/relationships" name="Projects (2.5)" sheetId="3" state="visible" r:id="rId3"/>
    <sheet xmlns:r="http://schemas.openxmlformats.org/officeDocument/2006/relationships" name="Projects" sheetId="4" state="hidden" r:id="rId4"/>
    <sheet xmlns:r="http://schemas.openxmlformats.org/officeDocument/2006/relationships" name="Beneficiary Categories" sheetId="5" state="visible" r:id="rId5"/>
  </sheets>
  <definedNames/>
  <calcPr calcId="191028" fullCalcOnLoad="1"/>
</workbook>
</file>

<file path=xl/styles.xml><?xml version="1.0" encoding="utf-8"?>
<styleSheet xmlns="http://schemas.openxmlformats.org/spreadsheetml/2006/main">
  <numFmts count="1">
    <numFmt numFmtId="164" formatCode="_(* #,##0_);_(* \(#,##0\);_(* &quot;-&quot;??_);_(@_)"/>
  </numFmts>
  <fonts count="20">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family val="2"/>
      <color rgb="FFFF0000"/>
      <sz val="11"/>
      <scheme val="minor"/>
    </font>
    <font>
      <name val="Calibri"/>
      <charset val="1"/>
      <family val="2"/>
      <color rgb="FF000000"/>
      <sz val="11"/>
    </font>
    <font>
      <name val="Calibri"/>
      <b val="1"/>
      <color theme="1"/>
      <sz val="11"/>
      <scheme val="minor"/>
    </font>
    <font>
      <name val="Calibri"/>
      <color rgb="FF000000"/>
      <sz val="11"/>
      <scheme val="minor"/>
    </font>
    <font>
      <name val="Calibri"/>
      <family val="2"/>
      <color theme="10"/>
      <sz val="11"/>
      <u val="single"/>
      <scheme val="minor"/>
    </font>
    <font>
      <name val="Calibri"/>
      <b val="1"/>
      <color rgb="FF000000"/>
      <sz val="11"/>
      <scheme val="minor"/>
    </font>
    <font>
      <name val="Calibri"/>
      <family val="2"/>
      <color rgb="FF000000"/>
      <sz val="11"/>
      <scheme val="minor"/>
    </font>
    <font>
      <name val="Calibri"/>
      <color rgb="FF000000"/>
      <sz val="11"/>
    </font>
    <font>
      <name val="Calibri"/>
      <color rgb="FFFF0000"/>
      <sz val="11"/>
    </font>
    <font>
      <name val="Calibri"/>
      <color theme="1"/>
      <sz val="11"/>
    </font>
    <font>
      <name val="Calibri"/>
      <family val="2"/>
      <color rgb="FF000000"/>
      <sz val="10"/>
      <scheme val="minor"/>
    </font>
    <font>
      <name val="Calibri"/>
      <color rgb="FF000000"/>
      <sz val="10"/>
      <scheme val="minor"/>
    </font>
    <font>
      <name val="Calibri"/>
      <b val="1"/>
      <color rgb="FF000000"/>
      <sz val="10"/>
      <scheme val="minor"/>
    </font>
    <font>
      <name val="Calibri"/>
      <color theme="10"/>
      <sz val="11"/>
      <u val="single"/>
    </font>
    <font>
      <name val="Calibri"/>
      <charset val="1"/>
      <color rgb="FF000000"/>
      <sz val="11"/>
    </font>
    <font>
      <b val="1"/>
    </font>
  </fonts>
  <fills count="7">
    <fill>
      <patternFill/>
    </fill>
    <fill>
      <patternFill patternType="gray125"/>
    </fill>
    <fill>
      <patternFill patternType="solid">
        <fgColor rgb="FFFFE497"/>
        <bgColor indexed="64"/>
      </patternFill>
    </fill>
    <fill>
      <patternFill patternType="solid">
        <fgColor theme="8" tint="0.7999816888943144"/>
        <bgColor indexed="64"/>
      </patternFill>
    </fill>
    <fill>
      <patternFill patternType="solid">
        <fgColor theme="7" tint="0.5999938962981048"/>
        <bgColor indexed="64"/>
      </patternFill>
    </fill>
    <fill>
      <patternFill patternType="solid">
        <fgColor theme="0"/>
        <bgColor indexed="64"/>
      </patternFill>
    </fill>
    <fill>
      <patternFill patternType="solid">
        <fgColor rgb="00FFFF00"/>
      </patternFill>
    </fill>
  </fills>
  <borders count="3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style="thin">
        <color auto="1"/>
      </left>
      <right/>
      <top style="thin">
        <color auto="1"/>
      </top>
      <bottom style="thin">
        <color auto="1"/>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bottom/>
      <diagonal/>
    </border>
    <border>
      <left style="thin">
        <color rgb="FF000000"/>
      </left>
      <right style="thin">
        <color rgb="FF000000"/>
      </right>
      <top style="medium">
        <color rgb="FF000000"/>
      </top>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rgb="FF000000"/>
      </right>
      <top/>
      <bottom/>
      <diagonal/>
    </border>
    <border>
      <left/>
      <right/>
      <top style="thin">
        <color rgb="FF000000"/>
      </top>
      <bottom style="thin">
        <color rgb="FF000000"/>
      </bottom>
      <diagonal/>
    </border>
    <border>
      <left/>
      <right style="thin">
        <color rgb="FF000000"/>
      </right>
      <top style="medium">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s>
  <cellStyleXfs count="2">
    <xf numFmtId="0" fontId="0" fillId="0" borderId="0"/>
    <xf numFmtId="0" fontId="8" fillId="0" borderId="0"/>
  </cellStyleXfs>
  <cellXfs count="221">
    <xf numFmtId="0" fontId="0" fillId="0" borderId="0" pivotButton="0" quotePrefix="0" xfId="0"/>
    <xf numFmtId="0" fontId="2" fillId="0" borderId="1" applyAlignment="1" pivotButton="0" quotePrefix="0" xfId="0">
      <alignment horizontal="center" vertical="top"/>
    </xf>
    <xf numFmtId="0" fontId="3" fillId="0" borderId="0" pivotButton="0" quotePrefix="0" xfId="1"/>
    <xf numFmtId="0" fontId="0" fillId="2" borderId="0" pivotButton="0" quotePrefix="0" xfId="0"/>
    <xf numFmtId="0" fontId="4" fillId="0" borderId="0" pivotButton="0" quotePrefix="0" xfId="0"/>
    <xf numFmtId="0" fontId="5" fillId="0" borderId="0" pivotButton="0" quotePrefix="0" xfId="0"/>
    <xf numFmtId="0" fontId="6" fillId="0" borderId="2" applyAlignment="1" pivotButton="0" quotePrefix="0" xfId="0">
      <alignment horizontal="center" vertical="top" wrapText="1"/>
    </xf>
    <xf numFmtId="0" fontId="7" fillId="0" borderId="2" applyAlignment="1" pivotButton="0" quotePrefix="0" xfId="0">
      <alignment wrapText="1"/>
    </xf>
    <xf numFmtId="0" fontId="2" fillId="0" borderId="2" applyAlignment="1" pivotButton="0" quotePrefix="0" xfId="0">
      <alignment horizontal="center"/>
    </xf>
    <xf numFmtId="0" fontId="2" fillId="0" borderId="3" applyAlignment="1" pivotButton="0" quotePrefix="0" xfId="0">
      <alignment horizontal="center"/>
    </xf>
    <xf numFmtId="0" fontId="2" fillId="0" borderId="4" applyAlignment="1" pivotButton="0" quotePrefix="0" xfId="0">
      <alignment horizontal="center"/>
    </xf>
    <xf numFmtId="0" fontId="2" fillId="0" borderId="3" pivotButton="0" quotePrefix="0" xfId="0"/>
    <xf numFmtId="0" fontId="0" fillId="0" borderId="5" applyAlignment="1" pivotButton="0" quotePrefix="0" xfId="0">
      <alignment horizontal="center" vertical="center"/>
    </xf>
    <xf numFmtId="0" fontId="0" fillId="0" borderId="2" applyAlignment="1" pivotButton="0" quotePrefix="0" xfId="0">
      <alignment horizontal="center" vertical="center"/>
    </xf>
    <xf numFmtId="0" fontId="0" fillId="0" borderId="6" applyAlignment="1" pivotButton="0" quotePrefix="0" xfId="0">
      <alignment horizontal="center" vertical="center" wrapText="1"/>
    </xf>
    <xf numFmtId="0" fontId="0" fillId="0" borderId="2" applyAlignment="1" pivotButton="0" quotePrefix="0" xfId="0">
      <alignment vertical="center"/>
    </xf>
    <xf numFmtId="0" fontId="0" fillId="0" borderId="7" pivotButton="0" quotePrefix="0" xfId="0"/>
    <xf numFmtId="0" fontId="0" fillId="2" borderId="7" pivotButton="0" quotePrefix="0" xfId="0"/>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wrapText="1"/>
    </xf>
    <xf numFmtId="0" fontId="0" fillId="0" borderId="9"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wrapText="1"/>
    </xf>
    <xf numFmtId="0" fontId="0" fillId="0" borderId="12" applyAlignment="1" pivotButton="0" quotePrefix="0" xfId="0">
      <alignment vertical="center"/>
    </xf>
    <xf numFmtId="0" fontId="0" fillId="0" borderId="14" applyAlignment="1" pivotButton="0" quotePrefix="0" xfId="0">
      <alignment horizontal="center" vertical="center"/>
    </xf>
    <xf numFmtId="0" fontId="0" fillId="0" borderId="15" applyAlignment="1" pivotButton="0" quotePrefix="0" xfId="0">
      <alignment horizontal="center" vertical="center"/>
    </xf>
    <xf numFmtId="0" fontId="0" fillId="0" borderId="16" applyAlignment="1" pivotButton="0" quotePrefix="0" xfId="0">
      <alignment horizontal="center" vertical="center" wrapText="1"/>
    </xf>
    <xf numFmtId="0" fontId="0" fillId="0" borderId="15" applyAlignment="1" pivotButton="0" quotePrefix="0" xfId="0">
      <alignment vertical="center"/>
    </xf>
    <xf numFmtId="0" fontId="2" fillId="0" borderId="17" applyAlignment="1" pivotButton="0" quotePrefix="0" xfId="0">
      <alignment horizontal="center" vertical="top"/>
    </xf>
    <xf numFmtId="0" fontId="2" fillId="0" borderId="18" applyAlignment="1" pivotButton="0" quotePrefix="0" xfId="0">
      <alignment horizontal="center" vertical="top"/>
    </xf>
    <xf numFmtId="0" fontId="0" fillId="0" borderId="19" pivotButton="0" quotePrefix="0" xfId="0"/>
    <xf numFmtId="0" fontId="0" fillId="0" borderId="15" pivotButton="0" quotePrefix="0" xfId="0"/>
    <xf numFmtId="0" fontId="2" fillId="0" borderId="21" applyAlignment="1" pivotButton="0" quotePrefix="0" xfId="0">
      <alignment horizontal="center" vertical="top"/>
    </xf>
    <xf numFmtId="0" fontId="2" fillId="0" borderId="22" applyAlignment="1" pivotButton="0" quotePrefix="0" xfId="0">
      <alignment horizontal="center" vertical="top"/>
    </xf>
    <xf numFmtId="3" fontId="0" fillId="0" borderId="19" pivotButton="0" quotePrefix="0" xfId="0"/>
    <xf numFmtId="3" fontId="0" fillId="0" borderId="15" pivotButton="0" quotePrefix="0" xfId="0"/>
    <xf numFmtId="0" fontId="0" fillId="2" borderId="23" pivotButton="0" quotePrefix="0" xfId="0"/>
    <xf numFmtId="0" fontId="0" fillId="0" borderId="23" pivotButton="0" quotePrefix="0" xfId="0"/>
    <xf numFmtId="0" fontId="0" fillId="0" borderId="23" pivotButton="0" quotePrefix="1" xfId="0"/>
    <xf numFmtId="0" fontId="0" fillId="0" borderId="16" pivotButton="0" quotePrefix="1" xfId="0"/>
    <xf numFmtId="0" fontId="2" fillId="0" borderId="24" applyAlignment="1" pivotButton="0" quotePrefix="0" xfId="0">
      <alignment horizontal="center" vertical="center"/>
    </xf>
    <xf numFmtId="3" fontId="0" fillId="0" borderId="16" pivotButton="0" quotePrefix="0" xfId="0"/>
    <xf numFmtId="0" fontId="3" fillId="0" borderId="19" pivotButton="0" quotePrefix="0" xfId="1"/>
    <xf numFmtId="0" fontId="8" fillId="0" borderId="7" pivotButton="0" quotePrefix="0" xfId="1"/>
    <xf numFmtId="0" fontId="0" fillId="0" borderId="0" applyAlignment="1" pivotButton="0" quotePrefix="0" xfId="0">
      <alignment wrapText="1"/>
    </xf>
    <xf numFmtId="0" fontId="0" fillId="0" borderId="19" applyAlignment="1" pivotButton="0" quotePrefix="0" xfId="0">
      <alignment horizontal="center" vertical="center"/>
    </xf>
    <xf numFmtId="3" fontId="0" fillId="2" borderId="7" pivotButton="0" quotePrefix="0" xfId="0"/>
    <xf numFmtId="0" fontId="0" fillId="2" borderId="16" applyAlignment="1" pivotButton="0" quotePrefix="0" xfId="0">
      <alignment wrapText="1"/>
    </xf>
    <xf numFmtId="0" fontId="2" fillId="0" borderId="13" applyAlignment="1" pivotButton="0" quotePrefix="0" xfId="0">
      <alignment wrapText="1"/>
    </xf>
    <xf numFmtId="0" fontId="0" fillId="0" borderId="23" applyAlignment="1" pivotButton="0" quotePrefix="0" xfId="0">
      <alignment wrapText="1"/>
    </xf>
    <xf numFmtId="0" fontId="0" fillId="0" borderId="16" applyAlignment="1" pivotButton="0" quotePrefix="0" xfId="0">
      <alignment wrapText="1"/>
    </xf>
    <xf numFmtId="0" fontId="0" fillId="0" borderId="16" applyAlignment="1" pivotButton="0" quotePrefix="0" xfId="0">
      <alignment horizontal="center" wrapText="1"/>
    </xf>
    <xf numFmtId="0" fontId="0" fillId="0" borderId="2" pivotButton="0" quotePrefix="0" xfId="0"/>
    <xf numFmtId="0" fontId="0" fillId="0" borderId="2" applyAlignment="1" pivotButton="0" quotePrefix="1" xfId="0">
      <alignment wrapText="1"/>
    </xf>
    <xf numFmtId="0" fontId="10" fillId="0" borderId="2" applyAlignment="1" pivotButton="0" quotePrefix="0" xfId="0">
      <alignment wrapText="1"/>
    </xf>
    <xf numFmtId="3" fontId="0" fillId="0" borderId="2" pivotButton="0" quotePrefix="0" xfId="0"/>
    <xf numFmtId="0" fontId="0" fillId="0" borderId="2" applyAlignment="1" pivotButton="0" quotePrefix="0" xfId="0">
      <alignment wrapText="1"/>
    </xf>
    <xf numFmtId="3" fontId="10" fillId="0" borderId="2" applyAlignment="1" pivotButton="0" quotePrefix="0" xfId="0">
      <alignment horizontal="right"/>
    </xf>
    <xf numFmtId="0" fontId="13" fillId="0" borderId="2" applyAlignment="1" pivotButton="0" quotePrefix="0" xfId="0">
      <alignment wrapText="1"/>
    </xf>
    <xf numFmtId="3" fontId="0" fillId="0" borderId="23" pivotButton="0" quotePrefix="0" xfId="0"/>
    <xf numFmtId="0" fontId="0" fillId="0" borderId="23" applyAlignment="1" pivotButton="0" quotePrefix="0" xfId="0">
      <alignment horizontal="center" wrapText="1"/>
    </xf>
    <xf numFmtId="0" fontId="0" fillId="0" borderId="26" applyAlignment="1" pivotButton="0" quotePrefix="0" xfId="0">
      <alignment horizontal="center" vertical="center"/>
    </xf>
    <xf numFmtId="0" fontId="0" fillId="0" borderId="23" applyAlignment="1" pivotButton="0" quotePrefix="0" xfId="0">
      <alignment horizontal="center" vertical="center" wrapText="1"/>
    </xf>
    <xf numFmtId="0" fontId="0" fillId="0" borderId="19" applyAlignment="1" pivotButton="0" quotePrefix="0" xfId="0">
      <alignment vertical="center"/>
    </xf>
    <xf numFmtId="3" fontId="10" fillId="0" borderId="2" pivotButton="0" quotePrefix="0" xfId="0"/>
    <xf numFmtId="3" fontId="10" fillId="0" borderId="2" applyAlignment="1" pivotButton="0" quotePrefix="0" xfId="0">
      <alignment horizontal="left"/>
    </xf>
    <xf numFmtId="0" fontId="11" fillId="0" borderId="2" applyAlignment="1" pivotButton="0" quotePrefix="0" xfId="0">
      <alignment wrapText="1"/>
    </xf>
    <xf numFmtId="0" fontId="10" fillId="0" borderId="2" applyAlignment="1" pivotButton="0" quotePrefix="0" xfId="0">
      <alignment horizontal="left"/>
    </xf>
    <xf numFmtId="0" fontId="8" fillId="0" borderId="2" applyAlignment="1" pivotButton="0" quotePrefix="0" xfId="1">
      <alignment wrapText="1"/>
    </xf>
    <xf numFmtId="0" fontId="8" fillId="0" borderId="0" applyAlignment="1" pivotButton="0" quotePrefix="0" xfId="1">
      <alignment wrapText="1"/>
    </xf>
    <xf numFmtId="3" fontId="0" fillId="3" borderId="16" pivotButton="0" quotePrefix="0" xfId="0"/>
    <xf numFmtId="0" fontId="0" fillId="3" borderId="7" pivotButton="0" quotePrefix="0" xfId="0"/>
    <xf numFmtId="0" fontId="0" fillId="3" borderId="15" pivotButton="0" quotePrefix="0" xfId="0"/>
    <xf numFmtId="3" fontId="0" fillId="3" borderId="15" pivotButton="0" quotePrefix="0" xfId="0"/>
    <xf numFmtId="0" fontId="0" fillId="3" borderId="16" pivotButton="0" quotePrefix="1" xfId="0"/>
    <xf numFmtId="0" fontId="0" fillId="3" borderId="19" pivotButton="0" quotePrefix="0" xfId="0"/>
    <xf numFmtId="0" fontId="0" fillId="3" borderId="0" pivotButton="0" quotePrefix="0" xfId="0"/>
    <xf numFmtId="3" fontId="0" fillId="3" borderId="19" pivotButton="0" quotePrefix="0" xfId="0"/>
    <xf numFmtId="0" fontId="0" fillId="3" borderId="23" pivotButton="0" quotePrefix="1" xfId="0"/>
    <xf numFmtId="3" fontId="0" fillId="3" borderId="23" pivotButton="0" quotePrefix="0" xfId="0"/>
    <xf numFmtId="0" fontId="0" fillId="3" borderId="23" pivotButton="0" quotePrefix="0" xfId="0"/>
    <xf numFmtId="0" fontId="0" fillId="4" borderId="2" pivotButton="0" quotePrefix="0" xfId="0"/>
    <xf numFmtId="0" fontId="14" fillId="4" borderId="2" applyAlignment="1" pivotButton="0" quotePrefix="0" xfId="0">
      <alignment wrapText="1"/>
    </xf>
    <xf numFmtId="3" fontId="0" fillId="4" borderId="2" pivotButton="0" quotePrefix="0" xfId="0"/>
    <xf numFmtId="0" fontId="0" fillId="4" borderId="2" applyAlignment="1" pivotButton="0" quotePrefix="0" xfId="0">
      <alignment wrapText="1"/>
    </xf>
    <xf numFmtId="3" fontId="10" fillId="4" borderId="2" applyAlignment="1" pivotButton="0" quotePrefix="0" xfId="0">
      <alignment horizontal="right"/>
    </xf>
    <xf numFmtId="0" fontId="13" fillId="4" borderId="2" applyAlignment="1" pivotButton="0" quotePrefix="0" xfId="0">
      <alignment wrapText="1"/>
    </xf>
    <xf numFmtId="3" fontId="10" fillId="4" borderId="2" pivotButton="0" quotePrefix="0" xfId="0"/>
    <xf numFmtId="0" fontId="10" fillId="4" borderId="2" applyAlignment="1" pivotButton="0" quotePrefix="0" xfId="0">
      <alignment wrapText="1"/>
    </xf>
    <xf numFmtId="3" fontId="10" fillId="4" borderId="2" applyAlignment="1" pivotButton="0" quotePrefix="0" xfId="0">
      <alignment horizontal="left"/>
    </xf>
    <xf numFmtId="0" fontId="11" fillId="4" borderId="2" applyAlignment="1" pivotButton="0" quotePrefix="0" xfId="0">
      <alignment wrapText="1"/>
    </xf>
    <xf numFmtId="0" fontId="10" fillId="4" borderId="2" applyAlignment="1" pivotButton="0" quotePrefix="0" xfId="0">
      <alignment horizontal="left"/>
    </xf>
    <xf numFmtId="0" fontId="7" fillId="4" borderId="2" applyAlignment="1" pivotButton="0" quotePrefix="0" xfId="0">
      <alignment wrapText="1"/>
    </xf>
    <xf numFmtId="0" fontId="0" fillId="4" borderId="2" applyAlignment="1" pivotButton="0" quotePrefix="0" xfId="0">
      <alignment vertical="center"/>
    </xf>
    <xf numFmtId="0" fontId="0" fillId="4" borderId="2" applyAlignment="1" pivotButton="0" quotePrefix="1" xfId="0">
      <alignment vertical="center" wrapText="1"/>
    </xf>
    <xf numFmtId="0" fontId="0" fillId="0" borderId="7" applyAlignment="1" pivotButton="0" quotePrefix="0" xfId="0">
      <alignment vertical="center"/>
    </xf>
    <xf numFmtId="0" fontId="8" fillId="0" borderId="7" applyAlignment="1" pivotButton="0" quotePrefix="0" xfId="1">
      <alignment vertical="center"/>
    </xf>
    <xf numFmtId="3" fontId="0" fillId="0" borderId="7" applyAlignment="1" pivotButton="0" quotePrefix="0" xfId="0">
      <alignment vertical="center"/>
    </xf>
    <xf numFmtId="0" fontId="0" fillId="0" borderId="16" applyAlignment="1" pivotButton="0" quotePrefix="0" xfId="0">
      <alignment vertical="center" wrapText="1"/>
    </xf>
    <xf numFmtId="0" fontId="0" fillId="0" borderId="0" applyAlignment="1" pivotButton="0" quotePrefix="0" xfId="0">
      <alignment vertical="center"/>
    </xf>
    <xf numFmtId="0" fontId="4" fillId="0" borderId="0" applyAlignment="1" pivotButton="0" quotePrefix="0" xfId="0">
      <alignment vertical="center"/>
    </xf>
    <xf numFmtId="0" fontId="3" fillId="0" borderId="0" applyAlignment="1" pivotButton="0" quotePrefix="0" xfId="1">
      <alignment vertical="center"/>
    </xf>
    <xf numFmtId="0" fontId="3" fillId="0" borderId="19" applyAlignment="1" pivotButton="0" quotePrefix="0" xfId="1">
      <alignment vertical="center"/>
    </xf>
    <xf numFmtId="0" fontId="8" fillId="3" borderId="19" applyAlignment="1" pivotButton="0" quotePrefix="0" xfId="1">
      <alignment vertical="center"/>
    </xf>
    <xf numFmtId="0" fontId="0" fillId="3" borderId="19" applyAlignment="1" pivotButton="0" quotePrefix="0" xfId="0">
      <alignment vertical="center"/>
    </xf>
    <xf numFmtId="0" fontId="8" fillId="4" borderId="0" applyAlignment="1" pivotButton="0" quotePrefix="0" xfId="1">
      <alignment vertical="center" wrapText="1"/>
    </xf>
    <xf numFmtId="0" fontId="17" fillId="0" borderId="0" applyAlignment="1" pivotButton="0" quotePrefix="0" xfId="1">
      <alignment vertical="center"/>
    </xf>
    <xf numFmtId="0" fontId="17" fillId="0" borderId="19" applyAlignment="1" pivotButton="0" quotePrefix="0" xfId="1">
      <alignment vertical="center"/>
    </xf>
    <xf numFmtId="0" fontId="18" fillId="0" borderId="0" pivotButton="0" quotePrefix="0" xfId="0"/>
    <xf numFmtId="0" fontId="0" fillId="4" borderId="2" applyAlignment="1" pivotButton="0" quotePrefix="0" xfId="0">
      <alignment vertical="center" wrapText="1"/>
    </xf>
    <xf numFmtId="43" fontId="0" fillId="4" borderId="2" applyAlignment="1" pivotButton="0" quotePrefix="0" xfId="0">
      <alignment wrapText="1"/>
    </xf>
    <xf numFmtId="43" fontId="0" fillId="0" borderId="0" pivotButton="0" quotePrefix="0" xfId="0"/>
    <xf numFmtId="43" fontId="0" fillId="4" borderId="0" pivotButton="0" quotePrefix="0" xfId="0"/>
    <xf numFmtId="43" fontId="0" fillId="4" borderId="2" pivotButton="0" quotePrefix="0" xfId="0"/>
    <xf numFmtId="0" fontId="0" fillId="4" borderId="3" applyAlignment="1" pivotButton="0" quotePrefix="0" xfId="0">
      <alignment vertical="center"/>
    </xf>
    <xf numFmtId="0" fontId="0" fillId="4" borderId="3" applyAlignment="1" pivotButton="0" quotePrefix="0" xfId="0">
      <alignment vertical="center" wrapText="1"/>
    </xf>
    <xf numFmtId="0" fontId="0" fillId="4" borderId="3" pivotButton="0" quotePrefix="0" xfId="0"/>
    <xf numFmtId="3" fontId="0" fillId="4" borderId="3" pivotButton="0" quotePrefix="0" xfId="0"/>
    <xf numFmtId="0" fontId="0" fillId="4" borderId="3" applyAlignment="1" pivotButton="0" quotePrefix="0" xfId="0">
      <alignment wrapText="1"/>
    </xf>
    <xf numFmtId="43" fontId="0" fillId="4" borderId="3" pivotButton="0" quotePrefix="0" xfId="0"/>
    <xf numFmtId="0" fontId="0" fillId="0" borderId="3" pivotButton="0" quotePrefix="0" xfId="0"/>
    <xf numFmtId="0" fontId="0" fillId="0" borderId="6" applyAlignment="1" pivotButton="0" quotePrefix="0" xfId="0">
      <alignment wrapText="1"/>
    </xf>
    <xf numFmtId="0" fontId="0" fillId="0" borderId="7" applyAlignment="1" pivotButton="0" quotePrefix="1" xfId="0">
      <alignment vertical="center"/>
    </xf>
    <xf numFmtId="0" fontId="0" fillId="0" borderId="4" pivotButton="0" quotePrefix="0" xfId="0"/>
    <xf numFmtId="0" fontId="0" fillId="0" borderId="5" pivotButton="0" quotePrefix="0" xfId="0"/>
    <xf numFmtId="43" fontId="2" fillId="0" borderId="18" applyAlignment="1" pivotButton="0" quotePrefix="0" xfId="0">
      <alignment horizontal="center" vertical="top"/>
    </xf>
    <xf numFmtId="43" fontId="0" fillId="0" borderId="19" pivotButton="0" quotePrefix="0" xfId="0"/>
    <xf numFmtId="43" fontId="0" fillId="0" borderId="15" applyAlignment="1" pivotButton="0" quotePrefix="0" xfId="0">
      <alignment vertical="center"/>
    </xf>
    <xf numFmtId="0" fontId="10" fillId="4" borderId="2" applyAlignment="1" pivotButton="0" quotePrefix="0" xfId="0">
      <alignment horizontal="right"/>
    </xf>
    <xf numFmtId="43" fontId="15" fillId="4" borderId="2" applyAlignment="1" pivotButton="0" quotePrefix="0" xfId="0">
      <alignment horizontal="center" wrapText="1"/>
    </xf>
    <xf numFmtId="0" fontId="0" fillId="0" borderId="6" pivotButton="0" quotePrefix="0" xfId="0"/>
    <xf numFmtId="0" fontId="0" fillId="0" borderId="27" applyAlignment="1" pivotButton="0" quotePrefix="0" xfId="0">
      <alignment wrapText="1"/>
    </xf>
    <xf numFmtId="0" fontId="0" fillId="0" borderId="27" pivotButton="0" quotePrefix="0" xfId="0"/>
    <xf numFmtId="0" fontId="0" fillId="4" borderId="4" pivotButton="0" quotePrefix="0" xfId="0"/>
    <xf numFmtId="0" fontId="0" fillId="5" borderId="0" pivotButton="0" quotePrefix="0" xfId="0"/>
    <xf numFmtId="43" fontId="0" fillId="5" borderId="0" pivotButton="0" quotePrefix="0" xfId="0"/>
    <xf numFmtId="43" fontId="0" fillId="4" borderId="19" applyAlignment="1" pivotButton="0" quotePrefix="0" xfId="0">
      <alignment wrapText="1"/>
    </xf>
    <xf numFmtId="0" fontId="0" fillId="4" borderId="19" applyAlignment="1" pivotButton="0" quotePrefix="0" xfId="0">
      <alignment vertical="center"/>
    </xf>
    <xf numFmtId="0" fontId="0" fillId="4" borderId="19" applyAlignment="1" pivotButton="0" quotePrefix="0" xfId="0">
      <alignment vertical="center" wrapText="1"/>
    </xf>
    <xf numFmtId="0" fontId="0" fillId="4" borderId="26" applyAlignment="1" pivotButton="0" quotePrefix="0" xfId="0">
      <alignment vertical="center"/>
    </xf>
    <xf numFmtId="0" fontId="0" fillId="4" borderId="19" pivotButton="0" quotePrefix="0" xfId="0"/>
    <xf numFmtId="0" fontId="0" fillId="4" borderId="19" applyAlignment="1" pivotButton="0" quotePrefix="0" xfId="0">
      <alignment wrapText="1"/>
    </xf>
    <xf numFmtId="43" fontId="0" fillId="4" borderId="11" pivotButton="0" quotePrefix="0" xfId="0"/>
    <xf numFmtId="43" fontId="0" fillId="4" borderId="23" pivotButton="0" quotePrefix="0" xfId="0"/>
    <xf numFmtId="0" fontId="0" fillId="0" borderId="3" applyAlignment="1" pivotButton="0" quotePrefix="0" xfId="0">
      <alignment wrapText="1"/>
    </xf>
    <xf numFmtId="43" fontId="0" fillId="0" borderId="3" pivotButton="0" quotePrefix="0" xfId="0"/>
    <xf numFmtId="43" fontId="0" fillId="0" borderId="2" pivotButton="0" quotePrefix="0" xfId="0"/>
    <xf numFmtId="0" fontId="0" fillId="0" borderId="20" applyAlignment="1" pivotButton="0" quotePrefix="0" xfId="0">
      <alignment vertical="center"/>
    </xf>
    <xf numFmtId="3" fontId="0" fillId="4" borderId="2" applyAlignment="1" pivotButton="0" quotePrefix="0" xfId="0">
      <alignment horizontal="right"/>
    </xf>
    <xf numFmtId="43" fontId="0" fillId="4" borderId="3" applyAlignment="1" pivotButton="0" quotePrefix="0" xfId="0">
      <alignment horizontal="right"/>
    </xf>
    <xf numFmtId="43" fontId="0" fillId="4" borderId="2" applyAlignment="1" pivotButton="0" quotePrefix="0" xfId="0">
      <alignment horizontal="right"/>
    </xf>
    <xf numFmtId="43" fontId="0" fillId="4" borderId="23" applyAlignment="1" pivotButton="0" quotePrefix="0" xfId="0">
      <alignment horizontal="right"/>
    </xf>
    <xf numFmtId="43" fontId="0" fillId="0" borderId="3" applyAlignment="1" pivotButton="0" quotePrefix="0" xfId="0">
      <alignment horizontal="right"/>
    </xf>
    <xf numFmtId="3" fontId="0" fillId="4" borderId="2" applyAlignment="1" pivotButton="0" quotePrefix="0" xfId="0">
      <alignment wrapText="1"/>
    </xf>
    <xf numFmtId="0" fontId="0" fillId="0" borderId="25" applyAlignment="1" pivotButton="0" quotePrefix="1" xfId="0">
      <alignment horizontal="center" vertical="center"/>
    </xf>
    <xf numFmtId="0" fontId="0" fillId="0" borderId="23" applyAlignment="1" pivotButton="0" quotePrefix="0" xfId="0">
      <alignment horizontal="center" vertical="center"/>
    </xf>
    <xf numFmtId="0" fontId="0" fillId="0" borderId="16" applyAlignment="1" pivotButton="0" quotePrefix="0" xfId="0">
      <alignment horizontal="center" vertical="center"/>
    </xf>
    <xf numFmtId="0" fontId="0" fillId="0" borderId="20" applyAlignment="1" pivotButton="0" quotePrefix="0" xfId="0">
      <alignment horizontal="center" vertical="center"/>
    </xf>
    <xf numFmtId="0" fontId="0" fillId="0" borderId="19" applyAlignment="1" pivotButton="0" quotePrefix="0" xfId="0">
      <alignment horizontal="center" vertical="center"/>
    </xf>
    <xf numFmtId="0" fontId="0" fillId="0" borderId="15" applyAlignment="1" pivotButton="0" quotePrefix="0" xfId="0">
      <alignment horizontal="center" vertical="center"/>
    </xf>
    <xf numFmtId="43" fontId="0" fillId="0" borderId="20" applyAlignment="1" pivotButton="0" quotePrefix="0" xfId="0">
      <alignment horizontal="center" vertical="center"/>
    </xf>
    <xf numFmtId="43" fontId="0" fillId="0" borderId="19" applyAlignment="1" pivotButton="0" quotePrefix="0" xfId="0">
      <alignment horizontal="center" vertical="center"/>
    </xf>
    <xf numFmtId="43" fontId="0" fillId="0" borderId="15" applyAlignment="1" pivotButton="0" quotePrefix="0" xfId="0">
      <alignment horizontal="center" vertical="center"/>
    </xf>
    <xf numFmtId="0" fontId="0" fillId="0" borderId="20" applyAlignment="1" pivotButton="0" quotePrefix="0" xfId="0">
      <alignment horizontal="center" vertical="center" wrapText="1"/>
    </xf>
    <xf numFmtId="0" fontId="0" fillId="0" borderId="19" applyAlignment="1" pivotButton="0" quotePrefix="0" xfId="0">
      <alignment horizontal="center" vertical="center" wrapText="1"/>
    </xf>
    <xf numFmtId="0" fontId="0" fillId="0" borderId="15" applyAlignment="1" pivotButton="0" quotePrefix="0" xfId="0">
      <alignment horizontal="center" vertical="center" wrapText="1"/>
    </xf>
    <xf numFmtId="0" fontId="0" fillId="3" borderId="19" applyAlignment="1" pivotButton="0" quotePrefix="0" xfId="0">
      <alignment horizontal="center" vertical="center"/>
    </xf>
    <xf numFmtId="3" fontId="0" fillId="3" borderId="25" applyAlignment="1" pivotButton="0" quotePrefix="0" xfId="0">
      <alignment horizontal="right" vertical="center"/>
    </xf>
    <xf numFmtId="3" fontId="0" fillId="3" borderId="16" applyAlignment="1" pivotButton="0" quotePrefix="0" xfId="0">
      <alignment horizontal="right" vertical="center"/>
    </xf>
    <xf numFmtId="0" fontId="0" fillId="3" borderId="20" applyAlignment="1" pivotButton="0" quotePrefix="0" xfId="0">
      <alignment horizontal="left" vertical="center"/>
    </xf>
    <xf numFmtId="0" fontId="0" fillId="3" borderId="15" applyAlignment="1" pivotButton="0" quotePrefix="0" xfId="0">
      <alignment horizontal="left" vertical="center"/>
    </xf>
    <xf numFmtId="0" fontId="0" fillId="0" borderId="23" applyAlignment="1" pivotButton="0" quotePrefix="1" xfId="0">
      <alignment horizontal="center" vertical="center"/>
    </xf>
    <xf numFmtId="0" fontId="0" fillId="0" borderId="16" applyAlignment="1" pivotButton="0" quotePrefix="1" xfId="0">
      <alignment horizontal="center" vertical="center"/>
    </xf>
    <xf numFmtId="3" fontId="0" fillId="0" borderId="20" applyAlignment="1" pivotButton="0" quotePrefix="0" xfId="0">
      <alignment horizontal="center" vertical="center"/>
    </xf>
    <xf numFmtId="3" fontId="0" fillId="0" borderId="19" applyAlignment="1" pivotButton="0" quotePrefix="0" xfId="0">
      <alignment horizontal="center" vertical="center"/>
    </xf>
    <xf numFmtId="3" fontId="0" fillId="0" borderId="15" applyAlignment="1" pivotButton="0" quotePrefix="0" xfId="0">
      <alignment horizontal="center" vertical="center"/>
    </xf>
    <xf numFmtId="0" fontId="0" fillId="3" borderId="25" applyAlignment="1" pivotButton="0" quotePrefix="1" xfId="0">
      <alignment horizontal="left" vertical="center"/>
    </xf>
    <xf numFmtId="0" fontId="0" fillId="3" borderId="23" applyAlignment="1" pivotButton="0" quotePrefix="1" xfId="0">
      <alignment horizontal="left" vertical="center"/>
    </xf>
    <xf numFmtId="0" fontId="0" fillId="3" borderId="19" applyAlignment="1" pivotButton="0" quotePrefix="0" xfId="0">
      <alignment horizontal="left" vertical="center"/>
    </xf>
    <xf numFmtId="0" fontId="0" fillId="3" borderId="19" applyAlignment="1" pivotButton="0" quotePrefix="0" xfId="0">
      <alignment vertical="center"/>
    </xf>
    <xf numFmtId="164" fontId="0" fillId="3" borderId="25" applyAlignment="1" pivotButton="0" quotePrefix="0" xfId="0">
      <alignment horizontal="right" vertical="center"/>
    </xf>
    <xf numFmtId="164" fontId="0" fillId="3" borderId="23" applyAlignment="1" pivotButton="0" quotePrefix="0" xfId="0">
      <alignment horizontal="right" vertical="center"/>
    </xf>
    <xf numFmtId="164" fontId="0" fillId="3" borderId="16" applyAlignment="1" pivotButton="0" quotePrefix="0" xfId="0">
      <alignment horizontal="right" vertical="center"/>
    </xf>
    <xf numFmtId="0" fontId="0" fillId="0" borderId="25" applyAlignment="1" pivotButton="0" quotePrefix="1" xfId="0">
      <alignment horizontal="left" vertical="center"/>
    </xf>
    <xf numFmtId="0" fontId="0" fillId="0" borderId="23" applyAlignment="1" pivotButton="0" quotePrefix="1" xfId="0">
      <alignment horizontal="left" vertical="center"/>
    </xf>
    <xf numFmtId="164" fontId="0" fillId="0" borderId="25" applyAlignment="1" pivotButton="0" quotePrefix="0" xfId="0">
      <alignment horizontal="right" vertical="center"/>
    </xf>
    <xf numFmtId="164" fontId="0" fillId="0" borderId="23" applyAlignment="1" pivotButton="0" quotePrefix="0" xfId="0">
      <alignment horizontal="right" vertical="center"/>
    </xf>
    <xf numFmtId="164" fontId="0" fillId="0" borderId="16" applyAlignment="1" pivotButton="0" quotePrefix="0" xfId="0">
      <alignment horizontal="right" vertical="center"/>
    </xf>
    <xf numFmtId="3" fontId="0" fillId="0" borderId="25" applyAlignment="1" pivotButton="0" quotePrefix="0" xfId="0">
      <alignment horizontal="right" vertical="center"/>
    </xf>
    <xf numFmtId="3" fontId="0" fillId="0" borderId="16" applyAlignment="1" pivotButton="0" quotePrefix="0" xfId="0">
      <alignment horizontal="right" vertical="center"/>
    </xf>
    <xf numFmtId="0" fontId="0" fillId="0" borderId="19" applyAlignment="1" pivotButton="0" quotePrefix="0" xfId="0">
      <alignment horizontal="center"/>
    </xf>
    <xf numFmtId="0" fontId="0" fillId="0" borderId="20" applyAlignment="1" pivotButton="0" quotePrefix="0" xfId="0">
      <alignment horizontal="left" vertical="center"/>
    </xf>
    <xf numFmtId="0" fontId="0" fillId="0" borderId="19" applyAlignment="1" pivotButton="0" quotePrefix="0" xfId="0">
      <alignment horizontal="left" vertical="center"/>
    </xf>
    <xf numFmtId="0" fontId="0" fillId="0" borderId="15" applyAlignment="1" pivotButton="0" quotePrefix="0" xfId="0">
      <alignment horizontal="left" vertical="center"/>
    </xf>
    <xf numFmtId="0" fontId="8" fillId="0" borderId="19" applyAlignment="1" pivotButton="0" quotePrefix="0" xfId="1">
      <alignment vertical="center"/>
    </xf>
    <xf numFmtId="0" fontId="1" fillId="0" borderId="2" applyAlignment="1" pivotButton="0" quotePrefix="0" xfId="0">
      <alignment horizontal="left" vertical="center" wrapText="1"/>
    </xf>
    <xf numFmtId="0" fontId="0" fillId="0" borderId="19" pivotButton="0" quotePrefix="0" xfId="0"/>
    <xf numFmtId="0" fontId="1" fillId="0" borderId="2" applyAlignment="1" pivotButton="0" quotePrefix="0" xfId="0">
      <alignment wrapText="1"/>
    </xf>
    <xf numFmtId="0" fontId="1" fillId="0" borderId="2" applyAlignment="1" pivotButton="0" quotePrefix="0" xfId="0">
      <alignment vertical="center" wrapText="1"/>
    </xf>
    <xf numFmtId="43" fontId="0" fillId="6" borderId="15" applyAlignment="1" pivotButton="0" quotePrefix="0" xfId="0">
      <alignment vertical="center"/>
    </xf>
    <xf numFmtId="0" fontId="0" fillId="0" borderId="28" applyAlignment="1" pivotButton="0" quotePrefix="1" xfId="0">
      <alignment horizontal="center" vertical="center"/>
    </xf>
    <xf numFmtId="0" fontId="0" fillId="0" borderId="29" applyAlignment="1" pivotButton="0" quotePrefix="0" xfId="0">
      <alignment horizontal="center" vertical="center"/>
    </xf>
    <xf numFmtId="43" fontId="0" fillId="0" borderId="29" applyAlignment="1" pivotButton="0" quotePrefix="0" xfId="0">
      <alignment horizontal="center" vertical="center"/>
    </xf>
    <xf numFmtId="43" fontId="0" fillId="6" borderId="29" applyAlignment="1" pivotButton="0" quotePrefix="0" xfId="0">
      <alignment horizontal="center" vertical="center"/>
    </xf>
    <xf numFmtId="0" fontId="0" fillId="0" borderId="29" applyAlignment="1" pivotButton="0" quotePrefix="0" xfId="0">
      <alignment horizontal="center" vertical="center" wrapText="1"/>
    </xf>
    <xf numFmtId="0" fontId="0" fillId="0" borderId="16" pivotButton="0" quotePrefix="0" xfId="0"/>
    <xf numFmtId="3" fontId="0" fillId="6" borderId="15" pivotButton="0" quotePrefix="0" xfId="0"/>
    <xf numFmtId="0" fontId="0" fillId="6" borderId="16" pivotButton="0" quotePrefix="1" xfId="0"/>
    <xf numFmtId="43" fontId="15" fillId="6" borderId="2" applyAlignment="1" pivotButton="0" quotePrefix="0" xfId="0">
      <alignment horizontal="center" wrapText="1"/>
    </xf>
    <xf numFmtId="43" fontId="0" fillId="6" borderId="3" pivotButton="0" quotePrefix="0" xfId="0"/>
    <xf numFmtId="3" fontId="0" fillId="0" borderId="29" applyAlignment="1" pivotButton="0" quotePrefix="0" xfId="0">
      <alignment horizontal="center" vertical="center"/>
    </xf>
    <xf numFmtId="164" fontId="0" fillId="3" borderId="28" applyAlignment="1" pivotButton="0" quotePrefix="0" xfId="0">
      <alignment horizontal="right" vertical="center"/>
    </xf>
    <xf numFmtId="0" fontId="0" fillId="3" borderId="29" applyAlignment="1" pivotButton="0" quotePrefix="0" xfId="0">
      <alignment horizontal="left" vertical="center"/>
    </xf>
    <xf numFmtId="3" fontId="0" fillId="3" borderId="28" applyAlignment="1" pivotButton="0" quotePrefix="0" xfId="0">
      <alignment horizontal="right" vertical="center"/>
    </xf>
    <xf numFmtId="164" fontId="0" fillId="0" borderId="28" applyAlignment="1" pivotButton="0" quotePrefix="0" xfId="0">
      <alignment horizontal="right" vertical="center"/>
    </xf>
    <xf numFmtId="0" fontId="0" fillId="0" borderId="29" applyAlignment="1" pivotButton="0" quotePrefix="0" xfId="0">
      <alignment horizontal="left" vertical="center"/>
    </xf>
    <xf numFmtId="3" fontId="0" fillId="0" borderId="28" applyAlignment="1" pivotButton="0" quotePrefix="0" xfId="0">
      <alignment horizontal="right" vertical="center"/>
    </xf>
    <xf numFmtId="0" fontId="19"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tc={EB6D9F1D-1093-443D-9852-59A1AC744A33}</author>
    <author>tc={DCF56ECC-FA71-46B4-8431-C6926AD78D1B}</author>
    <author>tc={936BA648-9D7A-44C5-A1B1-668994676C0D}</author>
    <author>tc={F6E347AD-C5A2-4313-AAB4-029A64DA333D}</author>
  </authors>
  <commentList>
    <comment ref="I1" authorId="0" shapeId="0">
      <text>
        <t>[Threaded comment]
Your version of Excel allows you to read this threaded comment; however, any edits to it will get removed if the file is opened in a newer version of Excel. Learn more: https://go.microsoft.com/fwlink/?linkid=870924
Comment:
    Please select a category</t>
      </text>
    </comment>
    <comment ref="K1" authorId="1" shapeId="0">
      <text>
        <t>[Threaded comment]
Your version of Excel allows you to read this threaded comment; however, any edits to it will get removed if the file is opened in a newer version of Excel. Learn more: https://go.microsoft.com/fwlink/?linkid=870924
Comment:
    Please insert the baseline in terms of number of beneficiaires</t>
      </text>
    </comment>
    <comment ref="L1" authorId="2" shapeId="0">
      <text>
        <t>[Threaded comment]
Your version of Excel allows you to read this threaded comment; however, any edits to it will get removed if the file is opened in a newer version of Excel. Learn more: https://go.microsoft.com/fwlink/?linkid=870924
Comment:
    Please insert the target in terms of number of beneficiaries target</t>
      </text>
    </comment>
    <comment ref="M1" authorId="3" shapeId="0">
      <text>
        <t>[Threaded comment]
Your version of Excel allows you to read this threaded comment; however, any edits to it will get removed if the file is opened in a newer version of Excel. Learn more: https://go.microsoft.com/fwlink/?linkid=870924
Comment:
    Please provide any assumption or comments on how you estimate the number of beneficiaries</t>
      </text>
    </comment>
  </commentList>
</comments>
</file>

<file path=xl/comments/comment2.xml><?xml version="1.0" encoding="utf-8"?>
<comments xmlns="http://schemas.openxmlformats.org/spreadsheetml/2006/main">
  <authors>
    <author>tc={847EDF1A-059F-485E-B308-899AE379E984}</author>
    <author>tc={84509177-62CC-46F1-9485-5ACEA26EF867}</author>
    <author>tc={7290C994-B72F-48C1-AD70-161A6BF1D8E0}</author>
    <author>tc={CEE1B33D-8DDA-4116-A6CC-BB51E93271B1}</author>
  </authors>
  <commentList>
    <comment ref="E1" authorId="0" shapeId="0">
      <text>
        <t>[Threaded comment]
Your version of Excel allows you to read this threaded comment; however, any edits to it will get removed if the file is opened in a newer version of Excel. Learn more: https://go.microsoft.com/fwlink/?linkid=870924
Comment:
    Please select a category</t>
      </text>
    </comment>
    <comment ref="G1" authorId="1" shapeId="0">
      <text>
        <t>[Threaded comment]
Your version of Excel allows you to read this threaded comment; however, any edits to it will get removed if the file is opened in a newer version of Excel. Learn more: https://go.microsoft.com/fwlink/?linkid=870924
Comment:
    Please insert the baseline in terms of number of beneficiaires</t>
      </text>
    </comment>
    <comment ref="H1" authorId="2" shapeId="0">
      <text>
        <t>[Threaded comment]
Your version of Excel allows you to read this threaded comment; however, any edits to it will get removed if the file is opened in a newer version of Excel. Learn more: https://go.microsoft.com/fwlink/?linkid=870924
Comment:
    Please insert the target in terms of number of beneficiaries target</t>
      </text>
    </comment>
    <comment ref="I1" authorId="3" shapeId="0">
      <text>
        <t>[Threaded comment]
Your version of Excel allows you to read this threaded comment; however, any edits to it will get removed if the file is opened in a newer version of Excel. Learn more: https://go.microsoft.com/fwlink/?linkid=870924
Comment:
    Please provide any assumption or comments on how you estimate the number of beneficiaries</t>
      </text>
    </comment>
  </commentList>
</comments>
</file>

<file path=xl/comments/comment3.xml><?xml version="1.0" encoding="utf-8"?>
<comments xmlns="http://schemas.openxmlformats.org/spreadsheetml/2006/main">
  <authors>
    <author>tc={79F7E377-464B-4355-8E8B-CFFF8248A927}</author>
    <author>tc={0F069FF2-52A0-451E-9BD7-35B668F0A119}</author>
    <author>tc={4186C70B-5858-4B55-AF8D-3B2912B099F8}</author>
    <author>tc={3AE4744A-B021-44CC-BF20-99FED1F7E8C6}</author>
  </authors>
  <commentList>
    <comment ref="E1" authorId="0" shapeId="0">
      <text>
        <t>[Threaded comment]
Your version of Excel allows you to read this threaded comment; however, any edits to it will get removed if the file is opened in a newer version of Excel. Learn more: https://go.microsoft.com/fwlink/?linkid=870924
Comment:
    Please select a category</t>
      </text>
    </comment>
    <comment ref="G1" authorId="1" shapeId="0">
      <text>
        <t>[Threaded comment]
Your version of Excel allows you to read this threaded comment; however, any edits to it will get removed if the file is opened in a newer version of Excel. Learn more: https://go.microsoft.com/fwlink/?linkid=870924
Comment:
    Please insert the baseline in terms of number of beneficiaires</t>
      </text>
    </comment>
    <comment ref="H1" authorId="2" shapeId="0">
      <text>
        <t>[Threaded comment]
Your version of Excel allows you to read this threaded comment; however, any edits to it will get removed if the file is opened in a newer version of Excel. Learn more: https://go.microsoft.com/fwlink/?linkid=870924
Comment:
    Please insert the target in terms of number of beneficiaries target</t>
      </text>
    </comment>
    <comment ref="I1" authorId="3" shapeId="0">
      <text>
        <t>[Threaded comment]
Your version of Excel allows you to read this threaded comment; however, any edits to it will get removed if the file is opened in a newer version of Excel. Learn more: https://go.microsoft.com/fwlink/?linkid=870924
Comment:
    Please provide any assumption or comments on how you estimate the number of beneficiaries</t>
      </text>
    </comment>
  </commentList>
</comments>
</file>

<file path=xl/comments/comment4.xml><?xml version="1.0" encoding="utf-8"?>
<comments xmlns="http://schemas.openxmlformats.org/spreadsheetml/2006/main">
  <authors>
    <author>tc={C770F223-8A8B-42FA-9D91-BA1B0A4993EA}</author>
    <author>tc={C0BF61DB-B43C-4CD2-A0BE-74248732DEF7}</author>
    <author>tc={C4BB2CCB-5C6B-47ED-91E8-F60C68E277EF}</author>
    <author>tc={DF6CEAC2-5C0E-4508-9A40-1233D6B29A76}</author>
  </authors>
  <commentList>
    <comment ref="E1" authorId="0" shapeId="0">
      <text>
        <t>[Threaded comment]
Your version of Excel allows you to read this threaded comment; however, any edits to it will get removed if the file is opened in a newer version of Excel. Learn more: https://go.microsoft.com/fwlink/?linkid=870924
Comment:
    Please select a category</t>
      </text>
    </comment>
    <comment ref="G1" authorId="1" shapeId="0">
      <text>
        <t>[Threaded comment]
Your version of Excel allows you to read this threaded comment; however, any edits to it will get removed if the file is opened in a newer version of Excel. Learn more: https://go.microsoft.com/fwlink/?linkid=870924
Comment:
    Please insert the baseline in terms of number of beneficiaires</t>
      </text>
    </comment>
    <comment ref="H1" authorId="2" shapeId="0">
      <text>
        <t>[Threaded comment]
Your version of Excel allows you to read this threaded comment; however, any edits to it will get removed if the file is opened in a newer version of Excel. Learn more: https://go.microsoft.com/fwlink/?linkid=870924
Comment:
    Please insert the target in terms of number of beneficiaries target</t>
      </text>
    </comment>
    <comment ref="I1" authorId="3" shapeId="0">
      <text>
        <t>[Threaded comment]
Your version of Excel allows you to read this threaded comment; however, any edits to it will get removed if the file is opened in a newer version of Excel. Learn more: https://go.microsoft.com/fwlink/?linkid=870924
Comment:
    Please provide any assumption or comments on how you estimate the number of beneficiaries</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ndp.org/ukraine/projects/removing-barriers-increase-investment-energy-efficiency-public-buildings-ukraine-through-esco-modality-small-and-medium-sized" TargetMode="External" Id="rId1"/><Relationship Type="http://schemas.openxmlformats.org/officeDocument/2006/relationships/hyperlink" Target="https://www.undp.org/ukraine/press-releases/undp-and-japan-deliver-high-power-autotransformers-ukraine-ensure-unbroken-energy-supplies-over-half-million-people"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open.undp.org/projects/00099918" TargetMode="External" Id="rId1"/><Relationship Type="http://schemas.openxmlformats.org/officeDocument/2006/relationships/hyperlink" Target="https://www.undp.org/ukraine/projects/removing-barriers-increase-investment-energy-efficiency-public-buildings-ukraine-through-esco-modality-small-and-medium-sized" TargetMode="External" Id="rId2"/><Relationship Type="http://schemas.openxmlformats.org/officeDocument/2006/relationships/hyperlink" Target="https://www.undp.org/ukraine/press-releases/undp-and-japan-deliver-high-power-autotransformers-ukraine-ensure-unbroken-energy-supplies-over-half-million-people" TargetMode="External" Id="rId3"/><Relationship Type="http://schemas.openxmlformats.org/officeDocument/2006/relationships/hyperlink" Target="https://eur03.safelinks.protection.outlook.com/?url=https%3A%2F%2Fwww.undp.org%2Fukraine%2Fpress-releases%2Fjapan-undp-deliver-equipment-secure-power-supply-over-55-million-ukrainians&amp;data=05%7C02%7Cmizuho.yokoi%40undp.org%7C06cc208c5ca94e82a91808dc11e3763c%7Cb3e5db5e2944483799f57488ace54319%7C0%7C0%7C638404916131622927%7CUnknown%7CTWFpbGZsb3d8eyJWIjoiMC4wLjAwMDAiLCJQIjoiV2luMzIiLCJBTiI6Ik1haWwiLCJXVCI6Mn0%3D%7C3000%7C%7C%7C&amp;sdata=3hJoKBUMxIM7a8jWhVdu%2FueNp3k%2BLIfJif31otC%2Fmfk%3D&amp;reserved=0" TargetMode="External" Id="rId4"/><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hyperlink" Target="http://open.undp.org/projects/00099918" TargetMode="External" Id="rId1"/><Relationship Type="http://schemas.openxmlformats.org/officeDocument/2006/relationships/hyperlink" Target="https://co.pims.undp.org/project/view?id=4114" TargetMode="External" Id="rId2"/><Relationship Type="http://schemas.openxmlformats.org/officeDocument/2006/relationships/hyperlink" Target="https://www.undp.org/ukraine/press-releases/undp-and-japan-deliver-high-power-autotransformers-ukraine-ensure-unbroken-energy-supplies-over-half-million-people" TargetMode="External" Id="rId3"/><Relationship Type="http://schemas.openxmlformats.org/officeDocument/2006/relationships/hyperlink" Target="https://eur03.safelinks.protection.outlook.com/?url=https%3A%2F%2Fwww.undp.org%2Fukraine%2Fpress-releases%2Fjapan-undp-deliver-equipment-secure-power-supply-over-55-million-ukrainians&amp;data=05%7C02%7Cmizuho.yokoi%40undp.org%7C06cc208c5ca94e82a91808dc11e3763c%7Cb3e5db5e2944483799f57488ace54319%7C0%7C0%7C638404916131622927%7CUnknown%7CTWFpbGZsb3d8eyJWIjoiMC4wLjAwMDAiLCJQIjoiV2luMzIiLCJBTiI6Ik1haWwiLCJXVCI6Mn0%3D%7C3000%7C%7C%7C&amp;sdata=3hJoKBUMxIM7a8jWhVdu%2FueNp3k%2BLIfJif31otC%2Fmfk%3D&amp;reserved=0" TargetMode="External" Id="rId4"/><Relationship Type="http://schemas.openxmlformats.org/officeDocument/2006/relationships/hyperlink" Target="https://open.undp.org/projects/00147472" TargetMode="External" Id="rId5"/><Relationship Type="http://schemas.openxmlformats.org/officeDocument/2006/relationships/hyperlink" Target="https://www.undp.org/ukraine/press-releases/gas-piston-cogeneration-units-delivered-odesa-undp-cover-45-citys-energy-needs-water-heating-and-sewage-services&#160;" TargetMode="External" Id="rId6"/><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hyperlink" Target="http://open.undp.org/projects/00099918" TargetMode="External" Id="rId1"/><Relationship Type="http://schemas.openxmlformats.org/officeDocument/2006/relationships/hyperlink" Target="https://co.pims.undp.org/project/view?id=4114" TargetMode="External" Id="rId2"/><Relationship Type="http://schemas.openxmlformats.org/officeDocument/2006/relationships/hyperlink" Target="https://www.undp.org/ukraine/press-releases/undp-and-japan-deliver-high-power-autotransformers-ukraine-ensure-unbroken-energy-supplies-over-half-million-people" TargetMode="External" Id="rId3"/><Relationship Type="http://schemas.openxmlformats.org/officeDocument/2006/relationships/hyperlink" Target="https://eur03.safelinks.protection.outlook.com/?url=https%3A%2F%2Fwww.undp.org%2Fukraine%2Fpress-releases%2Fjapan-undp-deliver-equipment-secure-power-supply-over-55-million-ukrainians&amp;data=05%7C02%7Cmizuho.yokoi%40undp.org%7C06cc208c5ca94e82a91808dc11e3763c%7Cb3e5db5e2944483799f57488ace54319%7C0%7C0%7C638404916131622927%7CUnknown%7CTWFpbGZsb3d8eyJWIjoiMC4wLjAwMDAiLCJQIjoiV2luMzIiLCJBTiI6Ik1haWwiLCJXVCI6Mn0%3D%7C3000%7C%7C%7C&amp;sdata=3hJoKBUMxIM7a8jWhVdu%2FueNp3k%2BLIfJif31otC%2Fmfk%3D&amp;reserved=0" TargetMode="External" Id="rId4"/><Relationship Type="http://schemas.openxmlformats.org/officeDocument/2006/relationships/hyperlink" Target="https://www.undp.org/ukraine/projects/green-energy-recovery-programme-ukraine" TargetMode="External" Id="rId5"/><Relationship Type="http://schemas.openxmlformats.org/officeDocument/2006/relationships/hyperlink" Target="https://eur03.safelinks.protection.outlook.com/?url=https%3A%2F%2Fwww.undp.org%2Fukraine%2Fpress-releases%2Fgas-piston-cogeneration-units-delivered-odesa-undp-cover-45-citys-energy-needs-water-heating-and-sewage-services&amp;data=05%7C02%7Canastasia.vuico%40undp.org%7Ca6d3e8e372a545c0c69408dcfe78611e%7Cb3e5db5e2944483799f57488ace54319%7C0%7C0%7C638665040179803709%7CUnknown%7CTWFpbGZsb3d8eyJFbXB0eU1hcGkiOnRydWUsIlYiOiIwLjAuMDAwMCIsIlAiOiJXaW4zMiIsIkFOIjoiTWFpbCIsIldUIjoyfQ%3D%3D%7C0%7C%7C%7C&amp;sdata=PwJUlhrckHFI03h4vkxnb0FfRTUMeJeA5xWtMOq4ZJw%3D&amp;reserved=0" TargetMode="External" Id="rId6"/><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Z24"/>
  <sheetViews>
    <sheetView tabSelected="1" zoomScaleNormal="100" workbookViewId="0">
      <pane xSplit="1" ySplit="1" topLeftCell="B2" activePane="bottomRight" state="frozen"/>
      <selection pane="bottomRight" activeCell="C4" sqref="C4"/>
      <selection pane="bottomLeft" activeCell="A2" sqref="A2"/>
      <selection pane="topRight" activeCell="B1" sqref="B1"/>
    </sheetView>
  </sheetViews>
  <sheetFormatPr baseColWidth="8" defaultRowHeight="15"/>
  <cols>
    <col width="10.85546875" customWidth="1" min="1" max="1"/>
    <col width="32.42578125" customWidth="1" min="2" max="2"/>
    <col width="29.5703125" customWidth="1" min="3" max="3"/>
    <col width="50.140625" customWidth="1" style="113" min="4" max="4"/>
    <col width="50.140625" customWidth="1" min="5" max="5"/>
    <col width="50.140625" customWidth="1" min="6" max="6"/>
    <col width="50.140625" customWidth="1" min="7" max="7"/>
    <col width="50.140625" customWidth="1" min="8" max="8"/>
    <col width="43.7109375" customWidth="1" min="9" max="9"/>
    <col width="14.5703125" customWidth="1" style="46" min="10" max="10"/>
    <col width="16.140625" customWidth="1" min="11" max="11"/>
    <col width="17.28515625" customWidth="1" min="12" max="12"/>
    <col width="9.140625" bestFit="1" customWidth="1" min="13" max="13"/>
    <col width="18.28515625" customWidth="1" min="14" max="14"/>
    <col width="17.7109375" customWidth="1" min="15" max="15"/>
    <col width="9.140625" bestFit="1" customWidth="1" min="16" max="16"/>
    <col width="19.42578125" customWidth="1" min="17" max="17"/>
    <col width="19" customWidth="1" min="18" max="18"/>
    <col width="9.140625" bestFit="1" customWidth="1" min="19" max="19"/>
    <col width="26" customWidth="1" min="20" max="20"/>
  </cols>
  <sheetData>
    <row r="1">
      <c r="A1" s="30" t="inlineStr">
        <is>
          <t>Project ID</t>
        </is>
      </c>
      <c r="B1" s="31" t="inlineStr">
        <is>
          <t>Title</t>
        </is>
      </c>
      <c r="C1" s="35" t="inlineStr">
        <is>
          <t>Link</t>
        </is>
      </c>
      <c r="D1" s="127" t="inlineStr">
        <is>
          <t>Budget</t>
        </is>
      </c>
      <c r="E1" s="127" t="inlineStr">
        <is>
          <t>Start Year</t>
        </is>
      </c>
      <c r="F1" s="127" t="inlineStr">
        <is>
          <t>End Year</t>
        </is>
      </c>
      <c r="G1" s="127" t="inlineStr">
        <is>
          <t>Status</t>
        </is>
      </c>
      <c r="H1" s="127" t="inlineStr">
        <is>
          <t>VF or Non-VF</t>
        </is>
      </c>
      <c r="I1" s="34" t="inlineStr">
        <is>
          <t>Beneficiary Category</t>
        </is>
      </c>
      <c r="J1" s="1" t="inlineStr">
        <is>
          <t>Indicator</t>
        </is>
      </c>
      <c r="K1" s="1" t="inlineStr">
        <is>
          <t>Baseline</t>
        </is>
      </c>
      <c r="L1" s="1" t="inlineStr">
        <is>
          <t>Target</t>
        </is>
      </c>
      <c r="M1" s="1" t="inlineStr">
        <is>
          <t>Notes</t>
        </is>
      </c>
      <c r="N1" s="50" t="inlineStr">
        <is>
          <t>Donors</t>
        </is>
      </c>
      <c r="O1" s="42" t="inlineStr">
        <is>
          <t>Gender (% female)</t>
        </is>
      </c>
      <c r="P1" s="9" t="inlineStr">
        <is>
          <t>Tag</t>
        </is>
      </c>
      <c r="Q1" s="8" t="inlineStr">
        <is>
          <t>SEH Taxonomy</t>
        </is>
      </c>
      <c r="R1" s="8" t="inlineStr">
        <is>
          <t>RISE Taxonomy</t>
        </is>
      </c>
      <c r="S1" s="9" t="inlineStr">
        <is>
          <t>Flagship</t>
        </is>
      </c>
      <c r="T1" s="9" t="inlineStr">
        <is>
          <t>Indirect Category</t>
        </is>
      </c>
      <c r="U1" s="10" t="inlineStr">
        <is>
          <t>Indirect Taxonomy</t>
        </is>
      </c>
      <c r="V1" s="11" t="inlineStr">
        <is>
          <t>Technology</t>
        </is>
      </c>
      <c r="W1" s="10" t="inlineStr">
        <is>
          <t>Policy or Regulatory Framework</t>
        </is>
      </c>
      <c r="X1" s="11" t="inlineStr">
        <is>
          <t>Policy Population</t>
        </is>
      </c>
    </row>
    <row r="2" ht="129.75" customFormat="1" customHeight="1" s="101">
      <c r="A2" s="124" t="inlineStr">
        <is>
          <t>00095405</t>
        </is>
      </c>
      <c r="B2" s="29" t="inlineStr">
        <is>
          <t>EE in Public Buildings</t>
        </is>
      </c>
      <c r="C2" s="98" t="inlineStr">
        <is>
          <t>https://www.undp.org/ukraine/projects/removing-barriers-increase-investment-energy-efficiency-public-buildings-ukraine-through-esco-modality-small-and-medium-sized</t>
        </is>
      </c>
      <c r="D2" s="129" t="n">
        <v>5480000</v>
      </c>
      <c r="E2" s="201" t="n"/>
      <c r="F2" s="201" t="n"/>
      <c r="G2" s="201" t="n"/>
      <c r="H2" s="129" t="inlineStr">
        <is>
          <t>VF</t>
        </is>
      </c>
      <c r="I2" s="97" t="inlineStr">
        <is>
          <t>Energy Efficiency Services</t>
        </is>
      </c>
      <c r="J2" s="65" t="inlineStr">
        <is>
          <t>No. of Beneficaries</t>
        </is>
      </c>
      <c r="K2" s="97" t="n">
        <v>0</v>
      </c>
      <c r="L2" s="99" t="n">
        <v>30204</v>
      </c>
      <c r="M2" s="100" t="inlineStr">
        <is>
          <t xml:space="preserve">Key indicators: 
1. The actual cumulative direct GHG emission reduction as of June 2024 was 16,052.48 tCO2e; estimated reduction over a 20-year period was 69,190.0 tCO2e  
2. 24,164.16 MWh were saved cumulatively since the Project start, which exceeded the goals set as 2,346 MWh. The total capacity of solar power stations to be installed under ESCO-SPP contracts is 6.5 MW, and 1 MW of energy storage. This will allow hospitals and water facilities to have electricity even during blackouts. 
3. With direct project support, USD 22,92 million of investment in energy efficiency in public buildings was achieved. 
4. The total number of green jobs created by the project is 4,562: 4498 energy managers and 64 energy auditors were trained. </t>
        </is>
      </c>
      <c r="N2" s="100" t="inlineStr">
        <is>
          <t>GEF</t>
        </is>
      </c>
      <c r="O2" s="97" t="n">
        <v>63</v>
      </c>
      <c r="P2" s="19" t="inlineStr">
        <is>
          <t>Efficiency</t>
        </is>
      </c>
      <c r="Q2" s="20" t="inlineStr">
        <is>
          <t>Scale up energy finance</t>
        </is>
      </c>
      <c r="R2" s="19" t="inlineStr">
        <is>
          <t>Energy Efficiency</t>
        </is>
      </c>
      <c r="S2" s="19" t="n"/>
      <c r="T2" s="19" t="n"/>
      <c r="U2" s="19" t="inlineStr">
        <is>
          <t>Energy Efficiency</t>
        </is>
      </c>
      <c r="V2" s="21" t="inlineStr">
        <is>
          <t>Solar</t>
        </is>
      </c>
      <c r="W2" s="19" t="inlineStr">
        <is>
          <t>National</t>
        </is>
      </c>
      <c r="X2" s="21" t="n"/>
      <c r="Z2" s="102" t="inlineStr">
        <is>
          <t xml:space="preserve">Can you please provide information for all the categories ? </t>
        </is>
      </c>
    </row>
    <row r="3">
      <c r="A3" s="202" t="inlineStr">
        <is>
          <t>001000157</t>
        </is>
      </c>
      <c r="B3" s="203" t="inlineStr">
        <is>
          <t xml:space="preserve">Promotion of Human Security </t>
        </is>
      </c>
      <c r="C3" s="109" t="inlineStr">
        <is>
          <t>https://www.undp.org/ukraine/press-releases/undp-and-japan-deliver-high-power-autotransformers-ukraine-ensure-unbroken-energy-supplies-over-half-million-people</t>
        </is>
      </c>
      <c r="D3" s="204" t="n">
        <v>40000000</v>
      </c>
      <c r="E3" s="205" t="n"/>
      <c r="F3" s="205" t="n"/>
      <c r="G3" s="205" t="n"/>
      <c r="H3" s="204" t="inlineStr">
        <is>
          <t>Non-VF</t>
        </is>
      </c>
      <c r="I3" s="149" t="inlineStr">
        <is>
          <t>Electricity Access</t>
        </is>
      </c>
      <c r="J3" s="33" t="inlineStr">
        <is>
          <t>No. of Beneficaries</t>
        </is>
      </c>
      <c r="K3" t="n">
        <v>0</v>
      </c>
      <c r="L3" s="36" t="n">
        <v>1000000</v>
      </c>
      <c r="M3" s="40" t="inlineStr">
        <is>
          <t>-4 Autotransformers (2 installed, 2 upcoming)</t>
        </is>
      </c>
      <c r="N3" s="206" t="inlineStr">
        <is>
          <t>Japan</t>
        </is>
      </c>
      <c r="O3" t="n">
        <v>50</v>
      </c>
      <c r="P3" s="13" t="n"/>
      <c r="Q3" s="14" t="n"/>
      <c r="R3" s="13" t="n"/>
      <c r="S3" s="13" t="n"/>
      <c r="T3" s="13" t="n"/>
      <c r="U3" s="13" t="n"/>
      <c r="V3" s="15" t="n"/>
      <c r="W3" s="13" t="n"/>
      <c r="X3" s="15" t="n"/>
      <c r="Z3" s="110" t="n"/>
    </row>
    <row r="4">
      <c r="A4" s="39" t="n"/>
      <c r="B4" s="198" t="n"/>
      <c r="C4" s="196" t="n"/>
      <c r="D4" s="198" t="n"/>
      <c r="E4" s="198" t="n"/>
      <c r="F4" s="198" t="n"/>
      <c r="G4" s="198" t="n"/>
      <c r="H4" s="198" t="n"/>
      <c r="I4" s="65" t="inlineStr">
        <is>
          <t>Electricity Access</t>
        </is>
      </c>
      <c r="J4" s="198" t="n"/>
      <c r="K4" t="n">
        <v>0</v>
      </c>
      <c r="L4" s="36" t="n">
        <v>1500000</v>
      </c>
      <c r="M4" s="40" t="inlineStr">
        <is>
          <t>-Transporation Support for 7 Autotransformers</t>
        </is>
      </c>
      <c r="N4" s="198" t="n"/>
      <c r="O4" t="n">
        <v>50</v>
      </c>
      <c r="P4" s="13" t="n"/>
      <c r="Q4" s="14" t="n"/>
      <c r="R4" s="13" t="n"/>
      <c r="S4" s="13" t="n"/>
      <c r="T4" s="13" t="n"/>
      <c r="U4" s="13" t="n"/>
      <c r="V4" s="15" t="n"/>
      <c r="W4" s="13" t="n"/>
      <c r="X4" s="15" t="n"/>
      <c r="Z4" s="110" t="n"/>
    </row>
    <row r="5">
      <c r="A5" s="207" t="n"/>
      <c r="B5" s="33" t="n"/>
      <c r="C5" s="29" t="n"/>
      <c r="D5" s="33" t="n"/>
      <c r="E5" s="33" t="n"/>
      <c r="F5" s="33" t="n"/>
      <c r="G5" s="33" t="n"/>
      <c r="H5" s="33" t="n"/>
      <c r="I5" s="29" t="inlineStr">
        <is>
          <t>Electricity Access</t>
        </is>
      </c>
      <c r="J5" s="33" t="n"/>
      <c r="K5" s="16" t="n">
        <v>0</v>
      </c>
      <c r="L5" s="37" t="n">
        <v>1500000</v>
      </c>
      <c r="M5" s="41" t="inlineStr">
        <is>
          <t xml:space="preserve">-1 gas turbine for power generation </t>
        </is>
      </c>
      <c r="N5" s="33" t="n"/>
      <c r="O5" s="16" t="n">
        <v>50</v>
      </c>
      <c r="P5" s="19" t="n"/>
      <c r="Q5" s="20" t="n"/>
      <c r="R5" s="19" t="n"/>
      <c r="S5" s="19" t="n"/>
      <c r="T5" s="19" t="n"/>
      <c r="U5" s="19" t="n"/>
      <c r="V5" s="21" t="n"/>
      <c r="W5" s="19" t="n"/>
      <c r="X5" s="21" t="n"/>
      <c r="Z5" s="110" t="n"/>
    </row>
    <row r="6" ht="361.5" customHeight="1">
      <c r="A6" s="207" t="n"/>
      <c r="B6" s="33" t="n"/>
      <c r="C6" s="29" t="n"/>
      <c r="D6" s="33" t="n"/>
      <c r="E6" s="33" t="n"/>
      <c r="F6" s="33" t="n"/>
      <c r="G6" s="33" t="n"/>
      <c r="H6" s="33" t="n"/>
      <c r="I6" s="29" t="inlineStr">
        <is>
          <t>Energy (MW added)</t>
        </is>
      </c>
      <c r="J6" s="33" t="inlineStr">
        <is>
          <t>Installed capacity in MW for access/productive-use outputs</t>
        </is>
      </c>
      <c r="K6" s="16" t="n">
        <v>0</v>
      </c>
      <c r="L6" s="208" t="n"/>
      <c r="M6" s="209" t="inlineStr">
        <is>
          <t>[AUTO-ADDED] Project reports access/productive-use beneficiary numbers but no MW value. Please add installed capacity (MW) or confirm not applicable.</t>
        </is>
      </c>
      <c r="N6" s="33" t="n"/>
      <c r="O6" s="16" t="n"/>
      <c r="P6" s="19" t="n"/>
      <c r="Q6" s="20" t="n"/>
      <c r="R6" s="19" t="n"/>
      <c r="S6" s="19" t="n"/>
      <c r="T6" s="19" t="n"/>
      <c r="U6" s="19" t="n"/>
      <c r="V6" s="21" t="n"/>
      <c r="W6" s="19" t="n"/>
      <c r="X6" s="21" t="n"/>
      <c r="Z6" s="110" t="n"/>
    </row>
    <row r="7" ht="60.75" customHeight="1">
      <c r="A7" s="95" t="n">
        <v>134106</v>
      </c>
      <c r="B7" s="96" t="inlineStr">
        <is>
          <t>Winterization/Green Energy Recovery Programme</t>
        </is>
      </c>
      <c r="C7" s="96" t="inlineStr">
        <is>
          <t xml:space="preserve">https://www.undp.org/ukraine/projects/green-energy-recovery-programme-ukraine
https://www.undp.org/ukraine/press-releases/gas-piston-cogeneration-units-delivered-odesa-undp-cover-45-citys-energy-needs-water-heating-and-sewage-services 
</t>
        </is>
      </c>
      <c r="D7" s="131" t="n">
        <v>64600000</v>
      </c>
      <c r="E7" s="210" t="n"/>
      <c r="F7" s="210" t="n"/>
      <c r="G7" s="210" t="n"/>
      <c r="H7" s="131" t="inlineStr">
        <is>
          <t>Non-VF</t>
        </is>
      </c>
      <c r="I7" s="83" t="inlineStr">
        <is>
          <t>Electricity Access</t>
        </is>
      </c>
      <c r="J7" s="83" t="inlineStr">
        <is>
          <t>MW added</t>
        </is>
      </c>
      <c r="K7" s="83" t="n">
        <v>0</v>
      </c>
      <c r="L7" s="150" t="n">
        <v>2600000</v>
      </c>
      <c r="M7" s="94" t="inlineStr">
        <is>
          <t>Overall budget for Winterization and Green Energy Recovery Programme: USD 283,731,053.25
FW Norway:	USD   9,892,766.50 
South Korea:	USD   2,000,000.00 
Iceland FW:	 USD  500,000.00 
Sweden FW1:	USD   5,580,876.00 
Sweden FW2:	USD   5,651,314.21 
TRAC:	             USD    5,600.00 USD
Denmark 1:	USD   10,967,269.51 
SIDA:	              USD   32,357,281.93 
Belgium: 	USD   9,646,302.24 
NORAD 1:	USD   11,431,837.22 
NORAD 2:	 USD  93,993,799.88 
Japan:	              USD   70,000,000.00 
Denmark 2:	USD   6,606,959.33 
Germany:	 USD     4,000,000.00 
European Commission:  USD 21,097,046.42
Provided access to energy for 2,600,000 beneficiaries through delivery of 2 gas turbines for power generation in Ukraine with total capacity of 108 MW.</t>
        </is>
      </c>
      <c r="N7" s="58" t="inlineStr">
        <is>
          <t>Japan</t>
        </is>
      </c>
      <c r="O7" s="54" t="n">
        <v>50</v>
      </c>
      <c r="P7" s="54" t="n"/>
      <c r="Q7" s="54" t="n"/>
      <c r="R7" s="54" t="n"/>
      <c r="S7" s="54" t="n"/>
      <c r="T7" s="54" t="n"/>
      <c r="U7" s="54" t="n"/>
      <c r="V7" s="54" t="n"/>
      <c r="W7" s="54" t="n"/>
      <c r="X7" s="54" t="n"/>
    </row>
    <row r="8" ht="60" customHeight="1">
      <c r="A8" s="95" t="n"/>
      <c r="B8" s="111" t="n"/>
      <c r="C8" s="107" t="n"/>
      <c r="D8" s="112" t="n"/>
      <c r="E8" s="112" t="n"/>
      <c r="F8" s="112" t="n"/>
      <c r="G8" s="112" t="n"/>
      <c r="H8" s="112" t="n"/>
      <c r="I8" s="83" t="inlineStr">
        <is>
          <t>Electricity Access</t>
        </is>
      </c>
      <c r="J8" s="83" t="inlineStr">
        <is>
          <t>MW added</t>
        </is>
      </c>
      <c r="K8" s="83" t="n">
        <v>0</v>
      </c>
      <c r="L8" s="87" t="n">
        <v>450000</v>
      </c>
      <c r="M8" s="88" t="inlineStr">
        <is>
          <t>Provided access to energy for 450,000 beneficiaries through procurement of 13.4 MW of gas pistons and ongoing procurement of additional gas pistons with capacity of 16.5 MW.</t>
        </is>
      </c>
      <c r="N8" s="58" t="inlineStr">
        <is>
          <t>Japan, Norway, Sweden</t>
        </is>
      </c>
      <c r="O8" s="54" t="n">
        <v>50</v>
      </c>
      <c r="P8" s="54" t="n"/>
      <c r="Q8" s="54" t="n"/>
      <c r="R8" s="54" t="n"/>
      <c r="S8" s="54" t="n"/>
      <c r="T8" s="54" t="n"/>
      <c r="U8" s="54" t="n"/>
      <c r="V8" s="54" t="n"/>
      <c r="W8" s="54" t="n"/>
      <c r="X8" s="54" t="n"/>
    </row>
    <row r="9" ht="60.75" customHeight="1">
      <c r="A9" s="95" t="n"/>
      <c r="B9" s="111" t="n"/>
      <c r="C9" s="95" t="n"/>
      <c r="D9" s="112" t="n"/>
      <c r="E9" s="112" t="n"/>
      <c r="F9" s="112" t="n"/>
      <c r="G9" s="112" t="n"/>
      <c r="H9" s="112" t="n"/>
      <c r="I9" s="83" t="inlineStr">
        <is>
          <t>Electricity Access</t>
        </is>
      </c>
      <c r="J9" s="83" t="inlineStr">
        <is>
          <t>MW added</t>
        </is>
      </c>
      <c r="K9" s="83" t="n">
        <v>0</v>
      </c>
      <c r="L9" s="87" t="n">
        <v>900955</v>
      </c>
      <c r="M9" s="90" t="inlineStr">
        <is>
          <t>Procurement of 80 MW (8x10MW) of gas pistons with plans to increase to 160 MW, to benefit 900,955 beneficiaries.</t>
        </is>
      </c>
      <c r="N9" s="58" t="inlineStr">
        <is>
          <t xml:space="preserve">Norway </t>
        </is>
      </c>
      <c r="O9" s="54" t="n">
        <v>50</v>
      </c>
      <c r="P9" s="54" t="n"/>
      <c r="Q9" s="54" t="n"/>
      <c r="R9" s="54" t="n"/>
      <c r="S9" s="54" t="n"/>
      <c r="T9" s="54" t="n"/>
      <c r="U9" s="54" t="n"/>
      <c r="V9" s="54" t="n"/>
      <c r="W9" s="54" t="n"/>
      <c r="X9" s="54" t="n"/>
    </row>
    <row r="10" ht="30.75" customHeight="1">
      <c r="A10" s="95" t="n"/>
      <c r="B10" s="111" t="n"/>
      <c r="C10" s="95" t="n"/>
      <c r="D10" s="112" t="n"/>
      <c r="E10" s="112" t="n"/>
      <c r="F10" s="112" t="n"/>
      <c r="G10" s="112" t="n"/>
      <c r="H10" s="112" t="n"/>
      <c r="I10" s="83" t="inlineStr">
        <is>
          <t>Electricity Access</t>
        </is>
      </c>
      <c r="J10" s="83" t="inlineStr">
        <is>
          <t>MW added</t>
        </is>
      </c>
      <c r="K10" s="83" t="n">
        <v>0</v>
      </c>
      <c r="L10" s="87" t="n">
        <v>630000</v>
      </c>
      <c r="M10" s="92" t="inlineStr">
        <is>
          <t>Provided access to energy for 630,000 beneficiaries through procurement of 90.6 MW of gas generation (10x1.5M, 2x3.3MW gas pistons and 15MW and 54 MW turbines).</t>
        </is>
      </c>
      <c r="N10" s="58" t="inlineStr">
        <is>
          <t>Japan, Norway, Sweden, EU</t>
        </is>
      </c>
      <c r="O10" s="54" t="n">
        <v>50</v>
      </c>
      <c r="P10" s="54" t="n"/>
      <c r="Q10" s="54" t="n"/>
      <c r="R10" s="54" t="n"/>
      <c r="S10" s="54" t="n"/>
      <c r="T10" s="54" t="n"/>
      <c r="U10" s="54" t="n"/>
      <c r="V10" s="54" t="n"/>
      <c r="W10" s="54" t="n"/>
      <c r="X10" s="54" t="n"/>
    </row>
    <row r="11" ht="70.5" customHeight="1">
      <c r="A11" s="95" t="n"/>
      <c r="B11" s="111" t="n"/>
      <c r="C11" s="95" t="n"/>
      <c r="D11" s="112" t="n"/>
      <c r="E11" s="112" t="n"/>
      <c r="F11" s="112" t="n"/>
      <c r="G11" s="112" t="n"/>
      <c r="H11" s="112" t="n"/>
      <c r="I11" s="83" t="inlineStr">
        <is>
          <t>Electricity Access</t>
        </is>
      </c>
      <c r="J11" s="83" t="inlineStr">
        <is>
          <t>No. of Beneficaries</t>
        </is>
      </c>
      <c r="K11" s="83" t="n">
        <v>0</v>
      </c>
      <c r="L11" s="130" t="n">
        <v>0</v>
      </c>
      <c r="M11" s="90" t="inlineStr">
        <is>
          <t>Procurement of a gas booster compressor for restoring gas supply.</t>
        </is>
      </c>
      <c r="N11" s="58" t="inlineStr">
        <is>
          <t>Norway</t>
        </is>
      </c>
      <c r="O11" s="54" t="n">
        <v>50</v>
      </c>
      <c r="P11" s="54" t="n"/>
      <c r="Q11" s="54" t="n"/>
      <c r="R11" s="54" t="n"/>
      <c r="S11" s="54" t="n"/>
      <c r="T11" s="54" t="n"/>
      <c r="U11" s="54" t="n"/>
      <c r="V11" s="54" t="n"/>
      <c r="W11" s="54" t="n"/>
      <c r="X11" s="54" t="n"/>
    </row>
    <row r="12" ht="76.5" customHeight="1">
      <c r="A12" s="95" t="n"/>
      <c r="B12" s="111" t="n"/>
      <c r="C12" s="95" t="n"/>
      <c r="D12" s="112" t="n"/>
      <c r="E12" s="112" t="n"/>
      <c r="F12" s="112" t="n"/>
      <c r="G12" s="112" t="n"/>
      <c r="H12" s="112" t="n"/>
      <c r="I12" s="83" t="inlineStr">
        <is>
          <t>Electricity Access</t>
        </is>
      </c>
      <c r="J12" s="83" t="inlineStr">
        <is>
          <t>MW added</t>
        </is>
      </c>
      <c r="K12" s="83" t="n">
        <v>0</v>
      </c>
      <c r="L12" s="87" t="n">
        <v>95800</v>
      </c>
      <c r="M12" s="90" t="inlineStr">
        <is>
          <t>Provided access to energy for 95,800 beneficiaries through procurement of 6.7 MW of gas generation and ongoing technical design services.</t>
        </is>
      </c>
      <c r="N12" s="58" t="inlineStr">
        <is>
          <t>Denmark</t>
        </is>
      </c>
      <c r="O12" s="54" t="n">
        <v>50</v>
      </c>
      <c r="P12" s="54" t="n"/>
      <c r="Q12" s="54" t="n"/>
      <c r="R12" s="54" t="n"/>
      <c r="S12" s="54" t="n"/>
      <c r="T12" s="54" t="n"/>
      <c r="U12" s="54" t="n"/>
      <c r="V12" s="54" t="n"/>
      <c r="W12" s="54" t="n"/>
      <c r="X12" s="54" t="n"/>
    </row>
    <row r="13" ht="91.5" customHeight="1">
      <c r="A13" s="95" t="n"/>
      <c r="B13" s="111" t="n"/>
      <c r="C13" s="95" t="n"/>
      <c r="D13" s="112" t="n"/>
      <c r="E13" s="112" t="n"/>
      <c r="F13" s="112" t="n"/>
      <c r="G13" s="112" t="n"/>
      <c r="H13" s="112" t="n"/>
      <c r="I13" s="83" t="inlineStr">
        <is>
          <t>Health services</t>
        </is>
      </c>
      <c r="J13" s="86" t="inlineStr">
        <is>
          <t>Critical facilities supported (hospitals, schools, water pumps) and their user numbers</t>
        </is>
      </c>
      <c r="K13" s="83" t="n">
        <v>0</v>
      </c>
      <c r="L13" s="89" t="n">
        <v>1</v>
      </c>
      <c r="M13" s="86" t="inlineStr">
        <is>
          <t xml:space="preserve">Provide access to clean energy, namely 0,2 MW of renewable energy through solar power installation for 1 hospital benefiting 10,700 people </t>
        </is>
      </c>
      <c r="N13" s="58" t="inlineStr">
        <is>
          <t xml:space="preserve">Norway </t>
        </is>
      </c>
      <c r="O13" s="54" t="n">
        <v>50</v>
      </c>
      <c r="P13" s="54" t="n"/>
      <c r="Q13" s="54" t="n"/>
      <c r="R13" s="54" t="n"/>
      <c r="S13" s="54" t="n"/>
      <c r="T13" s="54" t="n"/>
      <c r="U13" s="54" t="n"/>
      <c r="V13" s="54" t="inlineStr">
        <is>
          <t>Solar</t>
        </is>
      </c>
      <c r="W13" s="54" t="n"/>
      <c r="X13" s="54" t="n"/>
    </row>
    <row r="14" ht="60.75" customHeight="1">
      <c r="A14" s="95" t="n"/>
      <c r="B14" s="111" t="n"/>
      <c r="C14" s="95" t="n"/>
      <c r="D14" s="112" t="n"/>
      <c r="E14" s="112" t="n"/>
      <c r="F14" s="112" t="n"/>
      <c r="G14" s="112" t="n"/>
      <c r="H14" s="112" t="n"/>
      <c r="I14" s="83" t="inlineStr">
        <is>
          <t xml:space="preserve">Other </t>
        </is>
      </c>
      <c r="J14" s="86" t="inlineStr">
        <is>
          <t>Number of municipalities/provinces receiving energy equipment</t>
        </is>
      </c>
      <c r="K14" s="83" t="n">
        <v>0</v>
      </c>
      <c r="L14" s="155" t="inlineStr">
        <is>
          <t>314 municipalities</t>
        </is>
      </c>
      <c r="M14" s="86" t="inlineStr">
        <is>
          <t>Dedicated group of experts
(more than 20) working directly in Ministry
of Energy of Ukraine to support the
coordination of energy equipment
distribution between the Ministries and
Municipalities.</t>
        </is>
      </c>
      <c r="N14" s="58" t="inlineStr">
        <is>
          <t xml:space="preserve">Denmark </t>
        </is>
      </c>
      <c r="O14" s="54" t="n">
        <v>50</v>
      </c>
      <c r="P14" s="54" t="n"/>
      <c r="Q14" s="54" t="n"/>
      <c r="R14" s="54" t="n"/>
      <c r="S14" s="54" t="n"/>
      <c r="T14" s="54" t="n"/>
      <c r="U14" s="54" t="n"/>
      <c r="V14" s="54" t="n"/>
      <c r="W14" s="54" t="n"/>
      <c r="X14" s="54" t="n"/>
    </row>
    <row r="15" ht="30.75" customHeight="1">
      <c r="A15" s="116" t="n"/>
      <c r="B15" s="117" t="n"/>
      <c r="C15" s="116" t="n"/>
      <c r="D15" s="114" t="n"/>
      <c r="E15" s="114" t="n"/>
      <c r="F15" s="114" t="n"/>
      <c r="G15" s="114" t="n"/>
      <c r="H15" s="114" t="n"/>
      <c r="I15" s="83" t="inlineStr">
        <is>
          <t>Energy (MW added)</t>
        </is>
      </c>
      <c r="J15" s="83" t="inlineStr">
        <is>
          <t>MW added</t>
        </is>
      </c>
      <c r="K15" s="118" t="n">
        <v>0</v>
      </c>
      <c r="L15" s="151" t="n">
        <v>14</v>
      </c>
      <c r="M15" s="120" t="inlineStr">
        <is>
          <t>Restoration of critical utility services through the installation of co-generation equipment to ensure reliable heat, water, and sewage services during power outages (14MW)</t>
        </is>
      </c>
      <c r="N15" s="58" t="inlineStr">
        <is>
          <t>Denmark, Sweden, Belgium</t>
        </is>
      </c>
      <c r="O15" s="54" t="n">
        <v>50</v>
      </c>
      <c r="P15" s="122" t="n"/>
      <c r="Q15" s="122" t="n"/>
      <c r="R15" s="122" t="n"/>
      <c r="S15" s="122" t="n"/>
      <c r="T15" s="122" t="n"/>
      <c r="U15" s="122" t="n"/>
      <c r="V15" s="122" t="n"/>
      <c r="W15" s="122" t="n"/>
      <c r="X15" s="122" t="n"/>
    </row>
    <row r="16">
      <c r="A16" s="95" t="n"/>
      <c r="B16" s="111" t="n"/>
      <c r="C16" s="95" t="n"/>
      <c r="D16" s="115" t="n"/>
      <c r="E16" s="115" t="n"/>
      <c r="F16" s="115" t="n"/>
      <c r="G16" s="115" t="n"/>
      <c r="H16" s="115" t="n"/>
      <c r="I16" s="83" t="inlineStr">
        <is>
          <t>Energy (MW added)</t>
        </is>
      </c>
      <c r="J16" s="83" t="inlineStr">
        <is>
          <t>MW added</t>
        </is>
      </c>
      <c r="K16" s="118" t="n">
        <v>0</v>
      </c>
      <c r="L16" s="152" t="n">
        <v>40</v>
      </c>
      <c r="M16" s="86" t="inlineStr">
        <is>
          <t>Support of in-kind donation 40 MW of generation</t>
        </is>
      </c>
      <c r="N16" s="123" t="inlineStr">
        <is>
          <t xml:space="preserve">Norway </t>
        </is>
      </c>
      <c r="O16" s="54" t="n">
        <v>50</v>
      </c>
      <c r="P16" s="122" t="n"/>
      <c r="Q16" s="122" t="n"/>
      <c r="R16" s="122" t="n"/>
      <c r="S16" s="122" t="n"/>
      <c r="T16" s="122" t="n"/>
      <c r="U16" s="122" t="n"/>
      <c r="V16" s="122" t="n"/>
      <c r="W16" s="122" t="n"/>
      <c r="X16" s="122" t="n"/>
    </row>
    <row r="17" ht="91.5" customHeight="1">
      <c r="A17" s="139" t="n"/>
      <c r="B17" s="140" t="n"/>
      <c r="C17" s="141" t="n"/>
      <c r="D17" s="144" t="n"/>
      <c r="E17" s="144" t="n"/>
      <c r="F17" s="144" t="n"/>
      <c r="G17" s="144" t="n"/>
      <c r="H17" s="144" t="n"/>
      <c r="I17" s="83" t="inlineStr">
        <is>
          <t>Energy (MW added)</t>
        </is>
      </c>
      <c r="J17" s="83" t="inlineStr">
        <is>
          <t>MW added</t>
        </is>
      </c>
      <c r="K17" s="83" t="n">
        <v>0</v>
      </c>
      <c r="L17" s="153" t="n">
        <v>12</v>
      </c>
      <c r="M17" s="143" t="inlineStr">
        <is>
          <t>12MW gas turbine</t>
        </is>
      </c>
      <c r="N17" s="58" t="inlineStr">
        <is>
          <t>SIDA</t>
        </is>
      </c>
      <c r="O17" s="54" t="n">
        <v>50</v>
      </c>
      <c r="P17" s="122" t="n"/>
      <c r="Q17" s="122" t="n"/>
      <c r="R17" s="122" t="n"/>
      <c r="S17" s="122" t="n"/>
      <c r="T17" s="122" t="n"/>
      <c r="U17" s="122" t="n"/>
      <c r="V17" s="122" t="n"/>
      <c r="W17" s="122" t="n"/>
      <c r="X17" s="122" t="n"/>
    </row>
    <row r="18" ht="76.5" customHeight="1">
      <c r="A18" s="116" t="n"/>
      <c r="B18" s="117" t="n"/>
      <c r="C18" s="116" t="n"/>
      <c r="D18" s="138" t="n"/>
      <c r="E18" s="138" t="n"/>
      <c r="F18" s="138" t="n"/>
      <c r="G18" s="138" t="n"/>
      <c r="H18" s="138" t="n"/>
      <c r="I18" s="142" t="inlineStr">
        <is>
          <t xml:space="preserve">Other </t>
        </is>
      </c>
      <c r="J18" s="142" t="inlineStr">
        <is>
          <t>No. of Beneficaries</t>
        </is>
      </c>
      <c r="K18" s="142" t="n">
        <v>0</v>
      </c>
      <c r="L18" s="119" t="n">
        <v>35800000</v>
      </c>
      <c r="M18" s="120" t="inlineStr">
        <is>
          <t xml:space="preserve">Development of a digital platform Energy Programme Information Management System (EPIMS) to address integrated energy needs, facilitating immediate repair work on energy infrastructure and efficiently restore the energy sector. </t>
        </is>
      </c>
      <c r="N18" s="58" t="inlineStr">
        <is>
          <t xml:space="preserve">Denmark </t>
        </is>
      </c>
      <c r="O18" s="54" t="n">
        <v>50</v>
      </c>
      <c r="P18" s="122" t="n"/>
      <c r="Q18" s="122" t="n"/>
      <c r="R18" s="122" t="n"/>
      <c r="S18" s="122" t="n"/>
      <c r="T18" s="122" t="n"/>
      <c r="U18" s="122" t="n"/>
      <c r="V18" s="122" t="n"/>
      <c r="W18" s="122" t="n"/>
      <c r="X18" s="122" t="n"/>
    </row>
    <row r="19" ht="76.5" customHeight="1">
      <c r="A19" s="122" t="n">
        <v>1003605</v>
      </c>
      <c r="B19" s="146" t="inlineStr">
        <is>
          <t>Crisis response for securing reliable energy access in Ukraine (FPI Energy)</t>
        </is>
      </c>
      <c r="C19" s="122" t="n"/>
      <c r="D19" s="147">
        <f>6772151.9+241257.912</f>
        <v/>
      </c>
      <c r="E19" s="211" t="n"/>
      <c r="F19" s="211" t="n"/>
      <c r="G19" s="211" t="n"/>
      <c r="H19" s="147" t="inlineStr">
        <is>
          <t>Non-VF</t>
        </is>
      </c>
      <c r="I19" s="122" t="inlineStr">
        <is>
          <t>Energy (MW added)</t>
        </is>
      </c>
      <c r="J19" s="122" t="inlineStr">
        <is>
          <t>MW added</t>
        </is>
      </c>
      <c r="K19" s="122" t="n">
        <v>0</v>
      </c>
      <c r="L19" s="154" t="n">
        <v>6.5</v>
      </c>
      <c r="M19" s="146" t="inlineStr">
        <is>
          <t>Restoration of critical utility services through the installation of co-generation equipment to ensure reliable heat, water, and sewage services during power outages, benefitting over 1.6 million residents (6.5 MW)</t>
        </is>
      </c>
      <c r="N19" s="46" t="inlineStr">
        <is>
          <t>EU</t>
        </is>
      </c>
      <c r="O19" s="122" t="n">
        <v>50</v>
      </c>
      <c r="P19" s="54" t="n"/>
      <c r="Q19" s="54" t="n"/>
      <c r="R19" s="54" t="n"/>
      <c r="S19" s="54" t="n"/>
      <c r="T19" s="54" t="n"/>
      <c r="U19" s="54" t="n"/>
      <c r="V19" s="54" t="n"/>
      <c r="W19" s="54" t="n"/>
      <c r="X19" s="54" t="n"/>
    </row>
    <row r="20" ht="45.75" customHeight="1">
      <c r="A20" s="122" t="n"/>
      <c r="B20" s="122" t="n"/>
      <c r="C20" s="122" t="n"/>
      <c r="D20" s="147" t="n"/>
      <c r="E20" s="147" t="n"/>
      <c r="F20" s="147" t="n"/>
      <c r="G20" s="147" t="n"/>
      <c r="H20" s="147" t="n"/>
      <c r="I20" s="122" t="inlineStr">
        <is>
          <t>Energy (MW added)</t>
        </is>
      </c>
      <c r="J20" s="122" t="inlineStr">
        <is>
          <t>MW added</t>
        </is>
      </c>
      <c r="K20" s="122" t="n">
        <v>0</v>
      </c>
      <c r="L20" s="147" t="n">
        <v>0.5</v>
      </c>
      <c r="M20" s="146" t="inlineStr">
        <is>
          <t>Provision of rooftop Solar Power Plants (SPP) 0.5 MW to ensure a stable and sustainable freshwater supply, reducing the city’s energy vulnerability and advancing long-term renewable energy goals</t>
        </is>
      </c>
      <c r="N20" s="58" t="inlineStr">
        <is>
          <t>EU</t>
        </is>
      </c>
      <c r="O20" s="54" t="n">
        <v>50</v>
      </c>
      <c r="P20" s="54" t="n"/>
      <c r="Q20" s="54" t="n"/>
      <c r="R20" s="54" t="n"/>
      <c r="S20" s="54" t="n"/>
      <c r="T20" s="54" t="n"/>
      <c r="U20" s="54" t="n"/>
      <c r="V20" s="54" t="n"/>
      <c r="W20" s="54" t="n"/>
      <c r="X20" s="54" t="n"/>
    </row>
    <row r="21" ht="45.75" customHeight="1">
      <c r="A21" s="122" t="n"/>
      <c r="B21" s="122" t="n"/>
      <c r="C21" s="122" t="n"/>
      <c r="D21" s="147" t="n"/>
      <c r="E21" s="147" t="n"/>
      <c r="F21" s="147" t="n"/>
      <c r="G21" s="147" t="n"/>
      <c r="H21" s="147" t="n"/>
      <c r="I21" s="122" t="inlineStr">
        <is>
          <t>Energy (MW added)</t>
        </is>
      </c>
      <c r="J21" s="122" t="inlineStr">
        <is>
          <t>MW added</t>
        </is>
      </c>
      <c r="K21" s="122" t="n">
        <v>0</v>
      </c>
      <c r="L21" s="154" t="n">
        <v>10.2</v>
      </c>
      <c r="M21" s="146" t="inlineStr">
        <is>
          <t>Construction of a Biomass Co-generation Power Plant namely 8 MW thermal and 2.2 MW electical</t>
        </is>
      </c>
      <c r="N21" s="133" t="inlineStr">
        <is>
          <t>EU</t>
        </is>
      </c>
      <c r="O21" s="122" t="n">
        <v>50</v>
      </c>
      <c r="P21" s="54" t="n"/>
      <c r="Q21" s="54" t="n"/>
      <c r="R21" s="54" t="n"/>
      <c r="S21" s="54" t="n"/>
      <c r="T21" s="54" t="n"/>
      <c r="U21" s="54" t="n"/>
      <c r="V21" s="54" t="n"/>
      <c r="W21" s="54" t="n"/>
      <c r="X21" s="54" t="n"/>
    </row>
    <row r="22">
      <c r="A22" s="126" t="n"/>
      <c r="B22" s="54" t="n"/>
      <c r="C22" s="54" t="n"/>
      <c r="D22" s="148" t="n"/>
      <c r="E22" s="148" t="n"/>
      <c r="F22" s="148" t="n"/>
      <c r="G22" s="148" t="n"/>
      <c r="H22" s="148" t="n"/>
      <c r="I22" s="197" t="inlineStr">
        <is>
          <t>Energy Infrastructure Services</t>
        </is>
      </c>
      <c r="J22" s="54" t="inlineStr">
        <is>
          <t>No. of Beneficaries</t>
        </is>
      </c>
      <c r="K22" s="54" t="n">
        <v>0</v>
      </c>
      <c r="L22" s="148" t="n">
        <v>1000000</v>
      </c>
      <c r="M22" s="58" t="inlineStr">
        <is>
          <t xml:space="preserve">Installation of frequency drivers for electric motors of pumps, smoke extractors, and fans in boiler houses of the city </t>
        </is>
      </c>
      <c r="N22" s="58" t="inlineStr">
        <is>
          <t>EU</t>
        </is>
      </c>
      <c r="O22" s="54" t="n">
        <v>50</v>
      </c>
      <c r="P22" s="134" t="n"/>
      <c r="Q22" s="122" t="n"/>
      <c r="R22" s="122" t="n"/>
      <c r="S22" s="122" t="n"/>
      <c r="T22" s="122" t="n"/>
      <c r="U22" s="122" t="n"/>
      <c r="V22" s="122" t="n"/>
      <c r="W22" s="122" t="n"/>
      <c r="X22" s="122" t="n"/>
    </row>
    <row r="23">
      <c r="A23" s="136" t="n"/>
      <c r="B23" s="136" t="n"/>
      <c r="C23" s="136" t="n"/>
      <c r="D23" s="137" t="n"/>
      <c r="E23" s="137" t="n"/>
      <c r="F23" s="137" t="n"/>
      <c r="G23" s="137" t="n"/>
      <c r="H23" s="137" t="n"/>
      <c r="P23" s="132" t="n"/>
      <c r="Q23" s="54" t="n"/>
      <c r="R23" s="54" t="n"/>
      <c r="S23" s="54" t="n"/>
      <c r="T23" s="54" t="n"/>
      <c r="U23" s="54" t="n"/>
      <c r="V23" s="54" t="n"/>
      <c r="W23" s="54" t="n"/>
      <c r="X23" s="54" t="n"/>
    </row>
    <row r="24">
      <c r="A24" s="136" t="n"/>
      <c r="B24" s="136" t="n"/>
      <c r="C24" s="136" t="n"/>
      <c r="D24" s="137" t="n"/>
      <c r="E24" s="137" t="n"/>
      <c r="F24" s="137" t="n"/>
      <c r="G24" s="137" t="n"/>
      <c r="H24" s="137" t="n"/>
    </row>
  </sheetData>
  <mergeCells count="4">
    <mergeCell ref="B3:B5"/>
    <mergeCell ref="D3:D5"/>
    <mergeCell ref="J3:J5"/>
    <mergeCell ref="A3:A5"/>
  </mergeCells>
  <dataValidations count="12">
    <dataValidation sqref="Q2:Q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N2:N5" showDropDown="0" showInputMessage="1" showErrorMessage="1" allowBlank="1" type="list">
      <formula1>"Accelerating just energy transition, Close the gap on energy access, Scale up energy finance"</formula1>
    </dataValidation>
    <dataValidation sqref="O2:O5" showDropDown="0" showInputMessage="1" showErrorMessage="1" allowBlank="1" type="list">
      <formula1>"Electricity Access, Energy Efficiency, Clean Cooking, Renewable Energy, Overall"</formula1>
    </dataValidation>
    <dataValidation sqref="M2:M5" showDropDown="0" showInputMessage="1" showErrorMessage="1" allowBlank="1" type="list">
      <formula1>"Finance, Gender, Efficiency, Just, Health"</formula1>
    </dataValidation>
    <dataValidation sqref="T2:T5" showDropDown="0" showInputMessage="1" showErrorMessage="1" allowBlank="1" type="list">
      <formula1>"National, Regional, City, Community"</formula1>
    </dataValidation>
    <dataValidation sqref="P2:P5" showDropDown="0" showInputMessage="1" showErrorMessage="1" allowBlank="1" type="list">
      <formula1>"AMP, PUDC, Solar4Health, Action Opportunities, Italy UNDP Energy Partnership"</formula1>
    </dataValidation>
    <dataValidation sqref="L2:L5" showDropDown="0" showInputMessage="1" showErrorMessage="1" allowBlank="1" type="list">
      <formula1>"Non-VF, VF"</formula1>
    </dataValidation>
    <dataValidation sqref="R2:R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5"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3" r:id="rId2"/>
  </hyperlinks>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W25"/>
  <sheetViews>
    <sheetView zoomScaleNormal="100" workbookViewId="0">
      <pane xSplit="1" ySplit="1" topLeftCell="B2" activePane="bottomRight" state="frozen"/>
      <selection pane="bottomRight" activeCell="W4" sqref="W4"/>
      <selection pane="bottomLeft" activeCell="A2" sqref="A2"/>
      <selection pane="topRight" activeCell="B1" sqref="B1"/>
    </sheetView>
  </sheetViews>
  <sheetFormatPr baseColWidth="8" defaultRowHeight="14.25"/>
  <cols>
    <col width="10.85546875" customWidth="1" min="1" max="1"/>
    <col width="32.42578125" customWidth="1" min="2" max="2"/>
    <col width="29.5703125" customWidth="1" min="3" max="3"/>
    <col width="50.140625" customWidth="1" style="113" min="4" max="4"/>
    <col width="30.7109375" customWidth="1" min="5" max="5"/>
    <col width="18" customWidth="1" min="6" max="6"/>
    <col width="14.7109375" customWidth="1" min="7" max="7"/>
    <col width="13.28515625" customWidth="1" min="8" max="8"/>
    <col width="43.7109375" customWidth="1" min="9" max="9"/>
    <col width="14.5703125" customWidth="1" style="46" min="10" max="10"/>
    <col width="16.140625" customWidth="1" min="11" max="11"/>
    <col width="17.28515625" customWidth="1" min="12" max="12"/>
    <col width="9.140625" bestFit="1" customWidth="1" min="13" max="13"/>
    <col width="18.28515625" customWidth="1" min="14" max="14"/>
    <col width="17.7109375" customWidth="1" min="15" max="15"/>
    <col width="9.140625" bestFit="1" customWidth="1" min="16" max="16"/>
    <col width="19.42578125" customWidth="1" min="17" max="17"/>
    <col width="19" customWidth="1" min="18" max="18"/>
    <col width="9.140625" bestFit="1" customWidth="1" min="19" max="19"/>
    <col width="26" customWidth="1" min="20" max="20"/>
  </cols>
  <sheetData>
    <row r="1">
      <c r="A1" s="30" t="inlineStr">
        <is>
          <t>Project ID</t>
        </is>
      </c>
      <c r="B1" s="31" t="inlineStr">
        <is>
          <t>Title</t>
        </is>
      </c>
      <c r="C1" s="35" t="inlineStr">
        <is>
          <t>Link</t>
        </is>
      </c>
      <c r="D1" s="127" t="inlineStr">
        <is>
          <t>Budget</t>
        </is>
      </c>
      <c r="E1" s="34" t="inlineStr">
        <is>
          <t>Beneficiary Category</t>
        </is>
      </c>
      <c r="F1" s="1" t="inlineStr">
        <is>
          <t>Indicator</t>
        </is>
      </c>
      <c r="G1" s="1" t="inlineStr">
        <is>
          <t>Baseline</t>
        </is>
      </c>
      <c r="H1" s="1" t="inlineStr">
        <is>
          <t>Target</t>
        </is>
      </c>
      <c r="I1" s="1" t="inlineStr">
        <is>
          <t>Notes</t>
        </is>
      </c>
      <c r="J1" s="50" t="inlineStr">
        <is>
          <t>Donors</t>
        </is>
      </c>
      <c r="K1" s="42" t="inlineStr">
        <is>
          <t>Gender (% female)</t>
        </is>
      </c>
      <c r="L1" s="8" t="inlineStr">
        <is>
          <t>VF or Non-VF</t>
        </is>
      </c>
      <c r="M1" s="9" t="inlineStr">
        <is>
          <t>Tag</t>
        </is>
      </c>
      <c r="N1" s="8" t="inlineStr">
        <is>
          <t>SEH Taxonomy</t>
        </is>
      </c>
      <c r="O1" s="8" t="inlineStr">
        <is>
          <t>RISE Taxonomy</t>
        </is>
      </c>
      <c r="P1" s="9" t="inlineStr">
        <is>
          <t>Flagship</t>
        </is>
      </c>
      <c r="Q1" s="9" t="inlineStr">
        <is>
          <t>Indirect Category</t>
        </is>
      </c>
      <c r="R1" s="10" t="inlineStr">
        <is>
          <t>Indirect Taxonomy</t>
        </is>
      </c>
      <c r="S1" s="11" t="inlineStr">
        <is>
          <t>Technology</t>
        </is>
      </c>
      <c r="T1" s="10" t="inlineStr">
        <is>
          <t>Policy or Regulatory Framework</t>
        </is>
      </c>
      <c r="U1" s="11" t="inlineStr">
        <is>
          <t>Policy Population</t>
        </is>
      </c>
    </row>
    <row r="2" ht="27" customHeight="1">
      <c r="A2" s="101" t="n">
        <v>99918</v>
      </c>
      <c r="B2" s="65" t="inlineStr">
        <is>
          <t>Support to SDGs localization in Ukraine</t>
        </is>
      </c>
      <c r="C2" s="108" t="inlineStr">
        <is>
          <t>http://open.undp.org/projects/00099918</t>
        </is>
      </c>
      <c r="D2" s="128" t="n">
        <v>6817448</v>
      </c>
      <c r="I2" s="39" t="n"/>
      <c r="J2" s="51" t="n"/>
      <c r="L2" s="12" t="inlineStr">
        <is>
          <t>Non-VF</t>
        </is>
      </c>
      <c r="M2" s="13" t="n"/>
      <c r="N2" s="14" t="n"/>
      <c r="O2" s="13" t="n"/>
      <c r="P2" s="13" t="n"/>
      <c r="Q2" s="13" t="n"/>
      <c r="R2" s="13" t="n"/>
      <c r="S2" s="15" t="n"/>
      <c r="T2" s="13" t="n"/>
      <c r="U2" s="15" t="n"/>
      <c r="W2" s="4" t="inlineStr">
        <is>
          <t xml:space="preserve">Can you please provide information for all the categories ? </t>
        </is>
      </c>
    </row>
    <row r="3" ht="129.75" customFormat="1" customHeight="1" s="101">
      <c r="A3" s="124" t="inlineStr">
        <is>
          <t>00095405</t>
        </is>
      </c>
      <c r="B3" s="29" t="inlineStr">
        <is>
          <t>EE in Public Buildings</t>
        </is>
      </c>
      <c r="C3" s="98" t="inlineStr">
        <is>
          <t>https://www.undp.org/ukraine/projects/removing-barriers-increase-investment-energy-efficiency-public-buildings-ukraine-through-esco-modality-small-and-medium-sized</t>
        </is>
      </c>
      <c r="D3" s="129" t="n">
        <v>5480000</v>
      </c>
      <c r="E3" s="97" t="inlineStr">
        <is>
          <t>Energy Efficiency Services</t>
        </is>
      </c>
      <c r="F3" s="65" t="inlineStr">
        <is>
          <t>No. of Beneficaries</t>
        </is>
      </c>
      <c r="G3" s="97" t="n">
        <v>0</v>
      </c>
      <c r="H3" s="99" t="n">
        <v>30204</v>
      </c>
      <c r="I3" s="100" t="inlineStr">
        <is>
          <t xml:space="preserve">Key indicators: 
1. The actual cumulative direct GHG emission reduction as of June 2024 was 16,052.48 tCO2e; estimated reduction over a 20-year period was 69,190.0 tCO2e  
2. 24,164.16 MWh were saved cumulatively since the Project start, which exceeded the goals set as 2,346 MWh. The total capacity of solar power stations to be installed under ESCO-SPP contracts is 6.5 MW, and 1 MW of energy storage. This will allow hospitals and water facilities to have electricity even during blackouts. 
3. With direct project support, USD 22,92 million of investment in energy efficiency in public buildings was achieved. 
4. The total number of green jobs created by the project is 4,562: 4498 energy managers and 64 energy auditors were trained. </t>
        </is>
      </c>
      <c r="J3" s="100" t="inlineStr">
        <is>
          <t>GEF</t>
        </is>
      </c>
      <c r="K3" s="97" t="n">
        <v>63</v>
      </c>
      <c r="L3" s="18" t="inlineStr">
        <is>
          <t>VF</t>
        </is>
      </c>
      <c r="M3" s="19" t="inlineStr">
        <is>
          <t>Efficiency</t>
        </is>
      </c>
      <c r="N3" s="20" t="inlineStr">
        <is>
          <t>Scale up energy finance</t>
        </is>
      </c>
      <c r="O3" s="19" t="inlineStr">
        <is>
          <t>Energy Efficiency</t>
        </is>
      </c>
      <c r="P3" s="19" t="n"/>
      <c r="Q3" s="19" t="n"/>
      <c r="R3" s="19" t="inlineStr">
        <is>
          <t>Energy Efficiency</t>
        </is>
      </c>
      <c r="S3" s="21" t="inlineStr">
        <is>
          <t>Solar</t>
        </is>
      </c>
      <c r="T3" s="19" t="inlineStr">
        <is>
          <t>National</t>
        </is>
      </c>
      <c r="U3" s="21" t="n"/>
      <c r="W3" s="102" t="inlineStr">
        <is>
          <t xml:space="preserve">Can you please provide information for all the categories ? </t>
        </is>
      </c>
    </row>
    <row r="4">
      <c r="A4" s="202" t="inlineStr">
        <is>
          <t>001000157</t>
        </is>
      </c>
      <c r="B4" s="203" t="inlineStr">
        <is>
          <t xml:space="preserve">Promotion of Human Security </t>
        </is>
      </c>
      <c r="C4" s="109" t="inlineStr">
        <is>
          <t>https://www.undp.org/ukraine/press-releases/undp-and-japan-deliver-high-power-autotransformers-ukraine-ensure-unbroken-energy-supplies-over-half-million-people</t>
        </is>
      </c>
      <c r="D4" s="204" t="n">
        <v>40000000</v>
      </c>
      <c r="E4" s="203" t="inlineStr">
        <is>
          <t>Electricity Access</t>
        </is>
      </c>
      <c r="F4" s="198" t="inlineStr">
        <is>
          <t>No. of Beneficaries</t>
        </is>
      </c>
      <c r="G4" t="n">
        <v>0</v>
      </c>
      <c r="H4" s="36" t="n">
        <v>1000000</v>
      </c>
      <c r="I4" s="40" t="inlineStr">
        <is>
          <t>-4 Autotransformers (2 installed, 2 upcoming)</t>
        </is>
      </c>
      <c r="J4" s="206" t="inlineStr">
        <is>
          <t>Japan</t>
        </is>
      </c>
      <c r="K4" t="n">
        <v>50</v>
      </c>
      <c r="L4" s="12" t="inlineStr">
        <is>
          <t>Non-VF</t>
        </is>
      </c>
      <c r="M4" s="13" t="n"/>
      <c r="N4" s="14" t="n"/>
      <c r="O4" s="13" t="n"/>
      <c r="P4" s="13" t="n"/>
      <c r="Q4" s="13" t="n"/>
      <c r="R4" s="13" t="n"/>
      <c r="S4" s="15" t="n"/>
      <c r="T4" s="13" t="n"/>
      <c r="U4" s="15" t="n"/>
      <c r="W4" s="110" t="n"/>
    </row>
    <row r="5">
      <c r="A5" s="39" t="n"/>
      <c r="B5" s="198" t="n"/>
      <c r="C5" s="109" t="inlineStr">
        <is>
          <t>https://www.undp.org/ukraine/press-releases/japan-undp-deliver-equipment-secure-power-supply-over-55-million-ukrainians</t>
        </is>
      </c>
      <c r="D5" s="198" t="n"/>
      <c r="E5" s="198" t="n"/>
      <c r="F5" s="198" t="inlineStr">
        <is>
          <t>No. of Beneficaries</t>
        </is>
      </c>
      <c r="G5" t="n">
        <v>0</v>
      </c>
      <c r="H5" s="36" t="n">
        <v>1500000</v>
      </c>
      <c r="I5" s="40" t="inlineStr">
        <is>
          <t>-Transporation Support for 7 Autotransformers</t>
        </is>
      </c>
      <c r="J5" s="198" t="n"/>
      <c r="K5" t="n">
        <v>50</v>
      </c>
      <c r="L5" s="12" t="n"/>
      <c r="M5" s="13" t="n"/>
      <c r="N5" s="14" t="n"/>
      <c r="O5" s="13" t="n"/>
      <c r="P5" s="13" t="n"/>
      <c r="Q5" s="13" t="n"/>
      <c r="R5" s="13" t="n"/>
      <c r="S5" s="15" t="n"/>
      <c r="T5" s="13" t="n"/>
      <c r="U5" s="15" t="n"/>
      <c r="W5" s="110" t="n"/>
    </row>
    <row r="6">
      <c r="A6" s="207" t="n"/>
      <c r="B6" s="33" t="n"/>
      <c r="C6" s="29" t="n"/>
      <c r="D6" s="33" t="n"/>
      <c r="E6" s="33" t="n"/>
      <c r="F6" s="33" t="inlineStr">
        <is>
          <t>No. of Beneficaries</t>
        </is>
      </c>
      <c r="G6" s="16" t="n">
        <v>0</v>
      </c>
      <c r="H6" s="37" t="n">
        <v>1500000</v>
      </c>
      <c r="I6" s="41" t="inlineStr">
        <is>
          <t xml:space="preserve">-1 gas turbine for power generation </t>
        </is>
      </c>
      <c r="J6" s="33" t="n"/>
      <c r="K6" s="16" t="n">
        <v>50</v>
      </c>
      <c r="L6" s="18" t="n"/>
      <c r="M6" s="19" t="n"/>
      <c r="N6" s="20" t="n"/>
      <c r="O6" s="19" t="n"/>
      <c r="P6" s="19" t="n"/>
      <c r="Q6" s="19" t="n"/>
      <c r="R6" s="19" t="n"/>
      <c r="S6" s="21" t="n"/>
      <c r="T6" s="19" t="n"/>
      <c r="U6" s="21" t="n"/>
      <c r="W6" s="110" t="n"/>
    </row>
    <row r="7" ht="361.5" customHeight="1">
      <c r="A7" s="95" t="n">
        <v>134106</v>
      </c>
      <c r="B7" s="96" t="inlineStr">
        <is>
          <t>Winterization/Green Energy Recovery Programme</t>
        </is>
      </c>
      <c r="C7" s="96" t="inlineStr">
        <is>
          <t xml:space="preserve">https://www.undp.org/ukraine/projects/green-energy-recovery-programme-ukraine
https://www.undp.org/ukraine/press-releases/gas-piston-cogeneration-units-delivered-odesa-undp-cover-45-citys-energy-needs-water-heating-and-sewage-services 
</t>
        </is>
      </c>
      <c r="D7" s="131" t="n">
        <v>64600000</v>
      </c>
      <c r="E7" s="83" t="inlineStr">
        <is>
          <t>Electricity Access</t>
        </is>
      </c>
      <c r="F7" s="83" t="inlineStr">
        <is>
          <t>No. of Beneficaries</t>
        </is>
      </c>
      <c r="G7" s="83" t="n">
        <v>0</v>
      </c>
      <c r="H7" s="85" t="n">
        <v>2600000</v>
      </c>
      <c r="I7" s="94" t="inlineStr">
        <is>
          <t>Overall budget for Winterization and Green Energy Recovery Programme: USD 283,731,053.25
FW Norway:	USD   9,892,766.50 
South Korea:	USD   2,000,000.00 
Iceland FW:	 USD  500,000.00 
Sweden FW1:	USD   5,580,876.00 
Sweden FW2:	USD   5,651,314.21 
TRAC:	             USD    5,600.00 USD
Denmark 1:	USD   10,967,269.51 
SIDA:	              USD   32,357,281.93 
Belgium: 	USD   9,646,302.24 
NORAD 1:	USD   11,431,837.22 
NORAD 2:	 USD  93,993,799.88 
Japan:	              USD   70,000,000.00 
Denmark 2:	USD   6,606,959.33 
Germany:	 USD     4,000,000.00 
European Commission:  USD 21,097,046.42
Provided access to energy for 2,600,000 beneficiaries through delivery of 2 gas turbines for power generation in Ukraine with total capacity of 108 MW.</t>
        </is>
      </c>
      <c r="J7" s="58" t="inlineStr">
        <is>
          <t>Japan</t>
        </is>
      </c>
      <c r="K7" s="54" t="n">
        <v>50</v>
      </c>
      <c r="L7" s="54" t="inlineStr">
        <is>
          <t>Non-VF</t>
        </is>
      </c>
      <c r="M7" s="54" t="n"/>
      <c r="N7" s="54" t="n"/>
      <c r="O7" s="54" t="n"/>
      <c r="P7" s="54" t="n"/>
      <c r="Q7" s="54" t="n"/>
      <c r="R7" s="54" t="n"/>
      <c r="S7" s="54" t="n"/>
      <c r="T7" s="54" t="n"/>
      <c r="U7" s="54" t="n"/>
    </row>
    <row r="8" ht="57" customHeight="1">
      <c r="A8" s="95" t="n"/>
      <c r="B8" s="111" t="n"/>
      <c r="C8" s="107" t="n"/>
      <c r="D8" s="112" t="n">
        <v>16700000</v>
      </c>
      <c r="E8" s="83" t="inlineStr">
        <is>
          <t>Electricity Access</t>
        </is>
      </c>
      <c r="F8" s="83" t="inlineStr">
        <is>
          <t>No. of Beneficaries</t>
        </is>
      </c>
      <c r="G8" s="83" t="n">
        <v>0</v>
      </c>
      <c r="H8" s="87" t="n">
        <v>450000</v>
      </c>
      <c r="I8" s="88" t="inlineStr">
        <is>
          <t>Provided access to energy for 450,000 beneficiaries through procurement of 13.4 MW of gas pistons and ongoing procurement of additional gas pistons with capacity of 16.5 MW.</t>
        </is>
      </c>
      <c r="J8" s="58" t="inlineStr">
        <is>
          <t>Japan, Norway, Sweden</t>
        </is>
      </c>
      <c r="K8" s="54" t="n">
        <v>50</v>
      </c>
      <c r="L8" s="54" t="inlineStr">
        <is>
          <t>Non-VF</t>
        </is>
      </c>
      <c r="M8" s="54" t="n"/>
      <c r="N8" s="54" t="n"/>
      <c r="O8" s="54" t="n"/>
      <c r="P8" s="54" t="n"/>
      <c r="Q8" s="54" t="n"/>
      <c r="R8" s="54" t="n"/>
      <c r="S8" s="54" t="n"/>
      <c r="T8" s="54" t="n"/>
      <c r="U8" s="54" t="n"/>
    </row>
    <row r="9" ht="60" customHeight="1">
      <c r="A9" s="95" t="n"/>
      <c r="B9" s="111" t="n"/>
      <c r="C9" s="95" t="n"/>
      <c r="D9" s="112" t="n">
        <v>63352000</v>
      </c>
      <c r="E9" s="83" t="inlineStr">
        <is>
          <t>Electricity Access</t>
        </is>
      </c>
      <c r="F9" s="83" t="inlineStr">
        <is>
          <t>No. of Beneficaries</t>
        </is>
      </c>
      <c r="G9" s="83" t="n">
        <v>0</v>
      </c>
      <c r="H9" s="89" t="n">
        <v>900955</v>
      </c>
      <c r="I9" s="90" t="inlineStr">
        <is>
          <t>Procurement of 80 MW (8x10MW) of gas pistons with plans to increase to 160 MW, to benefit 900,955 beneficiaries.</t>
        </is>
      </c>
      <c r="J9" s="58" t="inlineStr">
        <is>
          <t xml:space="preserve">Norway </t>
        </is>
      </c>
      <c r="K9" s="54" t="n">
        <v>50</v>
      </c>
      <c r="L9" s="54" t="inlineStr">
        <is>
          <t>Non-VF</t>
        </is>
      </c>
      <c r="M9" s="54" t="n"/>
      <c r="N9" s="54" t="n"/>
      <c r="O9" s="54" t="n"/>
      <c r="P9" s="54" t="n"/>
      <c r="Q9" s="54" t="n"/>
      <c r="R9" s="54" t="n"/>
      <c r="S9" s="54" t="n"/>
      <c r="T9" s="54" t="n"/>
      <c r="U9" s="54" t="n"/>
    </row>
    <row r="10" ht="57" customHeight="1">
      <c r="A10" s="95" t="n"/>
      <c r="B10" s="111" t="n"/>
      <c r="C10" s="95" t="n"/>
      <c r="D10" s="112">
        <f>11915000+5164000+16500000+11000000</f>
        <v/>
      </c>
      <c r="E10" s="83" t="inlineStr">
        <is>
          <t>Electricity Access</t>
        </is>
      </c>
      <c r="F10" s="83" t="inlineStr">
        <is>
          <t>No. of Beneficaries</t>
        </is>
      </c>
      <c r="G10" s="83" t="n">
        <v>0</v>
      </c>
      <c r="H10" s="87" t="n">
        <v>630000</v>
      </c>
      <c r="I10" s="92" t="inlineStr">
        <is>
          <t>Provided access to energy for 630,000 beneficiaries through procurement of 90.6 MW of gas generation (10x1.5M, 2x3.3MW gas pistons and 15MW and 54 MW turbines).</t>
        </is>
      </c>
      <c r="J10" s="58" t="inlineStr">
        <is>
          <t>Japan, Norway, Sweden, EU</t>
        </is>
      </c>
      <c r="K10" s="54" t="n">
        <v>50</v>
      </c>
      <c r="L10" s="54" t="inlineStr">
        <is>
          <t>Non-VF</t>
        </is>
      </c>
      <c r="M10" s="54" t="n"/>
      <c r="N10" s="54" t="n"/>
      <c r="O10" s="54" t="n"/>
      <c r="P10" s="54" t="n"/>
      <c r="Q10" s="54" t="n"/>
      <c r="R10" s="54" t="n"/>
      <c r="S10" s="54" t="n"/>
      <c r="T10" s="54" t="n"/>
      <c r="U10" s="54" t="n"/>
    </row>
    <row r="11" ht="28.5" customHeight="1">
      <c r="A11" s="95" t="n"/>
      <c r="B11" s="111" t="n"/>
      <c r="C11" s="95" t="n"/>
      <c r="D11" s="112" t="n">
        <v>16500000</v>
      </c>
      <c r="E11" s="83" t="inlineStr">
        <is>
          <t>Electricity Access</t>
        </is>
      </c>
      <c r="F11" s="83" t="inlineStr">
        <is>
          <t>No. of Beneficaries</t>
        </is>
      </c>
      <c r="G11" s="83" t="n">
        <v>0</v>
      </c>
      <c r="H11" s="130" t="n">
        <v>0</v>
      </c>
      <c r="I11" s="90" t="inlineStr">
        <is>
          <t>Procurement of a gas booster compressor for restoring gas supply.</t>
        </is>
      </c>
      <c r="J11" s="58" t="inlineStr">
        <is>
          <t>Norway</t>
        </is>
      </c>
      <c r="K11" s="54" t="n">
        <v>50</v>
      </c>
      <c r="L11" s="54" t="inlineStr">
        <is>
          <t>Non-VF</t>
        </is>
      </c>
      <c r="M11" s="54" t="n"/>
      <c r="N11" s="54" t="n"/>
      <c r="O11" s="54" t="n"/>
      <c r="P11" s="54" t="n"/>
      <c r="Q11" s="54" t="n"/>
      <c r="R11" s="54" t="n"/>
      <c r="S11" s="54" t="n"/>
      <c r="T11" s="54" t="n"/>
      <c r="U11" s="54" t="n"/>
    </row>
    <row r="12" ht="48.75" customHeight="1">
      <c r="A12" s="95" t="n"/>
      <c r="B12" s="111" t="n"/>
      <c r="C12" s="95" t="n"/>
      <c r="D12" s="112" t="n">
        <v>6119665.53</v>
      </c>
      <c r="E12" s="83" t="inlineStr">
        <is>
          <t>Electricity Access</t>
        </is>
      </c>
      <c r="F12" s="83" t="inlineStr">
        <is>
          <t>No. of Beneficaries</t>
        </is>
      </c>
      <c r="G12" s="83" t="n">
        <v>0</v>
      </c>
      <c r="H12" s="89" t="n">
        <v>95800</v>
      </c>
      <c r="I12" s="90" t="inlineStr">
        <is>
          <t>Provided access to energy for 95,800 beneficiaries through procurement of 6.7 MW of gas generation and ongoing technical design services.</t>
        </is>
      </c>
      <c r="J12" s="58" t="inlineStr">
        <is>
          <t>Denmark</t>
        </is>
      </c>
      <c r="K12" s="54" t="n">
        <v>50</v>
      </c>
      <c r="L12" s="54" t="inlineStr">
        <is>
          <t>Non-VF</t>
        </is>
      </c>
      <c r="M12" s="54" t="n"/>
      <c r="N12" s="54" t="n"/>
      <c r="O12" s="54" t="n"/>
      <c r="P12" s="54" t="n"/>
      <c r="Q12" s="54" t="n"/>
      <c r="R12" s="54" t="n"/>
      <c r="S12" s="54" t="n"/>
      <c r="T12" s="54" t="n"/>
      <c r="U12" s="54" t="n"/>
    </row>
    <row r="13" ht="42.75" customHeight="1">
      <c r="A13" s="95" t="n"/>
      <c r="B13" s="111" t="n"/>
      <c r="C13" s="95" t="n"/>
      <c r="D13" s="112" t="n">
        <v>5000000</v>
      </c>
      <c r="E13" s="83" t="inlineStr">
        <is>
          <t>Health services</t>
        </is>
      </c>
      <c r="F13" s="83" t="inlineStr">
        <is>
          <t>No. of Beneficaries</t>
        </is>
      </c>
      <c r="G13" s="83" t="n">
        <v>0</v>
      </c>
      <c r="H13" s="89" t="n">
        <v>10700</v>
      </c>
      <c r="I13" s="86" t="inlineStr">
        <is>
          <t xml:space="preserve">Provide access to clean energy, namely 0,2 MW of renewable energy through solar power installation for 1 hospital benefiting 10,700 people </t>
        </is>
      </c>
      <c r="J13" s="58" t="inlineStr">
        <is>
          <t xml:space="preserve">Norway </t>
        </is>
      </c>
      <c r="K13" s="54" t="n">
        <v>50</v>
      </c>
      <c r="L13" s="54" t="inlineStr">
        <is>
          <t>Non-VF</t>
        </is>
      </c>
      <c r="M13" s="54" t="n"/>
      <c r="N13" s="54" t="n"/>
      <c r="O13" s="54" t="n"/>
      <c r="P13" s="54" t="n"/>
      <c r="Q13" s="54" t="n"/>
      <c r="R13" s="54" t="n"/>
      <c r="S13" s="54" t="inlineStr">
        <is>
          <t>Solar</t>
        </is>
      </c>
      <c r="T13" s="54" t="n"/>
      <c r="U13" s="54" t="n"/>
    </row>
    <row r="14" ht="85.5" customHeight="1">
      <c r="A14" s="95" t="n"/>
      <c r="B14" s="111" t="n"/>
      <c r="C14" s="95" t="n"/>
      <c r="D14" s="112" t="n">
        <v>1170931.37</v>
      </c>
      <c r="E14" s="83" t="inlineStr">
        <is>
          <t xml:space="preserve">Other </t>
        </is>
      </c>
      <c r="F14" s="83" t="inlineStr">
        <is>
          <t>No. of Beneficaries</t>
        </is>
      </c>
      <c r="G14" s="83" t="n">
        <v>0</v>
      </c>
      <c r="H14" s="85" t="n">
        <v>35800000</v>
      </c>
      <c r="I14" s="86" t="inlineStr">
        <is>
          <t>Dedicated group of experts
(more than 20) working directly in Ministry
of Energy of Ukraine to support the
coordination of energy equipment
distribution between the Ministries and
Municipalities.</t>
        </is>
      </c>
      <c r="J14" s="58" t="inlineStr">
        <is>
          <t xml:space="preserve">Denmark </t>
        </is>
      </c>
      <c r="K14" s="54" t="n">
        <v>50</v>
      </c>
      <c r="L14" s="54" t="inlineStr">
        <is>
          <t>Non-VF</t>
        </is>
      </c>
      <c r="M14" s="54" t="n"/>
      <c r="N14" s="54" t="n"/>
      <c r="O14" s="54" t="n"/>
      <c r="P14" s="54" t="n"/>
      <c r="Q14" s="54" t="n"/>
      <c r="R14" s="54" t="n"/>
      <c r="S14" s="54" t="n"/>
      <c r="T14" s="54" t="n"/>
      <c r="U14" s="54" t="n"/>
    </row>
    <row r="15" ht="57" customHeight="1">
      <c r="A15" s="95" t="n"/>
      <c r="B15" s="111" t="n"/>
      <c r="C15" s="95" t="n"/>
      <c r="D15" s="112" t="n">
        <v>50000</v>
      </c>
      <c r="E15" s="83" t="inlineStr">
        <is>
          <t xml:space="preserve">Other </t>
        </is>
      </c>
      <c r="F15" s="83" t="inlineStr">
        <is>
          <t>No. of Beneficaries</t>
        </is>
      </c>
      <c r="G15" s="83" t="n">
        <v>0</v>
      </c>
      <c r="H15" s="85" t="n">
        <v>35800000</v>
      </c>
      <c r="I15" s="86" t="inlineStr">
        <is>
          <t>Coordination of energy activities across UN entities and other international assistance projects to facilitate strategic alignment and effective implementation</t>
        </is>
      </c>
      <c r="J15" s="58" t="inlineStr">
        <is>
          <t xml:space="preserve">Norway </t>
        </is>
      </c>
      <c r="K15" s="54" t="n">
        <v>50</v>
      </c>
      <c r="L15" s="54" t="inlineStr">
        <is>
          <t>Non-VF</t>
        </is>
      </c>
      <c r="M15" s="54" t="n"/>
      <c r="N15" s="54" t="n"/>
      <c r="O15" s="54" t="n"/>
      <c r="P15" s="54" t="n"/>
      <c r="Q15" s="54" t="n"/>
      <c r="R15" s="54" t="n"/>
      <c r="S15" s="54" t="n"/>
      <c r="T15" s="54" t="n"/>
      <c r="U15" s="54" t="n"/>
    </row>
    <row r="16" ht="57" customHeight="1">
      <c r="A16" s="116" t="n"/>
      <c r="B16" s="117" t="n"/>
      <c r="C16" s="116" t="n"/>
      <c r="D16" s="114" t="n">
        <v>10400000</v>
      </c>
      <c r="E16" s="118" t="inlineStr">
        <is>
          <t>Electricity Access</t>
        </is>
      </c>
      <c r="F16" s="135" t="inlineStr">
        <is>
          <t>No. of Beneficaries</t>
        </is>
      </c>
      <c r="G16" s="118" t="n">
        <v>0</v>
      </c>
      <c r="H16" s="121" t="n">
        <v>1600000</v>
      </c>
      <c r="I16" s="120" t="inlineStr">
        <is>
          <t>Restoration of critical utility services through the installation of co-generation equipment to ensure reliable heat, water, and sewage services during power outages (14MW)</t>
        </is>
      </c>
      <c r="J16" s="58" t="inlineStr">
        <is>
          <t>Denmark, Sweden, Belgium</t>
        </is>
      </c>
      <c r="K16" s="54" t="n">
        <v>50</v>
      </c>
      <c r="L16" s="54" t="inlineStr">
        <is>
          <t>Non-VF</t>
        </is>
      </c>
      <c r="M16" s="122" t="n"/>
      <c r="N16" s="122" t="n"/>
      <c r="O16" s="122" t="n"/>
      <c r="P16" s="122" t="n"/>
      <c r="Q16" s="122" t="n"/>
      <c r="R16" s="122" t="n"/>
      <c r="S16" s="122" t="n"/>
      <c r="T16" s="122" t="n"/>
      <c r="U16" s="122" t="n"/>
    </row>
    <row r="17">
      <c r="A17" s="95" t="n"/>
      <c r="B17" s="111" t="n"/>
      <c r="C17" s="95" t="n"/>
      <c r="D17" s="115" t="n">
        <v>15882409.9</v>
      </c>
      <c r="E17" s="118" t="inlineStr">
        <is>
          <t>Electricity Access</t>
        </is>
      </c>
      <c r="F17" s="135" t="inlineStr">
        <is>
          <t>No. of Beneficaries</t>
        </is>
      </c>
      <c r="G17" s="118" t="n">
        <v>0</v>
      </c>
      <c r="H17" s="115" t="n">
        <v>250000</v>
      </c>
      <c r="I17" s="86" t="inlineStr">
        <is>
          <t>Support of in-kind donation 40 MW of generation</t>
        </is>
      </c>
      <c r="J17" s="123" t="inlineStr">
        <is>
          <t xml:space="preserve">Norway </t>
        </is>
      </c>
      <c r="K17" s="54" t="n">
        <v>50</v>
      </c>
      <c r="L17" s="54" t="inlineStr">
        <is>
          <t>Non-VF</t>
        </is>
      </c>
      <c r="M17" s="122" t="n"/>
      <c r="N17" s="122" t="n"/>
      <c r="O17" s="122" t="n"/>
      <c r="P17" s="122" t="n"/>
      <c r="Q17" s="122" t="n"/>
      <c r="R17" s="122" t="n"/>
      <c r="S17" s="122" t="n"/>
      <c r="T17" s="122" t="n"/>
      <c r="U17" s="122" t="n"/>
    </row>
    <row r="18">
      <c r="A18" s="139" t="n"/>
      <c r="B18" s="140" t="n"/>
      <c r="C18" s="141" t="n"/>
      <c r="D18" s="144" t="n">
        <v>17280000</v>
      </c>
      <c r="E18" s="83" t="inlineStr">
        <is>
          <t>Electricity Access</t>
        </is>
      </c>
      <c r="F18" s="83" t="inlineStr">
        <is>
          <t>No. of Beneficaries</t>
        </is>
      </c>
      <c r="G18" s="83" t="n">
        <v>0</v>
      </c>
      <c r="H18" s="145" t="n">
        <v>260000</v>
      </c>
      <c r="I18" s="143" t="inlineStr">
        <is>
          <t>12MW gas turbine</t>
        </is>
      </c>
      <c r="J18" s="58" t="inlineStr">
        <is>
          <t>SIDA</t>
        </is>
      </c>
      <c r="K18" s="54" t="n">
        <v>50</v>
      </c>
      <c r="L18" s="54" t="inlineStr">
        <is>
          <t>Non-VF</t>
        </is>
      </c>
      <c r="M18" s="122" t="n"/>
      <c r="N18" s="122" t="n"/>
      <c r="O18" s="122" t="n"/>
      <c r="P18" s="122" t="n"/>
      <c r="Q18" s="122" t="n"/>
      <c r="R18" s="122" t="n"/>
      <c r="S18" s="122" t="n"/>
      <c r="T18" s="122" t="n"/>
      <c r="U18" s="122" t="n"/>
    </row>
    <row r="19" ht="71.25" customHeight="1">
      <c r="A19" s="116" t="n"/>
      <c r="B19" s="117" t="n"/>
      <c r="C19" s="116" t="n"/>
      <c r="D19" s="138" t="n">
        <v>1000000</v>
      </c>
      <c r="E19" s="142" t="inlineStr">
        <is>
          <t xml:space="preserve">Other </t>
        </is>
      </c>
      <c r="F19" s="142" t="inlineStr">
        <is>
          <t>No. of Beneficaries</t>
        </is>
      </c>
      <c r="G19" s="142" t="n">
        <v>0</v>
      </c>
      <c r="H19" s="119" t="n">
        <v>35800000</v>
      </c>
      <c r="I19" s="120" t="inlineStr">
        <is>
          <t xml:space="preserve">Development of a digital platform Energy Programme Information Management System (EPIMS) to address integrated energy needs, facilitating immediate repair work on energy infrastructure and efficiently restore the energy sector. </t>
        </is>
      </c>
      <c r="J19" s="58" t="inlineStr">
        <is>
          <t xml:space="preserve">Denmark </t>
        </is>
      </c>
      <c r="K19" s="54" t="n">
        <v>50</v>
      </c>
      <c r="L19" s="54" t="inlineStr">
        <is>
          <t>Non-VF</t>
        </is>
      </c>
      <c r="M19" s="122" t="n"/>
      <c r="N19" s="122" t="n"/>
      <c r="O19" s="122" t="n"/>
      <c r="P19" s="122" t="n"/>
      <c r="Q19" s="122" t="n"/>
      <c r="R19" s="122" t="n"/>
      <c r="S19" s="122" t="n"/>
      <c r="T19" s="122" t="n"/>
      <c r="U19" s="122" t="n"/>
    </row>
    <row r="20" ht="57" customHeight="1">
      <c r="A20" s="122" t="n">
        <v>1003605</v>
      </c>
      <c r="B20" s="146" t="inlineStr">
        <is>
          <t>Crisis response for securing reliable energy access in Ukraine (FPI Energy)</t>
        </is>
      </c>
      <c r="C20" s="122" t="n"/>
      <c r="D20" s="147">
        <f>6772151.9+241257.912</f>
        <v/>
      </c>
      <c r="E20" s="122" t="inlineStr">
        <is>
          <t>Electricity Access</t>
        </is>
      </c>
      <c r="F20" s="122" t="inlineStr">
        <is>
          <t>No. of Beneficaries</t>
        </is>
      </c>
      <c r="G20" s="122" t="n">
        <v>0</v>
      </c>
      <c r="H20" s="147" t="n">
        <v>1600000</v>
      </c>
      <c r="I20" s="146" t="inlineStr">
        <is>
          <t>Restoration of critical utility services through the installation of co-generation equipment to ensure reliable heat, water, and sewage services during power outages</t>
        </is>
      </c>
      <c r="J20" s="46" t="inlineStr">
        <is>
          <t>EU</t>
        </is>
      </c>
      <c r="K20" s="122" t="n">
        <v>50</v>
      </c>
      <c r="L20" s="125" t="inlineStr">
        <is>
          <t>Non-VF</t>
        </is>
      </c>
      <c r="M20" s="54" t="n"/>
      <c r="N20" s="54" t="n"/>
      <c r="O20" s="54" t="n"/>
      <c r="P20" s="54" t="n"/>
      <c r="Q20" s="54" t="n"/>
      <c r="R20" s="54" t="n"/>
      <c r="S20" s="54" t="n"/>
      <c r="T20" s="54" t="n"/>
      <c r="U20" s="54" t="n"/>
    </row>
    <row r="21" ht="57" customHeight="1">
      <c r="A21" s="122" t="n"/>
      <c r="B21" s="122" t="n"/>
      <c r="C21" s="122" t="n"/>
      <c r="D21" s="147">
        <f>1244756.78+241257.912</f>
        <v/>
      </c>
      <c r="E21" s="122" t="inlineStr">
        <is>
          <t>Electricity Access</t>
        </is>
      </c>
      <c r="F21" s="122" t="inlineStr">
        <is>
          <t>No. of Beneficaries</t>
        </is>
      </c>
      <c r="G21" s="122" t="n">
        <v>0</v>
      </c>
      <c r="H21" s="147" t="n">
        <v>440000</v>
      </c>
      <c r="I21" s="146" t="inlineStr">
        <is>
          <t>Provision of rooftop Solar Power Plants (SPP) 0.5 MW to ensure a stable and sustainable freshwater supply, reducing the city’s energy vulnerability and advancing long-term renewable energy goals</t>
        </is>
      </c>
      <c r="J21" s="58" t="inlineStr">
        <is>
          <t>EU</t>
        </is>
      </c>
      <c r="K21" s="54" t="n">
        <v>50</v>
      </c>
      <c r="L21" s="126" t="inlineStr">
        <is>
          <t>Non-VF</t>
        </is>
      </c>
      <c r="M21" s="54" t="n"/>
      <c r="N21" s="54" t="n"/>
      <c r="O21" s="54" t="n"/>
      <c r="P21" s="54" t="n"/>
      <c r="Q21" s="54" t="n"/>
      <c r="R21" s="54" t="n"/>
      <c r="S21" s="54" t="n"/>
      <c r="T21" s="54" t="n"/>
      <c r="U21" s="54" t="n"/>
    </row>
    <row r="22" ht="28.5" customHeight="1">
      <c r="A22" s="122" t="n"/>
      <c r="B22" s="122" t="n"/>
      <c r="C22" s="122" t="n"/>
      <c r="D22" s="147">
        <f>7543903.56+241257.912</f>
        <v/>
      </c>
      <c r="E22" s="122" t="inlineStr">
        <is>
          <t>Electricity Access</t>
        </is>
      </c>
      <c r="F22" s="122" t="inlineStr">
        <is>
          <t>No. of Beneficaries</t>
        </is>
      </c>
      <c r="G22" s="122" t="n">
        <v>0</v>
      </c>
      <c r="H22" s="147" t="n">
        <v>15000</v>
      </c>
      <c r="I22" s="146" t="inlineStr">
        <is>
          <t>Construction of a Biomass Co-generation Power Plant namely 8 MW thermal and 2.2 MW electical</t>
        </is>
      </c>
      <c r="J22" s="133" t="inlineStr">
        <is>
          <t>EU</t>
        </is>
      </c>
      <c r="K22" s="122" t="n">
        <v>50</v>
      </c>
      <c r="L22" s="125" t="inlineStr">
        <is>
          <t>Non-VF</t>
        </is>
      </c>
      <c r="M22" s="54" t="n"/>
      <c r="N22" s="54" t="n"/>
      <c r="O22" s="54" t="n"/>
      <c r="P22" s="54" t="n"/>
      <c r="Q22" s="54" t="n"/>
      <c r="R22" s="54" t="n"/>
      <c r="S22" s="54" t="n"/>
      <c r="T22" s="54" t="n"/>
      <c r="U22" s="54" t="n"/>
    </row>
    <row r="23" ht="42.75" customHeight="1">
      <c r="A23" s="126" t="n"/>
      <c r="B23" s="54" t="n"/>
      <c r="C23" s="54" t="n"/>
      <c r="D23" s="148">
        <f>4571202.53+241257.912</f>
        <v/>
      </c>
      <c r="E23" s="54" t="inlineStr">
        <is>
          <t>Electricity Access</t>
        </is>
      </c>
      <c r="F23" s="54" t="inlineStr">
        <is>
          <t>No. of Beneficaries</t>
        </is>
      </c>
      <c r="G23" s="54" t="n">
        <v>0</v>
      </c>
      <c r="H23" s="148" t="n">
        <v>1000000</v>
      </c>
      <c r="I23" s="58" t="inlineStr">
        <is>
          <t xml:space="preserve">Installation of frequency drivers for electric motors of pumps, smoke extractors, and fans in boiler houses of the city </t>
        </is>
      </c>
      <c r="J23" s="58" t="inlineStr">
        <is>
          <t>EU</t>
        </is>
      </c>
      <c r="K23" s="54" t="n">
        <v>50</v>
      </c>
      <c r="L23" s="54" t="inlineStr">
        <is>
          <t>Non-VF</t>
        </is>
      </c>
      <c r="M23" s="134" t="n"/>
      <c r="N23" s="122" t="n"/>
      <c r="O23" s="122" t="n"/>
      <c r="P23" s="122" t="n"/>
      <c r="Q23" s="122" t="n"/>
      <c r="R23" s="122" t="n"/>
      <c r="S23" s="122" t="n"/>
      <c r="T23" s="122" t="n"/>
      <c r="U23" s="122" t="n"/>
    </row>
    <row r="24">
      <c r="A24" s="136" t="n"/>
      <c r="B24" s="136" t="n"/>
      <c r="C24" s="136" t="n"/>
      <c r="D24" s="137" t="n"/>
      <c r="M24" s="132" t="n"/>
      <c r="N24" s="54" t="n"/>
      <c r="O24" s="54" t="n"/>
      <c r="P24" s="54" t="n"/>
      <c r="Q24" s="54" t="n"/>
      <c r="R24" s="54" t="n"/>
      <c r="S24" s="54" t="n"/>
      <c r="T24" s="54" t="n"/>
      <c r="U24" s="54" t="n"/>
    </row>
    <row r="25">
      <c r="A25" s="136" t="n"/>
      <c r="B25" s="136" t="n"/>
      <c r="C25" s="136" t="n"/>
      <c r="D25" s="137" t="n"/>
    </row>
  </sheetData>
  <mergeCells count="5">
    <mergeCell ref="D4:D6"/>
    <mergeCell ref="J4:J6"/>
    <mergeCell ref="A4:A6"/>
    <mergeCell ref="B4:B6"/>
    <mergeCell ref="E4:E6"/>
  </mergeCells>
  <dataValidations count="9">
    <dataValidation sqref="S2:S6" showDropDown="0" showInputMessage="1" showErrorMessage="1" allowBlank="1" type="list">
      <formula1>"Solar, Wind, Bioenergy, Hydro, Geothermal, Waste, Some Sources, Other, Unknown"</formula1>
    </dataValidation>
    <dataValidation sqref="R2:R6"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L2:L6" showDropDown="0" showInputMessage="1" showErrorMessage="1" allowBlank="1" type="list">
      <formula1>"Non-VF, VF"</formula1>
    </dataValidation>
    <dataValidation sqref="P2:P6" showDropDown="0" showInputMessage="1" showErrorMessage="1" allowBlank="1" type="list">
      <formula1>"AMP, PUDC, Solar4Health, Action Opportunities, Italy UNDP Energy Partnership"</formula1>
    </dataValidation>
    <dataValidation sqref="T2:T6" showDropDown="0" showInputMessage="1" showErrorMessage="1" allowBlank="1" type="list">
      <formula1>"National, Regional, City, Community"</formula1>
    </dataValidation>
    <dataValidation sqref="M2:M6" showDropDown="0" showInputMessage="1" showErrorMessage="1" allowBlank="1" type="list">
      <formula1>"Finance, Gender, Efficiency, Just, Health"</formula1>
    </dataValidation>
    <dataValidation sqref="O2:O6" showDropDown="0" showInputMessage="1" showErrorMessage="1" allowBlank="1" type="list">
      <formula1>"Electricity Access, Energy Efficiency, Clean Cooking, Renewable Energy, Overall"</formula1>
    </dataValidation>
    <dataValidation sqref="N2:N6" showDropDown="0" showInputMessage="1" showErrorMessage="1" allowBlank="1" type="list">
      <formula1>"Accelerating just energy transition, Close the gap on energy access, Scale up energy finance"</formula1>
    </dataValidation>
    <dataValidation sqref="Q2:Q6" showDropDown="0" showInputMessage="1" showErrorMessage="1" allowBlank="1" type="list">
      <formula1>"NDC Support, National Strategy, Legal Framework,Incentives and Support, Government Capacity-Building, Carbon Pricing and Monitoring, Financing Model, Business Model"</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 right="0.7" top="0.75" bottom="0.7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W26"/>
  <sheetViews>
    <sheetView workbookViewId="0">
      <pane xSplit="1" ySplit="1" topLeftCell="B3" activePane="bottomRight" state="frozen"/>
      <selection pane="bottomRight" activeCell="D7" sqref="D7"/>
      <selection pane="bottomLeft" activeCell="A2" sqref="A2"/>
      <selection pane="topRight" activeCell="B1" sqref="B1"/>
    </sheetView>
  </sheetViews>
  <sheetFormatPr baseColWidth="8" defaultRowHeight="14.25"/>
  <cols>
    <col width="10.85546875" customWidth="1" min="1" max="1"/>
    <col width="32.42578125" customWidth="1" min="2" max="2"/>
    <col width="29.5703125" customWidth="1" min="3" max="3"/>
    <col width="46" customWidth="1" min="4" max="4"/>
    <col width="30.7109375" customWidth="1" min="5" max="5"/>
    <col width="18" customWidth="1" min="6" max="6"/>
    <col width="14.7109375" customWidth="1" min="7" max="7"/>
    <col width="13.28515625" customWidth="1" min="8" max="8"/>
    <col width="43.7109375" customWidth="1" min="9" max="9"/>
    <col width="13.7109375" customWidth="1" style="46" min="10" max="10"/>
    <col width="16.140625" customWidth="1" min="11" max="11"/>
    <col width="17.28515625" customWidth="1" min="12" max="12"/>
    <col width="18.28515625" customWidth="1" min="14" max="14"/>
    <col width="17.7109375" customWidth="1" min="15" max="15"/>
    <col width="19.42578125" customWidth="1" min="17" max="17"/>
    <col width="19" customWidth="1" min="18" max="18"/>
    <col width="26" customWidth="1" min="20" max="20"/>
  </cols>
  <sheetData>
    <row r="1">
      <c r="A1" s="30" t="inlineStr">
        <is>
          <t>Project ID</t>
        </is>
      </c>
      <c r="B1" s="31" t="inlineStr">
        <is>
          <t>Title</t>
        </is>
      </c>
      <c r="C1" s="35" t="inlineStr">
        <is>
          <t>Link</t>
        </is>
      </c>
      <c r="D1" s="31" t="inlineStr">
        <is>
          <t>Budget</t>
        </is>
      </c>
      <c r="E1" s="34" t="inlineStr">
        <is>
          <t>Beneficiary Category</t>
        </is>
      </c>
      <c r="F1" s="1" t="inlineStr">
        <is>
          <t>Indicator</t>
        </is>
      </c>
      <c r="G1" s="1" t="inlineStr">
        <is>
          <t>Baseline</t>
        </is>
      </c>
      <c r="H1" s="1" t="inlineStr">
        <is>
          <t>Target</t>
        </is>
      </c>
      <c r="I1" s="1" t="inlineStr">
        <is>
          <t>Notes</t>
        </is>
      </c>
      <c r="J1" s="50" t="inlineStr">
        <is>
          <t>Donors</t>
        </is>
      </c>
      <c r="K1" s="42" t="inlineStr">
        <is>
          <t>Gender (% female)</t>
        </is>
      </c>
      <c r="L1" s="8" t="inlineStr">
        <is>
          <t>VF or Non-VF</t>
        </is>
      </c>
      <c r="M1" s="9" t="inlineStr">
        <is>
          <t>Tag</t>
        </is>
      </c>
      <c r="N1" s="8" t="inlineStr">
        <is>
          <t>SEH Taxonomy</t>
        </is>
      </c>
      <c r="O1" s="8" t="inlineStr">
        <is>
          <t>RISE Taxonomy</t>
        </is>
      </c>
      <c r="P1" s="9" t="inlineStr">
        <is>
          <t>Flagship</t>
        </is>
      </c>
      <c r="Q1" s="9" t="inlineStr">
        <is>
          <t>Indirect Category</t>
        </is>
      </c>
      <c r="R1" s="10" t="inlineStr">
        <is>
          <t>Indirect Taxonomy</t>
        </is>
      </c>
      <c r="S1" s="11" t="inlineStr">
        <is>
          <t>Technology</t>
        </is>
      </c>
      <c r="T1" s="10" t="inlineStr">
        <is>
          <t>Policy or Regulatory Framework</t>
        </is>
      </c>
      <c r="U1" s="11" t="inlineStr">
        <is>
          <t>Policy Population</t>
        </is>
      </c>
    </row>
    <row r="2" ht="27" customHeight="1">
      <c r="A2" s="101" t="n">
        <v>99918</v>
      </c>
      <c r="B2" s="65" t="inlineStr">
        <is>
          <t>Support to SDGs localization in Ukraine</t>
        </is>
      </c>
      <c r="C2" s="103" t="inlineStr">
        <is>
          <t>http://open.undp.org/projects/00099918</t>
        </is>
      </c>
      <c r="D2" s="198" t="n">
        <v>6817448</v>
      </c>
      <c r="I2" s="39" t="n"/>
      <c r="J2" s="51" t="n"/>
      <c r="L2" s="12" t="n"/>
      <c r="M2" s="13" t="n"/>
      <c r="N2" s="14" t="n"/>
      <c r="O2" s="13" t="n"/>
      <c r="P2" s="13" t="n"/>
      <c r="Q2" s="13" t="n"/>
      <c r="R2" s="13" t="n"/>
      <c r="S2" s="15" t="n"/>
      <c r="T2" s="13" t="n"/>
      <c r="U2" s="15" t="n"/>
      <c r="W2" s="4" t="inlineStr">
        <is>
          <t xml:space="preserve">Can you please provide information for all the categories ? </t>
        </is>
      </c>
    </row>
    <row r="3" ht="129.75" customFormat="1" customHeight="1" s="101">
      <c r="A3" s="97" t="n">
        <v>4114</v>
      </c>
      <c r="B3" s="29" t="inlineStr">
        <is>
          <t>EE in Public Buildings</t>
        </is>
      </c>
      <c r="C3" s="98" t="inlineStr">
        <is>
          <t>https://co.pims.undp.org/project/view?id=4114</t>
        </is>
      </c>
      <c r="D3" s="29" t="n">
        <v>5480000</v>
      </c>
      <c r="E3" s="97" t="inlineStr">
        <is>
          <t>Energy Efficiency Services</t>
        </is>
      </c>
      <c r="F3" s="65" t="inlineStr">
        <is>
          <t>No. of Beneficaries</t>
        </is>
      </c>
      <c r="G3" s="97" t="n">
        <v>0</v>
      </c>
      <c r="H3" s="99" t="n">
        <v>30204</v>
      </c>
      <c r="I3" s="100" t="inlineStr">
        <is>
          <t xml:space="preserve">Key indicators: 
1. The actual cumulative direct GHG emission reduction as of June 2024 was 16,052.48 tCO2e; estimated reduction over a 20-year period was 69,190.0 tCO2e  
2. 24,164.16 MWh were saved cumulatively since the Project start, which exceeded the goals set as 2,346 MWh. The total capacity of solar power stations to be installed under ESCO-SPP contracts is 6.5 MW, and 1 MW of energy storage. This will allow hospitals and water facilities to have electricity even during blackouts. 
3. With direct project support, USD 22,92 million of investment in energy efficiency in public buildings was achieved. 
4. The total number of green jobs created by the project is 4,562: 4498 energy managers and 64 energy auditors were trained. </t>
        </is>
      </c>
      <c r="J3" s="100" t="inlineStr">
        <is>
          <t>GEF</t>
        </is>
      </c>
      <c r="K3" s="97" t="n">
        <v>63</v>
      </c>
      <c r="L3" s="18" t="inlineStr">
        <is>
          <t>VF</t>
        </is>
      </c>
      <c r="M3" s="19" t="inlineStr">
        <is>
          <t>Efficiency</t>
        </is>
      </c>
      <c r="N3" s="20" t="inlineStr">
        <is>
          <t>Scale up energy finance</t>
        </is>
      </c>
      <c r="O3" s="19" t="inlineStr">
        <is>
          <t>Energy Efficiency</t>
        </is>
      </c>
      <c r="P3" s="19" t="n"/>
      <c r="Q3" s="19" t="n"/>
      <c r="R3" s="19" t="inlineStr">
        <is>
          <t>Energy Efficiency</t>
        </is>
      </c>
      <c r="S3" s="21" t="inlineStr">
        <is>
          <t>Solar</t>
        </is>
      </c>
      <c r="T3" s="19" t="inlineStr">
        <is>
          <t>National</t>
        </is>
      </c>
      <c r="U3" s="21" t="n"/>
      <c r="W3" s="102" t="inlineStr">
        <is>
          <t xml:space="preserve">Can you please provide information for all the categories ? </t>
        </is>
      </c>
    </row>
    <row r="4">
      <c r="A4" s="202" t="inlineStr">
        <is>
          <t>001000157</t>
        </is>
      </c>
      <c r="B4" s="203" t="inlineStr">
        <is>
          <t xml:space="preserve">Promotion of Human Security </t>
        </is>
      </c>
      <c r="C4" s="104" t="inlineStr">
        <is>
          <t>https://www.undp.org/ukraine/press-releases/undp-and-japan-deliver-high-power-autotransformers-ukraine-ensure-unbroken-energy-supplies-over-half-million-people</t>
        </is>
      </c>
      <c r="D4" s="212" t="n">
        <v>40000000</v>
      </c>
      <c r="E4" s="203" t="inlineStr">
        <is>
          <t>Electricity Access</t>
        </is>
      </c>
      <c r="F4" s="198" t="inlineStr">
        <is>
          <t>No. of Beneficaries</t>
        </is>
      </c>
      <c r="G4" t="n">
        <v>0</v>
      </c>
      <c r="H4" s="36" t="n">
        <v>1000000</v>
      </c>
      <c r="I4" s="40" t="inlineStr">
        <is>
          <t>-4 Autotransformers (2 installed, 2 upcoming)</t>
        </is>
      </c>
      <c r="J4" s="206" t="inlineStr">
        <is>
          <t>Japan</t>
        </is>
      </c>
      <c r="K4" t="n">
        <v>50</v>
      </c>
      <c r="L4" s="12" t="n"/>
      <c r="M4" s="13" t="n"/>
      <c r="N4" s="14" t="n"/>
      <c r="O4" s="13" t="n"/>
      <c r="P4" s="13" t="n"/>
      <c r="Q4" s="13" t="n"/>
      <c r="R4" s="13" t="n"/>
      <c r="S4" s="15" t="n"/>
      <c r="T4" s="13" t="n"/>
      <c r="U4" s="15" t="n"/>
      <c r="W4" s="5" t="inlineStr">
        <is>
          <t>Access to electricity (direct access to electricity, lighting, heating, cooling, etc)</t>
        </is>
      </c>
    </row>
    <row r="5">
      <c r="A5" s="39" t="n"/>
      <c r="B5" s="198" t="n"/>
      <c r="C5" s="104" t="inlineStr">
        <is>
          <t>https://www.undp.org/ukraine/press-releases/japan-undp-deliver-equipment-secure-power-supply-over-55-million-ukrainians</t>
        </is>
      </c>
      <c r="D5" s="198" t="n"/>
      <c r="E5" s="198" t="n"/>
      <c r="F5" s="198" t="inlineStr">
        <is>
          <t>No. of Beneficaries</t>
        </is>
      </c>
      <c r="G5" t="n">
        <v>0</v>
      </c>
      <c r="H5" s="36" t="n">
        <v>1500000</v>
      </c>
      <c r="I5" s="40" t="inlineStr">
        <is>
          <t>-Transporation Support for 7 Autotransformers</t>
        </is>
      </c>
      <c r="J5" s="198" t="n"/>
      <c r="K5" t="n">
        <v>50</v>
      </c>
      <c r="L5" s="12" t="n"/>
      <c r="M5" s="13" t="n"/>
      <c r="N5" s="14" t="n"/>
      <c r="O5" s="13" t="n"/>
      <c r="P5" s="13" t="n"/>
      <c r="Q5" s="13" t="n"/>
      <c r="R5" s="13" t="n"/>
      <c r="S5" s="15" t="n"/>
      <c r="T5" s="13" t="n"/>
      <c r="U5" s="15" t="n"/>
      <c r="W5" s="5" t="n"/>
    </row>
    <row r="6">
      <c r="A6" s="207" t="n"/>
      <c r="B6" s="33" t="n"/>
      <c r="C6" s="29" t="n"/>
      <c r="D6" s="33" t="n"/>
      <c r="E6" s="33" t="n"/>
      <c r="F6" s="33" t="inlineStr">
        <is>
          <t>No. of Beneficaries</t>
        </is>
      </c>
      <c r="G6" s="16" t="n">
        <v>0</v>
      </c>
      <c r="H6" s="37" t="n">
        <v>1500000</v>
      </c>
      <c r="I6" s="41" t="inlineStr">
        <is>
          <t xml:space="preserve">-1 gas turbine for power generation </t>
        </is>
      </c>
      <c r="J6" s="33" t="n"/>
      <c r="K6" s="16" t="n">
        <v>50</v>
      </c>
      <c r="L6" s="18" t="n"/>
      <c r="M6" s="19" t="n"/>
      <c r="N6" s="20" t="n"/>
      <c r="O6" s="19" t="n"/>
      <c r="P6" s="19" t="n"/>
      <c r="Q6" s="19" t="n"/>
      <c r="R6" s="19" t="n"/>
      <c r="S6" s="21" t="n"/>
      <c r="T6" s="19" t="n"/>
      <c r="U6" s="21" t="n"/>
      <c r="W6" s="5" t="n"/>
    </row>
    <row r="7">
      <c r="A7" s="178" t="inlineStr">
        <is>
          <t>00134106</t>
        </is>
      </c>
      <c r="B7" s="171" t="inlineStr">
        <is>
          <t>Winterization/Energy Sector Recovery</t>
        </is>
      </c>
      <c r="C7" s="105" t="inlineStr">
        <is>
          <t>https://open.undp.org/projects/00147472</t>
        </is>
      </c>
      <c r="D7" s="72" t="n">
        <v>64600000</v>
      </c>
      <c r="E7" s="73" t="inlineStr">
        <is>
          <t>Electricity Access</t>
        </is>
      </c>
      <c r="F7" s="74" t="inlineStr">
        <is>
          <t>No. of Beneficaries</t>
        </is>
      </c>
      <c r="G7" s="73" t="n">
        <v>0</v>
      </c>
      <c r="H7" s="75" t="n">
        <v>2500000</v>
      </c>
      <c r="I7" s="76" t="inlineStr">
        <is>
          <t xml:space="preserve">-2 gas turbine for power generation </t>
        </is>
      </c>
      <c r="J7" s="53" t="inlineStr">
        <is>
          <t>Japan</t>
        </is>
      </c>
      <c r="K7" s="16" t="n">
        <v>50</v>
      </c>
      <c r="L7" s="26" t="n"/>
      <c r="M7" s="161" t="n"/>
      <c r="N7" s="28" t="n"/>
      <c r="O7" s="161" t="n"/>
      <c r="P7" s="161" t="n"/>
      <c r="Q7" s="161" t="n"/>
      <c r="R7" s="161" t="n"/>
      <c r="S7" s="29" t="n"/>
      <c r="T7" s="161" t="n"/>
      <c r="U7" s="29" t="n"/>
      <c r="W7" s="5" t="inlineStr">
        <is>
          <t>Access to electricity (direct access to electricity, lighting, heating, cooling, etc)</t>
        </is>
      </c>
    </row>
    <row r="8">
      <c r="A8" s="39" t="n"/>
      <c r="B8" s="198" t="n"/>
      <c r="C8" s="181" t="n"/>
      <c r="D8" s="213" t="n">
        <v>9600000</v>
      </c>
      <c r="E8" s="214" t="inlineStr">
        <is>
          <t>Electricity Access</t>
        </is>
      </c>
      <c r="F8" s="77" t="inlineStr">
        <is>
          <t>No. of Beneficaries</t>
        </is>
      </c>
      <c r="G8" s="78" t="n">
        <v>0</v>
      </c>
      <c r="H8" s="79" t="n">
        <v>250000</v>
      </c>
      <c r="I8" s="80" t="inlineStr">
        <is>
          <t xml:space="preserve">-1 gas compressor </t>
        </is>
      </c>
      <c r="J8" s="206" t="inlineStr">
        <is>
          <t>Norway</t>
        </is>
      </c>
      <c r="K8" t="n">
        <v>50</v>
      </c>
      <c r="L8" s="22" t="n"/>
      <c r="M8" s="23" t="n"/>
      <c r="N8" s="24" t="n"/>
      <c r="O8" s="23" t="n"/>
      <c r="P8" s="23" t="n"/>
      <c r="Q8" s="23" t="n"/>
      <c r="R8" s="23" t="n"/>
      <c r="S8" s="25" t="n"/>
      <c r="T8" s="23" t="n"/>
      <c r="U8" s="25" t="n"/>
      <c r="W8" s="5" t="inlineStr">
        <is>
          <t>Access to electricity (direct access to electricity, lighting, heating, cooling, etc)</t>
        </is>
      </c>
    </row>
    <row r="9">
      <c r="A9" s="39" t="n"/>
      <c r="B9" s="198" t="n"/>
      <c r="C9" s="198" t="n"/>
      <c r="D9" s="39" t="n"/>
      <c r="E9" s="198" t="n"/>
      <c r="F9" s="77" t="inlineStr">
        <is>
          <t>No. of Beneficaries</t>
        </is>
      </c>
      <c r="G9" s="78" t="n">
        <v>0</v>
      </c>
      <c r="H9" s="79" t="n">
        <v>500000</v>
      </c>
      <c r="I9" s="80" t="inlineStr">
        <is>
          <t>-Transportation Support for 2 Autotransformers</t>
        </is>
      </c>
      <c r="J9" s="198" t="n"/>
      <c r="K9" t="n">
        <v>50</v>
      </c>
      <c r="L9" s="12" t="n"/>
      <c r="M9" s="13" t="n"/>
      <c r="N9" s="14" t="n"/>
      <c r="O9" s="13" t="n"/>
      <c r="P9" s="13" t="n"/>
      <c r="Q9" s="13" t="n"/>
      <c r="R9" s="13" t="n"/>
      <c r="S9" s="15" t="n"/>
      <c r="T9" s="13" t="n"/>
      <c r="U9" s="15" t="n"/>
      <c r="W9" s="5" t="n"/>
    </row>
    <row r="10">
      <c r="A10" s="39" t="n"/>
      <c r="B10" s="198" t="n"/>
      <c r="C10" s="198" t="n"/>
      <c r="D10" s="207" t="n"/>
      <c r="E10" s="33" t="n"/>
      <c r="F10" s="74" t="inlineStr">
        <is>
          <t>No. of Beneficaries</t>
        </is>
      </c>
      <c r="G10" s="73" t="n">
        <v>0</v>
      </c>
      <c r="H10" s="75" t="n">
        <v>25000</v>
      </c>
      <c r="I10" s="76" t="inlineStr">
        <is>
          <t>-1 gas pistons power generation system</t>
        </is>
      </c>
      <c r="J10" s="33" t="n"/>
      <c r="K10" s="16" t="n">
        <v>50</v>
      </c>
      <c r="L10" s="18" t="n"/>
      <c r="M10" s="19" t="n"/>
      <c r="N10" s="20" t="n"/>
      <c r="O10" s="19" t="n"/>
      <c r="P10" s="19" t="n"/>
      <c r="Q10" s="19" t="n"/>
      <c r="R10" s="19" t="n"/>
      <c r="S10" s="21" t="n"/>
      <c r="T10" s="19" t="n"/>
      <c r="U10" s="21" t="n"/>
      <c r="W10" s="5" t="n"/>
    </row>
    <row r="11">
      <c r="A11" s="39" t="n"/>
      <c r="B11" s="198" t="n"/>
      <c r="C11" s="181" t="n"/>
      <c r="D11" s="72" t="n">
        <v>1800000</v>
      </c>
      <c r="E11" s="73" t="inlineStr">
        <is>
          <t>Electricity Access</t>
        </is>
      </c>
      <c r="F11" s="74" t="inlineStr">
        <is>
          <t>No. of Beneficaries</t>
        </is>
      </c>
      <c r="G11" s="73" t="n">
        <v>0</v>
      </c>
      <c r="H11" s="75" t="n">
        <v>1000000</v>
      </c>
      <c r="I11" s="76" t="inlineStr">
        <is>
          <t>-25 bushings (750kV)</t>
        </is>
      </c>
      <c r="J11" s="28" t="inlineStr">
        <is>
          <t>ROK</t>
        </is>
      </c>
      <c r="K11" s="16" t="n">
        <v>50</v>
      </c>
      <c r="L11" s="22" t="n"/>
      <c r="M11" s="23" t="n"/>
      <c r="N11" s="24" t="n"/>
      <c r="O11" s="23" t="n"/>
      <c r="P11" s="23" t="n"/>
      <c r="Q11" s="23" t="n"/>
      <c r="R11" s="23" t="n"/>
      <c r="S11" s="25" t="n"/>
      <c r="T11" s="23" t="n"/>
      <c r="U11" s="25" t="n"/>
      <c r="W11" s="5" t="inlineStr">
        <is>
          <t>Access to electricity (direct access to electricity, lighting, heating, cooling, etc)</t>
        </is>
      </c>
    </row>
    <row r="12">
      <c r="A12" s="39" t="n"/>
      <c r="B12" s="198" t="n"/>
      <c r="C12" s="181" t="n"/>
      <c r="D12" s="72" t="n">
        <v>460000</v>
      </c>
      <c r="E12" s="73" t="inlineStr">
        <is>
          <t>Electricity Access</t>
        </is>
      </c>
      <c r="F12" s="74" t="inlineStr">
        <is>
          <t>No. of Beneficaries</t>
        </is>
      </c>
      <c r="G12" s="73" t="n">
        <v>0</v>
      </c>
      <c r="H12" s="75" t="n">
        <v>500000</v>
      </c>
      <c r="I12" s="76" t="inlineStr">
        <is>
          <t>-15 bushings (330kV)</t>
        </is>
      </c>
      <c r="J12" s="28" t="inlineStr">
        <is>
          <t>Iceland</t>
        </is>
      </c>
      <c r="K12" s="16" t="n">
        <v>50</v>
      </c>
      <c r="L12" s="18" t="n"/>
      <c r="M12" s="19" t="n"/>
      <c r="N12" s="20" t="n"/>
      <c r="O12" s="19" t="n"/>
      <c r="P12" s="19" t="n"/>
      <c r="Q12" s="19" t="n"/>
      <c r="R12" s="19" t="n"/>
      <c r="S12" s="21" t="n"/>
      <c r="T12" s="19" t="n"/>
      <c r="U12" s="21" t="n"/>
      <c r="W12" s="5" t="inlineStr">
        <is>
          <t>Access to electricity (direct access to electricity, lighting, heating, cooling, etc)</t>
        </is>
      </c>
    </row>
    <row r="13">
      <c r="A13" s="39" t="n"/>
      <c r="B13" s="198" t="n"/>
      <c r="C13" s="168" t="n"/>
      <c r="D13" s="215" t="n">
        <v>5100000</v>
      </c>
      <c r="E13" s="214" t="inlineStr">
        <is>
          <t>Electricity Access</t>
        </is>
      </c>
      <c r="F13" s="77" t="inlineStr">
        <is>
          <t>No. of Beneficaries</t>
        </is>
      </c>
      <c r="G13" s="78" t="n">
        <v>0</v>
      </c>
      <c r="H13" s="79" t="n">
        <v>250000</v>
      </c>
      <c r="I13" s="80" t="inlineStr">
        <is>
          <t>-1 Autotransformer (upcoming)</t>
        </is>
      </c>
      <c r="J13" s="206" t="inlineStr">
        <is>
          <t>Sweden</t>
        </is>
      </c>
      <c r="K13" t="n">
        <v>50</v>
      </c>
      <c r="L13" s="22" t="n"/>
      <c r="M13" s="23" t="n"/>
      <c r="N13" s="24" t="n"/>
      <c r="O13" s="23" t="n"/>
      <c r="P13" s="23" t="n"/>
      <c r="Q13" s="23" t="n"/>
      <c r="R13" s="23" t="n"/>
      <c r="S13" s="25" t="n"/>
      <c r="T13" s="23" t="n"/>
      <c r="U13" s="25" t="n"/>
      <c r="W13" s="5" t="inlineStr">
        <is>
          <t>Access to electricity (direct access to electricity, lighting, heating, cooling, etc)</t>
        </is>
      </c>
    </row>
    <row r="14">
      <c r="A14" s="39" t="n"/>
      <c r="B14" s="198" t="n"/>
      <c r="C14" s="198" t="n"/>
      <c r="D14" s="207" t="n"/>
      <c r="E14" s="33" t="n"/>
      <c r="F14" s="74" t="inlineStr">
        <is>
          <t>No. of Beneficaries</t>
        </is>
      </c>
      <c r="G14" s="73" t="n">
        <v>0</v>
      </c>
      <c r="H14" s="75" t="n">
        <v>25000</v>
      </c>
      <c r="I14" s="76" t="inlineStr">
        <is>
          <t>-1 gas pistons power generation system</t>
        </is>
      </c>
      <c r="J14" s="33" t="n"/>
      <c r="K14" s="16" t="n">
        <v>50</v>
      </c>
      <c r="L14" s="18" t="n"/>
      <c r="M14" s="19" t="n"/>
      <c r="N14" s="20" t="n"/>
      <c r="O14" s="19" t="n"/>
      <c r="P14" s="19" t="n"/>
      <c r="Q14" s="19" t="n"/>
      <c r="R14" s="19" t="n"/>
      <c r="S14" s="21" t="n"/>
      <c r="T14" s="19" t="n"/>
      <c r="U14" s="21" t="n"/>
      <c r="W14" s="5" t="n"/>
    </row>
    <row r="15" ht="18" customHeight="1">
      <c r="A15" s="39" t="n"/>
      <c r="B15" s="198" t="n"/>
      <c r="C15" s="181" t="n"/>
      <c r="D15" s="81" t="n">
        <v>3600000</v>
      </c>
      <c r="E15" s="78" t="inlineStr">
        <is>
          <t>Electricity Access</t>
        </is>
      </c>
      <c r="F15" s="77" t="inlineStr">
        <is>
          <t>No. of Beneficaries</t>
        </is>
      </c>
      <c r="G15" s="78" t="n">
        <v>0</v>
      </c>
      <c r="H15" s="77" t="inlineStr">
        <is>
          <t>TBC</t>
        </is>
      </c>
      <c r="I15" s="82" t="n"/>
      <c r="J15" s="62" t="inlineStr">
        <is>
          <t>Germany</t>
        </is>
      </c>
      <c r="K15" t="n">
        <v>50</v>
      </c>
      <c r="L15" s="63" t="n"/>
      <c r="M15" s="160" t="n"/>
      <c r="N15" s="64" t="n"/>
      <c r="O15" s="160" t="n"/>
      <c r="P15" s="160" t="n"/>
      <c r="Q15" s="160" t="n"/>
      <c r="R15" s="160" t="n"/>
      <c r="S15" s="65" t="n"/>
      <c r="T15" s="160" t="n"/>
      <c r="U15" s="65" t="n"/>
      <c r="W15" s="5" t="inlineStr">
        <is>
          <t>Access to electricity (direct access to electricity, lighting, heating, cooling, etc)</t>
        </is>
      </c>
    </row>
    <row r="16" ht="210.4" customHeight="1">
      <c r="A16" s="95" t="n">
        <v>134106</v>
      </c>
      <c r="B16" s="96" t="inlineStr">
        <is>
          <t>Winterization/Green Energy Recovery Programme</t>
        </is>
      </c>
      <c r="C16" s="96" t="inlineStr">
        <is>
          <t xml:space="preserve">https://www.undp.org/ukraine/projects/green-energy-recovery-programme-ukraine
</t>
        </is>
      </c>
      <c r="D16" s="84" t="inlineStr">
        <is>
          <t xml:space="preserve">Overall budget for Winterization and Green Energy Recovery Programme: 244 846 904,36 USD:                                         
FW Norway:	 9 892 766,50 USD
South Korea:	 2 000 000,00 USD
Iceland FW:	 500 000,00 USD
Sweden FW1:	 5 580 876,00 USD
Sweden FW2:	 5 651 314,21 USD
TRAC:	               5 600,00 USD
Denmark 1:	 10 967 269,50 USD
SIDA:	               14 570 179,48 USD
Belgium: 	 9 646 302,24 USD  
NORAD 1:	 11 431 837,22 USD  
NORAD 2:	 93 993 799,88 USD  
Japan:	               70 000 000,00 USD  
Denmark 2:	 6 606 959,34 USD  
Germany:	 4 000 000,00 USD     </t>
        </is>
      </c>
      <c r="E16" s="83" t="inlineStr">
        <is>
          <t>Electricity Access</t>
        </is>
      </c>
      <c r="F16" s="83" t="inlineStr">
        <is>
          <t>No. of Beneficaries</t>
        </is>
      </c>
      <c r="G16" s="83" t="n">
        <v>0</v>
      </c>
      <c r="H16" s="85" t="n">
        <v>2600000</v>
      </c>
      <c r="I16" s="86" t="inlineStr">
        <is>
          <t>Provided access to energy for 2,600,000 beneficiaries through delivery of 2 gas turbines for power generation in Ukraine with total capacity of 108 MW.</t>
        </is>
      </c>
      <c r="J16" s="58" t="inlineStr">
        <is>
          <t>Japan</t>
        </is>
      </c>
      <c r="K16" s="54" t="n">
        <v>50</v>
      </c>
      <c r="L16" s="54" t="inlineStr">
        <is>
          <t>Non-VF</t>
        </is>
      </c>
      <c r="M16" s="54" t="n"/>
      <c r="N16" s="54" t="n"/>
      <c r="O16" s="54" t="n"/>
      <c r="P16" s="54" t="n"/>
      <c r="Q16" s="54" t="n"/>
      <c r="R16" s="54" t="n"/>
      <c r="S16" s="54" t="n"/>
      <c r="T16" s="54" t="n"/>
      <c r="U16" s="54" t="n"/>
    </row>
    <row r="17" ht="71.25" customHeight="1">
      <c r="A17" s="95" t="n"/>
      <c r="B17" s="96" t="n"/>
      <c r="C17" s="107" t="inlineStr">
        <is>
          <t xml:space="preserve">https://www.undp.org/ukraine/press-releases/gas-piston-cogeneration-units-delivered-odesa-undp-cover-45-citys-energy-needs-water-heating-and-sewage-services </t>
        </is>
      </c>
      <c r="D17" s="86" t="inlineStr">
        <is>
          <t>Overall budget for Winterization and Green Energy Recovery Programme: 244 846 904,36 USD</t>
        </is>
      </c>
      <c r="E17" s="83" t="inlineStr">
        <is>
          <t>Electricity Access</t>
        </is>
      </c>
      <c r="F17" s="83" t="inlineStr">
        <is>
          <t>No. of Beneficaries</t>
        </is>
      </c>
      <c r="G17" s="83" t="n">
        <v>0</v>
      </c>
      <c r="H17" s="87" t="n">
        <v>450000</v>
      </c>
      <c r="I17" s="88" t="inlineStr">
        <is>
          <t>Provided access to energy for 450,000 beneficiaries through procurement of 13.4 MW of gas pistons and ongoing procurement of additional gas pistons with capacity of 16.5 MW.</t>
        </is>
      </c>
      <c r="J17" s="58" t="inlineStr">
        <is>
          <t>Japan, Norway, Sweden</t>
        </is>
      </c>
      <c r="K17" s="54" t="n">
        <v>50</v>
      </c>
      <c r="L17" s="54" t="inlineStr">
        <is>
          <t>Non-VF</t>
        </is>
      </c>
      <c r="M17" s="54" t="n"/>
      <c r="N17" s="54" t="n"/>
      <c r="O17" s="54" t="n"/>
      <c r="P17" s="54" t="n"/>
      <c r="Q17" s="54" t="n"/>
      <c r="R17" s="54" t="n"/>
      <c r="S17" s="54" t="n"/>
      <c r="T17" s="54" t="n"/>
      <c r="U17" s="54" t="n"/>
    </row>
    <row r="18" ht="60" customHeight="1">
      <c r="A18" s="95" t="n"/>
      <c r="B18" s="96" t="n"/>
      <c r="C18" s="95" t="n"/>
      <c r="D18" s="86" t="inlineStr">
        <is>
          <t>Overall budget for Winterization and Green Energy Recovery Programme: 244 846 904,36 USD</t>
        </is>
      </c>
      <c r="E18" s="83" t="inlineStr">
        <is>
          <t>Electricity Access</t>
        </is>
      </c>
      <c r="F18" s="83" t="inlineStr">
        <is>
          <t>No. of Beneficaries</t>
        </is>
      </c>
      <c r="G18" s="83" t="n">
        <v>0</v>
      </c>
      <c r="H18" s="89" t="n">
        <v>900955</v>
      </c>
      <c r="I18" s="90" t="inlineStr">
        <is>
          <t>Procurement of 80 MW (8x10MW) of gas pistons with plans to increase to 160 MW, to benefit 900,955 beneficiaries.</t>
        </is>
      </c>
      <c r="J18" s="58" t="inlineStr">
        <is>
          <t xml:space="preserve">Norway </t>
        </is>
      </c>
      <c r="K18" s="54" t="n">
        <v>50</v>
      </c>
      <c r="L18" s="54" t="inlineStr">
        <is>
          <t>Non-VF</t>
        </is>
      </c>
      <c r="M18" s="54" t="n"/>
      <c r="N18" s="54" t="n"/>
      <c r="O18" s="54" t="n"/>
      <c r="P18" s="54" t="n"/>
      <c r="Q18" s="54" t="n"/>
      <c r="R18" s="54" t="n"/>
      <c r="S18" s="54" t="n"/>
      <c r="T18" s="54" t="n"/>
      <c r="U18" s="54" t="n"/>
    </row>
    <row r="19" ht="57" customHeight="1">
      <c r="A19" s="95" t="n"/>
      <c r="B19" s="96" t="n"/>
      <c r="C19" s="95" t="n"/>
      <c r="D19" s="86" t="inlineStr">
        <is>
          <t>Overall budget for Winterization and Green Energy Recovery Programme: 244 846 904,36 USD</t>
        </is>
      </c>
      <c r="E19" s="83" t="inlineStr">
        <is>
          <t>Electricity Access</t>
        </is>
      </c>
      <c r="F19" s="83" t="inlineStr">
        <is>
          <t>No. of Beneficaries</t>
        </is>
      </c>
      <c r="G19" s="83" t="n">
        <v>0</v>
      </c>
      <c r="H19" s="91" t="n">
        <v>630000</v>
      </c>
      <c r="I19" s="92" t="inlineStr">
        <is>
          <t>Provided access to energy for 630,000 beneficiaries through procurement of 90.6 MW of gas generation (10x1.5M, 2x3.3MW gas pistons and 15MW and 54 MW turbines).</t>
        </is>
      </c>
      <c r="J19" s="58" t="inlineStr">
        <is>
          <t>Japan, Norway, Sweden, EU</t>
        </is>
      </c>
      <c r="K19" s="54" t="n">
        <v>50</v>
      </c>
      <c r="L19" s="54" t="inlineStr">
        <is>
          <t>Non-VF</t>
        </is>
      </c>
      <c r="M19" s="54" t="n"/>
      <c r="N19" s="54" t="n"/>
      <c r="O19" s="54" t="n"/>
      <c r="P19" s="54" t="n"/>
      <c r="Q19" s="54" t="n"/>
      <c r="R19" s="54" t="n"/>
      <c r="S19" s="54" t="n"/>
      <c r="T19" s="54" t="n"/>
      <c r="U19" s="54" t="n"/>
    </row>
    <row r="20" ht="28.5" customHeight="1">
      <c r="A20" s="95" t="n"/>
      <c r="B20" s="96" t="n"/>
      <c r="C20" s="95" t="n"/>
      <c r="D20" s="86" t="inlineStr">
        <is>
          <t>Overall budget for Winterization and Green Energy Recovery Programme: 244 846 904,36 USD</t>
        </is>
      </c>
      <c r="E20" s="83" t="inlineStr">
        <is>
          <t>Electricity Access</t>
        </is>
      </c>
      <c r="F20" s="83" t="inlineStr">
        <is>
          <t>No. of Beneficaries</t>
        </is>
      </c>
      <c r="G20" s="83" t="n">
        <v>0</v>
      </c>
      <c r="H20" s="93" t="n">
        <v>0</v>
      </c>
      <c r="I20" s="94" t="inlineStr">
        <is>
          <t>Procurement of a gas booster compressor for restoring gas supply.</t>
        </is>
      </c>
      <c r="J20" s="58" t="inlineStr">
        <is>
          <t>Norway</t>
        </is>
      </c>
      <c r="K20" s="54" t="n">
        <v>50</v>
      </c>
      <c r="L20" s="54" t="inlineStr">
        <is>
          <t>Non-VF</t>
        </is>
      </c>
      <c r="M20" s="54" t="n"/>
      <c r="N20" s="54" t="n"/>
      <c r="O20" s="54" t="n"/>
      <c r="P20" s="54" t="n"/>
      <c r="Q20" s="54" t="n"/>
      <c r="R20" s="54" t="n"/>
      <c r="S20" s="54" t="n"/>
      <c r="T20" s="54" t="n"/>
      <c r="U20" s="54" t="n"/>
    </row>
    <row r="21" ht="48.75" customHeight="1">
      <c r="A21" s="95" t="n"/>
      <c r="B21" s="96" t="n"/>
      <c r="C21" s="95" t="n"/>
      <c r="D21" s="86" t="inlineStr">
        <is>
          <t>Overall budget for Winterization and Green Energy Recovery Programme: 244 846 904,36 USD</t>
        </is>
      </c>
      <c r="E21" s="83" t="inlineStr">
        <is>
          <t>Electricity Access</t>
        </is>
      </c>
      <c r="F21" s="83" t="inlineStr">
        <is>
          <t>No. of Beneficaries</t>
        </is>
      </c>
      <c r="G21" s="83" t="n">
        <v>0</v>
      </c>
      <c r="H21" s="89" t="n">
        <v>95800</v>
      </c>
      <c r="I21" s="90" t="inlineStr">
        <is>
          <t>Provided access to energy for 95,800 beneficiaries through procurement of 6.7 MW of gas generation and ongoing technical design services.</t>
        </is>
      </c>
      <c r="J21" s="58" t="inlineStr">
        <is>
          <t>Denmark</t>
        </is>
      </c>
      <c r="K21" s="54" t="n">
        <v>50</v>
      </c>
      <c r="L21" s="54" t="inlineStr">
        <is>
          <t>Non-VF</t>
        </is>
      </c>
      <c r="M21" s="54" t="n"/>
      <c r="N21" s="54" t="n"/>
      <c r="O21" s="54" t="n"/>
      <c r="P21" s="54" t="n"/>
      <c r="Q21" s="54" t="n"/>
      <c r="R21" s="54" t="n"/>
      <c r="S21" s="54" t="n"/>
      <c r="T21" s="54" t="n"/>
      <c r="U21" s="54" t="n"/>
    </row>
    <row r="22" ht="42.75" customHeight="1">
      <c r="A22" s="95" t="n"/>
      <c r="B22" s="96" t="n"/>
      <c r="C22" s="95" t="n"/>
      <c r="D22" s="86" t="inlineStr">
        <is>
          <t>Overall budget for Winterization and Green Energy Recovery Programme: 244 846 904,36 USD</t>
        </is>
      </c>
      <c r="E22" s="83" t="inlineStr">
        <is>
          <t>Health services</t>
        </is>
      </c>
      <c r="F22" s="83" t="inlineStr">
        <is>
          <t>No. of Beneficaries</t>
        </is>
      </c>
      <c r="G22" s="83" t="n">
        <v>0</v>
      </c>
      <c r="H22" s="89" t="n">
        <v>10700</v>
      </c>
      <c r="I22" s="86" t="inlineStr">
        <is>
          <t xml:space="preserve">Provide access to clean energy, namely 0,2 MW of renewable energy through solar power installation for 1 hospital benefiting 10,700 people </t>
        </is>
      </c>
      <c r="J22" s="58" t="inlineStr">
        <is>
          <t xml:space="preserve">Norway </t>
        </is>
      </c>
      <c r="K22" s="54" t="n">
        <v>50</v>
      </c>
      <c r="L22" s="54" t="inlineStr">
        <is>
          <t>Non-VF</t>
        </is>
      </c>
      <c r="M22" s="54" t="n"/>
      <c r="N22" s="54" t="n"/>
      <c r="O22" s="54" t="n"/>
      <c r="P22" s="54" t="n"/>
      <c r="Q22" s="54" t="n"/>
      <c r="R22" s="54" t="n"/>
      <c r="S22" s="54" t="inlineStr">
        <is>
          <t>Solar</t>
        </is>
      </c>
      <c r="T22" s="54" t="n"/>
      <c r="U22" s="54" t="n"/>
    </row>
    <row r="23" ht="56.25" customHeight="1">
      <c r="A23" s="95" t="n"/>
      <c r="B23" s="96" t="n"/>
      <c r="C23" s="95" t="n"/>
      <c r="D23" s="86" t="inlineStr">
        <is>
          <t>Overall budget for Winterization and Green Energy Recovery Programme: 244 846 904,36 USD</t>
        </is>
      </c>
      <c r="E23" s="83" t="inlineStr">
        <is>
          <t xml:space="preserve">Policy and Regulatory Framework </t>
        </is>
      </c>
      <c r="F23" s="83" t="inlineStr">
        <is>
          <t>No. of Beneficaries</t>
        </is>
      </c>
      <c r="G23" s="83" t="n">
        <v>0</v>
      </c>
      <c r="H23" s="85" t="n">
        <v>35800000</v>
      </c>
      <c r="I23" s="86" t="inlineStr">
        <is>
          <t>Provision of legislative support for the green energy transition, including distributed energy generation benefiting all population of Ukraine</t>
        </is>
      </c>
      <c r="J23" s="58" t="n"/>
      <c r="K23" s="54" t="n">
        <v>50</v>
      </c>
      <c r="L23" s="54" t="inlineStr">
        <is>
          <t>Non-VF</t>
        </is>
      </c>
      <c r="M23" s="54" t="n"/>
      <c r="N23" s="54" t="n"/>
      <c r="O23" s="54" t="n"/>
      <c r="P23" s="54" t="n"/>
      <c r="Q23" s="54" t="n"/>
      <c r="R23" s="54" t="n"/>
      <c r="S23" s="54" t="n"/>
      <c r="T23" s="54" t="n"/>
      <c r="U23" s="54" t="n"/>
    </row>
    <row r="24" ht="85.5" customHeight="1">
      <c r="A24" s="95" t="n"/>
      <c r="B24" s="96" t="n"/>
      <c r="C24" s="95" t="n"/>
      <c r="D24" s="86" t="inlineStr">
        <is>
          <t>Overall budget for Winterization and Green Energy Recovery Programme: 244 846 904,36 USD</t>
        </is>
      </c>
      <c r="E24" s="83" t="inlineStr">
        <is>
          <t xml:space="preserve">Other </t>
        </is>
      </c>
      <c r="F24" s="83" t="inlineStr">
        <is>
          <t>No. of Beneficaries</t>
        </is>
      </c>
      <c r="G24" s="83" t="n">
        <v>0</v>
      </c>
      <c r="H24" s="85" t="n">
        <v>35800000</v>
      </c>
      <c r="I24" s="86" t="inlineStr">
        <is>
          <t>Dedicated group of experts
(more than 20) working directly in Ministry
of Energy of Ukraine to support the
coordination of energy equipment
distribution between the Ministries and
Municipalities.</t>
        </is>
      </c>
      <c r="J24" s="58" t="inlineStr">
        <is>
          <t xml:space="preserve">Denmark </t>
        </is>
      </c>
      <c r="K24" s="54" t="n">
        <v>50</v>
      </c>
      <c r="L24" s="54" t="inlineStr">
        <is>
          <t>Non-VF</t>
        </is>
      </c>
      <c r="M24" s="54" t="n"/>
      <c r="N24" s="54" t="n"/>
      <c r="O24" s="54" t="n"/>
      <c r="P24" s="54" t="n"/>
      <c r="Q24" s="54" t="n"/>
      <c r="R24" s="54" t="n"/>
      <c r="S24" s="54" t="n"/>
      <c r="T24" s="54" t="n"/>
      <c r="U24" s="54" t="n"/>
    </row>
    <row r="25" ht="57" customHeight="1">
      <c r="A25" s="95" t="n"/>
      <c r="B25" s="96" t="n"/>
      <c r="C25" s="95" t="n"/>
      <c r="D25" s="86" t="inlineStr">
        <is>
          <t>Overall budget for Winterization and Green Energy Recovery Programme: 244 846 904,36 USD</t>
        </is>
      </c>
      <c r="E25" s="83" t="inlineStr">
        <is>
          <t xml:space="preserve">Other </t>
        </is>
      </c>
      <c r="F25" s="83" t="inlineStr">
        <is>
          <t>No. of Beneficaries</t>
        </is>
      </c>
      <c r="G25" s="83" t="n">
        <v>0</v>
      </c>
      <c r="H25" s="85" t="n">
        <v>35800000</v>
      </c>
      <c r="I25" s="86" t="inlineStr">
        <is>
          <t>Coordination of energy activities across UN entities and other international assistance projects to facilitate strategic alignment
and effective implementation</t>
        </is>
      </c>
      <c r="J25" s="58" t="inlineStr">
        <is>
          <t xml:space="preserve">Norway </t>
        </is>
      </c>
      <c r="K25" s="54" t="n">
        <v>50</v>
      </c>
      <c r="L25" s="54" t="inlineStr">
        <is>
          <t>Non-VF</t>
        </is>
      </c>
      <c r="M25" s="54" t="n"/>
      <c r="N25" s="54" t="n"/>
      <c r="O25" s="54" t="n"/>
      <c r="P25" s="54" t="n"/>
      <c r="Q25" s="54" t="n"/>
      <c r="R25" s="54" t="n"/>
      <c r="S25" s="54" t="n"/>
      <c r="T25" s="54" t="n"/>
      <c r="U25" s="54" t="n"/>
    </row>
    <row r="26" ht="71.25" customHeight="1">
      <c r="A26" s="95" t="n"/>
      <c r="B26" s="96" t="n"/>
      <c r="C26" s="95" t="n"/>
      <c r="D26" s="86" t="inlineStr">
        <is>
          <t>Overall budget for Winterization and Green Energy Recovery Programme: 244 846 904,36 USD</t>
        </is>
      </c>
      <c r="E26" s="83" t="inlineStr">
        <is>
          <t xml:space="preserve">Other </t>
        </is>
      </c>
      <c r="F26" s="83" t="inlineStr">
        <is>
          <t>No. of Beneficaries</t>
        </is>
      </c>
      <c r="G26" s="83" t="n">
        <v>0</v>
      </c>
      <c r="H26" s="85" t="n">
        <v>35800000</v>
      </c>
      <c r="I26" s="86" t="inlineStr">
        <is>
          <t xml:space="preserve">Development of a digital platform Energy Programme Information Management System (EPIMS) to address integrated energy needs, facilitating immediate repair work on energy infrastructure and efficiently restore the energy sector. </t>
        </is>
      </c>
      <c r="J26" s="58" t="inlineStr">
        <is>
          <t xml:space="preserve">Denmark </t>
        </is>
      </c>
      <c r="K26" s="54" t="n">
        <v>50</v>
      </c>
      <c r="L26" s="54" t="inlineStr">
        <is>
          <t>Non-VF</t>
        </is>
      </c>
      <c r="M26" s="54" t="n"/>
      <c r="N26" s="54" t="n"/>
      <c r="O26" s="54" t="n"/>
      <c r="P26" s="54" t="n"/>
      <c r="Q26" s="54" t="n"/>
      <c r="R26" s="54" t="n"/>
      <c r="S26" s="54" t="n"/>
      <c r="T26" s="54" t="n"/>
      <c r="U26" s="54" t="n"/>
    </row>
  </sheetData>
  <mergeCells count="15">
    <mergeCell ref="D4:D6"/>
    <mergeCell ref="J4:J6"/>
    <mergeCell ref="J13:J14"/>
    <mergeCell ref="A4:A6"/>
    <mergeCell ref="E8:E10"/>
    <mergeCell ref="B4:B6"/>
    <mergeCell ref="E13:E14"/>
    <mergeCell ref="D13:D14"/>
    <mergeCell ref="E4:E6"/>
    <mergeCell ref="D8:D10"/>
    <mergeCell ref="B7:B15"/>
    <mergeCell ref="A7:A15"/>
    <mergeCell ref="J8:J10"/>
    <mergeCell ref="C8:C10"/>
    <mergeCell ref="C13:C14"/>
  </mergeCells>
  <dataValidations count="9">
    <dataValidation sqref="Q2:Q1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N2:N15" showDropDown="0" showInputMessage="1" showErrorMessage="1" allowBlank="1" type="list">
      <formula1>"Accelerating just energy transition, Close the gap on energy access, Scale up energy finance"</formula1>
    </dataValidation>
    <dataValidation sqref="O2:O15" showDropDown="0" showInputMessage="1" showErrorMessage="1" allowBlank="1" type="list">
      <formula1>"Electricity Access, Energy Efficiency, Clean Cooking, Renewable Energy, Overall"</formula1>
    </dataValidation>
    <dataValidation sqref="M2:M15" showDropDown="0" showInputMessage="1" showErrorMessage="1" allowBlank="1" type="list">
      <formula1>"Finance, Gender, Efficiency, Just, Health"</formula1>
    </dataValidation>
    <dataValidation sqref="T2:T15" showDropDown="0" showInputMessage="1" showErrorMessage="1" allowBlank="1" type="list">
      <formula1>"National, Regional, City, Community"</formula1>
    </dataValidation>
    <dataValidation sqref="P2:P15" showDropDown="0" showInputMessage="1" showErrorMessage="1" allowBlank="1" type="list">
      <formula1>"AMP, PUDC, Solar4Health, Action Opportunities, Italy UNDP Energy Partnership"</formula1>
    </dataValidation>
    <dataValidation sqref="L2:L15" showDropDown="0" showInputMessage="1" showErrorMessage="1" allowBlank="1" type="list">
      <formula1>"Non-VF, VF"</formula1>
    </dataValidation>
    <dataValidation sqref="R2:R1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15" showDropDown="0" showInputMessage="1" showErrorMessage="1" allowBlank="1" type="list">
      <formula1>"Solar, Wind, Bioenergy, Hydro, Geothermal, Waste, Some Sources, Other, Unknown"</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7" r:id="rId5"/>
    <hyperlink xmlns:r="http://schemas.openxmlformats.org/officeDocument/2006/relationships" ref="C17" r:id="rId6"/>
  </hyperlinks>
  <pageMargins left="0.7" right="0.7" top="0.75" bottom="0.75" header="0.3" footer="0.3"/>
  <pageSetup orientation="portrait"/>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W26"/>
  <sheetViews>
    <sheetView topLeftCell="D20" workbookViewId="0">
      <selection activeCell="E24" sqref="E24"/>
    </sheetView>
  </sheetViews>
  <sheetFormatPr baseColWidth="8" defaultRowHeight="14.25"/>
  <cols>
    <col width="10.85546875" customWidth="1" min="1" max="1"/>
    <col width="32.42578125" customWidth="1" min="2" max="2"/>
    <col width="29.5703125" customWidth="1" min="3" max="3"/>
    <col width="46" customWidth="1" min="4" max="4"/>
    <col width="30.7109375" customWidth="1" min="5" max="5"/>
    <col width="18" customWidth="1" min="6" max="6"/>
    <col width="14.7109375" customWidth="1" min="7" max="7"/>
    <col width="13.28515625" customWidth="1" min="8" max="8"/>
    <col width="43.7109375" customWidth="1" min="9" max="9"/>
    <col width="13.7109375" customWidth="1" style="46" min="10" max="10"/>
    <col width="16.140625" customWidth="1" min="11" max="11"/>
    <col width="17.28515625" customWidth="1" min="12" max="12"/>
    <col width="18.28515625" customWidth="1" min="14" max="14"/>
    <col width="17.7109375" customWidth="1" min="15" max="15"/>
    <col width="19.42578125" customWidth="1" min="17" max="17"/>
    <col width="19" customWidth="1" min="18" max="18"/>
    <col width="26" customWidth="1" min="20" max="20"/>
  </cols>
  <sheetData>
    <row r="1">
      <c r="A1" s="30" t="inlineStr">
        <is>
          <t>Project ID</t>
        </is>
      </c>
      <c r="B1" s="31" t="inlineStr">
        <is>
          <t>Title</t>
        </is>
      </c>
      <c r="C1" s="35" t="inlineStr">
        <is>
          <t>Link</t>
        </is>
      </c>
      <c r="D1" s="31" t="inlineStr">
        <is>
          <t>Budget</t>
        </is>
      </c>
      <c r="E1" s="34" t="inlineStr">
        <is>
          <t>Beneficiary Category</t>
        </is>
      </c>
      <c r="F1" s="1" t="inlineStr">
        <is>
          <t>Indicator</t>
        </is>
      </c>
      <c r="G1" s="1" t="inlineStr">
        <is>
          <t>Baseline</t>
        </is>
      </c>
      <c r="H1" s="1" t="inlineStr">
        <is>
          <t>Target</t>
        </is>
      </c>
      <c r="I1" s="1" t="inlineStr">
        <is>
          <t>Notes</t>
        </is>
      </c>
      <c r="J1" s="50" t="inlineStr">
        <is>
          <t>Donors</t>
        </is>
      </c>
      <c r="K1" s="42" t="inlineStr">
        <is>
          <t>Gender (% female)</t>
        </is>
      </c>
      <c r="L1" s="8" t="inlineStr">
        <is>
          <t>VF or Non-VF</t>
        </is>
      </c>
      <c r="M1" s="9" t="inlineStr">
        <is>
          <t>Tag</t>
        </is>
      </c>
      <c r="N1" s="8" t="inlineStr">
        <is>
          <t>SEH Taxonomy</t>
        </is>
      </c>
      <c r="O1" s="8" t="inlineStr">
        <is>
          <t>RISE Taxonomy</t>
        </is>
      </c>
      <c r="P1" s="9" t="inlineStr">
        <is>
          <t>Flagship</t>
        </is>
      </c>
      <c r="Q1" s="9" t="inlineStr">
        <is>
          <t>Indirect Category</t>
        </is>
      </c>
      <c r="R1" s="10" t="inlineStr">
        <is>
          <t>Indirect Taxonomy</t>
        </is>
      </c>
      <c r="S1" s="11" t="inlineStr">
        <is>
          <t>Technology</t>
        </is>
      </c>
      <c r="T1" s="10" t="inlineStr">
        <is>
          <t>Policy or Regulatory Framework</t>
        </is>
      </c>
      <c r="U1" s="11" t="inlineStr">
        <is>
          <t>Policy Population</t>
        </is>
      </c>
    </row>
    <row r="2">
      <c r="A2" t="n">
        <v>99918</v>
      </c>
      <c r="B2" s="198" t="inlineStr">
        <is>
          <t>Support to SDGs localization in Ukraine</t>
        </is>
      </c>
      <c r="C2" s="2" t="inlineStr">
        <is>
          <t>http://open.undp.org/projects/00099918</t>
        </is>
      </c>
      <c r="D2" s="198" t="n">
        <v>6817448</v>
      </c>
      <c r="E2" s="3" t="n"/>
      <c r="F2" s="3" t="n"/>
      <c r="G2" s="3" t="n"/>
      <c r="H2" s="3" t="n"/>
      <c r="I2" s="38" t="n"/>
      <c r="J2" s="51" t="n"/>
      <c r="L2" s="12" t="n"/>
      <c r="M2" s="13" t="n"/>
      <c r="N2" s="14" t="n"/>
      <c r="O2" s="13" t="n"/>
      <c r="P2" s="13" t="n"/>
      <c r="Q2" s="13" t="n"/>
      <c r="R2" s="13" t="n"/>
      <c r="S2" s="15" t="n"/>
      <c r="T2" s="13" t="n"/>
      <c r="U2" s="15" t="n"/>
      <c r="W2" s="4" t="inlineStr">
        <is>
          <t xml:space="preserve">Can you please provide information for all the categories ? </t>
        </is>
      </c>
    </row>
    <row r="3" ht="129.75" customHeight="1">
      <c r="A3" s="16" t="n">
        <v>4114</v>
      </c>
      <c r="B3" s="33" t="inlineStr">
        <is>
          <t>EE in Public Buildings</t>
        </is>
      </c>
      <c r="C3" s="45" t="inlineStr">
        <is>
          <t>https://co.pims.undp.org/project/view?id=4114</t>
        </is>
      </c>
      <c r="D3" s="33" t="n">
        <v>5480000</v>
      </c>
      <c r="E3" s="17" t="inlineStr">
        <is>
          <t>Energy Efficiency Services</t>
        </is>
      </c>
      <c r="F3" s="198" t="inlineStr">
        <is>
          <t>No. of Beneficaries</t>
        </is>
      </c>
      <c r="G3" s="17" t="n">
        <v>0</v>
      </c>
      <c r="H3" s="48" t="n">
        <v>30204</v>
      </c>
      <c r="I3" s="49" t="inlineStr">
        <is>
          <t xml:space="preserve">Key indicators: 
1. The actual cumulative direct GHG emission reduction as of June 2024 was 16,052.48 tCO2e; estimated reduction over a 20-year period was 69,190.0 tCO2e  
2. 24,164.16 MWh were saved cumulatively since the Project start, which exceeded the goals set as 2,346 MWh. The total capacity of solar power stations to be installed under ESCO-SPP contracts is 6.5 MW, and 1 MW of energy storage. This will allow hospitals and water facilities to have electricity even during blackouts. 
3. With direct project support, USD 22,92 million of investment in energy efficiency in public buildings was achieved. 
4. The total number of green jobs created by the project is 4,562: 4498 energy managers and 64 energy auditors were trained. </t>
        </is>
      </c>
      <c r="J3" s="52" t="inlineStr">
        <is>
          <t>GEF</t>
        </is>
      </c>
      <c r="K3" s="16" t="n">
        <v>63</v>
      </c>
      <c r="L3" s="18" t="inlineStr">
        <is>
          <t>VF</t>
        </is>
      </c>
      <c r="M3" s="19" t="inlineStr">
        <is>
          <t>Efficiency</t>
        </is>
      </c>
      <c r="N3" s="20" t="inlineStr">
        <is>
          <t>Scale up energy finance</t>
        </is>
      </c>
      <c r="O3" s="19" t="inlineStr">
        <is>
          <t>Energy Efficiency</t>
        </is>
      </c>
      <c r="P3" s="19" t="n"/>
      <c r="Q3" s="19" t="n"/>
      <c r="R3" s="19" t="inlineStr">
        <is>
          <t>Energy Efficiency</t>
        </is>
      </c>
      <c r="S3" s="21" t="inlineStr">
        <is>
          <t>Solar</t>
        </is>
      </c>
      <c r="T3" s="19" t="inlineStr">
        <is>
          <t>National</t>
        </is>
      </c>
      <c r="U3" s="21" t="n"/>
      <c r="W3" s="4" t="inlineStr">
        <is>
          <t xml:space="preserve">Can you please provide information for all the categories ? </t>
        </is>
      </c>
    </row>
    <row r="4">
      <c r="A4" s="202" t="inlineStr">
        <is>
          <t>001000157</t>
        </is>
      </c>
      <c r="B4" s="203" t="inlineStr">
        <is>
          <t xml:space="preserve">Promotion of Human Security </t>
        </is>
      </c>
      <c r="C4" s="44" t="inlineStr">
        <is>
          <t>https://www.undp.org/ukraine/press-releases/undp-and-japan-deliver-high-power-autotransformers-ukraine-ensure-unbroken-energy-supplies-over-half-million-people</t>
        </is>
      </c>
      <c r="D4" s="212" t="n">
        <v>40000000</v>
      </c>
      <c r="E4" s="203" t="inlineStr">
        <is>
          <t>Electricity Access</t>
        </is>
      </c>
      <c r="F4" s="198" t="inlineStr">
        <is>
          <t>No. of Beneficaries</t>
        </is>
      </c>
      <c r="G4" t="n">
        <v>0</v>
      </c>
      <c r="H4" s="36" t="n">
        <v>1000000</v>
      </c>
      <c r="I4" s="40" t="inlineStr">
        <is>
          <t>-4 Autotransformers (2 installed, 2 upcoming)</t>
        </is>
      </c>
      <c r="J4" s="206" t="inlineStr">
        <is>
          <t>Japan</t>
        </is>
      </c>
      <c r="K4" t="n">
        <v>50</v>
      </c>
      <c r="L4" s="12" t="n"/>
      <c r="M4" s="13" t="n"/>
      <c r="N4" s="14" t="n"/>
      <c r="O4" s="13" t="n"/>
      <c r="P4" s="13" t="n"/>
      <c r="Q4" s="13" t="n"/>
      <c r="R4" s="13" t="n"/>
      <c r="S4" s="15" t="n"/>
      <c r="T4" s="13" t="n"/>
      <c r="U4" s="15" t="n"/>
      <c r="W4" s="5" t="inlineStr">
        <is>
          <t>Access to electricity (direct access to electricity, lighting, heating, cooling, etc)</t>
        </is>
      </c>
    </row>
    <row r="5">
      <c r="A5" s="39" t="n"/>
      <c r="B5" s="198" t="n"/>
      <c r="C5" s="44" t="inlineStr">
        <is>
          <t>https://www.undp.org/ukraine/press-releases/japan-undp-deliver-equipment-secure-power-supply-over-55-million-ukrainians</t>
        </is>
      </c>
      <c r="D5" s="198" t="n"/>
      <c r="E5" s="198" t="n"/>
      <c r="F5" s="198" t="inlineStr">
        <is>
          <t>No. of Beneficaries</t>
        </is>
      </c>
      <c r="G5" t="n">
        <v>0</v>
      </c>
      <c r="H5" s="36" t="n">
        <v>1500000</v>
      </c>
      <c r="I5" s="40" t="inlineStr">
        <is>
          <t>-Transporation Support for 7 Autotransformers</t>
        </is>
      </c>
      <c r="J5" s="198" t="n"/>
      <c r="K5" t="n">
        <v>50</v>
      </c>
      <c r="L5" s="12" t="n"/>
      <c r="M5" s="13" t="n"/>
      <c r="N5" s="14" t="n"/>
      <c r="O5" s="13" t="n"/>
      <c r="P5" s="13" t="n"/>
      <c r="Q5" s="13" t="n"/>
      <c r="R5" s="13" t="n"/>
      <c r="S5" s="15" t="n"/>
      <c r="T5" s="13" t="n"/>
      <c r="U5" s="15" t="n"/>
      <c r="W5" s="5" t="n"/>
    </row>
    <row r="6">
      <c r="A6" s="207" t="n"/>
      <c r="B6" s="33" t="n"/>
      <c r="C6" s="33" t="n"/>
      <c r="D6" s="33" t="n"/>
      <c r="E6" s="33" t="n"/>
      <c r="F6" s="33" t="inlineStr">
        <is>
          <t>No. of Beneficaries</t>
        </is>
      </c>
      <c r="G6" s="16" t="n">
        <v>0</v>
      </c>
      <c r="H6" s="37" t="n">
        <v>1500000</v>
      </c>
      <c r="I6" s="41" t="inlineStr">
        <is>
          <t xml:space="preserve">-1 gas turbine for power generation </t>
        </is>
      </c>
      <c r="J6" s="33" t="n"/>
      <c r="K6" s="16" t="n">
        <v>50</v>
      </c>
      <c r="L6" s="18" t="n"/>
      <c r="M6" s="19" t="n"/>
      <c r="N6" s="20" t="n"/>
      <c r="O6" s="19" t="n"/>
      <c r="P6" s="19" t="n"/>
      <c r="Q6" s="19" t="n"/>
      <c r="R6" s="19" t="n"/>
      <c r="S6" s="21" t="n"/>
      <c r="T6" s="19" t="n"/>
      <c r="U6" s="21" t="n"/>
      <c r="W6" s="5" t="n"/>
    </row>
    <row r="7">
      <c r="A7" s="185" t="inlineStr">
        <is>
          <t>00134106</t>
        </is>
      </c>
      <c r="B7" s="193" t="inlineStr">
        <is>
          <t xml:space="preserve">Winterization/Energy Sector Recovery </t>
        </is>
      </c>
      <c r="C7" s="198" t="n"/>
      <c r="D7" s="43" t="n">
        <v>64600000</v>
      </c>
      <c r="E7" s="16" t="inlineStr">
        <is>
          <t>Electricity Access</t>
        </is>
      </c>
      <c r="F7" s="33" t="inlineStr">
        <is>
          <t>No. of Beneficaries</t>
        </is>
      </c>
      <c r="G7" s="16" t="n">
        <v>0</v>
      </c>
      <c r="H7" s="37" t="n">
        <v>2500000</v>
      </c>
      <c r="I7" s="41" t="inlineStr">
        <is>
          <t xml:space="preserve">-2 gas turbine for power generation </t>
        </is>
      </c>
      <c r="J7" s="53" t="inlineStr">
        <is>
          <t>Japan</t>
        </is>
      </c>
      <c r="K7" s="16" t="n">
        <v>50</v>
      </c>
      <c r="L7" s="26" t="n"/>
      <c r="M7" s="161" t="n"/>
      <c r="N7" s="28" t="n"/>
      <c r="O7" s="161" t="n"/>
      <c r="P7" s="161" t="n"/>
      <c r="Q7" s="161" t="n"/>
      <c r="R7" s="161" t="n"/>
      <c r="S7" s="29" t="n"/>
      <c r="T7" s="161" t="n"/>
      <c r="U7" s="29" t="n"/>
      <c r="W7" s="5" t="inlineStr">
        <is>
          <t>Access to electricity (direct access to electricity, lighting, heating, cooling, etc)</t>
        </is>
      </c>
    </row>
    <row r="8">
      <c r="A8" s="39" t="n"/>
      <c r="B8" s="198" t="n"/>
      <c r="C8" s="198" t="n"/>
      <c r="D8" s="216" t="n">
        <v>9600000</v>
      </c>
      <c r="E8" s="217" t="inlineStr">
        <is>
          <t>Electricity Access</t>
        </is>
      </c>
      <c r="F8" s="198" t="inlineStr">
        <is>
          <t>No. of Beneficaries</t>
        </is>
      </c>
      <c r="G8" t="n">
        <v>0</v>
      </c>
      <c r="H8" s="36" t="n">
        <v>250000</v>
      </c>
      <c r="I8" s="40" t="inlineStr">
        <is>
          <t xml:space="preserve">-1 gas compressor </t>
        </is>
      </c>
      <c r="J8" s="206" t="inlineStr">
        <is>
          <t>Norway</t>
        </is>
      </c>
      <c r="K8" t="n">
        <v>50</v>
      </c>
      <c r="L8" s="22" t="n"/>
      <c r="M8" s="23" t="n"/>
      <c r="N8" s="24" t="n"/>
      <c r="O8" s="23" t="n"/>
      <c r="P8" s="23" t="n"/>
      <c r="Q8" s="23" t="n"/>
      <c r="R8" s="23" t="n"/>
      <c r="S8" s="25" t="n"/>
      <c r="T8" s="23" t="n"/>
      <c r="U8" s="25" t="n"/>
      <c r="W8" s="5" t="inlineStr">
        <is>
          <t>Access to electricity (direct access to electricity, lighting, heating, cooling, etc)</t>
        </is>
      </c>
    </row>
    <row r="9">
      <c r="A9" s="39" t="n"/>
      <c r="B9" s="198" t="n"/>
      <c r="C9" s="198" t="n"/>
      <c r="D9" s="39" t="n"/>
      <c r="E9" s="198" t="n"/>
      <c r="F9" s="198" t="inlineStr">
        <is>
          <t>No. of Beneficaries</t>
        </is>
      </c>
      <c r="G9" t="n">
        <v>0</v>
      </c>
      <c r="H9" s="36" t="n">
        <v>500000</v>
      </c>
      <c r="I9" s="40" t="inlineStr">
        <is>
          <t>-Transportation Support for 2 Autotransformers</t>
        </is>
      </c>
      <c r="J9" s="198" t="n"/>
      <c r="K9" t="n">
        <v>50</v>
      </c>
      <c r="L9" s="12" t="n"/>
      <c r="M9" s="13" t="n"/>
      <c r="N9" s="14" t="n"/>
      <c r="O9" s="13" t="n"/>
      <c r="P9" s="13" t="n"/>
      <c r="Q9" s="13" t="n"/>
      <c r="R9" s="13" t="n"/>
      <c r="S9" s="15" t="n"/>
      <c r="T9" s="13" t="n"/>
      <c r="U9" s="15" t="n"/>
      <c r="W9" s="5" t="n"/>
    </row>
    <row r="10">
      <c r="A10" s="39" t="n"/>
      <c r="B10" s="198" t="n"/>
      <c r="C10" s="198" t="n"/>
      <c r="D10" s="207" t="n"/>
      <c r="E10" s="33" t="n"/>
      <c r="F10" s="33" t="inlineStr">
        <is>
          <t>No. of Beneficaries</t>
        </is>
      </c>
      <c r="G10" s="16" t="n">
        <v>0</v>
      </c>
      <c r="H10" s="37" t="n">
        <v>25000</v>
      </c>
      <c r="I10" s="41" t="inlineStr">
        <is>
          <t>-1 gas pistons power generation system</t>
        </is>
      </c>
      <c r="J10" s="33" t="n"/>
      <c r="K10" s="16" t="n">
        <v>50</v>
      </c>
      <c r="L10" s="18" t="n"/>
      <c r="M10" s="19" t="n"/>
      <c r="N10" s="20" t="n"/>
      <c r="O10" s="19" t="n"/>
      <c r="P10" s="19" t="n"/>
      <c r="Q10" s="19" t="n"/>
      <c r="R10" s="19" t="n"/>
      <c r="S10" s="21" t="n"/>
      <c r="T10" s="19" t="n"/>
      <c r="U10" s="21" t="n"/>
      <c r="W10" s="5" t="n"/>
    </row>
    <row r="11">
      <c r="A11" s="39" t="n"/>
      <c r="B11" s="198" t="n"/>
      <c r="C11" s="198" t="n"/>
      <c r="D11" s="43" t="n">
        <v>1800000</v>
      </c>
      <c r="E11" s="16" t="inlineStr">
        <is>
          <t>Electricity Access</t>
        </is>
      </c>
      <c r="F11" s="33" t="inlineStr">
        <is>
          <t>No. of Beneficaries</t>
        </is>
      </c>
      <c r="G11" s="16" t="n">
        <v>0</v>
      </c>
      <c r="H11" s="37" t="n">
        <v>1000000</v>
      </c>
      <c r="I11" s="41" t="inlineStr">
        <is>
          <t>-25 bushings (750kV)</t>
        </is>
      </c>
      <c r="J11" s="28" t="inlineStr">
        <is>
          <t>ROK</t>
        </is>
      </c>
      <c r="K11" s="16" t="n">
        <v>50</v>
      </c>
      <c r="L11" s="22" t="n"/>
      <c r="M11" s="23" t="n"/>
      <c r="N11" s="24" t="n"/>
      <c r="O11" s="23" t="n"/>
      <c r="P11" s="23" t="n"/>
      <c r="Q11" s="23" t="n"/>
      <c r="R11" s="23" t="n"/>
      <c r="S11" s="25" t="n"/>
      <c r="T11" s="23" t="n"/>
      <c r="U11" s="25" t="n"/>
      <c r="W11" s="5" t="inlineStr">
        <is>
          <t>Access to electricity (direct access to electricity, lighting, heating, cooling, etc)</t>
        </is>
      </c>
    </row>
    <row r="12">
      <c r="A12" s="39" t="n"/>
      <c r="B12" s="198" t="n"/>
      <c r="C12" s="198" t="n"/>
      <c r="D12" s="43" t="n">
        <v>460000</v>
      </c>
      <c r="E12" s="16" t="inlineStr">
        <is>
          <t>Electricity Access</t>
        </is>
      </c>
      <c r="F12" s="33" t="inlineStr">
        <is>
          <t>No. of Beneficaries</t>
        </is>
      </c>
      <c r="G12" s="16" t="n">
        <v>0</v>
      </c>
      <c r="H12" s="37" t="n">
        <v>500000</v>
      </c>
      <c r="I12" s="41" t="inlineStr">
        <is>
          <t>-15 bushings (330kV)</t>
        </is>
      </c>
      <c r="J12" s="28" t="inlineStr">
        <is>
          <t>Iceland</t>
        </is>
      </c>
      <c r="K12" s="16" t="n">
        <v>50</v>
      </c>
      <c r="L12" s="18" t="n"/>
      <c r="M12" s="19" t="n"/>
      <c r="N12" s="20" t="n"/>
      <c r="O12" s="19" t="n"/>
      <c r="P12" s="19" t="n"/>
      <c r="Q12" s="19" t="n"/>
      <c r="R12" s="19" t="n"/>
      <c r="S12" s="21" t="n"/>
      <c r="T12" s="19" t="n"/>
      <c r="U12" s="21" t="n"/>
      <c r="W12" s="5" t="inlineStr">
        <is>
          <t>Access to electricity (direct access to electricity, lighting, heating, cooling, etc)</t>
        </is>
      </c>
    </row>
    <row r="13">
      <c r="A13" s="39" t="n"/>
      <c r="B13" s="198" t="n"/>
      <c r="C13" s="192" t="n"/>
      <c r="D13" s="218" t="n">
        <v>5100000</v>
      </c>
      <c r="E13" s="217" t="inlineStr">
        <is>
          <t>Electricity Access</t>
        </is>
      </c>
      <c r="F13" s="198" t="inlineStr">
        <is>
          <t>No. of Beneficaries</t>
        </is>
      </c>
      <c r="G13" t="n">
        <v>0</v>
      </c>
      <c r="H13" s="36" t="n">
        <v>250000</v>
      </c>
      <c r="I13" s="40" t="inlineStr">
        <is>
          <t>-1 Autotransformer (upcoming)</t>
        </is>
      </c>
      <c r="J13" s="206" t="inlineStr">
        <is>
          <t>Sweden</t>
        </is>
      </c>
      <c r="K13" t="n">
        <v>50</v>
      </c>
      <c r="L13" s="22" t="n"/>
      <c r="M13" s="23" t="n"/>
      <c r="N13" s="24" t="n"/>
      <c r="O13" s="23" t="n"/>
      <c r="P13" s="23" t="n"/>
      <c r="Q13" s="23" t="n"/>
      <c r="R13" s="23" t="n"/>
      <c r="S13" s="25" t="n"/>
      <c r="T13" s="23" t="n"/>
      <c r="U13" s="25" t="n"/>
      <c r="W13" s="5" t="inlineStr">
        <is>
          <t>Access to electricity (direct access to electricity, lighting, heating, cooling, etc)</t>
        </is>
      </c>
    </row>
    <row r="14">
      <c r="A14" s="39" t="n"/>
      <c r="B14" s="198" t="n"/>
      <c r="C14" s="198" t="n"/>
      <c r="D14" s="207" t="n"/>
      <c r="E14" s="33" t="n"/>
      <c r="F14" s="33" t="inlineStr">
        <is>
          <t>No. of Beneficaries</t>
        </is>
      </c>
      <c r="G14" s="16" t="n">
        <v>0</v>
      </c>
      <c r="H14" s="37" t="n">
        <v>25000</v>
      </c>
      <c r="I14" s="41" t="inlineStr">
        <is>
          <t>-1 gas pistons power generation system</t>
        </is>
      </c>
      <c r="J14" s="33" t="n"/>
      <c r="K14" s="16" t="n">
        <v>50</v>
      </c>
      <c r="L14" s="18" t="n"/>
      <c r="M14" s="19" t="n"/>
      <c r="N14" s="20" t="n"/>
      <c r="O14" s="19" t="n"/>
      <c r="P14" s="19" t="n"/>
      <c r="Q14" s="19" t="n"/>
      <c r="R14" s="19" t="n"/>
      <c r="S14" s="21" t="n"/>
      <c r="T14" s="19" t="n"/>
      <c r="U14" s="21" t="n"/>
      <c r="W14" s="5" t="n"/>
    </row>
    <row r="15" ht="18" customHeight="1">
      <c r="A15" s="39" t="n"/>
      <c r="B15" s="198" t="n"/>
      <c r="C15" s="198" t="n"/>
      <c r="D15" s="61" t="n">
        <v>3600000</v>
      </c>
      <c r="E15" t="inlineStr">
        <is>
          <t>Electricity Access</t>
        </is>
      </c>
      <c r="F15" s="198" t="inlineStr">
        <is>
          <t>No. of Beneficaries</t>
        </is>
      </c>
      <c r="G15" t="n">
        <v>0</v>
      </c>
      <c r="H15" s="198" t="inlineStr">
        <is>
          <t>TBC</t>
        </is>
      </c>
      <c r="I15" s="39" t="n"/>
      <c r="J15" s="62" t="inlineStr">
        <is>
          <t>Germany</t>
        </is>
      </c>
      <c r="K15" t="n">
        <v>50</v>
      </c>
      <c r="L15" s="63" t="n"/>
      <c r="M15" s="160" t="n"/>
      <c r="N15" s="64" t="n"/>
      <c r="O15" s="160" t="n"/>
      <c r="P15" s="160" t="n"/>
      <c r="Q15" s="160" t="n"/>
      <c r="R15" s="160" t="n"/>
      <c r="S15" s="65" t="n"/>
      <c r="T15" s="160" t="n"/>
      <c r="U15" s="65" t="n"/>
      <c r="W15" s="5" t="inlineStr">
        <is>
          <t>Access to electricity (direct access to electricity, lighting, heating, cooling, etc)</t>
        </is>
      </c>
    </row>
    <row r="16" ht="246" customHeight="1">
      <c r="A16" s="54" t="n">
        <v>134106</v>
      </c>
      <c r="B16" s="55" t="inlineStr">
        <is>
          <t>Winterization/Green Energy Recovery Programme</t>
        </is>
      </c>
      <c r="C16" s="70" t="inlineStr">
        <is>
          <t>https://www.undp.org/ukraine/projects/green-energy-recovery-programme-ukraine</t>
        </is>
      </c>
      <c r="D16" s="7" t="inlineStr">
        <is>
          <t xml:space="preserve">Overall budget for Winterization and Green Energy Recovery Programme: 244 846 904,36 USD:                                         
FW Norway:	 9 892 766,50 USD
South Korea:	 2 000 000,00 USD
Iceland FW:	 500 000,00 USD
Sweden FW1:	 5 580 876,00 USD
Sweden FW2:	 5 651 314,21 USD
TRAC:	               5 600,00 USD
Denmark 1:	 10 967 269,50 USD
SIDA:	               14 570 179,48 USD
Belgium: 	 9 646 302,24 USD  
NORAD 1:	 11 431 837,22 USD  
NORAD 2:	 93 993 799,88 USD  
Japan:	               70 000 000,00 USD  
Denmark 2:	 6 606 959,34 USD  
Germany:	 4 000 000,00 USD     </t>
        </is>
      </c>
      <c r="E16" s="54" t="inlineStr">
        <is>
          <t>Electricity Access</t>
        </is>
      </c>
      <c r="F16" s="54" t="inlineStr">
        <is>
          <t>No. of Beneficaries</t>
        </is>
      </c>
      <c r="G16" s="54" t="n">
        <v>0</v>
      </c>
      <c r="H16" s="57" t="n">
        <v>2600000</v>
      </c>
      <c r="I16" s="58" t="inlineStr">
        <is>
          <t>Provided access to energy for 2,600,000 beneficiaries through delivery of 2 gas turbines for power generation in Ukraine with total capacity of 108 MW.</t>
        </is>
      </c>
      <c r="J16" s="58" t="inlineStr">
        <is>
          <t>Japan</t>
        </is>
      </c>
      <c r="K16" s="54" t="n">
        <v>50</v>
      </c>
      <c r="L16" s="54" t="inlineStr">
        <is>
          <t>Non-VF</t>
        </is>
      </c>
      <c r="M16" s="54" t="n"/>
      <c r="N16" s="54" t="n"/>
      <c r="O16" s="54" t="n"/>
      <c r="P16" s="54" t="n"/>
      <c r="Q16" s="54" t="n"/>
      <c r="R16" s="54" t="n"/>
      <c r="S16" s="54" t="n"/>
      <c r="T16" s="54" t="n"/>
      <c r="U16" s="54" t="n"/>
    </row>
    <row r="17" ht="71.25" customHeight="1">
      <c r="A17" s="54" t="n">
        <v>134106</v>
      </c>
      <c r="B17" s="55" t="inlineStr">
        <is>
          <t>Winterization/Green Energy Recovery Programme</t>
        </is>
      </c>
      <c r="C17" s="71" t="inlineStr">
        <is>
          <t xml:space="preserve">https://www.undp.org/ukraine/press-releases/gas-piston-cogeneration-units-delivered-odesa-undp-cover-45-citys-energy-needs-water-heating-and-sewage-services </t>
        </is>
      </c>
      <c r="D17" s="58" t="inlineStr">
        <is>
          <t>Overall budget for Winterization and Green Energy Recovery Programme: 244 846 904,36 USD</t>
        </is>
      </c>
      <c r="E17" s="54" t="inlineStr">
        <is>
          <t>Electricity Access</t>
        </is>
      </c>
      <c r="F17" s="54" t="inlineStr">
        <is>
          <t>No. of Beneficaries</t>
        </is>
      </c>
      <c r="G17" s="54" t="n">
        <v>0</v>
      </c>
      <c r="H17" s="59" t="n">
        <v>450000</v>
      </c>
      <c r="I17" s="60" t="inlineStr">
        <is>
          <t>Provided access to energy for 450,000 beneficiaries through procurement of 13.4 MW of gas pistons and ongoing procurement of additional gas pistons with capacity of 16.5 MW.</t>
        </is>
      </c>
      <c r="J17" s="58" t="inlineStr">
        <is>
          <t>Japan, Norway, Sweden</t>
        </is>
      </c>
      <c r="K17" s="54" t="n">
        <v>50</v>
      </c>
      <c r="L17" s="54" t="inlineStr">
        <is>
          <t>Non-VF</t>
        </is>
      </c>
      <c r="M17" s="54" t="n"/>
      <c r="N17" s="54" t="n"/>
      <c r="O17" s="54" t="n"/>
      <c r="P17" s="54" t="n"/>
      <c r="Q17" s="54" t="n"/>
      <c r="R17" s="54" t="n"/>
      <c r="S17" s="54" t="n"/>
      <c r="T17" s="54" t="n"/>
      <c r="U17" s="54" t="n"/>
    </row>
    <row r="18" ht="60" customHeight="1">
      <c r="A18" s="54" t="n">
        <v>134106</v>
      </c>
      <c r="B18" s="55" t="inlineStr">
        <is>
          <t>Winterization/Green Energy Recovery Programme</t>
        </is>
      </c>
      <c r="C18" s="54" t="n"/>
      <c r="D18" s="58" t="inlineStr">
        <is>
          <t>Overall budget for Winterization and Green Energy Recovery Programme: 244 846 904,36 USD</t>
        </is>
      </c>
      <c r="E18" s="54" t="inlineStr">
        <is>
          <t>Electricity Access</t>
        </is>
      </c>
      <c r="F18" s="54" t="inlineStr">
        <is>
          <t>No. of Beneficaries</t>
        </is>
      </c>
      <c r="G18" s="54" t="n">
        <v>0</v>
      </c>
      <c r="H18" s="66" t="n">
        <v>900955</v>
      </c>
      <c r="I18" s="56" t="inlineStr">
        <is>
          <t>Procurement of 80 MW (8x10MW) of gas pistons with plans to increase to 160 MW, to benefit 900,955 beneficiaries.</t>
        </is>
      </c>
      <c r="J18" s="58" t="inlineStr">
        <is>
          <t xml:space="preserve">Norway </t>
        </is>
      </c>
      <c r="K18" s="54" t="n">
        <v>50</v>
      </c>
      <c r="L18" s="54" t="inlineStr">
        <is>
          <t>Non-VF</t>
        </is>
      </c>
      <c r="M18" s="54" t="n"/>
      <c r="N18" s="54" t="n"/>
      <c r="O18" s="54" t="n"/>
      <c r="P18" s="54" t="n"/>
      <c r="Q18" s="54" t="n"/>
      <c r="R18" s="54" t="n"/>
      <c r="S18" s="54" t="n"/>
      <c r="T18" s="54" t="n"/>
      <c r="U18" s="54" t="n"/>
    </row>
    <row r="19" ht="57" customHeight="1">
      <c r="A19" s="54" t="n">
        <v>134106</v>
      </c>
      <c r="B19" s="55" t="inlineStr">
        <is>
          <t>Winterization/Green Energy Recovery Programme</t>
        </is>
      </c>
      <c r="C19" s="54" t="n"/>
      <c r="D19" s="58" t="inlineStr">
        <is>
          <t>Overall budget for Winterization and Green Energy Recovery Programme: 244 846 904,36 USD</t>
        </is>
      </c>
      <c r="E19" s="54" t="inlineStr">
        <is>
          <t>Electricity Access</t>
        </is>
      </c>
      <c r="F19" s="54" t="inlineStr">
        <is>
          <t>No. of Beneficaries</t>
        </is>
      </c>
      <c r="G19" s="54" t="n">
        <v>0</v>
      </c>
      <c r="H19" s="67" t="n">
        <v>630000</v>
      </c>
      <c r="I19" s="68" t="inlineStr">
        <is>
          <t>Provided access to energy for 630,000 beneficiaries through procurement of 90.6 MW of gas generation (10x1.5M, 2x3.3MW gas pistons and 15MW and 54 MW turbines).</t>
        </is>
      </c>
      <c r="J19" s="58" t="inlineStr">
        <is>
          <t>Japan, Norway, Sweden, EU</t>
        </is>
      </c>
      <c r="K19" s="54" t="n">
        <v>50</v>
      </c>
      <c r="L19" s="54" t="inlineStr">
        <is>
          <t>Non-VF</t>
        </is>
      </c>
      <c r="M19" s="54" t="n"/>
      <c r="N19" s="54" t="n"/>
      <c r="O19" s="54" t="n"/>
      <c r="P19" s="54" t="n"/>
      <c r="Q19" s="54" t="n"/>
      <c r="R19" s="54" t="n"/>
      <c r="S19" s="54" t="n"/>
      <c r="T19" s="54" t="n"/>
      <c r="U19" s="54" t="n"/>
    </row>
    <row r="20" ht="28.5" customHeight="1">
      <c r="A20" s="54" t="n">
        <v>134106</v>
      </c>
      <c r="B20" s="55" t="inlineStr">
        <is>
          <t>Winterization/Green Energy Recovery Programme</t>
        </is>
      </c>
      <c r="C20" s="54" t="n"/>
      <c r="D20" s="58" t="inlineStr">
        <is>
          <t>Overall budget for Winterization and Green Energy Recovery Programme: 244 846 904,36 USD</t>
        </is>
      </c>
      <c r="E20" s="54" t="inlineStr">
        <is>
          <t>Electricity Access</t>
        </is>
      </c>
      <c r="F20" s="54" t="inlineStr">
        <is>
          <t>No. of Beneficaries</t>
        </is>
      </c>
      <c r="G20" s="54" t="n">
        <v>0</v>
      </c>
      <c r="H20" s="69" t="n">
        <v>0</v>
      </c>
      <c r="I20" s="7" t="inlineStr">
        <is>
          <t>Procurement of a gas booster compressor for restoring gas supply.</t>
        </is>
      </c>
      <c r="J20" s="58" t="inlineStr">
        <is>
          <t>Norway</t>
        </is>
      </c>
      <c r="K20" s="54" t="n">
        <v>50</v>
      </c>
      <c r="L20" s="54" t="inlineStr">
        <is>
          <t>Non-VF</t>
        </is>
      </c>
      <c r="M20" s="54" t="n"/>
      <c r="N20" s="54" t="n"/>
      <c r="O20" s="54" t="n"/>
      <c r="P20" s="54" t="n"/>
      <c r="Q20" s="54" t="n"/>
      <c r="R20" s="54" t="n"/>
      <c r="S20" s="54" t="n"/>
      <c r="T20" s="54" t="n"/>
      <c r="U20" s="54" t="n"/>
    </row>
    <row r="21" ht="48.75" customHeight="1">
      <c r="A21" s="54" t="n">
        <v>134106</v>
      </c>
      <c r="B21" s="55" t="inlineStr">
        <is>
          <t>Winterization/Green Energy Recovery Programme</t>
        </is>
      </c>
      <c r="C21" s="54" t="n"/>
      <c r="D21" s="58" t="inlineStr">
        <is>
          <t>Overall budget for Winterization and Green Energy Recovery Programme: 244 846 904,36 USD</t>
        </is>
      </c>
      <c r="E21" s="54" t="inlineStr">
        <is>
          <t>Electricity Access</t>
        </is>
      </c>
      <c r="F21" s="54" t="inlineStr">
        <is>
          <t>No. of Beneficaries</t>
        </is>
      </c>
      <c r="G21" s="54" t="n">
        <v>0</v>
      </c>
      <c r="H21" s="66" t="n">
        <v>95800</v>
      </c>
      <c r="I21" s="56" t="inlineStr">
        <is>
          <t>Provided access to energy for 95,800 beneficiaries through procurement of 6.7 MW of gas generation and ongoing technical design services.</t>
        </is>
      </c>
      <c r="J21" s="58" t="inlineStr">
        <is>
          <t>Denmark</t>
        </is>
      </c>
      <c r="K21" s="54" t="n">
        <v>50</v>
      </c>
      <c r="L21" s="54" t="inlineStr">
        <is>
          <t>Non-VF</t>
        </is>
      </c>
      <c r="M21" s="54" t="n"/>
      <c r="N21" s="54" t="n"/>
      <c r="O21" s="54" t="n"/>
      <c r="P21" s="54" t="n"/>
      <c r="Q21" s="54" t="n"/>
      <c r="R21" s="54" t="n"/>
      <c r="S21" s="54" t="n"/>
      <c r="T21" s="54" t="n"/>
      <c r="U21" s="54" t="n"/>
    </row>
    <row r="22" ht="42.75" customHeight="1">
      <c r="A22" s="54" t="n">
        <v>134106</v>
      </c>
      <c r="B22" s="55" t="inlineStr">
        <is>
          <t>Winterization/Green Energy Recovery Programme</t>
        </is>
      </c>
      <c r="C22" s="54" t="n"/>
      <c r="D22" s="58" t="inlineStr">
        <is>
          <t>Overall budget for Winterization and Green Energy Recovery Programme: 244 846 904,36 USD</t>
        </is>
      </c>
      <c r="E22" s="54" t="inlineStr">
        <is>
          <t>Health services</t>
        </is>
      </c>
      <c r="F22" s="54" t="inlineStr">
        <is>
          <t>No. of Beneficaries</t>
        </is>
      </c>
      <c r="G22" s="54" t="n">
        <v>0</v>
      </c>
      <c r="H22" s="66" t="n">
        <v>10700</v>
      </c>
      <c r="I22" s="58" t="inlineStr">
        <is>
          <t xml:space="preserve">Provide access to clean energy, namely 0,2 MW of renewable energy through solar power installation for 1 hospital benefiting 10,700 people </t>
        </is>
      </c>
      <c r="J22" s="58" t="inlineStr">
        <is>
          <t xml:space="preserve">Norway </t>
        </is>
      </c>
      <c r="K22" s="54" t="n">
        <v>50</v>
      </c>
      <c r="L22" s="54" t="inlineStr">
        <is>
          <t>Non-VF</t>
        </is>
      </c>
      <c r="M22" s="54" t="n"/>
      <c r="N22" s="54" t="n"/>
      <c r="O22" s="54" t="n"/>
      <c r="P22" s="54" t="n"/>
      <c r="Q22" s="54" t="n"/>
      <c r="R22" s="54" t="n"/>
      <c r="S22" s="54" t="inlineStr">
        <is>
          <t>Solar</t>
        </is>
      </c>
      <c r="T22" s="54" t="n"/>
      <c r="U22" s="54" t="n"/>
    </row>
    <row r="23" ht="56.25" customHeight="1">
      <c r="A23" s="54" t="n">
        <v>134106</v>
      </c>
      <c r="B23" s="55" t="inlineStr">
        <is>
          <t>Winterization/Green Energy Recovery Programme</t>
        </is>
      </c>
      <c r="C23" s="54" t="n"/>
      <c r="D23" s="58" t="inlineStr">
        <is>
          <t>Overall budget for Winterization and Green Energy Recovery Programme: 244 846 904,36 USD</t>
        </is>
      </c>
      <c r="E23" s="54" t="inlineStr">
        <is>
          <t xml:space="preserve">Policy and Regulatory Framework </t>
        </is>
      </c>
      <c r="F23" s="54" t="inlineStr">
        <is>
          <t>No. of Beneficaries</t>
        </is>
      </c>
      <c r="G23" s="54" t="n">
        <v>0</v>
      </c>
      <c r="H23" s="57" t="n">
        <v>35800000</v>
      </c>
      <c r="I23" s="58" t="inlineStr">
        <is>
          <t>Provision of legislative support for the green energy transition, including distributed energy generation benefiting all population of Ukraine</t>
        </is>
      </c>
      <c r="J23" s="58" t="n"/>
      <c r="K23" s="54" t="n">
        <v>50</v>
      </c>
      <c r="L23" s="54" t="inlineStr">
        <is>
          <t>Non-VF</t>
        </is>
      </c>
      <c r="M23" s="54" t="n"/>
      <c r="N23" s="54" t="n"/>
      <c r="O23" s="54" t="n"/>
      <c r="P23" s="54" t="n"/>
      <c r="Q23" s="54" t="n"/>
      <c r="R23" s="54" t="n"/>
      <c r="S23" s="54" t="n"/>
      <c r="T23" s="54" t="n"/>
      <c r="U23" s="54" t="n"/>
    </row>
    <row r="24" ht="85.5" customHeight="1">
      <c r="A24" s="54" t="n">
        <v>134106</v>
      </c>
      <c r="B24" s="55" t="inlineStr">
        <is>
          <t>Winterization/Green Energy Recovery Programme</t>
        </is>
      </c>
      <c r="C24" s="54" t="n"/>
      <c r="D24" s="58" t="inlineStr">
        <is>
          <t>Overall budget for Winterization and Green Energy Recovery Programme: 244 846 904,36 USD</t>
        </is>
      </c>
      <c r="E24" s="54" t="inlineStr">
        <is>
          <t xml:space="preserve">Other </t>
        </is>
      </c>
      <c r="F24" s="54" t="inlineStr">
        <is>
          <t>No. of Beneficaries</t>
        </is>
      </c>
      <c r="G24" s="54" t="n">
        <v>0</v>
      </c>
      <c r="H24" s="57" t="n">
        <v>35800000</v>
      </c>
      <c r="I24" s="58" t="inlineStr">
        <is>
          <t>Dedicated group of experts
(more than 20) working directly in Ministry
of Energy of Ukraine to support the
coordination of energy equipment
distribution between the Ministries and
Municipalities.</t>
        </is>
      </c>
      <c r="J24" s="58" t="inlineStr">
        <is>
          <t xml:space="preserve">Denmark </t>
        </is>
      </c>
      <c r="K24" s="54" t="n">
        <v>50</v>
      </c>
      <c r="L24" s="54" t="inlineStr">
        <is>
          <t>Non-VF</t>
        </is>
      </c>
      <c r="M24" s="54" t="n"/>
      <c r="N24" s="54" t="n"/>
      <c r="O24" s="54" t="n"/>
      <c r="P24" s="54" t="n"/>
      <c r="Q24" s="54" t="n"/>
      <c r="R24" s="54" t="n"/>
      <c r="S24" s="54" t="n"/>
      <c r="T24" s="54" t="n"/>
      <c r="U24" s="54" t="n"/>
    </row>
    <row r="25" ht="57" customHeight="1">
      <c r="A25" s="54" t="n">
        <v>134106</v>
      </c>
      <c r="B25" s="55" t="inlineStr">
        <is>
          <t>Winterization/Green Energy Recovery Programme</t>
        </is>
      </c>
      <c r="C25" s="54" t="n"/>
      <c r="D25" s="58" t="inlineStr">
        <is>
          <t>Overall budget for Winterization and Green Energy Recovery Programme: 244 846 904,36 USD</t>
        </is>
      </c>
      <c r="E25" s="54" t="inlineStr">
        <is>
          <t xml:space="preserve">Other </t>
        </is>
      </c>
      <c r="F25" s="54" t="inlineStr">
        <is>
          <t>No. of Beneficaries</t>
        </is>
      </c>
      <c r="G25" s="54" t="n">
        <v>0</v>
      </c>
      <c r="H25" s="57" t="n">
        <v>35800000</v>
      </c>
      <c r="I25" s="58" t="inlineStr">
        <is>
          <t>Coordination of energy activities across UN entities and other international assistance projects to facilitate strategic alignment
and effective implementation</t>
        </is>
      </c>
      <c r="J25" s="58" t="inlineStr">
        <is>
          <t xml:space="preserve">Norway </t>
        </is>
      </c>
      <c r="K25" s="54" t="n">
        <v>50</v>
      </c>
      <c r="L25" s="54" t="inlineStr">
        <is>
          <t>Non-VF</t>
        </is>
      </c>
      <c r="M25" s="54" t="n"/>
      <c r="N25" s="54" t="n"/>
      <c r="O25" s="54" t="n"/>
      <c r="P25" s="54" t="n"/>
      <c r="Q25" s="54" t="n"/>
      <c r="R25" s="54" t="n"/>
      <c r="S25" s="54" t="n"/>
      <c r="T25" s="54" t="n"/>
      <c r="U25" s="54" t="n"/>
    </row>
    <row r="26" ht="71.25" customHeight="1">
      <c r="A26" s="54" t="n">
        <v>134106</v>
      </c>
      <c r="B26" s="55" t="inlineStr">
        <is>
          <t>Winterization/Green Energy Recovery Programme</t>
        </is>
      </c>
      <c r="C26" s="54" t="n"/>
      <c r="D26" s="58" t="inlineStr">
        <is>
          <t>Overall budget for Winterization and Green Energy Recovery Programme: 244 846 904,36 USD</t>
        </is>
      </c>
      <c r="E26" s="54" t="inlineStr">
        <is>
          <t xml:space="preserve">Other </t>
        </is>
      </c>
      <c r="F26" s="54" t="inlineStr">
        <is>
          <t>No. of Beneficaries</t>
        </is>
      </c>
      <c r="G26" s="54" t="n">
        <v>0</v>
      </c>
      <c r="H26" s="57" t="n">
        <v>35800000</v>
      </c>
      <c r="I26" s="58" t="inlineStr">
        <is>
          <t xml:space="preserve">Development of a digital platform Energy Programme Information Management System (EPIMS) to address integrated energy needs, facilitating immediate repair work on energy infrastructure and efficiently restore the energy sector. </t>
        </is>
      </c>
      <c r="J26" s="58" t="inlineStr">
        <is>
          <t xml:space="preserve">Denmark </t>
        </is>
      </c>
      <c r="K26" s="54" t="n">
        <v>50</v>
      </c>
      <c r="L26" s="54" t="inlineStr">
        <is>
          <t>Non-VF</t>
        </is>
      </c>
      <c r="M26" s="54" t="n"/>
      <c r="N26" s="54" t="n"/>
      <c r="O26" s="54" t="n"/>
      <c r="P26" s="54" t="n"/>
      <c r="Q26" s="54" t="n"/>
      <c r="R26" s="54" t="n"/>
      <c r="S26" s="54" t="n"/>
      <c r="T26" s="54" t="n"/>
      <c r="U26" s="54" t="n"/>
    </row>
  </sheetData>
  <mergeCells count="15">
    <mergeCell ref="D4:D6"/>
    <mergeCell ref="J4:J6"/>
    <mergeCell ref="J13:J14"/>
    <mergeCell ref="A4:A6"/>
    <mergeCell ref="E8:E10"/>
    <mergeCell ref="B4:B6"/>
    <mergeCell ref="E13:E14"/>
    <mergeCell ref="D13:D14"/>
    <mergeCell ref="E4:E6"/>
    <mergeCell ref="D8:D10"/>
    <mergeCell ref="A7:A15"/>
    <mergeCell ref="B7:B15"/>
    <mergeCell ref="J8:J10"/>
    <mergeCell ref="C8:C10"/>
    <mergeCell ref="C13:C14"/>
  </mergeCells>
  <dataValidations count="9">
    <dataValidation sqref="Q2:Q1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N2:N15" showDropDown="0" showInputMessage="1" showErrorMessage="1" allowBlank="1" type="list">
      <formula1>"Accelerating just energy transition, Close the gap on energy access, Scale up energy finance"</formula1>
    </dataValidation>
    <dataValidation sqref="O2:O15" showDropDown="0" showInputMessage="1" showErrorMessage="1" allowBlank="1" type="list">
      <formula1>"Electricity Access, Energy Efficiency, Clean Cooking, Renewable Energy, Overall"</formula1>
    </dataValidation>
    <dataValidation sqref="M2:M15" showDropDown="0" showInputMessage="1" showErrorMessage="1" allowBlank="1" type="list">
      <formula1>"Finance, Gender, Efficiency, Just, Health"</formula1>
    </dataValidation>
    <dataValidation sqref="T2:T15" showDropDown="0" showInputMessage="1" showErrorMessage="1" allowBlank="1" type="list">
      <formula1>"National, Regional, City, Community"</formula1>
    </dataValidation>
    <dataValidation sqref="P2:P15" showDropDown="0" showInputMessage="1" showErrorMessage="1" allowBlank="1" type="list">
      <formula1>"AMP, PUDC, Solar4Health, Action Opportunities, Italy UNDP Energy Partnership"</formula1>
    </dataValidation>
    <dataValidation sqref="L2:L15" showDropDown="0" showInputMessage="1" showErrorMessage="1" allowBlank="1" type="list">
      <formula1>"Non-VF, VF"</formula1>
    </dataValidation>
    <dataValidation sqref="R2:R1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15" showDropDown="0" showInputMessage="1" showErrorMessage="1" allowBlank="1" type="list">
      <formula1>"Solar, Wind, Bioenergy, Hydro, Geothermal, Waste, Some Sources, Other, Unknown"</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16" r:id="rId5"/>
    <hyperlink xmlns:r="http://schemas.openxmlformats.org/officeDocument/2006/relationships" ref="C17" r:id="rId6"/>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24"/>
  <sheetViews>
    <sheetView topLeftCell="A9" workbookViewId="0">
      <pane ySplit="1" topLeftCell="A2" activePane="bottomLeft" state="frozen"/>
      <selection pane="bottomLeft" activeCell="A12" sqref="A12"/>
    </sheetView>
  </sheetViews>
  <sheetFormatPr baseColWidth="8" defaultRowHeight="14.25"/>
  <cols>
    <col width="36" customWidth="1" min="1" max="1"/>
    <col width="110" customWidth="1" min="2" max="2"/>
    <col width="84.5703125" customWidth="1" min="3" max="3"/>
  </cols>
  <sheetData>
    <row r="1">
      <c r="A1" s="219" t="inlineStr">
        <is>
          <t>Beneficiary Category</t>
        </is>
      </c>
      <c r="B1" s="219" t="inlineStr">
        <is>
          <t>Indicator</t>
        </is>
      </c>
    </row>
    <row r="2" ht="57" customHeight="1">
      <c r="A2" s="220" t="inlineStr">
        <is>
          <t>Electricity Access</t>
        </is>
      </c>
      <c r="B2" s="220" t="inlineStr">
        <is>
          <t>Number of people, disaggregated by sex, who gain access to clean electricity (direct access to electricity, lighting, cooling, etc.).</t>
        </is>
      </c>
    </row>
    <row r="3" ht="30.75" customHeight="1">
      <c r="A3" s="220" t="inlineStr">
        <is>
          <t>Energy (MW added)</t>
        </is>
      </c>
      <c r="B3" s="220" t="inlineStr">
        <is>
          <t>Installed renewable or clean-energy power capacity added, in MW.</t>
        </is>
      </c>
    </row>
    <row r="4" ht="57" customHeight="1">
      <c r="A4" s="220" t="inlineStr">
        <is>
          <t>Energy Storage (MW)</t>
        </is>
      </c>
      <c r="B4" s="220" t="inlineStr">
        <is>
          <t>Installed energy storage power capacity added, in MW.</t>
        </is>
      </c>
    </row>
    <row r="5" ht="57" customHeight="1">
      <c r="A5" s="220" t="inlineStr">
        <is>
          <t>Clean Cooking</t>
        </is>
      </c>
      <c r="B5" s="220" t="inlineStr">
        <is>
          <t>Number of people who gain access to clean cooking (direct access to clean cook stoves, clean fuels, biomass, etc.).</t>
        </is>
      </c>
    </row>
    <row r="6" ht="156.75" customHeight="1">
      <c r="A6" s="220" t="inlineStr">
        <is>
          <t>Clean Heating</t>
        </is>
      </c>
      <c r="B6" s="220" t="inlineStr">
        <is>
          <t>Number of people who gain access to clean heating (direct access to clean electric heaters, clean fuels, etc.).</t>
        </is>
      </c>
    </row>
    <row r="7" ht="71.25" customHeight="1">
      <c r="A7" s="220" t="inlineStr">
        <is>
          <t>Agriculture and Food System</t>
        </is>
      </c>
      <c r="B7" s="220" t="inlineStr">
        <is>
          <t>Number of people who gain access to clean, affordable, and sustainable energy for agricultural and food-system activities.</t>
        </is>
      </c>
    </row>
    <row r="8" ht="71.25" customHeight="1">
      <c r="A8" s="220" t="inlineStr">
        <is>
          <t>Health Services</t>
        </is>
      </c>
      <c r="B8" s="220" t="inlineStr">
        <is>
          <t>Number of people who gain access to health care facilities through clean energy systems.</t>
        </is>
      </c>
    </row>
    <row r="9" ht="71.25" customHeight="1">
      <c r="A9" s="220" t="inlineStr">
        <is>
          <t>Water Services</t>
        </is>
      </c>
      <c r="B9" s="220" t="inlineStr">
        <is>
          <t>Number of people who gain access to water services through clean energy systems.</t>
        </is>
      </c>
    </row>
    <row r="10" ht="57" customHeight="1">
      <c r="A10" s="220" t="inlineStr">
        <is>
          <t>Education Services</t>
        </is>
      </c>
      <c r="B10" s="220" t="inlineStr">
        <is>
          <t>Number of people who gain access to education services through clean energy systems, including students and teachers.</t>
        </is>
      </c>
    </row>
    <row r="11" ht="57" customHeight="1">
      <c r="A11" s="220" t="inlineStr">
        <is>
          <t>Transportation and E-mobility Services</t>
        </is>
      </c>
      <c r="B11" s="220" t="inlineStr">
        <is>
          <t>Number of people served or energy saved from transport and e-mobility interventions, such as electric vehicles or charging stations.</t>
        </is>
      </c>
    </row>
    <row r="12" ht="71.25" customHeight="1">
      <c r="A12" s="220" t="inlineStr">
        <is>
          <t>Energy Efficiency Services</t>
        </is>
      </c>
      <c r="B12" s="220" t="inlineStr">
        <is>
          <t>Energy saved from energy-efficiency interventions, such as building or industrial efficiency.</t>
        </is>
      </c>
    </row>
    <row r="13" ht="28.5" customHeight="1">
      <c r="A13" s="220" t="inlineStr">
        <is>
          <t>Energy Infrastructure Services</t>
        </is>
      </c>
      <c r="B13" s="220" t="inlineStr">
        <is>
          <t>Number of people benefiting from energy infrastructure interventions, such as streetlights, transmission, and distribution lines.</t>
        </is>
      </c>
    </row>
    <row r="14" ht="28.5" customHeight="1">
      <c r="A14" s="220" t="inlineStr">
        <is>
          <t>Other Energy Services</t>
        </is>
      </c>
      <c r="B14" s="220" t="inlineStr">
        <is>
          <t>Access to other energy services not captured by the categories above.</t>
        </is>
      </c>
    </row>
    <row r="15" ht="42.75" customHeight="1">
      <c r="A15" s="220" t="inlineStr">
        <is>
          <t>Financing support</t>
        </is>
      </c>
      <c r="B15" s="220" t="inlineStr">
        <is>
          <t>Support for the development of the energy market ecosystem.</t>
        </is>
      </c>
    </row>
    <row r="16" ht="42.75" customHeight="1">
      <c r="A16" s="220" t="inlineStr">
        <is>
          <t>Medium Enterprises</t>
        </is>
      </c>
      <c r="B16" s="220" t="inlineStr">
        <is>
          <t>Support for the development of medium enterprises in the energy transition market.</t>
        </is>
      </c>
    </row>
    <row r="17" ht="57" customHeight="1">
      <c r="A17" s="220" t="inlineStr">
        <is>
          <t>Small Enterprises</t>
        </is>
      </c>
      <c r="B17" s="220" t="inlineStr">
        <is>
          <t>Support for the development of small enterprises in the energy transition market.</t>
        </is>
      </c>
    </row>
    <row r="18" ht="57" customHeight="1">
      <c r="A18" s="220" t="inlineStr">
        <is>
          <t>Capacity Building Training</t>
        </is>
      </c>
      <c r="B18" s="220" t="inlineStr">
        <is>
          <t>Number of people benefiting from training on energy business, energy finance, or related implementation capacity.</t>
        </is>
      </c>
    </row>
    <row r="19" ht="128.25" customHeight="1">
      <c r="A19" s="220" t="inlineStr">
        <is>
          <t>Entrepreneurship Training</t>
        </is>
      </c>
      <c r="B19" s="220" t="inlineStr">
        <is>
          <t>Training for enterprises on the energy business, assumed to result in direct beneficiaries.</t>
        </is>
      </c>
    </row>
    <row r="20" ht="42.75" customHeight="1">
      <c r="A20" s="220" t="inlineStr">
        <is>
          <t>Market Intervention</t>
        </is>
      </c>
      <c r="B20" s="220" t="inlineStr">
        <is>
          <t>Volume of investment leveraged or barriers removed for clean, reliable, affordable, and sustainable energy solutions.</t>
        </is>
      </c>
    </row>
    <row r="21" ht="71.25" customHeight="1">
      <c r="A21" s="220" t="inlineStr">
        <is>
          <t>Campaign Participant</t>
        </is>
      </c>
      <c r="B21" s="220" t="inlineStr">
        <is>
          <t>Individuals who participate in advocacy or awareness campaigns on energy.</t>
        </is>
      </c>
    </row>
    <row r="22" ht="42.75" customHeight="1">
      <c r="A22" s="220" t="inlineStr">
        <is>
          <t>Policy or Regulatory Framework</t>
        </is>
      </c>
      <c r="B22" s="220" t="inlineStr">
        <is>
          <t>Policies, regulations, strategies, plans, or frameworks developed, approved, implemented, or strengthened.</t>
        </is>
      </c>
    </row>
    <row r="23">
      <c r="A23" s="220" t="inlineStr">
        <is>
          <t>GHG Emissions Reduction</t>
        </is>
      </c>
      <c r="B23" s="220" t="inlineStr">
        <is>
          <t>Greenhouse gas emissions reduced or mitigated, in tCO2e.</t>
        </is>
      </c>
    </row>
    <row r="24">
      <c r="A24" s="220" t="inlineStr">
        <is>
          <t>Other</t>
        </is>
      </c>
      <c r="B24" s="220"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2023-05-05T09:33:40Z</dcterms:created>
  <dcterms:modified xmlns:dcterms="http://purl.org/dc/terms/" xmlns:xsi="http://www.w3.org/2001/XMLSchema-instance" xsi:type="dcterms:W3CDTF">2026-06-08T15:49:48Z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