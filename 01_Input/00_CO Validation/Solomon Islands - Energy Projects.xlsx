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sheetId="2" state="hidden" r:id="rId2"/>
    <sheet xmlns:r="http://schemas.openxmlformats.org/officeDocument/2006/relationships" name="Sheet1" sheetId="3" state="visible" r:id="rId3"/>
    <sheet xmlns:r="http://schemas.openxmlformats.org/officeDocument/2006/relationships" name="Beneficiary Categories" sheetId="4" state="visible" r:id="rId4"/>
  </sheets>
  <definedNames>
    <definedName name="_ftn1" localSheetId="2">Sheet1!$D$32</definedName>
    <definedName name="_ftn2" localSheetId="2">Sheet1!$D$33</definedName>
    <definedName name="_ftn3" localSheetId="2">Sheet1!$D$34</definedName>
    <definedName name="_ftn4" localSheetId="2">Sheet1!$D$35</definedName>
    <definedName name="_ftnref1" localSheetId="2">Sheet1!$G$16</definedName>
    <definedName name="_ftnref2" localSheetId="2">Sheet1!$I$16</definedName>
    <definedName name="_ftnref3" localSheetId="2">Sheet1!$G$18</definedName>
    <definedName name="_ftnref4" localSheetId="2">Sheet1!$I$18</definedName>
  </definedNames>
  <calcPr calcId="191028" fullCalcOnLoad="1"/>
</workbook>
</file>

<file path=xl/styles.xml><?xml version="1.0" encoding="utf-8"?>
<styleSheet xmlns="http://schemas.openxmlformats.org/spreadsheetml/2006/main">
  <numFmts count="2">
    <numFmt numFmtId="164" formatCode="_-* #,##0.00_-;\-* #,##0.00_-;_-* &quot;-&quot;??_-;_-@_-"/>
    <numFmt numFmtId="165" formatCode="#,##0.000000"/>
  </numFmts>
  <fonts count="18">
    <font>
      <name val="Calibri"/>
      <family val="2"/>
      <color theme="1"/>
      <sz val="11"/>
      <scheme val="minor"/>
    </font>
    <font>
      <name val="Calibri"/>
      <color theme="1"/>
      <sz val="11"/>
      <scheme val="minor"/>
    </font>
    <font>
      <name val="Calibri"/>
      <family val="2"/>
      <b val="1"/>
      <color theme="1"/>
      <sz val="11"/>
      <scheme val="minor"/>
    </font>
    <font>
      <name val="Calibri"/>
      <family val="2"/>
      <color theme="1"/>
      <sz val="11"/>
      <scheme val="minor"/>
    </font>
    <font>
      <name val="Calibri"/>
      <family val="2"/>
      <color rgb="FFFF0000"/>
      <sz val="11"/>
      <scheme val="minor"/>
    </font>
    <font>
      <name val="Calibri"/>
      <family val="2"/>
      <color rgb="FF000000"/>
      <sz val="10"/>
      <scheme val="minor"/>
    </font>
    <font>
      <name val="Calibri"/>
      <family val="2"/>
      <color theme="1"/>
      <sz val="10"/>
      <scheme val="minor"/>
    </font>
    <font>
      <name val="Calibri"/>
      <family val="2"/>
      <color theme="1"/>
      <sz val="10"/>
      <vertAlign val="subscript"/>
      <scheme val="minor"/>
    </font>
    <font>
      <name val="Calibri"/>
      <family val="2"/>
      <b val="1"/>
      <color theme="1"/>
      <sz val="10"/>
      <scheme val="minor"/>
    </font>
    <font>
      <name val="Calibri"/>
      <family val="2"/>
      <b val="1"/>
      <color rgb="FF000000"/>
      <sz val="10"/>
      <scheme val="minor"/>
    </font>
    <font>
      <name val="Calibri"/>
      <family val="2"/>
      <color theme="10"/>
      <sz val="11"/>
      <u val="single"/>
      <scheme val="minor"/>
    </font>
    <font>
      <name val="Calibri"/>
      <family val="2"/>
      <color rgb="FFFF0000"/>
      <sz val="10"/>
      <scheme val="minor"/>
    </font>
    <font>
      <name val="Calibri"/>
      <family val="2"/>
      <b val="1"/>
      <color rgb="FFED7D31"/>
      <sz val="11"/>
    </font>
    <font>
      <name val="Calibri"/>
      <b val="1"/>
      <color theme="1"/>
      <sz val="11"/>
      <scheme val="minor"/>
    </font>
    <font>
      <name val="Calibri"/>
      <color rgb="FF000000"/>
      <sz val="11"/>
      <scheme val="minor"/>
    </font>
    <font>
      <name val="Calibri"/>
      <color rgb="FF000000"/>
      <sz val="10"/>
      <scheme val="minor"/>
    </font>
    <font>
      <name val="Calibri"/>
      <color rgb="FF000000"/>
      <sz val="10"/>
      <vertAlign val="subscript"/>
      <scheme val="minor"/>
    </font>
    <font>
      <b val="1"/>
    </font>
  </fonts>
  <fills count="5">
    <fill>
      <patternFill/>
    </fill>
    <fill>
      <patternFill patternType="gray125"/>
    </fill>
    <fill>
      <patternFill patternType="solid">
        <fgColor rgb="FFFFE497"/>
        <bgColor indexed="64"/>
      </patternFill>
    </fill>
    <fill>
      <patternFill patternType="solid">
        <fgColor rgb="FFFFFF00"/>
        <bgColor indexed="64"/>
      </patternFill>
    </fill>
    <fill>
      <patternFill patternType="solid">
        <fgColor rgb="00FFFF00"/>
      </patternFill>
    </fill>
  </fills>
  <borders count="3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style="thin">
        <color auto="1"/>
      </right>
      <top style="thin">
        <color auto="1"/>
      </top>
      <bottom style="thin">
        <color auto="1"/>
      </bottom>
      <diagonal/>
    </border>
    <border>
      <left style="thin">
        <color auto="1"/>
      </left>
      <right style="thick">
        <color indexed="64"/>
      </right>
      <top style="thin">
        <color auto="1"/>
      </top>
      <bottom style="thin">
        <color auto="1"/>
      </bottom>
      <diagonal/>
    </border>
    <border>
      <left style="thin">
        <color auto="1"/>
      </left>
      <right style="thick">
        <color indexed="64"/>
      </right>
      <top style="thin">
        <color auto="1"/>
      </top>
      <bottom/>
      <diagonal/>
    </border>
    <border>
      <left style="thin">
        <color auto="1"/>
      </left>
      <right style="thick">
        <color indexed="64"/>
      </right>
      <top/>
      <bottom/>
      <diagonal/>
    </border>
    <border>
      <left style="thin">
        <color auto="1"/>
      </left>
      <right style="thick">
        <color indexed="64"/>
      </right>
      <top/>
      <bottom style="thin">
        <color auto="1"/>
      </bottom>
      <diagonal/>
    </border>
    <border>
      <left style="thin">
        <color rgb="FF000000"/>
      </left>
      <right style="thin">
        <color rgb="FF000000"/>
      </right>
      <top style="thin">
        <color rgb="FF000000"/>
      </top>
      <bottom style="thin">
        <color rgb="FF000000"/>
      </bottom>
      <diagonal/>
    </border>
    <border>
      <left style="thick">
        <color indexed="64"/>
      </left>
      <right/>
      <top style="thin">
        <color auto="1"/>
      </top>
      <bottom style="thin">
        <color auto="1"/>
      </bottom>
      <diagonal/>
    </border>
    <border>
      <left/>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auto="1"/>
      </right>
      <top/>
      <bottom/>
      <diagonal/>
    </border>
    <border>
      <left/>
      <right style="thin">
        <color auto="1"/>
      </right>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indexed="64"/>
      </left>
      <right/>
      <top/>
      <bottom/>
      <diagonal/>
    </border>
    <border>
      <left style="medium">
        <color indexed="64"/>
      </left>
      <right style="medium">
        <color indexed="64"/>
      </right>
      <top/>
      <bottom/>
      <diagonal/>
    </border>
    <border>
      <left/>
      <right style="medium">
        <color indexed="64"/>
      </right>
      <top/>
      <bottom/>
      <diagonal/>
    </border>
  </borders>
  <cellStyleXfs count="3">
    <xf numFmtId="0" fontId="3" fillId="0" borderId="0"/>
    <xf numFmtId="164" fontId="3" fillId="0" borderId="0"/>
    <xf numFmtId="0" fontId="10" fillId="0" borderId="0"/>
  </cellStyleXfs>
  <cellXfs count="131">
    <xf numFmtId="0" fontId="0" fillId="0" borderId="0" pivotButton="0" quotePrefix="0" xfId="0"/>
    <xf numFmtId="0" fontId="2" fillId="0" borderId="1" applyAlignment="1" pivotButton="0" quotePrefix="0" xfId="0">
      <alignment horizontal="center" vertical="top"/>
    </xf>
    <xf numFmtId="0" fontId="2" fillId="0" borderId="3" applyAlignment="1" pivotButton="0" quotePrefix="0" xfId="0">
      <alignment horizontal="center" vertical="center" wrapText="1"/>
    </xf>
    <xf numFmtId="0" fontId="2" fillId="0" borderId="4" applyAlignment="1" pivotButton="0" quotePrefix="0" xfId="0">
      <alignment horizontal="center" vertical="center" wrapText="1"/>
    </xf>
    <xf numFmtId="0" fontId="6" fillId="0" borderId="5" applyAlignment="1" pivotButton="0" quotePrefix="0" xfId="0">
      <alignment vertical="center" wrapText="1"/>
    </xf>
    <xf numFmtId="0" fontId="0" fillId="0" borderId="8" applyAlignment="1" pivotButton="0" quotePrefix="0" xfId="0">
      <alignment horizontal="center" vertical="center" wrapText="1"/>
    </xf>
    <xf numFmtId="0" fontId="6" fillId="0" borderId="8" applyAlignment="1" pivotButton="0" quotePrefix="0" xfId="0">
      <alignment horizontal="center" vertical="center" wrapText="1"/>
    </xf>
    <xf numFmtId="3" fontId="6" fillId="0" borderId="8" applyAlignment="1" pivotButton="0" quotePrefix="0" xfId="0">
      <alignment horizontal="center" vertical="center" wrapText="1"/>
    </xf>
    <xf numFmtId="4" fontId="6" fillId="0" borderId="8" applyAlignment="1" pivotButton="0" quotePrefix="0" xfId="0">
      <alignment horizontal="center" vertical="center" wrapText="1"/>
    </xf>
    <xf numFmtId="9" fontId="0" fillId="0" borderId="8" applyAlignment="1" pivotButton="0" quotePrefix="0" xfId="0">
      <alignment horizontal="center" vertical="center" wrapText="1"/>
    </xf>
    <xf numFmtId="9" fontId="6" fillId="0" borderId="8" applyAlignment="1" pivotButton="0" quotePrefix="0" xfId="0">
      <alignment horizontal="center" vertical="center" wrapText="1"/>
    </xf>
    <xf numFmtId="0" fontId="6" fillId="0" borderId="5" applyAlignment="1" pivotButton="0" quotePrefix="0" xfId="0">
      <alignment vertical="center"/>
    </xf>
    <xf numFmtId="0" fontId="10" fillId="0" borderId="8" applyAlignment="1" pivotButton="0" quotePrefix="0" xfId="2">
      <alignment horizontal="center" vertical="center" wrapText="1"/>
    </xf>
    <xf numFmtId="0" fontId="10" fillId="0" borderId="0" applyAlignment="1" pivotButton="0" quotePrefix="0" xfId="2">
      <alignment horizontal="justify" vertical="center"/>
    </xf>
    <xf numFmtId="0" fontId="0" fillId="0" borderId="0" applyAlignment="1" pivotButton="0" quotePrefix="0" xfId="0">
      <alignment vertical="center"/>
    </xf>
    <xf numFmtId="0" fontId="0"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6" fillId="0" borderId="1" applyAlignment="1" pivotButton="0" quotePrefix="0" xfId="0">
      <alignment horizontal="center" vertical="center" wrapText="1"/>
    </xf>
    <xf numFmtId="3" fontId="6" fillId="0" borderId="1" applyAlignment="1" pivotButton="0" quotePrefix="0" xfId="0">
      <alignment horizontal="center" vertical="center" wrapText="1"/>
    </xf>
    <xf numFmtId="4" fontId="6" fillId="0" borderId="1" applyAlignment="1" pivotButton="0" quotePrefix="0" xfId="0">
      <alignment horizontal="center" vertical="center" wrapText="1"/>
    </xf>
    <xf numFmtId="9" fontId="6" fillId="0" borderId="1" applyAlignment="1" pivotButton="0" quotePrefix="0" xfId="0">
      <alignment horizontal="center" vertical="center" wrapText="1"/>
    </xf>
    <xf numFmtId="9" fontId="0" fillId="0" borderId="1" applyAlignment="1" pivotButton="0" quotePrefix="0" xfId="0">
      <alignment horizontal="center" vertical="center" wrapText="1"/>
    </xf>
    <xf numFmtId="0" fontId="4" fillId="0" borderId="0" pivotButton="0" quotePrefix="0" xfId="0"/>
    <xf numFmtId="0" fontId="6" fillId="0" borderId="15" applyAlignment="1" pivotButton="0" quotePrefix="0" xfId="0">
      <alignment vertical="center" wrapText="1"/>
    </xf>
    <xf numFmtId="0" fontId="6" fillId="0" borderId="15" applyAlignment="1" pivotButton="0" quotePrefix="0" xfId="0">
      <alignment vertical="center"/>
    </xf>
    <xf numFmtId="0" fontId="2" fillId="0" borderId="0" pivotButton="0" quotePrefix="0" xfId="0"/>
    <xf numFmtId="3" fontId="0" fillId="0" borderId="0" pivotButton="0" quotePrefix="0" xfId="0"/>
    <xf numFmtId="0" fontId="12" fillId="0" borderId="0" applyAlignment="1" pivotButton="0" quotePrefix="0" xfId="0">
      <alignment vertical="top" wrapText="1"/>
    </xf>
    <xf numFmtId="0" fontId="0" fillId="2" borderId="1" applyAlignment="1" pivotButton="0" quotePrefix="0" xfId="0">
      <alignment vertical="center"/>
    </xf>
    <xf numFmtId="164" fontId="0" fillId="2" borderId="1" applyAlignment="1" pivotButton="0" quotePrefix="0" xfId="1">
      <alignment vertical="center"/>
    </xf>
    <xf numFmtId="0" fontId="2" fillId="0" borderId="20" pivotButton="0" quotePrefix="0" xfId="0"/>
    <xf numFmtId="0" fontId="0" fillId="0" borderId="20" pivotButton="0" quotePrefix="0" xfId="0"/>
    <xf numFmtId="0" fontId="0" fillId="2" borderId="17" applyAlignment="1" pivotButton="0" quotePrefix="0" xfId="0">
      <alignment vertical="center"/>
    </xf>
    <xf numFmtId="3" fontId="0" fillId="0" borderId="20" pivotButton="0" quotePrefix="0" xfId="0"/>
    <xf numFmtId="0" fontId="2" fillId="0" borderId="2" applyAlignment="1" pivotButton="0" quotePrefix="0" xfId="0">
      <alignment vertical="center" wrapText="1"/>
    </xf>
    <xf numFmtId="0" fontId="6" fillId="0" borderId="2" applyAlignment="1" pivotButton="0" quotePrefix="0" xfId="0">
      <alignment horizontal="center" vertical="center" wrapText="1"/>
    </xf>
    <xf numFmtId="0" fontId="0" fillId="0" borderId="2" applyAlignment="1" pivotButton="0" quotePrefix="0" xfId="0">
      <alignment horizontal="center" vertical="center" wrapText="1"/>
    </xf>
    <xf numFmtId="0" fontId="2" fillId="0" borderId="23" pivotButton="0" quotePrefix="0" xfId="0"/>
    <xf numFmtId="0" fontId="0" fillId="0" borderId="23" pivotButton="0" quotePrefix="0" xfId="0"/>
    <xf numFmtId="0" fontId="0" fillId="2" borderId="20" applyAlignment="1" pivotButton="0" quotePrefix="0" xfId="0">
      <alignment vertical="center"/>
    </xf>
    <xf numFmtId="164" fontId="0" fillId="2" borderId="2" applyAlignment="1" pivotButton="0" quotePrefix="0" xfId="1">
      <alignment vertical="center"/>
    </xf>
    <xf numFmtId="0" fontId="0" fillId="3" borderId="18" applyAlignment="1" pivotButton="0" quotePrefix="0" xfId="0">
      <alignment vertical="center"/>
    </xf>
    <xf numFmtId="0" fontId="6" fillId="3" borderId="15" applyAlignment="1" pivotButton="0" quotePrefix="0" xfId="0">
      <alignment vertical="center" wrapText="1"/>
    </xf>
    <xf numFmtId="9" fontId="6" fillId="3" borderId="1" applyAlignment="1" pivotButton="0" quotePrefix="0" xfId="0">
      <alignment horizontal="center" vertical="center" wrapText="1"/>
    </xf>
    <xf numFmtId="0" fontId="0" fillId="3" borderId="17" applyAlignment="1" pivotButton="0" quotePrefix="0" xfId="0">
      <alignment vertical="center"/>
    </xf>
    <xf numFmtId="0" fontId="2" fillId="3" borderId="21" applyAlignment="1" pivotButton="0" quotePrefix="0" xfId="0">
      <alignment vertical="center" wrapText="1"/>
    </xf>
    <xf numFmtId="0" fontId="6" fillId="3" borderId="1" applyAlignment="1" pivotButton="0" quotePrefix="0" xfId="0">
      <alignment horizontal="center" vertical="center" wrapText="1"/>
    </xf>
    <xf numFmtId="0" fontId="0" fillId="3" borderId="22" applyAlignment="1" pivotButton="0" quotePrefix="0" xfId="0">
      <alignment vertical="center" wrapText="1"/>
    </xf>
    <xf numFmtId="0" fontId="0" fillId="0" borderId="20" applyAlignment="1" pivotButton="0" quotePrefix="0" xfId="0">
      <alignment horizontal="center" vertical="center"/>
    </xf>
    <xf numFmtId="0" fontId="13" fillId="0" borderId="20" applyAlignment="1" pivotButton="0" quotePrefix="0" xfId="0">
      <alignment horizontal="center" vertical="top" wrapText="1"/>
    </xf>
    <xf numFmtId="0" fontId="14" fillId="0" borderId="20" applyAlignment="1" pivotButton="0" quotePrefix="0" xfId="0">
      <alignment wrapText="1"/>
    </xf>
    <xf numFmtId="0" fontId="2" fillId="0" borderId="20" applyAlignment="1" pivotButton="0" quotePrefix="0" xfId="0">
      <alignment horizontal="center"/>
    </xf>
    <xf numFmtId="0" fontId="2" fillId="0" borderId="24" applyAlignment="1" pivotButton="0" quotePrefix="0" xfId="0">
      <alignment horizontal="center"/>
    </xf>
    <xf numFmtId="0" fontId="2" fillId="0" borderId="25" applyAlignment="1" pivotButton="0" quotePrefix="0" xfId="0">
      <alignment horizontal="center"/>
    </xf>
    <xf numFmtId="0" fontId="2" fillId="0" borderId="24" pivotButton="0" quotePrefix="0" xfId="0"/>
    <xf numFmtId="0" fontId="0" fillId="0" borderId="26" applyAlignment="1" pivotButton="0" quotePrefix="0" xfId="0">
      <alignment horizontal="center" vertical="center"/>
    </xf>
    <xf numFmtId="0" fontId="0" fillId="0" borderId="23" applyAlignment="1" pivotButton="0" quotePrefix="0" xfId="0">
      <alignment horizontal="center" vertical="center" wrapText="1"/>
    </xf>
    <xf numFmtId="0" fontId="0" fillId="0" borderId="20" applyAlignment="1" pivotButton="0" quotePrefix="0" xfId="0">
      <alignment vertical="center"/>
    </xf>
    <xf numFmtId="1" fontId="6" fillId="3" borderId="2"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5" applyAlignment="1" pivotButton="0" quotePrefix="0" xfId="0">
      <alignment vertical="center" wrapText="1"/>
    </xf>
    <xf numFmtId="0" fontId="2" fillId="0" borderId="1" applyAlignment="1" pivotButton="0" quotePrefix="0" xfId="0">
      <alignment vertical="center" wrapText="1"/>
    </xf>
    <xf numFmtId="0" fontId="8" fillId="0" borderId="15" applyAlignment="1" pivotButton="0" quotePrefix="0" xfId="0">
      <alignment vertical="center" wrapText="1"/>
    </xf>
    <xf numFmtId="0" fontId="8" fillId="0" borderId="1" applyAlignment="1" pivotButton="0" quotePrefix="0" xfId="0">
      <alignment vertical="center" wrapText="1"/>
    </xf>
    <xf numFmtId="0" fontId="0" fillId="0" borderId="1" applyAlignment="1" pivotButton="0" quotePrefix="0" xfId="0">
      <alignment horizontal="center"/>
    </xf>
    <xf numFmtId="0" fontId="0" fillId="2" borderId="1" applyAlignment="1" pivotButton="0" quotePrefix="0" xfId="0">
      <alignment horizontal="center" vertical="center"/>
    </xf>
    <xf numFmtId="164" fontId="0" fillId="2" borderId="1" applyAlignment="1" pivotButton="0" quotePrefix="0" xfId="1">
      <alignment horizontal="center" vertical="center"/>
    </xf>
    <xf numFmtId="0" fontId="0" fillId="2" borderId="17" applyAlignment="1" pivotButton="0" quotePrefix="0" xfId="0">
      <alignment horizontal="center" vertical="center"/>
    </xf>
    <xf numFmtId="0" fontId="0" fillId="2" borderId="18" applyAlignment="1" pivotButton="0" quotePrefix="0" xfId="0">
      <alignment horizontal="center" vertical="center"/>
    </xf>
    <xf numFmtId="0" fontId="0" fillId="2" borderId="19" applyAlignment="1" pivotButton="0" quotePrefix="0" xfId="0">
      <alignment horizontal="center" vertical="center"/>
    </xf>
    <xf numFmtId="0" fontId="0" fillId="2" borderId="16" applyAlignment="1" pivotButton="0" quotePrefix="0" xfId="0">
      <alignment horizontal="center" vertical="center"/>
    </xf>
    <xf numFmtId="0" fontId="6" fillId="0" borderId="15" applyAlignment="1" pivotButton="0" quotePrefix="0" xfId="0">
      <alignment vertical="center" wrapText="1"/>
    </xf>
    <xf numFmtId="0" fontId="0" fillId="0" borderId="1" applyAlignment="1" pivotButton="0" quotePrefix="0" xfId="0">
      <alignment horizontal="center" vertical="center" wrapText="1"/>
    </xf>
    <xf numFmtId="0" fontId="0" fillId="0" borderId="1" applyAlignment="1" pivotButton="0" quotePrefix="0" xfId="0">
      <alignment horizontal="center" vertical="center"/>
    </xf>
    <xf numFmtId="0" fontId="10" fillId="0" borderId="14" applyAlignment="1" pivotButton="0" quotePrefix="0" xfId="2">
      <alignment vertical="center" wrapText="1"/>
    </xf>
    <xf numFmtId="0" fontId="10" fillId="0" borderId="5" applyAlignment="1" pivotButton="0" quotePrefix="0" xfId="2">
      <alignment vertical="center" wrapText="1"/>
    </xf>
    <xf numFmtId="0" fontId="2" fillId="0" borderId="9" applyAlignment="1" pivotButton="0" quotePrefix="0" xfId="0">
      <alignment vertical="center" wrapText="1"/>
    </xf>
    <xf numFmtId="0" fontId="2" fillId="0" borderId="10" applyAlignment="1" pivotButton="0" quotePrefix="0" xfId="0">
      <alignment vertical="center" wrapText="1"/>
    </xf>
    <xf numFmtId="0" fontId="2" fillId="0" borderId="4" applyAlignment="1" pivotButton="0" quotePrefix="0" xfId="0">
      <alignment vertical="center" wrapText="1"/>
    </xf>
    <xf numFmtId="0" fontId="2" fillId="0" borderId="9" applyAlignment="1" pivotButton="0" quotePrefix="0" xfId="0">
      <alignment horizontal="center" vertical="center" wrapText="1"/>
    </xf>
    <xf numFmtId="0" fontId="2" fillId="0" borderId="10" applyAlignment="1" pivotButton="0" quotePrefix="0" xfId="0">
      <alignment horizontal="center" vertical="center" wrapText="1"/>
    </xf>
    <xf numFmtId="0" fontId="2" fillId="0" borderId="4" applyAlignment="1" pivotButton="0" quotePrefix="0" xfId="0">
      <alignment horizontal="center" vertical="center" wrapText="1"/>
    </xf>
    <xf numFmtId="0" fontId="8" fillId="0" borderId="9" applyAlignment="1" pivotButton="0" quotePrefix="0" xfId="0">
      <alignment vertical="center" wrapText="1"/>
    </xf>
    <xf numFmtId="0" fontId="8" fillId="0" borderId="10" applyAlignment="1" pivotButton="0" quotePrefix="0" xfId="0">
      <alignment vertical="center" wrapText="1"/>
    </xf>
    <xf numFmtId="0" fontId="8" fillId="0" borderId="4" applyAlignment="1" pivotButton="0" quotePrefix="0" xfId="0">
      <alignment vertical="center" wrapText="1"/>
    </xf>
    <xf numFmtId="0" fontId="2" fillId="0" borderId="11" applyAlignment="1" pivotButton="0" quotePrefix="0" xfId="0">
      <alignment vertical="center" wrapText="1"/>
    </xf>
    <xf numFmtId="0" fontId="2" fillId="0" borderId="12" applyAlignment="1" pivotButton="0" quotePrefix="0" xfId="0">
      <alignment vertical="center" wrapText="1"/>
    </xf>
    <xf numFmtId="0" fontId="2" fillId="0" borderId="13" applyAlignment="1" pivotButton="0" quotePrefix="0" xfId="0">
      <alignment vertical="center" wrapText="1"/>
    </xf>
    <xf numFmtId="0" fontId="8" fillId="0" borderId="6" applyAlignment="1" pivotButton="0" quotePrefix="0" xfId="0">
      <alignment vertical="center" wrapText="1"/>
    </xf>
    <xf numFmtId="0" fontId="8" fillId="0" borderId="7" applyAlignment="1" pivotButton="0" quotePrefix="0" xfId="0">
      <alignment vertical="center" wrapText="1"/>
    </xf>
    <xf numFmtId="0" fontId="8" fillId="0" borderId="8" applyAlignment="1" pivotButton="0" quotePrefix="0" xfId="0">
      <alignment vertical="center" wrapText="1"/>
    </xf>
    <xf numFmtId="0" fontId="6" fillId="0" borderId="14" applyAlignment="1" pivotButton="0" quotePrefix="0" xfId="0">
      <alignment vertical="center" wrapText="1"/>
    </xf>
    <xf numFmtId="0" fontId="6" fillId="0" borderId="5" applyAlignment="1" pivotButton="0" quotePrefix="0" xfId="0">
      <alignment vertical="center" wrapText="1"/>
    </xf>
    <xf numFmtId="0" fontId="6" fillId="0" borderId="14" applyAlignment="1" pivotButton="0" quotePrefix="0" xfId="0">
      <alignment horizontal="center" vertical="center" wrapText="1"/>
    </xf>
    <xf numFmtId="0" fontId="6" fillId="0" borderId="5" applyAlignment="1" pivotButton="0" quotePrefix="0" xfId="0">
      <alignment horizontal="center" vertical="center" wrapText="1"/>
    </xf>
    <xf numFmtId="0" fontId="0" fillId="0" borderId="14" applyAlignment="1" pivotButton="0" quotePrefix="0" xfId="0">
      <alignment horizontal="center" vertical="center" wrapText="1"/>
    </xf>
    <xf numFmtId="0" fontId="0" fillId="0" borderId="5" applyAlignment="1" pivotButton="0" quotePrefix="0" xfId="0">
      <alignment horizontal="center" vertical="center" wrapText="1"/>
    </xf>
    <xf numFmtId="0" fontId="10" fillId="0" borderId="14" applyAlignment="1" pivotButton="0" quotePrefix="0" xfId="2">
      <alignment horizontal="center" vertical="center" wrapText="1"/>
    </xf>
    <xf numFmtId="0" fontId="10" fillId="0" borderId="5" applyAlignment="1" pivotButton="0" quotePrefix="0" xfId="2">
      <alignment horizontal="center" vertical="center" wrapText="1"/>
    </xf>
    <xf numFmtId="165" fontId="6" fillId="0" borderId="2" applyAlignment="1" pivotButton="0" quotePrefix="0" xfId="0">
      <alignment horizontal="center" vertical="center" wrapText="1"/>
    </xf>
    <xf numFmtId="0" fontId="15" fillId="0" borderId="15" applyAlignment="1" pivotButton="0" quotePrefix="0" xfId="0">
      <alignment vertical="center" wrapText="1"/>
    </xf>
    <xf numFmtId="0" fontId="1" fillId="0" borderId="20" applyAlignment="1" pivotButton="0" quotePrefix="0" xfId="0">
      <alignment horizontal="left" vertical="center" wrapText="1"/>
    </xf>
    <xf numFmtId="0" fontId="1" fillId="0" borderId="20" applyAlignment="1" pivotButton="0" quotePrefix="0" xfId="0">
      <alignment wrapText="1"/>
    </xf>
    <xf numFmtId="0" fontId="1" fillId="0" borderId="20" applyAlignment="1" pivotButton="0" quotePrefix="0" xfId="0">
      <alignment vertical="center" wrapText="1"/>
    </xf>
    <xf numFmtId="164" fontId="0" fillId="4" borderId="1" applyAlignment="1" pivotButton="0" quotePrefix="0" xfId="1">
      <alignment vertical="center"/>
    </xf>
    <xf numFmtId="165" fontId="6" fillId="0" borderId="2" applyAlignment="1" pivotButton="0" quotePrefix="0" xfId="0">
      <alignment horizontal="center" vertical="center" wrapText="1"/>
    </xf>
    <xf numFmtId="0" fontId="0" fillId="0" borderId="22" pivotButton="0" quotePrefix="0" xfId="0"/>
    <xf numFmtId="0" fontId="0" fillId="0" borderId="15" pivotButton="0" quotePrefix="0" xfId="0"/>
    <xf numFmtId="0" fontId="0" fillId="0" borderId="32" pivotButton="0" quotePrefix="0" xfId="0"/>
    <xf numFmtId="0" fontId="0" fillId="0" borderId="18" pivotButton="0" quotePrefix="0" xfId="0"/>
    <xf numFmtId="0" fontId="0" fillId="0" borderId="19" pivotButton="0" quotePrefix="0" xfId="0"/>
    <xf numFmtId="0" fontId="0" fillId="0" borderId="28" pivotButton="0" quotePrefix="0" xfId="0"/>
    <xf numFmtId="0" fontId="0" fillId="0" borderId="33" pivotButton="0" quotePrefix="0" xfId="0"/>
    <xf numFmtId="0" fontId="0" fillId="0" borderId="10" pivotButton="0" quotePrefix="0" xfId="0"/>
    <xf numFmtId="0" fontId="0" fillId="0" borderId="4" pivotButton="0" quotePrefix="0" xfId="0"/>
    <xf numFmtId="0" fontId="2" fillId="0" borderId="3" applyAlignment="1" pivotButton="0" quotePrefix="0" xfId="0">
      <alignment vertical="center" wrapText="1"/>
    </xf>
    <xf numFmtId="0" fontId="8" fillId="0" borderId="3" applyAlignment="1" pivotButton="0" quotePrefix="0" xfId="0">
      <alignment vertical="center" wrapText="1"/>
    </xf>
    <xf numFmtId="0" fontId="2" fillId="0" borderId="14" applyAlignment="1" pivotButton="0" quotePrefix="0" xfId="0">
      <alignment vertical="center" wrapText="1"/>
    </xf>
    <xf numFmtId="0" fontId="0" fillId="0" borderId="12" pivotButton="0" quotePrefix="0" xfId="0"/>
    <xf numFmtId="0" fontId="0" fillId="0" borderId="13" pivotButton="0" quotePrefix="0" xfId="0"/>
    <xf numFmtId="0" fontId="8" fillId="0" borderId="5" applyAlignment="1" pivotButton="0" quotePrefix="0" xfId="0">
      <alignment vertical="center" wrapText="1"/>
    </xf>
    <xf numFmtId="0" fontId="0" fillId="0" borderId="7" pivotButton="0" quotePrefix="0" xfId="0"/>
    <xf numFmtId="0" fontId="0" fillId="0" borderId="8" pivotButton="0" quotePrefix="0" xfId="0"/>
    <xf numFmtId="0" fontId="6" fillId="0" borderId="3" applyAlignment="1" pivotButton="0" quotePrefix="0" xfId="0">
      <alignment vertical="center" wrapText="1"/>
    </xf>
    <xf numFmtId="0" fontId="6" fillId="0" borderId="3" applyAlignment="1" pivotButton="0" quotePrefix="0" xfId="0">
      <alignment horizontal="center" vertical="center" wrapText="1"/>
    </xf>
    <xf numFmtId="0" fontId="0" fillId="0" borderId="3" applyAlignment="1" pivotButton="0" quotePrefix="0" xfId="0">
      <alignment horizontal="center" vertical="center" wrapText="1"/>
    </xf>
    <xf numFmtId="0" fontId="10" fillId="0" borderId="3" applyAlignment="1" pivotButton="0" quotePrefix="0" xfId="2">
      <alignment horizontal="center" vertical="center" wrapText="1"/>
    </xf>
    <xf numFmtId="0" fontId="10" fillId="0" borderId="3" applyAlignment="1" pivotButton="0" quotePrefix="0" xfId="2">
      <alignment vertical="center" wrapText="1"/>
    </xf>
    <xf numFmtId="0" fontId="0" fillId="0" borderId="5" pivotButton="0" quotePrefix="0" xfId="0"/>
    <xf numFmtId="0" fontId="17" fillId="0" borderId="0" applyAlignment="1" pivotButton="0" quotePrefix="0" xfId="0">
      <alignment vertical="top" wrapText="1"/>
    </xf>
    <xf numFmtId="0" fontId="0" fillId="0" borderId="0" applyAlignment="1" pivotButton="0" quotePrefix="0" xfId="0">
      <alignment vertical="top" wrapText="1"/>
    </xf>
  </cellXfs>
  <cellStyles count="3">
    <cellStyle name="Normal" xfId="0" builtinId="0"/>
    <cellStyle name="Millares" xfId="1" builtinId="3"/>
    <cellStyle name="Hipervínculo" xfId="2" builtinId="8"/>
  </cellStyles>
  <dxfs count="18">
    <dxf>
      <font>
        <color rgb="FF9C0006"/>
      </font>
      <fill>
        <patternFill>
          <bgColor rgb="FFFFC7CE"/>
        </patternFill>
      </fill>
    </dxf>
    <dxf>
      <font>
        <color rgb="FFFFD966"/>
      </font>
      <fill>
        <patternFill patternType="solid">
          <bgColor rgb="FF9BC2E6"/>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patternType="solid">
          <bgColor theme="5" tint="0.5999938962981048"/>
        </patternFill>
      </fill>
    </dxf>
    <dxf>
      <font>
        <color rgb="FF9C5700"/>
      </font>
      <fill>
        <patternFill>
          <bgColor rgb="FFFFEB9C"/>
        </patternFill>
      </fill>
    </dxf>
    <dxf>
      <font>
        <color rgb="FF006100"/>
      </font>
      <fill>
        <patternFill patternType="solid">
          <bgColor rgb="FFBDD7EE"/>
        </patternFill>
      </fill>
    </dxf>
    <dxf>
      <border>
        <left style="thin">
          <color rgb="FF9C0006"/>
        </left>
        <right style="thin">
          <color rgb="FF9C0006"/>
        </right>
        <top style="thin">
          <color rgb="FF9C0006"/>
        </top>
        <bottom style="thin">
          <color rgb="FF9C0006"/>
        </bottom>
      </border>
    </dxf>
    <dxf>
      <font>
        <color rgb="FF9C0006"/>
      </font>
      <fill>
        <patternFill>
          <bgColor rgb="FFFFC7CE"/>
        </patternFill>
      </fill>
    </dxf>
    <dxf>
      <font>
        <color rgb="FFFFD966"/>
      </font>
      <fill>
        <patternFill patternType="solid">
          <bgColor rgb="FF9BC2E6"/>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patternType="solid">
          <bgColor theme="5" tint="0.5999938962981048"/>
        </patternFill>
      </fill>
    </dxf>
    <dxf>
      <font>
        <color rgb="FF9C5700"/>
      </font>
      <fill>
        <patternFill>
          <bgColor rgb="FFFFEB9C"/>
        </patternFill>
      </fill>
    </dxf>
    <dxf>
      <font>
        <color rgb="FF006100"/>
      </font>
      <fill>
        <patternFill patternType="solid">
          <bgColor rgb="FFBDD7EE"/>
        </patternFill>
      </fill>
    </dxf>
    <dxf>
      <border>
        <left style="thin">
          <color rgb="FF9C0006"/>
        </left>
        <right style="thin">
          <color rgb="FF9C0006"/>
        </right>
        <top style="thin">
          <color rgb="FF9C0006"/>
        </top>
        <bottom style="thin">
          <color rgb="FF9C0006"/>
        </bottom>
      </border>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
  <sheetViews>
    <sheetView tabSelected="1" zoomScale="82" zoomScaleNormal="82" workbookViewId="0">
      <pane xSplit="1" topLeftCell="B1" activePane="topRight" state="frozen"/>
      <selection pane="topRight" activeCell="F4" sqref="F4"/>
    </sheetView>
  </sheetViews>
  <sheetFormatPr baseColWidth="8" defaultRowHeight="15"/>
  <cols>
    <col width="38.7109375" customWidth="1" min="2" max="2"/>
    <col width="6.140625" bestFit="1" customWidth="1" min="3" max="3"/>
    <col width="15.5703125" customWidth="1" min="4" max="4"/>
    <col width="15.5703125" bestFit="1" customWidth="1" min="5" max="5"/>
    <col width="15.5703125" customWidth="1" min="6" max="6"/>
    <col width="15.5703125" customWidth="1" min="7" max="7"/>
    <col width="15.5703125" customWidth="1" min="8" max="8"/>
    <col width="18" bestFit="1" customWidth="1" min="10" max="10"/>
    <col width="12.85546875" bestFit="1" customWidth="1" min="11" max="11"/>
    <col width="14.42578125" bestFit="1" customWidth="1" min="13" max="13"/>
    <col width="14.85546875" bestFit="1" customWidth="1" min="14" max="14"/>
  </cols>
  <sheetData>
    <row r="1" ht="30.75" customHeight="1">
      <c r="A1" s="1" t="inlineStr">
        <is>
          <t>Project ID</t>
        </is>
      </c>
      <c r="B1" s="1" t="inlineStr">
        <is>
          <t>Title</t>
        </is>
      </c>
      <c r="C1" s="1" t="inlineStr">
        <is>
          <t>Link</t>
        </is>
      </c>
      <c r="D1" s="1" t="inlineStr">
        <is>
          <t>Budget</t>
        </is>
      </c>
      <c r="E1" s="1" t="inlineStr">
        <is>
          <t>Start Year</t>
        </is>
      </c>
      <c r="F1" s="1" t="inlineStr">
        <is>
          <t>End Year</t>
        </is>
      </c>
      <c r="G1" s="1" t="inlineStr">
        <is>
          <t>Status</t>
        </is>
      </c>
      <c r="H1" s="1" t="inlineStr">
        <is>
          <t>VF or Non-VF</t>
        </is>
      </c>
      <c r="I1" s="1" t="inlineStr">
        <is>
          <t>Beneficiary Category</t>
        </is>
      </c>
      <c r="J1" s="59" t="inlineStr">
        <is>
          <t>Indicator</t>
        </is>
      </c>
      <c r="K1" s="59" t="inlineStr">
        <is>
          <t>Baseline</t>
        </is>
      </c>
      <c r="L1" s="34" t="inlineStr">
        <is>
          <t>Target</t>
        </is>
      </c>
      <c r="M1" s="30" t="inlineStr">
        <is>
          <t>Donors</t>
        </is>
      </c>
      <c r="N1" s="37" t="inlineStr">
        <is>
          <t>Gender (% female)</t>
        </is>
      </c>
      <c r="O1" s="52" t="inlineStr">
        <is>
          <t>Tag</t>
        </is>
      </c>
      <c r="P1" s="51" t="inlineStr">
        <is>
          <t>SEH Taxonomy</t>
        </is>
      </c>
      <c r="Q1" s="51" t="inlineStr">
        <is>
          <t>RISE Taxonomy</t>
        </is>
      </c>
      <c r="R1" s="52" t="inlineStr">
        <is>
          <t>Flagship</t>
        </is>
      </c>
      <c r="S1" s="52" t="inlineStr">
        <is>
          <t>Indirect Category</t>
        </is>
      </c>
      <c r="T1" s="53" t="inlineStr">
        <is>
          <t>Indirect Taxonomy</t>
        </is>
      </c>
      <c r="U1" s="54" t="inlineStr">
        <is>
          <t>Technology</t>
        </is>
      </c>
      <c r="V1" s="53" t="inlineStr">
        <is>
          <t>Policy or Regulatory Framework</t>
        </is>
      </c>
      <c r="W1" s="54" t="inlineStr">
        <is>
          <t>Policy Population</t>
        </is>
      </c>
    </row>
    <row r="2" ht="45.75" customHeight="1">
      <c r="A2" s="28" t="n">
        <v>6089</v>
      </c>
      <c r="B2" s="28" t="inlineStr">
        <is>
          <t>SPIRES (Rural Electrification)</t>
        </is>
      </c>
      <c r="C2" s="28" t="inlineStr">
        <is>
          <t>PIMS+</t>
        </is>
      </c>
      <c r="D2" s="29" t="n">
        <v>2639726</v>
      </c>
      <c r="E2" s="104" t="n"/>
      <c r="F2" s="104" t="n"/>
      <c r="G2" s="104" t="n"/>
      <c r="H2" s="29" t="inlineStr">
        <is>
          <t>VF</t>
        </is>
      </c>
      <c r="I2" s="44" t="inlineStr">
        <is>
          <t>Energy (MW added)</t>
        </is>
      </c>
      <c r="J2" s="45" t="inlineStr">
        <is>
          <t>MW</t>
        </is>
      </c>
      <c r="K2" s="46" t="n">
        <v>0</v>
      </c>
      <c r="L2" s="47" t="n">
        <v>3.301</v>
      </c>
      <c r="M2" s="31" t="inlineStr">
        <is>
          <t>GEF</t>
        </is>
      </c>
      <c r="N2" s="38" t="n"/>
      <c r="O2" s="48" t="n"/>
      <c r="P2" s="56" t="inlineStr">
        <is>
          <t>Close the gap on energy access</t>
        </is>
      </c>
      <c r="Q2" s="48" t="n"/>
      <c r="R2" s="48" t="n"/>
      <c r="S2" s="48" t="n"/>
      <c r="T2" s="48" t="n"/>
      <c r="U2" s="57" t="inlineStr">
        <is>
          <t>Some Sources</t>
        </is>
      </c>
      <c r="V2" s="48" t="n"/>
      <c r="W2" s="57" t="n"/>
    </row>
    <row r="3" ht="45.75" customHeight="1">
      <c r="A3" s="28" t="n"/>
      <c r="B3" s="28" t="n"/>
      <c r="C3" s="28" t="n"/>
      <c r="D3" s="40" t="n"/>
      <c r="E3" s="40" t="n"/>
      <c r="F3" s="40" t="n"/>
      <c r="G3" s="40" t="n"/>
      <c r="H3" s="40" t="n"/>
      <c r="I3" s="39" t="inlineStr">
        <is>
          <t>GHG Emissions Reduction</t>
        </is>
      </c>
      <c r="J3" s="100" t="inlineStr">
        <is>
          <t>Cumulative Incremental GHG emission reduction from the electricity sector in rural areas, Millions of tons CO2</t>
        </is>
      </c>
      <c r="K3" s="17" t="n">
        <v>0</v>
      </c>
      <c r="L3" s="105" t="n">
        <v>0.019147</v>
      </c>
      <c r="M3" s="33" t="n"/>
      <c r="N3" s="38" t="n"/>
      <c r="O3" s="48" t="n"/>
      <c r="P3" s="56" t="inlineStr">
        <is>
          <t>Close the gap on energy access</t>
        </is>
      </c>
      <c r="Q3" s="48" t="n"/>
      <c r="R3" s="48" t="n"/>
      <c r="S3" s="48" t="n"/>
      <c r="T3" s="48" t="n"/>
      <c r="U3" s="57" t="n"/>
      <c r="V3" s="48" t="n"/>
      <c r="W3" s="57" t="n"/>
    </row>
    <row r="4" ht="45.75" customHeight="1">
      <c r="A4" s="28" t="n"/>
      <c r="B4" s="28" t="n"/>
      <c r="C4" s="28" t="n"/>
      <c r="D4" s="29" t="n"/>
      <c r="E4" s="29" t="n"/>
      <c r="F4" s="29" t="n"/>
      <c r="G4" s="29" t="n"/>
      <c r="H4" s="29" t="n"/>
      <c r="I4" s="41" t="n"/>
      <c r="J4" s="42" t="inlineStr">
        <is>
          <t>Number of beneficiaries</t>
        </is>
      </c>
      <c r="K4" s="43" t="n"/>
      <c r="L4" s="58" t="n">
        <v>123160.8</v>
      </c>
      <c r="M4" s="31" t="n"/>
      <c r="N4" s="38" t="n"/>
      <c r="O4" s="48" t="n"/>
      <c r="P4" s="56" t="inlineStr">
        <is>
          <t>Close the gap on energy access</t>
        </is>
      </c>
      <c r="Q4" s="48" t="n"/>
      <c r="R4" s="48" t="n"/>
      <c r="S4" s="48" t="n"/>
      <c r="T4" s="48" t="n"/>
      <c r="U4" s="57" t="n"/>
      <c r="V4" s="48" t="n"/>
      <c r="W4" s="57" t="n"/>
    </row>
    <row r="5" ht="52.5" customHeight="1">
      <c r="A5" s="28" t="n"/>
      <c r="B5" s="28" t="n"/>
      <c r="C5" s="28" t="n"/>
      <c r="D5" s="29" t="n"/>
      <c r="E5" s="29" t="n"/>
      <c r="F5" s="29" t="n"/>
      <c r="G5" s="29" t="n"/>
      <c r="H5" s="29" t="n"/>
      <c r="I5" s="32" t="inlineStr">
        <is>
          <t>Other</t>
        </is>
      </c>
      <c r="J5" s="71" t="inlineStr">
        <is>
          <t xml:space="preserve">No. of new jobs created due to enhanced electricity access in off-grid areas in the country </t>
        </is>
      </c>
      <c r="K5" s="17" t="n">
        <v>10</v>
      </c>
      <c r="L5" s="35" t="n">
        <v>200</v>
      </c>
      <c r="M5" s="31" t="n"/>
      <c r="N5" s="38" t="n"/>
      <c r="O5" s="48" t="n"/>
      <c r="P5" s="56" t="inlineStr">
        <is>
          <t>Close the gap on energy access</t>
        </is>
      </c>
      <c r="Q5" s="48" t="n"/>
      <c r="R5" s="48" t="n"/>
      <c r="S5" s="48" t="n"/>
      <c r="T5" s="48" t="n"/>
      <c r="U5" s="57" t="n"/>
      <c r="V5" s="48" t="n"/>
      <c r="W5" s="57" t="n"/>
    </row>
    <row r="6" ht="56.25" customHeight="1">
      <c r="A6" s="28" t="n"/>
      <c r="B6" s="28" t="n"/>
      <c r="C6" s="28" t="n"/>
      <c r="D6" s="29" t="n"/>
      <c r="E6" s="29" t="n"/>
      <c r="F6" s="29" t="n"/>
      <c r="G6" s="29" t="n"/>
      <c r="H6" s="29" t="n"/>
      <c r="I6" s="32" t="inlineStr">
        <is>
          <t>Capacity Building Training</t>
        </is>
      </c>
      <c r="J6" s="71" t="inlineStr">
        <is>
          <t>No. of trained national and local government personnel that can ably plan and evaluate energy access, sustainable energy and low carbon technology application projects.</t>
        </is>
      </c>
      <c r="K6" s="72" t="n">
        <v>0</v>
      </c>
      <c r="L6" s="36" t="n">
        <v>4</v>
      </c>
      <c r="M6" s="31" t="n"/>
      <c r="N6" s="38" t="n"/>
      <c r="O6" s="48" t="n"/>
      <c r="P6" s="56" t="inlineStr">
        <is>
          <t>Close the gap on energy access</t>
        </is>
      </c>
      <c r="Q6" s="48" t="n"/>
      <c r="R6" s="48" t="n"/>
      <c r="S6" s="48" t="n"/>
      <c r="T6" s="48" t="n"/>
      <c r="U6" s="57" t="n"/>
      <c r="V6" s="48" t="n"/>
      <c r="W6" s="57" t="n"/>
    </row>
    <row r="7" ht="62.25" customHeight="1">
      <c r="A7" s="28" t="n"/>
      <c r="B7" s="28" t="n"/>
      <c r="C7" s="28" t="n"/>
      <c r="D7" s="29" t="n"/>
      <c r="E7" s="29" t="n"/>
      <c r="F7" s="29" t="n"/>
      <c r="G7" s="29" t="n"/>
      <c r="H7" s="29" t="n"/>
      <c r="I7" s="32" t="inlineStr">
        <is>
          <t>Small Enterprises</t>
        </is>
      </c>
      <c r="J7" s="71" t="inlineStr">
        <is>
          <t>No. of local firms that can capably provide technical, engineering and maintenance services for rural electrification and low carbon technology application projects</t>
        </is>
      </c>
      <c r="K7" s="72" t="n">
        <v>1</v>
      </c>
      <c r="L7" s="36" t="n">
        <v>3</v>
      </c>
      <c r="M7" s="31" t="n"/>
      <c r="N7" s="38" t="n"/>
      <c r="O7" s="48" t="n"/>
      <c r="P7" s="56" t="inlineStr">
        <is>
          <t>Close the gap on energy access</t>
        </is>
      </c>
      <c r="Q7" s="48" t="n"/>
      <c r="R7" s="48" t="n"/>
      <c r="S7" s="48" t="n"/>
      <c r="T7" s="48" t="n"/>
      <c r="U7" s="57" t="n"/>
      <c r="V7" s="48" t="n"/>
      <c r="W7" s="57" t="n"/>
    </row>
    <row r="8">
      <c r="K8" s="14" t="n"/>
    </row>
    <row r="9">
      <c r="K9" s="14" t="n"/>
    </row>
  </sheetData>
  <conditionalFormatting sqref="J3:J7">
    <cfRule type="cellIs" priority="7" operator="equal" dxfId="8">
      <formula>"Missing"</formula>
    </cfRule>
    <cfRule type="cellIs" priority="8" operator="equal" dxfId="7">
      <formula>"New"</formula>
    </cfRule>
    <cfRule type="containsText" priority="9" operator="containsText" dxfId="6" text="CO Update">
      <formula>NOT(ISERROR(SEARCH("CO Update",J3)))</formula>
    </cfRule>
    <cfRule type="cellIs" priority="1" operator="equal" dxfId="5">
      <formula>"Not Updated"</formula>
    </cfRule>
    <cfRule type="cellIs" priority="2" operator="equal" dxfId="3">
      <formula>"Assumed no projects"</formula>
    </cfRule>
    <cfRule type="cellIs" priority="3" operator="equal" dxfId="3">
      <formula>"Done"</formula>
    </cfRule>
    <cfRule type="cellIs" priority="4" operator="equal" dxfId="0">
      <formula>"Review"</formula>
    </cfRule>
    <cfRule type="cellIs" priority="5" operator="equal" dxfId="1">
      <formula>"Updated"</formula>
    </cfRule>
    <cfRule type="cellIs" priority="6" operator="equal" dxfId="0">
      <formula>"Missing"</formula>
    </cfRule>
  </conditionalFormatting>
  <dataValidations count="10">
    <dataValidation sqref="P2:P7"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O2:O7" showDropDown="0" showInputMessage="1" showErrorMessage="1" allowBlank="1" type="list">
      <formula1>"AMP, PUDC, Solar4Health, Action Opportunities, Italy UNDP Energy Partnership"</formula1>
    </dataValidation>
    <dataValidation sqref="M2:M7" showDropDown="0" showInputMessage="1" showErrorMessage="1" allowBlank="1" type="list">
      <formula1>"Accelerating just energy transition, Close the gap on energy access, Scale up energy finance"</formula1>
    </dataValidation>
    <dataValidation sqref="N2:N7" showDropDown="0" showInputMessage="1" showErrorMessage="1" allowBlank="1" type="list">
      <formula1>"Electricity Access, Energy Efficiency, Clean Cooking, Renewable Energy, Overall"</formula1>
    </dataValidation>
    <dataValidation sqref="L2:L7" showDropDown="0" showInputMessage="1" showErrorMessage="1" allowBlank="1" type="list">
      <formula1>"Finance, Gender, Efficiency, Just, Health"</formula1>
    </dataValidation>
    <dataValidation sqref="S2:S7" showDropDown="0" showInputMessage="1" showErrorMessage="1" allowBlank="1" type="list">
      <formula1>"National, Regional, City, Community"</formula1>
    </dataValidation>
    <dataValidation sqref="K2:K7" showDropDown="0" showInputMessage="1" showErrorMessage="1" allowBlank="1" type="list">
      <formula1>"Non-VF, VF"</formula1>
    </dataValidation>
    <dataValidation sqref="Q2:Q7"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R2:R7"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pageMargins left="0.7" right="0.7" top="0.75" bottom="0.75" header="0.3" footer="0.3"/>
  <pageSetup orientation="portrait" horizontalDpi="300" verticalDpi="300"/>
</worksheet>
</file>

<file path=xl/worksheets/sheet2.xml><?xml version="1.0" encoding="utf-8"?>
<worksheet xmlns="http://schemas.openxmlformats.org/spreadsheetml/2006/main">
  <sheetPr>
    <outlinePr summaryBelow="1" summaryRight="1"/>
    <pageSetUpPr/>
  </sheetPr>
  <dimension ref="A1:N35"/>
  <sheetViews>
    <sheetView topLeftCell="A2" zoomScale="82" zoomScaleNormal="82" workbookViewId="0">
      <selection activeCell="A3" sqref="A3"/>
    </sheetView>
  </sheetViews>
  <sheetFormatPr baseColWidth="8" defaultRowHeight="14.45"/>
  <cols>
    <col width="38.7109375" customWidth="1" min="2" max="2"/>
    <col width="6.140625" bestFit="1" customWidth="1" min="3" max="3"/>
    <col width="15.5703125" customWidth="1" min="4" max="4"/>
    <col width="28.42578125" bestFit="1" customWidth="1" min="5" max="5"/>
    <col width="126" customWidth="1" min="6" max="6"/>
    <col width="7.85546875" bestFit="1" customWidth="1" min="7" max="7"/>
    <col width="6.28515625" bestFit="1" customWidth="1" min="8" max="8"/>
    <col width="10.42578125" bestFit="1" customWidth="1" min="9" max="9"/>
    <col width="62.140625" customWidth="1" min="13" max="13"/>
    <col width="36.42578125" customWidth="1" min="14" max="14"/>
  </cols>
  <sheetData>
    <row r="1" ht="30.75" customHeight="1">
      <c r="A1" s="1" t="inlineStr">
        <is>
          <t>Project ID</t>
        </is>
      </c>
      <c r="B1" s="1" t="inlineStr">
        <is>
          <t>Title</t>
        </is>
      </c>
      <c r="C1" s="1" t="inlineStr">
        <is>
          <t>Link</t>
        </is>
      </c>
      <c r="D1" s="1" t="inlineStr">
        <is>
          <t>Budget</t>
        </is>
      </c>
      <c r="E1" s="1" t="inlineStr">
        <is>
          <t>Beneficiary Category</t>
        </is>
      </c>
      <c r="F1" s="59" t="inlineStr">
        <is>
          <t>Indicator</t>
        </is>
      </c>
      <c r="G1" s="59" t="inlineStr">
        <is>
          <t>Baseline</t>
        </is>
      </c>
      <c r="H1" s="59" t="inlineStr">
        <is>
          <t>Target</t>
        </is>
      </c>
      <c r="I1" s="106" t="n"/>
      <c r="J1" s="106" t="n"/>
      <c r="K1" s="107" t="n"/>
      <c r="L1" s="25" t="inlineStr">
        <is>
          <t>Donors</t>
        </is>
      </c>
      <c r="M1" s="25" t="inlineStr">
        <is>
          <t xml:space="preserve">Comments </t>
        </is>
      </c>
    </row>
    <row r="2" ht="30.75" customHeight="1">
      <c r="A2" s="64" t="n"/>
      <c r="B2" s="106" t="n"/>
      <c r="C2" s="106" t="n"/>
      <c r="D2" s="106" t="n"/>
      <c r="E2" s="106" t="n"/>
      <c r="F2" s="106" t="n"/>
      <c r="G2" s="107" t="n"/>
      <c r="H2" s="59" t="inlineStr">
        <is>
          <t>Year 1</t>
        </is>
      </c>
      <c r="I2" s="59" t="inlineStr">
        <is>
          <t>Year 2</t>
        </is>
      </c>
      <c r="J2" s="59" t="inlineStr">
        <is>
          <t>Year 3</t>
        </is>
      </c>
      <c r="K2" s="59" t="inlineStr">
        <is>
          <t>Year 4</t>
        </is>
      </c>
    </row>
    <row r="3" ht="15" customHeight="1">
      <c r="A3" s="65" t="n">
        <v>6089</v>
      </c>
      <c r="B3" s="65" t="inlineStr">
        <is>
          <t>SPIRES (Rural Electrification)</t>
        </is>
      </c>
      <c r="C3" s="65" t="inlineStr">
        <is>
          <t>PIMS+</t>
        </is>
      </c>
      <c r="D3" s="66" t="n">
        <v>2639726</v>
      </c>
      <c r="E3" s="70" t="inlineStr">
        <is>
          <t>Energy (MW added)</t>
        </is>
      </c>
      <c r="F3" s="60" t="inlineStr">
        <is>
          <t>Project Goal: Reduced annual growth rate of Green House Gas (GHG) emissions in the energy and energy end use sector of the country.</t>
        </is>
      </c>
      <c r="G3" s="106" t="n"/>
      <c r="H3" s="106" t="n"/>
      <c r="I3" s="106" t="n"/>
      <c r="J3" s="106" t="n"/>
      <c r="K3" s="107" t="n"/>
    </row>
    <row r="4" ht="184.5" customHeight="1">
      <c r="A4" s="108" t="n"/>
      <c r="B4" s="108" t="n"/>
      <c r="C4" s="108" t="n"/>
      <c r="D4" s="108" t="n"/>
      <c r="E4" s="109" t="n"/>
      <c r="F4" s="71" t="inlineStr">
        <is>
          <t>Cumulative Incremental GHG emission reduction from the electricity sector in rural areas, tons CO2</t>
        </is>
      </c>
      <c r="G4" s="17" t="n">
        <v>0</v>
      </c>
      <c r="H4" s="17" t="n">
        <v>0</v>
      </c>
      <c r="I4" s="18" t="n">
        <v>6376</v>
      </c>
      <c r="J4" s="18" t="n">
        <v>12771</v>
      </c>
      <c r="K4" s="18" t="n">
        <v>19147</v>
      </c>
      <c r="L4" s="26" t="n"/>
      <c r="M4" s="27" t="inlineStr">
        <is>
          <t>Note to CO: Although the details you provide are very thorough, it would be more helpful if you could provide less information such that it fits into our categorizations. For access to electricity we need this reported either as a number of beneficiaries or a number of MW. For services (health, water) these need to be distilled also into an estimate of nubmers of beneficiaries, unless this is a policy-level or strategic output that doesn't translate directly into beneficiaries, and then you can tag is as a Policy or Regulatory Framework. For the targets, we are primarily concerned with the total expected output of this project, so please provide only a single value for the target and baseline based on the beginning and end of the project.</t>
        </is>
      </c>
      <c r="N4" t="inlineStr">
        <is>
          <t xml:space="preserve">Note: The energy project that UNDP SOI supports in terms of providing oversight support known as "Stimulating Progress towards Improved Rural Electricity in the Solomon Islands  (SPIRES) is yet to launch and commission its demo sites. Hence,data is pending that. However, for its baseline data please note the following information. 1. Access to Energy: a. Electricity access: Site: Selwyn College = Number of beneficiaries: 550 Students and Staff and Families, </t>
        </is>
      </c>
    </row>
    <row r="5" ht="39.6" customHeight="1">
      <c r="A5" s="108" t="n"/>
      <c r="B5" s="108" t="n"/>
      <c r="C5" s="108" t="n"/>
      <c r="D5" s="108" t="n"/>
      <c r="E5" s="109" t="n"/>
      <c r="F5" s="71" t="inlineStr">
        <is>
          <t xml:space="preserve">National electric energy consumption index, ktoe/US$ GDP </t>
        </is>
      </c>
      <c r="G5" s="17" t="n">
        <v>6.42</v>
      </c>
      <c r="H5" s="17" t="n">
        <v>6.3</v>
      </c>
      <c r="I5" s="17" t="n">
        <v>6.2</v>
      </c>
      <c r="J5" s="17" t="n">
        <v>6.05</v>
      </c>
      <c r="K5" s="17" t="n">
        <v>5.87</v>
      </c>
    </row>
    <row r="6" ht="15" customHeight="1">
      <c r="A6" s="108" t="n"/>
      <c r="B6" s="108" t="n"/>
      <c r="C6" s="108" t="n"/>
      <c r="D6" s="108" t="n"/>
      <c r="E6" s="109" t="n"/>
      <c r="F6" s="62" t="inlineStr">
        <is>
          <t>Project Objective: Facilitation of the achievement of increased access to electricity in rural communities in the Solomon Islands</t>
        </is>
      </c>
      <c r="G6" s="106" t="n"/>
      <c r="H6" s="106" t="n"/>
      <c r="I6" s="106" t="n"/>
      <c r="J6" s="106" t="n"/>
      <c r="K6" s="107" t="n"/>
    </row>
    <row r="7" ht="65.45" customHeight="1">
      <c r="A7" s="108" t="n"/>
      <c r="B7" s="108" t="n"/>
      <c r="C7" s="108" t="n"/>
      <c r="D7" s="108" t="n"/>
      <c r="E7" s="110" t="n"/>
      <c r="F7" s="71" t="inlineStr">
        <is>
          <t>Cumulative incremental fossil fuel savings due to sustainable energy and low carbon interventions implemented.</t>
        </is>
      </c>
      <c r="G7" s="17" t="n">
        <v>0</v>
      </c>
      <c r="H7" s="17" t="n">
        <v>0</v>
      </c>
      <c r="I7" s="17" t="n">
        <v>697.6</v>
      </c>
      <c r="J7" s="19" t="n">
        <v>1397.3</v>
      </c>
      <c r="K7" s="19" t="n">
        <v>2095</v>
      </c>
    </row>
    <row r="8" ht="26.45" customHeight="1">
      <c r="A8" s="108" t="n"/>
      <c r="B8" s="108" t="n"/>
      <c r="C8" s="108" t="n"/>
      <c r="D8" s="108" t="n"/>
      <c r="E8" s="70" t="inlineStr">
        <is>
          <t>Electricity Access</t>
        </is>
      </c>
      <c r="F8" s="71" t="inlineStr">
        <is>
          <t>% electricity access in rural areas, %</t>
        </is>
      </c>
      <c r="G8" s="20" t="n">
        <v>0.05</v>
      </c>
      <c r="H8" s="20" t="n">
        <v>0.1</v>
      </c>
      <c r="I8" s="20" t="n">
        <v>0.15</v>
      </c>
      <c r="J8" s="20" t="n">
        <v>0.2</v>
      </c>
      <c r="K8" s="20" t="n">
        <v>0.25</v>
      </c>
    </row>
    <row r="9" ht="52.5" customHeight="1">
      <c r="A9" s="108" t="n"/>
      <c r="B9" s="108" t="n"/>
      <c r="C9" s="108" t="n"/>
      <c r="D9" s="108" t="n"/>
      <c r="E9" s="109" t="n"/>
      <c r="F9" s="71" t="inlineStr">
        <is>
          <t xml:space="preserve">No. of new jobs created due to enhanced electricity access in off-grid areas in the country </t>
        </is>
      </c>
      <c r="G9" s="17" t="n">
        <v>10</v>
      </c>
      <c r="H9" s="17" t="n">
        <v>20</v>
      </c>
      <c r="I9" s="17" t="n">
        <v>60</v>
      </c>
      <c r="J9" s="17" t="n">
        <v>100</v>
      </c>
      <c r="K9" s="17" t="n">
        <v>200</v>
      </c>
    </row>
    <row r="10">
      <c r="A10" s="108" t="n"/>
      <c r="B10" s="108" t="n"/>
      <c r="C10" s="108" t="n"/>
      <c r="D10" s="108" t="n"/>
      <c r="E10" s="109" t="n"/>
      <c r="F10" s="60" t="inlineStr">
        <is>
          <t>Outcome 1: Enforcement of approved policies and rules and regulations to support enhanced application of cost-effective RE technologies for electricity generation in the off-grid areas in Solomon Islands</t>
        </is>
      </c>
      <c r="G10" s="106" t="n"/>
      <c r="H10" s="106" t="n"/>
      <c r="I10" s="106" t="n"/>
      <c r="J10" s="106" t="n"/>
      <c r="K10" s="107" t="n"/>
    </row>
    <row r="11">
      <c r="A11" s="108" t="n"/>
      <c r="B11" s="108" t="n"/>
      <c r="C11" s="108" t="n"/>
      <c r="D11" s="108" t="n"/>
      <c r="E11" s="109" t="n"/>
      <c r="F11" s="24" t="inlineStr">
        <is>
          <t>No. of implemented off-grid rural electrification projects facilitated by the approved and enforced energy access, Renewable Energy and EC&amp;Energy Efficiency policies</t>
        </is>
      </c>
      <c r="G11" s="72" t="n">
        <v>0</v>
      </c>
      <c r="H11" s="72" t="n">
        <v>1</v>
      </c>
      <c r="I11" s="72" t="n">
        <v>2</v>
      </c>
      <c r="J11" s="72" t="n">
        <v>3</v>
      </c>
      <c r="K11" s="72" t="n">
        <v>5</v>
      </c>
    </row>
    <row r="12">
      <c r="A12" s="108" t="n"/>
      <c r="B12" s="108" t="n"/>
      <c r="C12" s="108" t="n"/>
      <c r="D12" s="108" t="n"/>
      <c r="E12" s="110" t="n"/>
      <c r="F12" s="24" t="inlineStr">
        <is>
          <t>No. of designed and implemented pilots on the implementation of applicable policy and regulatory framework for rural electrification</t>
        </is>
      </c>
      <c r="G12" s="72" t="n">
        <v>0</v>
      </c>
      <c r="H12" s="72" t="n"/>
      <c r="I12" s="72" t="n">
        <v>1</v>
      </c>
      <c r="J12" s="72" t="n">
        <v>2</v>
      </c>
      <c r="K12" s="72" t="n"/>
    </row>
    <row r="13" ht="52.5" customHeight="1">
      <c r="A13" s="108" t="n"/>
      <c r="B13" s="108" t="n"/>
      <c r="C13" s="108" t="n"/>
      <c r="D13" s="108" t="n"/>
      <c r="E13" s="70" t="inlineStr">
        <is>
          <t>Water Services</t>
        </is>
      </c>
      <c r="F13" s="71" t="inlineStr">
        <is>
          <t>No. of formulated, approved and implemented rural electrification plans</t>
        </is>
      </c>
      <c r="G13" s="72" t="n">
        <v>5</v>
      </c>
      <c r="H13" s="72" t="n">
        <v>6</v>
      </c>
      <c r="I13" s="72" t="n">
        <v>7</v>
      </c>
      <c r="J13" s="72" t="n">
        <v>8</v>
      </c>
      <c r="K13" s="72" t="n">
        <v>9</v>
      </c>
    </row>
    <row r="14">
      <c r="A14" s="108" t="n"/>
      <c r="B14" s="108" t="n"/>
      <c r="C14" s="108" t="n"/>
      <c r="D14" s="108" t="n"/>
      <c r="E14" s="109" t="n"/>
      <c r="F14" s="60" t="inlineStr">
        <is>
          <t xml:space="preserve">Outcome 2: Enforced improved institutional and financial mechanisms in the integrated planning and </t>
        </is>
      </c>
      <c r="G14" s="106" t="n"/>
      <c r="H14" s="106" t="n"/>
      <c r="I14" s="106" t="n"/>
      <c r="J14" s="106" t="n"/>
      <c r="K14" s="107" t="n"/>
    </row>
    <row r="15">
      <c r="A15" s="108" t="n"/>
      <c r="B15" s="108" t="n"/>
      <c r="C15" s="108" t="n"/>
      <c r="D15" s="108" t="n"/>
      <c r="E15" s="109" t="n"/>
      <c r="F15" s="62" t="inlineStr">
        <is>
          <t>implementation of rural electrification and RE-based energy production in the off-grid areas</t>
        </is>
      </c>
      <c r="G15" s="106" t="n"/>
      <c r="H15" s="106" t="n"/>
      <c r="I15" s="106" t="n"/>
      <c r="J15" s="106" t="n"/>
      <c r="K15" s="107" t="n"/>
    </row>
    <row r="16">
      <c r="A16" s="108" t="n"/>
      <c r="B16" s="108" t="n"/>
      <c r="C16" s="108" t="n"/>
      <c r="D16" s="108" t="n"/>
      <c r="E16" s="109" t="n"/>
      <c r="F16" s="71" t="inlineStr">
        <is>
          <t>No. of formulated and recommended institutional and financing mechanisms that support the enhanced implementation of rural electrification initiatives</t>
        </is>
      </c>
      <c r="G16" s="72" t="n">
        <v>0</v>
      </c>
      <c r="H16" s="72" t="n"/>
      <c r="I16" s="73" t="inlineStr">
        <is>
          <t xml:space="preserve">2[1] </t>
        </is>
      </c>
      <c r="J16" s="72" t="n"/>
      <c r="K16" s="73" t="inlineStr">
        <is>
          <t xml:space="preserve">2[2] </t>
        </is>
      </c>
    </row>
    <row r="17">
      <c r="A17" s="108" t="n"/>
      <c r="B17" s="108" t="n"/>
      <c r="C17" s="108" t="n"/>
      <c r="D17" s="108" t="n"/>
      <c r="E17" s="110" t="n"/>
      <c r="F17" s="111" t="n"/>
      <c r="G17" s="112" t="n"/>
      <c r="H17" s="112" t="n"/>
      <c r="I17" s="112" t="n"/>
      <c r="J17" s="112" t="n"/>
      <c r="K17" s="112" t="n"/>
    </row>
    <row r="18" ht="65.45" customHeight="1">
      <c r="A18" s="108" t="n"/>
      <c r="B18" s="108" t="n"/>
      <c r="C18" s="108" t="n"/>
      <c r="D18" s="108" t="n"/>
      <c r="E18" s="70" t="inlineStr">
        <is>
          <t>Health Services</t>
        </is>
      </c>
      <c r="F18" s="71" t="inlineStr">
        <is>
          <t>No. of rural electrification initiatives facilitated by adopted and enforced institutional and financial mechanisms.</t>
        </is>
      </c>
      <c r="G18" s="72" t="n">
        <v>0</v>
      </c>
      <c r="H18" s="72" t="n"/>
      <c r="I18" s="72" t="inlineStr">
        <is>
          <t xml:space="preserve">2[3] </t>
        </is>
      </c>
      <c r="J18" s="17" t="n"/>
      <c r="K18" s="17" t="inlineStr">
        <is>
          <t>2[4]</t>
        </is>
      </c>
    </row>
    <row r="19">
      <c r="A19" s="108" t="n"/>
      <c r="B19" s="108" t="n"/>
      <c r="C19" s="108" t="n"/>
      <c r="D19" s="108" t="n"/>
      <c r="E19" s="109" t="n"/>
      <c r="F19" s="60" t="inlineStr">
        <is>
          <t>Outcome 3.1: Increased confidence in, and application of, RE technologies and RE-based power generation to support socio-economic development in off-grid areas</t>
        </is>
      </c>
      <c r="G19" s="106" t="n"/>
      <c r="H19" s="106" t="n"/>
      <c r="I19" s="106" t="n"/>
      <c r="J19" s="106" t="n"/>
      <c r="K19" s="107" t="n"/>
    </row>
    <row r="20" ht="26.1" customHeight="1">
      <c r="A20" s="108" t="n"/>
      <c r="B20" s="108" t="n"/>
      <c r="C20" s="108" t="n"/>
      <c r="D20" s="108" t="n"/>
      <c r="E20" s="109" t="n"/>
      <c r="F20" s="71" t="inlineStr">
        <is>
          <t>No. of planned and implemented rural electrification projects in both on-, and off-grid areas that are based on the findings are recommendations of conducted De-risking Renewable Energy Investment (DREI) assessments of Renewable Energy-based electricity generation options</t>
        </is>
      </c>
      <c r="G20" s="72" t="n">
        <v>0</v>
      </c>
      <c r="H20" s="72" t="n">
        <v>1</v>
      </c>
      <c r="I20" s="72" t="n">
        <v>2</v>
      </c>
      <c r="J20" s="72" t="n">
        <v>4</v>
      </c>
      <c r="K20" s="72" t="n">
        <v>5</v>
      </c>
    </row>
    <row r="21" ht="26.1" customHeight="1">
      <c r="A21" s="108" t="n"/>
      <c r="B21" s="108" t="n"/>
      <c r="C21" s="108" t="n"/>
      <c r="D21" s="108" t="n"/>
      <c r="E21" s="109" t="n"/>
      <c r="F21" s="71" t="inlineStr">
        <is>
          <t>No. of follow-up rural electrification, sustainable energy and low carbon technology application projects (demo replications and scale-ups) in on-, and off-grid areas.</t>
        </is>
      </c>
      <c r="G21" s="72" t="n">
        <v>0</v>
      </c>
      <c r="H21" s="72" t="n">
        <v>2</v>
      </c>
      <c r="I21" s="72" t="n">
        <v>4</v>
      </c>
      <c r="J21" s="72" t="n">
        <v>5</v>
      </c>
      <c r="K21" s="72" t="n">
        <v>6</v>
      </c>
    </row>
    <row r="22" ht="104.1" customHeight="1">
      <c r="A22" s="108" t="n"/>
      <c r="B22" s="108" t="n"/>
      <c r="C22" s="108" t="n"/>
      <c r="D22" s="108" t="n"/>
      <c r="E22" s="110" t="n"/>
      <c r="F22" s="71" t="inlineStr">
        <is>
          <t>Percentage of successful maintenance or repair work on demonstrations by Ministry of Mines and Energy and all Renewable Energy-based rural electrification projects in the country</t>
        </is>
      </c>
      <c r="G22" s="72" t="n">
        <v>0</v>
      </c>
      <c r="H22" s="21" t="n">
        <v>0.25</v>
      </c>
      <c r="I22" s="17" t="inlineStr">
        <is>
          <t>50% support</t>
        </is>
      </c>
      <c r="J22" s="21" t="n">
        <v>0.75</v>
      </c>
      <c r="K22" s="17" t="inlineStr">
        <is>
          <t>100% Ministry of Mines and Energy with no external support</t>
        </is>
      </c>
    </row>
    <row r="23">
      <c r="A23" s="108" t="n"/>
      <c r="B23" s="108" t="n"/>
      <c r="C23" s="108" t="n"/>
      <c r="D23" s="108" t="n"/>
      <c r="E23" s="70" t="inlineStr">
        <is>
          <t>Policy or Regulatory Framework</t>
        </is>
      </c>
      <c r="F23" s="60" t="inlineStr">
        <is>
          <t>Outcome 3.2: Adoption and implementation of climate resilient and low carbon electricity applications in increasing access to electricity in off-grid areas</t>
        </is>
      </c>
      <c r="G23" s="106" t="n"/>
      <c r="H23" s="106" t="n"/>
      <c r="I23" s="106" t="n"/>
      <c r="J23" s="106" t="n"/>
      <c r="K23" s="107" t="n"/>
    </row>
    <row r="24" ht="26.1" customHeight="1">
      <c r="A24" s="108" t="n"/>
      <c r="B24" s="108" t="n"/>
      <c r="C24" s="108" t="n"/>
      <c r="D24" s="108" t="n"/>
      <c r="E24" s="109" t="n"/>
      <c r="F24" s="71" t="inlineStr">
        <is>
          <t>No. of successfully installed and operational systems of the implemented demonstrations of Renewable Energy-based electricity generation and low carbon technology application in the off-grid areas.</t>
        </is>
      </c>
      <c r="G24" s="72" t="n">
        <v>0</v>
      </c>
      <c r="H24" s="72" t="n">
        <v>1</v>
      </c>
      <c r="I24" s="72" t="n">
        <v>2</v>
      </c>
      <c r="J24" s="72" t="n">
        <v>4</v>
      </c>
      <c r="K24" s="72" t="n">
        <v>5</v>
      </c>
    </row>
    <row r="25" ht="26.1" customHeight="1">
      <c r="A25" s="108" t="n"/>
      <c r="B25" s="108" t="n"/>
      <c r="C25" s="108" t="n"/>
      <c r="D25" s="108" t="n"/>
      <c r="E25" s="109" t="n"/>
      <c r="F25" s="71" t="inlineStr">
        <is>
          <t>No. of Renewable Energy and Energy Efficiency technologies application projects designed and financed for implementation as influenced by the results and outcomes of the demonstrations</t>
        </is>
      </c>
      <c r="G25" s="72" t="n">
        <v>0</v>
      </c>
      <c r="H25" s="72" t="n">
        <v>2</v>
      </c>
      <c r="I25" s="72" t="n">
        <v>4</v>
      </c>
      <c r="J25" s="72" t="n">
        <v>6</v>
      </c>
      <c r="K25" s="72" t="n">
        <v>9</v>
      </c>
    </row>
    <row r="26" ht="26.1" customHeight="1">
      <c r="A26" s="108" t="n"/>
      <c r="B26" s="108" t="n"/>
      <c r="C26" s="108" t="n"/>
      <c r="D26" s="108" t="n"/>
      <c r="E26" s="109" t="n"/>
      <c r="F26" s="71" t="inlineStr">
        <is>
          <t xml:space="preserve">Percentage of women in community-based Renewable Energy Service Companies (RESCOs) morally supported by village men to build their confidence in leadership </t>
        </is>
      </c>
      <c r="G26" s="72" t="n">
        <v>0</v>
      </c>
      <c r="H26" s="21" t="n">
        <v>0.1</v>
      </c>
      <c r="I26" s="21" t="n">
        <v>0.25</v>
      </c>
      <c r="J26" s="21" t="n">
        <v>0.35</v>
      </c>
      <c r="K26" s="21" t="n">
        <v>0.5</v>
      </c>
    </row>
    <row r="27">
      <c r="A27" s="108" t="n"/>
      <c r="B27" s="108" t="n"/>
      <c r="C27" s="108" t="n"/>
      <c r="D27" s="108" t="n"/>
      <c r="E27" s="109" t="n"/>
      <c r="F27" s="60" t="inlineStr">
        <is>
          <t>Outcome 4:  Enhanced awareness and knowledge of the government, private sector and communities on the cost-effective application of Renewable Energy and Energy Efficiency technologies/practices</t>
        </is>
      </c>
      <c r="G27" s="106" t="n"/>
      <c r="H27" s="106" t="n"/>
      <c r="I27" s="106" t="n"/>
      <c r="J27" s="106" t="n"/>
      <c r="K27" s="107" t="n"/>
    </row>
    <row r="28" ht="26.1" customHeight="1">
      <c r="A28" s="108" t="n"/>
      <c r="B28" s="108" t="n"/>
      <c r="C28" s="108" t="n"/>
      <c r="D28" s="108" t="n"/>
      <c r="E28" s="109" t="n"/>
      <c r="F28" s="71" t="inlineStr">
        <is>
          <t>No. of trained national and local government personnel that can ably plan and evaluate energy access, sustainable energy and low carbon technology application projects.</t>
        </is>
      </c>
      <c r="G28" s="72" t="n">
        <v>0</v>
      </c>
      <c r="H28" s="72" t="n">
        <v>0</v>
      </c>
      <c r="I28" s="72" t="n">
        <v>2</v>
      </c>
      <c r="J28" s="72" t="n">
        <v>3</v>
      </c>
      <c r="K28" s="72" t="n">
        <v>4</v>
      </c>
    </row>
    <row r="29" ht="26.1" customHeight="1">
      <c r="A29" s="112" t="n"/>
      <c r="B29" s="112" t="n"/>
      <c r="C29" s="112" t="n"/>
      <c r="D29" s="112" t="n"/>
      <c r="E29" s="110" t="n"/>
      <c r="F29" s="71" t="inlineStr">
        <is>
          <t>No. of local firms that can capably provide technical, engineering and maintenance services for rural electrification and low carbon technology application projects</t>
        </is>
      </c>
      <c r="G29" s="72" t="n">
        <v>1</v>
      </c>
      <c r="H29" s="72" t="n">
        <v>1</v>
      </c>
      <c r="I29" s="72" t="n">
        <v>1</v>
      </c>
      <c r="J29" s="72" t="n">
        <v>2</v>
      </c>
      <c r="K29" s="72" t="n">
        <v>3</v>
      </c>
    </row>
    <row r="30">
      <c r="G30" s="14" t="n"/>
    </row>
    <row r="31" ht="26.25" customHeight="1">
      <c r="F31" s="22" t="inlineStr">
        <is>
          <t>[1] Enhancement in carrying out energy service fee collection in community demo site.</t>
        </is>
      </c>
      <c r="G31" s="14" t="n"/>
    </row>
    <row r="32">
      <c r="F32" s="22" t="inlineStr">
        <is>
          <t>[2] (formulated institutional &amp; financing mechanisms to make them more effective.</t>
        </is>
      </c>
      <c r="G32" s="14" t="n"/>
    </row>
    <row r="33">
      <c r="F33" s="22" t="inlineStr">
        <is>
          <t>[3] reflecting g the 2 demo sites institutional &amp; financing mechanism that will be developed</t>
        </is>
      </c>
      <c r="G33" s="14" t="n"/>
    </row>
    <row r="34">
      <c r="F34" s="22" t="inlineStr">
        <is>
          <t>[4] (the 2 institutional &amp; financing mechanisms are working and able to facilitate rural electrification)</t>
        </is>
      </c>
      <c r="G34" s="14" t="n"/>
    </row>
    <row r="35">
      <c r="G35" s="14" t="n"/>
    </row>
  </sheetData>
  <mergeCells count="25">
    <mergeCell ref="A3:A29"/>
    <mergeCell ref="D3:D29"/>
    <mergeCell ref="I16:I17"/>
    <mergeCell ref="F23:K23"/>
    <mergeCell ref="F27:K27"/>
    <mergeCell ref="E3:E7"/>
    <mergeCell ref="H1:K1"/>
    <mergeCell ref="J16:J17"/>
    <mergeCell ref="E18:E22"/>
    <mergeCell ref="C3:C29"/>
    <mergeCell ref="H16:H17"/>
    <mergeCell ref="F14:K14"/>
    <mergeCell ref="E8:E12"/>
    <mergeCell ref="B3:B29"/>
    <mergeCell ref="G16:G17"/>
    <mergeCell ref="F19:K19"/>
    <mergeCell ref="F10:K10"/>
    <mergeCell ref="E13:E17"/>
    <mergeCell ref="F6:K6"/>
    <mergeCell ref="K16:K17"/>
    <mergeCell ref="A2:G2"/>
    <mergeCell ref="E23:E29"/>
    <mergeCell ref="F16:F17"/>
    <mergeCell ref="F3:K3"/>
    <mergeCell ref="F15:K15"/>
  </mergeCells>
  <conditionalFormatting sqref="M4">
    <cfRule type="cellIs" priority="7" operator="equal" dxfId="8">
      <formula>"Missing"</formula>
    </cfRule>
    <cfRule type="cellIs" priority="8" operator="equal" dxfId="7">
      <formula>"New"</formula>
    </cfRule>
    <cfRule type="containsText" priority="9" operator="containsText" dxfId="6" text="CO Update">
      <formula>NOT(ISERROR(SEARCH("CO Update",M4)))</formula>
    </cfRule>
    <cfRule type="cellIs" priority="1" operator="equal" dxfId="5">
      <formula>"Not Updated"</formula>
    </cfRule>
    <cfRule type="cellIs" priority="2" operator="equal" dxfId="3">
      <formula>"Assumed no projects"</formula>
    </cfRule>
    <cfRule type="cellIs" priority="3" operator="equal" dxfId="3">
      <formula>"Done"</formula>
    </cfRule>
    <cfRule type="cellIs" priority="4" operator="equal" dxfId="0">
      <formula>"Review"</formula>
    </cfRule>
    <cfRule type="cellIs" priority="5" operator="equal" dxfId="1">
      <formula>"Updated"</formula>
    </cfRule>
    <cfRule type="cellIs" priority="6" operator="equal" dxfId="0">
      <formula>"Missing"</formula>
    </cfRule>
  </conditionalFormatting>
  <pageMargins left="0.7" right="0.7" top="0.75" bottom="0.75" header="0.3" footer="0.3"/>
  <pageSetup orientation="portrait" horizontalDpi="300" verticalDpi="300"/>
</worksheet>
</file>

<file path=xl/worksheets/sheet3.xml><?xml version="1.0" encoding="utf-8"?>
<worksheet xmlns="http://schemas.openxmlformats.org/spreadsheetml/2006/main">
  <sheetPr>
    <outlinePr summaryBelow="1" summaryRight="1"/>
    <pageSetUpPr/>
  </sheetPr>
  <dimension ref="D1:I35"/>
  <sheetViews>
    <sheetView workbookViewId="0">
      <selection activeCell="G16" sqref="G16:G17"/>
    </sheetView>
  </sheetViews>
  <sheetFormatPr baseColWidth="8" defaultRowHeight="14.45"/>
  <cols>
    <col width="120.7109375" bestFit="1" customWidth="1" min="4" max="4"/>
    <col width="7.7109375" bestFit="1" customWidth="1" style="14" min="5" max="5"/>
  </cols>
  <sheetData>
    <row r="1" ht="15" customHeight="1" thickBot="1">
      <c r="D1" s="2" t="inlineStr">
        <is>
          <t>Indicator</t>
        </is>
      </c>
      <c r="E1" s="81" t="inlineStr">
        <is>
          <t>Baseline</t>
        </is>
      </c>
      <c r="F1" s="2" t="inlineStr">
        <is>
          <t>Target</t>
        </is>
      </c>
      <c r="G1" s="113" t="n"/>
      <c r="H1" s="113" t="n"/>
      <c r="I1" s="114" t="n"/>
    </row>
    <row r="2" ht="15" customHeight="1" thickBot="1">
      <c r="D2" s="2" t="n"/>
      <c r="E2" s="81" t="n"/>
      <c r="F2" s="81" t="inlineStr">
        <is>
          <t>Year 1</t>
        </is>
      </c>
      <c r="G2" s="81" t="inlineStr">
        <is>
          <t>Year 2</t>
        </is>
      </c>
      <c r="H2" s="81" t="inlineStr">
        <is>
          <t>Year 3</t>
        </is>
      </c>
      <c r="I2" s="81" t="inlineStr">
        <is>
          <t>Year 4</t>
        </is>
      </c>
    </row>
    <row r="3" ht="27.6" customHeight="1" thickBot="1">
      <c r="D3" s="115" t="inlineStr">
        <is>
          <t>Project Goal: Reduced annual growth rate of GHG emissions in the energy and energy end use sector of the country.</t>
        </is>
      </c>
      <c r="E3" s="113" t="n"/>
      <c r="F3" s="113" t="n"/>
      <c r="G3" s="113" t="n"/>
      <c r="H3" s="113" t="n"/>
      <c r="I3" s="114" t="n"/>
    </row>
    <row r="4" ht="15.6" customHeight="1" thickBot="1">
      <c r="D4" s="92" t="inlineStr">
        <is>
          <t>Cumulative Incremental GHG emission reduction from the electricity sector in rural areas, tons CO2</t>
        </is>
      </c>
      <c r="E4" s="6" t="n">
        <v>0</v>
      </c>
      <c r="F4" s="6" t="n">
        <v>0</v>
      </c>
      <c r="G4" s="7" t="n">
        <v>6376</v>
      </c>
      <c r="H4" s="7" t="n">
        <v>12771</v>
      </c>
      <c r="I4" s="7" t="n">
        <v>19147</v>
      </c>
    </row>
    <row r="5" ht="15" customHeight="1" thickBot="1">
      <c r="D5" s="92" t="inlineStr">
        <is>
          <t xml:space="preserve">National electric energy consumption index, ktoe/US$ GDP </t>
        </is>
      </c>
      <c r="E5" s="6" t="n">
        <v>6.42</v>
      </c>
      <c r="F5" s="6" t="n">
        <v>6.3</v>
      </c>
      <c r="G5" s="6" t="n">
        <v>6.2</v>
      </c>
      <c r="H5" s="6" t="n">
        <v>6.05</v>
      </c>
      <c r="I5" s="6" t="n">
        <v>5.87</v>
      </c>
    </row>
    <row r="6" ht="26.1" customHeight="1" thickBot="1">
      <c r="D6" s="116" t="inlineStr">
        <is>
          <t>Project Objective: Facilitation of the achievement of increased access to electricity in rural communities in the Solomon Islands</t>
        </is>
      </c>
      <c r="E6" s="113" t="n"/>
      <c r="F6" s="113" t="n"/>
      <c r="G6" s="113" t="n"/>
      <c r="H6" s="113" t="n"/>
      <c r="I6" s="114" t="n"/>
    </row>
    <row r="7" ht="15" customHeight="1" thickBot="1">
      <c r="D7" s="92" t="inlineStr">
        <is>
          <t xml:space="preserve">Cumulative incremental fossil fuel savings due to sustainable energy and low carbon interventions implemented, toe </t>
        </is>
      </c>
      <c r="E7" s="6" t="n">
        <v>0</v>
      </c>
      <c r="F7" s="6" t="n">
        <v>0</v>
      </c>
      <c r="G7" s="6" t="n">
        <v>697.6</v>
      </c>
      <c r="H7" s="8" t="n">
        <v>1397.3</v>
      </c>
      <c r="I7" s="8" t="n">
        <v>2095</v>
      </c>
    </row>
    <row r="8" ht="15" customHeight="1" thickBot="1">
      <c r="D8" s="92" t="inlineStr">
        <is>
          <t>% electricity access in rural areas, %</t>
        </is>
      </c>
      <c r="E8" s="10" t="n">
        <v>0.05</v>
      </c>
      <c r="F8" s="10" t="n">
        <v>0.1</v>
      </c>
      <c r="G8" s="10" t="n">
        <v>0.15</v>
      </c>
      <c r="H8" s="10" t="n">
        <v>0.2</v>
      </c>
      <c r="I8" s="10" t="n">
        <v>0.25</v>
      </c>
    </row>
    <row r="9" ht="15" customHeight="1" thickBot="1">
      <c r="D9" s="92" t="inlineStr">
        <is>
          <t xml:space="preserve">No. of new jobs created due to enhanced electricity access in off-grid areas in the country </t>
        </is>
      </c>
      <c r="E9" s="6" t="n">
        <v>10</v>
      </c>
      <c r="F9" s="6" t="n">
        <v>20</v>
      </c>
      <c r="G9" s="6" t="n">
        <v>60</v>
      </c>
      <c r="H9" s="6" t="n">
        <v>100</v>
      </c>
      <c r="I9" s="6" t="n">
        <v>200</v>
      </c>
    </row>
    <row r="10" ht="15" customHeight="1" thickBot="1">
      <c r="D10" s="115" t="inlineStr">
        <is>
          <t>Outcome 1: Enforcement of approved policies and rules and regulations to support enhanced application of cost-effective RE technologies for electricity generation in the off-grid areas in Solomon Islands</t>
        </is>
      </c>
      <c r="E10" s="113" t="n"/>
      <c r="F10" s="113" t="n"/>
      <c r="G10" s="113" t="n"/>
      <c r="H10" s="113" t="n"/>
      <c r="I10" s="114" t="n"/>
    </row>
    <row r="11" ht="15" customHeight="1" thickBot="1">
      <c r="D11" s="11" t="inlineStr">
        <is>
          <t>No. of implemented off-grid rural electrification projects facilitated by the approved and enforced energy access, Renewable Energy and EC&amp;Energy Efficiency policies</t>
        </is>
      </c>
      <c r="E11" s="5" t="n">
        <v>0</v>
      </c>
      <c r="F11" s="5" t="n">
        <v>1</v>
      </c>
      <c r="G11" s="5" t="n">
        <v>2</v>
      </c>
      <c r="H11" s="5" t="n">
        <v>3</v>
      </c>
      <c r="I11" s="5" t="n">
        <v>5</v>
      </c>
    </row>
    <row r="12" ht="15" customHeight="1" thickBot="1">
      <c r="D12" s="11" t="inlineStr">
        <is>
          <t>No. of designed and implemented pilots on the implementation of applicable policy and regulatory framework for rural electrification</t>
        </is>
      </c>
      <c r="E12" s="5" t="n">
        <v>0</v>
      </c>
      <c r="F12" s="5" t="n"/>
      <c r="G12" s="5" t="n">
        <v>1</v>
      </c>
      <c r="H12" s="5" t="n">
        <v>2</v>
      </c>
      <c r="I12" s="5" t="n"/>
    </row>
    <row r="13" ht="15" customHeight="1" thickBot="1">
      <c r="D13" s="92" t="inlineStr">
        <is>
          <t>No. of formulated, approved and implemented rural electrification plans</t>
        </is>
      </c>
      <c r="E13" s="5" t="n">
        <v>5</v>
      </c>
      <c r="F13" s="5" t="n">
        <v>6</v>
      </c>
      <c r="G13" s="5" t="n">
        <v>7</v>
      </c>
      <c r="H13" s="5" t="n">
        <v>8</v>
      </c>
      <c r="I13" s="5" t="n">
        <v>9</v>
      </c>
    </row>
    <row r="14">
      <c r="D14" s="117" t="inlineStr">
        <is>
          <t xml:space="preserve">Outcome 2: Enforced improved institutional and financial mechanisms in the integrated planning and </t>
        </is>
      </c>
      <c r="E14" s="118" t="n"/>
      <c r="F14" s="118" t="n"/>
      <c r="G14" s="118" t="n"/>
      <c r="H14" s="118" t="n"/>
      <c r="I14" s="119" t="n"/>
    </row>
    <row r="15" ht="15" customHeight="1" thickBot="1">
      <c r="D15" s="120" t="inlineStr">
        <is>
          <t>implementation of rural electrification and Renewable Energy-based energy production in the off-grid areas</t>
        </is>
      </c>
      <c r="E15" s="121" t="n"/>
      <c r="F15" s="121" t="n"/>
      <c r="G15" s="121" t="n"/>
      <c r="H15" s="121" t="n"/>
      <c r="I15" s="122" t="n"/>
    </row>
    <row r="16">
      <c r="D16" s="123" t="inlineStr">
        <is>
          <t>No. of formulated and recommended institutional and financing mechanisms that support the enhanced implementation of rural electrification initiatives</t>
        </is>
      </c>
      <c r="E16" s="124" t="n">
        <v>0</v>
      </c>
      <c r="F16" s="125" t="n"/>
      <c r="G16" s="126" t="inlineStr">
        <is>
          <t xml:space="preserve">2[1] </t>
        </is>
      </c>
      <c r="H16" s="125" t="n"/>
      <c r="I16" s="127" t="inlineStr">
        <is>
          <t xml:space="preserve">2[2] </t>
        </is>
      </c>
    </row>
    <row r="17" ht="15" customHeight="1" thickBot="1">
      <c r="D17" s="128" t="n"/>
      <c r="E17" s="128" t="n"/>
      <c r="F17" s="128" t="n"/>
      <c r="G17" s="128" t="n"/>
      <c r="H17" s="128" t="n"/>
      <c r="I17" s="128" t="n"/>
    </row>
    <row r="18" ht="15" customHeight="1" thickBot="1">
      <c r="D18" s="92" t="inlineStr">
        <is>
          <t>No. of rural electrification initiatives facilitated by adopted and enforced institutional and financial mechanisms.</t>
        </is>
      </c>
      <c r="E18" s="5" t="n">
        <v>0</v>
      </c>
      <c r="F18" s="5" t="n"/>
      <c r="G18" s="12" t="inlineStr">
        <is>
          <t xml:space="preserve">2[3] </t>
        </is>
      </c>
      <c r="H18" s="5" t="n"/>
      <c r="I18" s="12" t="inlineStr">
        <is>
          <t>2[4]</t>
        </is>
      </c>
    </row>
    <row r="19" ht="40.5" customHeight="1" thickBot="1">
      <c r="D19" s="115" t="inlineStr">
        <is>
          <t>Outcome 3.1: Increased confidence in, and application of, Renewable Energy technologies and Renewable Energy-based power generation to support socio-economic development in off-grid areas</t>
        </is>
      </c>
      <c r="E19" s="113" t="n"/>
      <c r="F19" s="113" t="n"/>
      <c r="G19" s="113" t="n"/>
      <c r="H19" s="113" t="n"/>
      <c r="I19" s="114" t="n"/>
    </row>
    <row r="20" ht="26.45" customHeight="1" thickBot="1">
      <c r="D20" s="92" t="inlineStr">
        <is>
          <t>No. of planned and implemented rural electrification projects in both on-, and off-grid areas that are based on the findings are recommendations of conducted De-risking Renewable Energy Investment (DREI) assessments of Renewable Energy-based electricity generation options</t>
        </is>
      </c>
      <c r="E20" s="5" t="n">
        <v>0</v>
      </c>
      <c r="F20" s="5" t="n">
        <v>1</v>
      </c>
      <c r="G20" s="5" t="n">
        <v>2</v>
      </c>
      <c r="H20" s="5" t="n">
        <v>4</v>
      </c>
      <c r="I20" s="5" t="n">
        <v>5</v>
      </c>
    </row>
    <row r="21" ht="26.45" customHeight="1" thickBot="1">
      <c r="D21" s="92" t="inlineStr">
        <is>
          <t>No. of follow-up rural electrification, sustainable energy and low carbon technology application projects (demo replications and scale-ups) in on-, and off-grid areas.</t>
        </is>
      </c>
      <c r="E21" s="5" t="n">
        <v>0</v>
      </c>
      <c r="F21" s="5" t="n">
        <v>2</v>
      </c>
      <c r="G21" s="5" t="n">
        <v>4</v>
      </c>
      <c r="H21" s="5" t="n">
        <v>5</v>
      </c>
      <c r="I21" s="5" t="n">
        <v>6</v>
      </c>
    </row>
    <row r="22" ht="67.5" customHeight="1">
      <c r="D22" s="92" t="inlineStr">
        <is>
          <t>Percentage of successful maintenance or repair work on demonstrations by Ministry of Mines and Energy and all Renewable Energy-based rural electrification projects in the country</t>
        </is>
      </c>
      <c r="E22" s="5" t="n">
        <v>0</v>
      </c>
      <c r="F22" s="9" t="n">
        <v>0.25</v>
      </c>
      <c r="G22" s="6" t="inlineStr">
        <is>
          <t>50% support</t>
        </is>
      </c>
      <c r="H22" s="9" t="n">
        <v>0.75</v>
      </c>
      <c r="I22" s="6" t="inlineStr">
        <is>
          <t>100% MMERE with no external support</t>
        </is>
      </c>
    </row>
    <row r="23" ht="40.5" customHeight="1" thickBot="1">
      <c r="D23" s="115" t="inlineStr">
        <is>
          <t>Outcome 3.2: Adoption and implementation of climate resilient and low carbon electricity applications in increasing access to electricity in off-grid areas</t>
        </is>
      </c>
      <c r="E23" s="113" t="n"/>
      <c r="F23" s="113" t="n"/>
      <c r="G23" s="113" t="n"/>
      <c r="H23" s="113" t="n"/>
      <c r="I23" s="114" t="n"/>
    </row>
    <row r="24" ht="26.45" customHeight="1" thickBot="1">
      <c r="D24" s="92" t="inlineStr">
        <is>
          <t>No. of successfully installed and operational systems of the implemented demonstrations of Renewable Energy-based electricity generation and low carbon technology application in the off-grid areas.</t>
        </is>
      </c>
      <c r="E24" s="5" t="n">
        <v>0</v>
      </c>
      <c r="F24" s="5" t="n">
        <v>1</v>
      </c>
      <c r="G24" s="5" t="n">
        <v>2</v>
      </c>
      <c r="H24" s="5" t="n">
        <v>4</v>
      </c>
      <c r="I24" s="5" t="n">
        <v>5</v>
      </c>
    </row>
    <row r="25" ht="26.45" customHeight="1" thickBot="1">
      <c r="D25" s="92" t="inlineStr">
        <is>
          <t>No. of Renewable Energy and Energy Efficiency technologies application projects designed and financed for implementation as influenced by the results and outcomes of the demonstrations</t>
        </is>
      </c>
      <c r="E25" s="5" t="n">
        <v>0</v>
      </c>
      <c r="F25" s="5" t="n">
        <v>2</v>
      </c>
      <c r="G25" s="5" t="n">
        <v>4</v>
      </c>
      <c r="H25" s="5" t="n">
        <v>6</v>
      </c>
      <c r="I25" s="5" t="n">
        <v>9</v>
      </c>
    </row>
    <row r="26" ht="26.45" customHeight="1" thickBot="1">
      <c r="D26" s="92" t="inlineStr">
        <is>
          <t xml:space="preserve">Percentage of women in community-based Renewable Energy Service Companies (RESCO) morally supported by village men to build their confidence in leadership </t>
        </is>
      </c>
      <c r="E26" s="5" t="n">
        <v>0</v>
      </c>
      <c r="F26" s="9" t="n">
        <v>0.1</v>
      </c>
      <c r="G26" s="9" t="n">
        <v>0.25</v>
      </c>
      <c r="H26" s="9" t="n">
        <v>0.35</v>
      </c>
      <c r="I26" s="9" t="n">
        <v>0.5</v>
      </c>
    </row>
    <row r="27" ht="15" customHeight="1" thickBot="1">
      <c r="D27" s="115" t="inlineStr">
        <is>
          <t>Outcome 4:  Enhanced awareness and knowledge of the government, private sector and communities on the cost-effective application of Renewable Energy and Energy Efficiency technologies/practices</t>
        </is>
      </c>
      <c r="E27" s="113" t="n"/>
      <c r="F27" s="113" t="n"/>
      <c r="G27" s="113" t="n"/>
      <c r="H27" s="113" t="n"/>
      <c r="I27" s="114" t="n"/>
    </row>
    <row r="28" ht="26.45" customHeight="1" thickBot="1">
      <c r="D28" s="92" t="inlineStr">
        <is>
          <t>No. of trained national and local government personnel that can ably plan and evaluate energy access, sustainable energy and low carbon technology application projects.</t>
        </is>
      </c>
      <c r="E28" s="5" t="n">
        <v>0</v>
      </c>
      <c r="F28" s="5" t="n">
        <v>0</v>
      </c>
      <c r="G28" s="5" t="n">
        <v>2</v>
      </c>
      <c r="H28" s="5" t="n">
        <v>3</v>
      </c>
      <c r="I28" s="5" t="n">
        <v>4</v>
      </c>
    </row>
    <row r="29" ht="26.45" customHeight="1" thickBot="1">
      <c r="D29" s="92" t="inlineStr">
        <is>
          <t>No. of local firms that can capably provide technical, engineering and maintenance services for rural electrification and low carbon technology application projects</t>
        </is>
      </c>
      <c r="E29" s="5" t="n">
        <v>1</v>
      </c>
      <c r="F29" s="5" t="n">
        <v>1</v>
      </c>
      <c r="G29" s="5" t="n">
        <v>1</v>
      </c>
      <c r="H29" s="5" t="n">
        <v>2</v>
      </c>
      <c r="I29" s="5" t="n">
        <v>3</v>
      </c>
    </row>
    <row r="32">
      <c r="D32" s="13" t="inlineStr">
        <is>
          <t>[1] Enhancement in carrying out energy service fee collection in community demo site.</t>
        </is>
      </c>
    </row>
    <row r="33">
      <c r="D33" s="13" t="inlineStr">
        <is>
          <t>[2] (formulated institutional &amp; financing mechanisms to make them more effective.</t>
        </is>
      </c>
    </row>
    <row r="34">
      <c r="D34" s="13" t="inlineStr">
        <is>
          <t>[3] reflecting g the 2 demo sites institutional &amp; financing mechanism that will be developed</t>
        </is>
      </c>
    </row>
    <row r="35">
      <c r="D35" s="13" t="inlineStr">
        <is>
          <t>[4] (the 2 institutional &amp; financing mechanisms are working and able to facilitate rural electrification)</t>
        </is>
      </c>
    </row>
  </sheetData>
  <mergeCells count="15">
    <mergeCell ref="D19:I19"/>
    <mergeCell ref="D10:I10"/>
    <mergeCell ref="D27:I27"/>
    <mergeCell ref="F1:I1"/>
    <mergeCell ref="D14:I14"/>
    <mergeCell ref="H16:H17"/>
    <mergeCell ref="D23:I23"/>
    <mergeCell ref="E16:E17"/>
    <mergeCell ref="I16:I17"/>
    <mergeCell ref="D16:D17"/>
    <mergeCell ref="D3:I3"/>
    <mergeCell ref="D6:I6"/>
    <mergeCell ref="F16:F17"/>
    <mergeCell ref="G16:G17"/>
    <mergeCell ref="D15:I15"/>
  </mergeCells>
  <hyperlinks>
    <hyperlink ref="G16" location="_ftn1" display="_ftn1"/>
    <hyperlink ref="I16" location="_ftn2" display="_ftn2"/>
    <hyperlink ref="G18" location="_ftn3" display="_ftn3"/>
    <hyperlink ref="I18" location="_ftn4" display="_ftn4"/>
    <hyperlink ref="D32" location="_ftnref1" display="_ftnref1"/>
    <hyperlink ref="D33" location="_ftnref2" display="_ftnref2"/>
    <hyperlink ref="D34" location="_ftnref3" display="_ftnref3"/>
    <hyperlink ref="D35" location="_ftnref4" display="_ftnref4"/>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ustomHeight="1"/>
  <cols>
    <col width="36" customWidth="1" min="1" max="1"/>
    <col width="110" bestFit="1" customWidth="1" min="2" max="2"/>
  </cols>
  <sheetData>
    <row r="1">
      <c r="A1" s="129" t="inlineStr">
        <is>
          <t>Beneficiary Category</t>
        </is>
      </c>
      <c r="B1" s="129" t="inlineStr">
        <is>
          <t>Indicator</t>
        </is>
      </c>
    </row>
    <row r="2" ht="30.75" customHeight="1">
      <c r="A2" s="130" t="inlineStr">
        <is>
          <t>Electricity Access</t>
        </is>
      </c>
      <c r="B2" s="130" t="inlineStr">
        <is>
          <t>Number of people, disaggregated by sex, who gain access to clean electricity (direct access to electricity, lighting, cooling, etc.).</t>
        </is>
      </c>
    </row>
    <row r="3">
      <c r="A3" s="130" t="inlineStr">
        <is>
          <t>Energy (MW added)</t>
        </is>
      </c>
      <c r="B3" s="130" t="inlineStr">
        <is>
          <t>Installed renewable or clean-energy power capacity added, in MW.</t>
        </is>
      </c>
    </row>
    <row r="4" ht="30.75" customHeight="1">
      <c r="A4" s="130" t="inlineStr">
        <is>
          <t>Energy Storage (MW)</t>
        </is>
      </c>
      <c r="B4" s="130" t="inlineStr">
        <is>
          <t>Installed energy storage power capacity added, in MW.</t>
        </is>
      </c>
    </row>
    <row r="5" ht="30.75" customHeight="1">
      <c r="A5" s="130" t="inlineStr">
        <is>
          <t>Clean Cooking</t>
        </is>
      </c>
      <c r="B5" s="130" t="inlineStr">
        <is>
          <t>Number of people who gain access to clean cooking (direct access to clean cook stoves, clean fuels, biomass, etc.).</t>
        </is>
      </c>
    </row>
    <row r="6" ht="60.75" customHeight="1">
      <c r="A6" s="130" t="inlineStr">
        <is>
          <t>Clean Heating</t>
        </is>
      </c>
      <c r="B6" s="130" t="inlineStr">
        <is>
          <t>Number of people who gain access to clean heating (direct access to clean electric heaters, clean fuels, etc.).</t>
        </is>
      </c>
    </row>
    <row r="7" ht="30.75" customHeight="1">
      <c r="A7" s="130" t="inlineStr">
        <is>
          <t>Agriculture and Food System</t>
        </is>
      </c>
      <c r="B7" s="130" t="inlineStr">
        <is>
          <t>Number of people who gain access to clean, affordable, and sustainable energy for agricultural and food-system activities.</t>
        </is>
      </c>
    </row>
    <row r="8" ht="30.75" customHeight="1">
      <c r="A8" s="130" t="inlineStr">
        <is>
          <t>Health Services</t>
        </is>
      </c>
      <c r="B8" s="130" t="inlineStr">
        <is>
          <t>Number of people who gain access to health care facilities through clean energy systems.</t>
        </is>
      </c>
    </row>
    <row r="9" ht="30.75" customHeight="1">
      <c r="A9" s="130" t="inlineStr">
        <is>
          <t>Water Services</t>
        </is>
      </c>
      <c r="B9" s="130" t="inlineStr">
        <is>
          <t>Number of people who gain access to water services through clean energy systems.</t>
        </is>
      </c>
    </row>
    <row r="10" ht="30.75" customHeight="1">
      <c r="A10" s="130" t="inlineStr">
        <is>
          <t>Education Services</t>
        </is>
      </c>
      <c r="B10" s="130" t="inlineStr">
        <is>
          <t>Number of people who gain access to education services through clean energy systems, including students and teachers.</t>
        </is>
      </c>
    </row>
    <row r="11">
      <c r="A11" s="130" t="inlineStr">
        <is>
          <t>Transportation and E-mobility Services</t>
        </is>
      </c>
      <c r="B11" s="130" t="inlineStr">
        <is>
          <t>Number of people served or energy saved from transport and e-mobility interventions, such as electric vehicles or charging stations.</t>
        </is>
      </c>
    </row>
    <row r="12" ht="30.75" customHeight="1">
      <c r="A12" s="130" t="inlineStr">
        <is>
          <t>Energy Efficiency Services</t>
        </is>
      </c>
      <c r="B12" s="130" t="inlineStr">
        <is>
          <t>Energy saved from energy-efficiency interventions, such as building or industrial efficiency.</t>
        </is>
      </c>
    </row>
    <row r="13">
      <c r="A13" s="130" t="inlineStr">
        <is>
          <t>Energy Infrastructure Services</t>
        </is>
      </c>
      <c r="B13" s="130" t="inlineStr">
        <is>
          <t>Number of people benefiting from energy infrastructure interventions, such as streetlights, transmission, and distribution lines.</t>
        </is>
      </c>
    </row>
    <row r="14">
      <c r="A14" s="130" t="inlineStr">
        <is>
          <t>Other Energy Services</t>
        </is>
      </c>
      <c r="B14" s="130" t="inlineStr">
        <is>
          <t>Access to other energy services not captured by the categories above.</t>
        </is>
      </c>
    </row>
    <row r="15">
      <c r="A15" s="130" t="inlineStr">
        <is>
          <t>Financing support</t>
        </is>
      </c>
      <c r="B15" s="130" t="inlineStr">
        <is>
          <t>Support for the development of the energy market ecosystem.</t>
        </is>
      </c>
    </row>
    <row r="16">
      <c r="A16" s="130" t="inlineStr">
        <is>
          <t>Medium Enterprises</t>
        </is>
      </c>
      <c r="B16" s="130" t="inlineStr">
        <is>
          <t>Support for the development of medium enterprises in the energy transition market.</t>
        </is>
      </c>
    </row>
    <row r="17">
      <c r="A17" s="130" t="inlineStr">
        <is>
          <t>Small Enterprises</t>
        </is>
      </c>
      <c r="B17" s="130" t="inlineStr">
        <is>
          <t>Support for the development of small enterprises in the energy transition market.</t>
        </is>
      </c>
    </row>
    <row r="18">
      <c r="A18" s="130" t="inlineStr">
        <is>
          <t>Capacity Building Training</t>
        </is>
      </c>
      <c r="B18" s="130" t="inlineStr">
        <is>
          <t>Number of people benefiting from training on energy business, energy finance, or related implementation capacity.</t>
        </is>
      </c>
    </row>
    <row r="19" ht="45.75" customHeight="1">
      <c r="A19" s="130" t="inlineStr">
        <is>
          <t>Entrepreneurship Training</t>
        </is>
      </c>
      <c r="B19" s="130" t="inlineStr">
        <is>
          <t>Training for enterprises on the energy business, assumed to result in direct beneficiaries.</t>
        </is>
      </c>
    </row>
    <row r="20">
      <c r="A20" s="130" t="inlineStr">
        <is>
          <t>Market Intervention</t>
        </is>
      </c>
      <c r="B20" s="130" t="inlineStr">
        <is>
          <t>Volume of investment leveraged or barriers removed for clean, reliable, affordable, and sustainable energy solutions.</t>
        </is>
      </c>
    </row>
    <row r="21" ht="30.75" customHeight="1">
      <c r="A21" s="130" t="inlineStr">
        <is>
          <t>Campaign Participant</t>
        </is>
      </c>
      <c r="B21" s="130" t="inlineStr">
        <is>
          <t>Individuals who participate in advocacy or awareness campaigns on energy.</t>
        </is>
      </c>
    </row>
    <row r="22">
      <c r="A22" s="130" t="inlineStr">
        <is>
          <t>Policy or Regulatory Framework</t>
        </is>
      </c>
      <c r="B22" s="130" t="inlineStr">
        <is>
          <t>Policies, regulations, strategies, plans, or frameworks developed, approved, implemented, or strengthened.</t>
        </is>
      </c>
    </row>
    <row r="23">
      <c r="A23" s="130" t="inlineStr">
        <is>
          <t>GHG Emissions Reduction</t>
        </is>
      </c>
      <c r="B23" s="130" t="inlineStr">
        <is>
          <t>Greenhouse gas emissions reduced or mitigated, in tCO2e.</t>
        </is>
      </c>
    </row>
    <row r="24">
      <c r="A24" s="130" t="inlineStr">
        <is>
          <t>Other</t>
        </is>
      </c>
      <c r="B24" s="130"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Jeanine Gadepeta</dc:creator>
  <dcterms:created xmlns:dcterms="http://purl.org/dc/terms/" xmlns:xsi="http://www.w3.org/2001/XMLSchema-instance" xsi:type="dcterms:W3CDTF">2023-05-05T09:33:41Z</dcterms:created>
  <dcterms:modified xmlns:dcterms="http://purl.org/dc/terms/" xmlns:xsi="http://www.w3.org/2001/XMLSchema-instance" xsi:type="dcterms:W3CDTF">2026-06-10T12:20:18Z</dcterms:modified>
  <cp:lastModifiedBy>Danae franco Lopera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