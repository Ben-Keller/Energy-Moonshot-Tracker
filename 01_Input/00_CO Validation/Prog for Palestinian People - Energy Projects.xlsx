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FF0000"/>
      <sz val="11"/>
      <scheme val="minor"/>
    </font>
    <font>
      <name val="Calibri"/>
      <b val="1"/>
      <color theme="1"/>
      <sz val="11"/>
      <scheme val="minor"/>
    </font>
    <font>
      <name val="Calibri"/>
      <color rgb="FF000000"/>
      <sz val="11"/>
      <scheme val="minor"/>
    </font>
    <font>
      <name val="Calibri"/>
      <family val="2"/>
      <color rgb="FF000000"/>
      <sz val="11"/>
    </font>
    <font>
      <name val="Calibri"/>
      <charset val="1"/>
      <family val="2"/>
      <color rgb="FF000000"/>
      <sz val="11"/>
    </font>
    <font>
      <name val="Calibri"/>
      <family val="2"/>
      <color rgb="FF0070C0"/>
      <sz val="11"/>
    </font>
    <font>
      <name val="Calibri"/>
      <family val="2"/>
      <color rgb="FF0000FF"/>
      <sz val="11"/>
      <u val="single"/>
    </font>
    <font>
      <name val="Calibri"/>
      <family val="2"/>
      <color theme="1"/>
      <sz val="11"/>
    </font>
    <font>
      <b val="1"/>
    </font>
  </fonts>
  <fills count="6">
    <fill>
      <patternFill/>
    </fill>
    <fill>
      <patternFill patternType="gray125"/>
    </fill>
    <fill>
      <patternFill patternType="solid">
        <fgColor rgb="FFFFE497"/>
        <bgColor indexed="64"/>
      </patternFill>
    </fill>
    <fill>
      <patternFill patternType="solid">
        <fgColor rgb="FFFFFF00"/>
        <bgColor rgb="FF000000"/>
      </patternFill>
    </fill>
    <fill>
      <patternFill patternType="solid">
        <fgColor rgb="FFFFFF00"/>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44">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2" fillId="0" borderId="0" pivotButton="0" quotePrefix="0" xfId="0"/>
    <xf numFmtId="0" fontId="0" fillId="2" borderId="0" applyAlignment="1" pivotButton="0" quotePrefix="0" xfId="0">
      <alignment wrapText="1"/>
    </xf>
    <xf numFmtId="3" fontId="0" fillId="2" borderId="0" pivotButton="0" quotePrefix="0" xfId="0"/>
    <xf numFmtId="0" fontId="0" fillId="0" borderId="0" applyAlignment="1" pivotButton="0" quotePrefix="0" xfId="0">
      <alignment wrapText="1"/>
    </xf>
    <xf numFmtId="0" fontId="4" fillId="0" borderId="0" pivotButton="0" quotePrefix="0" xfId="0"/>
    <xf numFmtId="0" fontId="5" fillId="0" borderId="2" applyAlignment="1" pivotButton="0" quotePrefix="0" xfId="0">
      <alignment horizontal="center" vertical="top" wrapText="1"/>
    </xf>
    <xf numFmtId="0" fontId="6" fillId="0" borderId="2" applyAlignment="1" pivotButton="0" quotePrefix="0" xfId="0">
      <alignment wrapText="1"/>
    </xf>
    <xf numFmtId="0" fontId="2" fillId="0" borderId="3" applyAlignment="1" pivotButton="0" quotePrefix="0" xfId="0">
      <alignment horizontal="left" vertical="top" wrapText="1"/>
    </xf>
    <xf numFmtId="43" fontId="2" fillId="0" borderId="3" applyAlignment="1" pivotButton="0" quotePrefix="0" xfId="0">
      <alignment horizontal="left" vertical="top" wrapText="1"/>
    </xf>
    <xf numFmtId="0" fontId="2" fillId="0" borderId="3" applyAlignment="1" pivotButton="0" quotePrefix="0" xfId="0">
      <alignment horizontal="left" vertical="top"/>
    </xf>
    <xf numFmtId="0" fontId="2" fillId="0" borderId="5" applyAlignment="1" pivotButton="0" quotePrefix="0" xfId="0">
      <alignment horizontal="left" vertical="top"/>
    </xf>
    <xf numFmtId="0" fontId="0" fillId="0" borderId="0" applyAlignment="1" pivotButton="0" quotePrefix="0" xfId="0">
      <alignment horizontal="left" vertical="top"/>
    </xf>
    <xf numFmtId="0" fontId="7" fillId="0" borderId="2" applyAlignment="1" pivotButton="0" quotePrefix="0" xfId="0">
      <alignment horizontal="left" vertical="top"/>
    </xf>
    <xf numFmtId="0" fontId="7" fillId="0" borderId="4" applyAlignment="1" pivotButton="0" quotePrefix="0" xfId="0">
      <alignment horizontal="left" vertical="top" wrapText="1"/>
    </xf>
    <xf numFmtId="0" fontId="3" fillId="0" borderId="4" applyAlignment="1" pivotButton="0" quotePrefix="0" xfId="1">
      <alignment horizontal="left" vertical="top" wrapText="1"/>
    </xf>
    <xf numFmtId="4" fontId="7" fillId="3" borderId="4" applyAlignment="1" pivotButton="0" quotePrefix="0" xfId="0">
      <alignment horizontal="left" vertical="top"/>
    </xf>
    <xf numFmtId="0" fontId="7" fillId="0" borderId="4" applyAlignment="1" pivotButton="0" quotePrefix="0" xfId="0">
      <alignment horizontal="left" vertical="top"/>
    </xf>
    <xf numFmtId="0" fontId="7" fillId="3" borderId="4" applyAlignment="1" pivotButton="0" quotePrefix="0" xfId="0">
      <alignment horizontal="left" vertical="top"/>
    </xf>
    <xf numFmtId="0" fontId="8" fillId="0" borderId="4" applyAlignment="1" pivotButton="0" quotePrefix="0" xfId="0">
      <alignment horizontal="left" vertical="top" wrapText="1"/>
    </xf>
    <xf numFmtId="10" fontId="7" fillId="3" borderId="4" applyAlignment="1" pivotButton="0" quotePrefix="0" xfId="0">
      <alignment horizontal="left" vertical="top"/>
    </xf>
    <xf numFmtId="0" fontId="7" fillId="3" borderId="6" applyAlignment="1" pivotButton="0" quotePrefix="0" xfId="0">
      <alignment horizontal="left" vertical="top"/>
    </xf>
    <xf numFmtId="0" fontId="7" fillId="3" borderId="7" applyAlignment="1" pivotButton="0" quotePrefix="0" xfId="0">
      <alignment horizontal="left" vertical="top" wrapText="1"/>
    </xf>
    <xf numFmtId="0" fontId="10" fillId="0" borderId="7" applyAlignment="1" pivotButton="0" quotePrefix="0" xfId="0">
      <alignment horizontal="left" vertical="top" wrapText="1"/>
    </xf>
    <xf numFmtId="4" fontId="9" fillId="3" borderId="7" applyAlignment="1" pivotButton="0" quotePrefix="0" xfId="0">
      <alignment horizontal="left" vertical="top"/>
    </xf>
    <xf numFmtId="0" fontId="7" fillId="3" borderId="7" applyAlignment="1" pivotButton="0" quotePrefix="0" xfId="0">
      <alignment horizontal="left" vertical="top"/>
    </xf>
    <xf numFmtId="0" fontId="7" fillId="0" borderId="7" applyAlignment="1" pivotButton="0" quotePrefix="0" xfId="0">
      <alignment horizontal="left" vertical="top"/>
    </xf>
    <xf numFmtId="0" fontId="8" fillId="0" borderId="7" applyAlignment="1" pivotButton="0" quotePrefix="0" xfId="0">
      <alignment horizontal="left" vertical="top" wrapText="1"/>
    </xf>
    <xf numFmtId="9" fontId="7" fillId="3" borderId="7" applyAlignment="1" pivotButton="0" quotePrefix="0" xfId="0">
      <alignment horizontal="left" vertical="top"/>
    </xf>
    <xf numFmtId="43" fontId="0" fillId="0" borderId="0" applyAlignment="1" pivotButton="0" quotePrefix="0" xfId="0">
      <alignment horizontal="left" vertical="top"/>
    </xf>
    <xf numFmtId="0" fontId="11" fillId="4" borderId="4" applyAlignment="1" pivotButton="0" quotePrefix="0" xfId="0">
      <alignment horizontal="left" vertical="top" wrapText="1"/>
    </xf>
    <xf numFmtId="0" fontId="11" fillId="4" borderId="7" applyAlignment="1" pivotButton="0" quotePrefix="0" xfId="0">
      <alignment horizontal="left" vertical="top"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 fontId="7" fillId="5" borderId="4" applyAlignment="1" pivotButton="0" quotePrefix="0" xfId="0">
      <alignment horizontal="left" vertical="top"/>
    </xf>
    <xf numFmtId="0" fontId="7" fillId="5" borderId="4" applyAlignment="1" pivotButton="0" quotePrefix="0" xfId="0">
      <alignment horizontal="left" vertical="top"/>
    </xf>
    <xf numFmtId="4" fontId="9" fillId="5" borderId="7" applyAlignment="1" pivotButton="0" quotePrefix="0" xfId="0">
      <alignment horizontal="left" vertical="top"/>
    </xf>
    <xf numFmtId="0" fontId="7" fillId="5" borderId="7" applyAlignment="1" pivotButton="0" quotePrefix="0" xfId="0">
      <alignment horizontal="left" vertical="top"/>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32972"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0474" TargetMode="External" Id="rId1"/><Relationship Type="http://schemas.openxmlformats.org/officeDocument/2006/relationships/hyperlink" Target="http://open.undp.org/projects/00121913" TargetMode="External" Id="rId2"/></Relationships>
</file>

<file path=xl/worksheets/sheet1.xml><?xml version="1.0" encoding="utf-8"?>
<worksheet xmlns="http://schemas.openxmlformats.org/spreadsheetml/2006/main">
  <sheetPr>
    <outlinePr summaryBelow="1" summaryRight="1"/>
    <pageSetUpPr/>
  </sheetPr>
  <dimension ref="A1:X5"/>
  <sheetViews>
    <sheetView tabSelected="1" topLeftCell="C1" workbookViewId="0">
      <selection activeCell="A2" sqref="A2:XFD3"/>
    </sheetView>
  </sheetViews>
  <sheetFormatPr baseColWidth="8" defaultRowHeight="15"/>
  <cols>
    <col width="9.140625" customWidth="1" style="15" min="1" max="1"/>
    <col width="50.85546875" customWidth="1" style="15" min="2" max="2"/>
    <col width="20.7109375" customWidth="1" style="15" min="3" max="3"/>
    <col width="17.5703125" customWidth="1" style="32" min="4" max="4"/>
    <col width="17.5703125" customWidth="1" style="15" min="5" max="6"/>
    <col width="17.5703125" customWidth="1" min="6" max="6"/>
    <col width="17.5703125" customWidth="1" style="15" min="7" max="7"/>
    <col width="17.5703125" customWidth="1" style="32" min="8" max="8"/>
    <col width="68.140625" customWidth="1" style="15" min="9" max="9"/>
    <col width="13" customWidth="1" style="15" min="10" max="11"/>
    <col width="12.85546875" bestFit="1" customWidth="1" style="15" min="12" max="12"/>
    <col width="32.7109375" customWidth="1" style="15" min="13" max="22"/>
    <col width="9.140625" customWidth="1" style="15" min="23" max="16384"/>
  </cols>
  <sheetData>
    <row r="1" ht="31.5" customHeight="1">
      <c r="A1" s="11" t="inlineStr">
        <is>
          <t>Project ID</t>
        </is>
      </c>
      <c r="B1" s="11" t="inlineStr">
        <is>
          <t>Title</t>
        </is>
      </c>
      <c r="C1" s="11" t="inlineStr">
        <is>
          <t>Link</t>
        </is>
      </c>
      <c r="D1" s="12" t="inlineStr">
        <is>
          <t>Budget</t>
        </is>
      </c>
      <c r="E1" s="12" t="inlineStr">
        <is>
          <t>Start Year</t>
        </is>
      </c>
      <c r="F1" s="12" t="inlineStr">
        <is>
          <t>End Year</t>
        </is>
      </c>
      <c r="G1" s="12" t="inlineStr">
        <is>
          <t>Status</t>
        </is>
      </c>
      <c r="H1" s="12" t="inlineStr">
        <is>
          <t>VF or Non-VF</t>
        </is>
      </c>
      <c r="I1" s="11" t="inlineStr">
        <is>
          <t>Beneficiary Category</t>
        </is>
      </c>
      <c r="J1" s="11" t="inlineStr">
        <is>
          <t>Indicator</t>
        </is>
      </c>
      <c r="K1" s="11" t="inlineStr">
        <is>
          <t>Baseline</t>
        </is>
      </c>
      <c r="L1" s="12" t="inlineStr">
        <is>
          <t>Target</t>
        </is>
      </c>
      <c r="M1" s="11" t="inlineStr">
        <is>
          <t>Notes</t>
        </is>
      </c>
      <c r="N1" s="11" t="inlineStr">
        <is>
          <t>Donors</t>
        </is>
      </c>
      <c r="O1" s="11" t="inlineStr">
        <is>
          <t>Gender (% female)</t>
        </is>
      </c>
      <c r="P1" s="13" t="inlineStr">
        <is>
          <t>Tag</t>
        </is>
      </c>
      <c r="Q1" s="13" t="inlineStr">
        <is>
          <t>SEH Taxonomy</t>
        </is>
      </c>
      <c r="R1" s="13" t="inlineStr">
        <is>
          <t>RISE Taxonomy</t>
        </is>
      </c>
      <c r="S1" s="13" t="inlineStr">
        <is>
          <t>Flagship</t>
        </is>
      </c>
      <c r="T1" s="13" t="inlineStr">
        <is>
          <t>Indirect Category</t>
        </is>
      </c>
      <c r="U1" s="14" t="inlineStr">
        <is>
          <t>Indirect Taxonomy</t>
        </is>
      </c>
      <c r="V1" s="13" t="inlineStr">
        <is>
          <t>Technology</t>
        </is>
      </c>
      <c r="W1" s="14" t="inlineStr">
        <is>
          <t>Policy or Regulatory Framework</t>
        </is>
      </c>
      <c r="X1" s="13" t="inlineStr">
        <is>
          <t>Policy Population</t>
        </is>
      </c>
    </row>
    <row r="2" ht="396.75" customHeight="1">
      <c r="A2" s="16" t="n">
        <v>132972</v>
      </c>
      <c r="B2" s="17" t="inlineStr">
        <is>
          <t>GO SOLAR| Renewable Energy Investments at Education and Public Facilities in East Jerusalem</t>
        </is>
      </c>
      <c r="C2" s="18" t="inlineStr">
        <is>
          <t>http://open.undp.org/projects/00132972</t>
        </is>
      </c>
      <c r="D2" s="19" t="n">
        <v>3278000</v>
      </c>
      <c r="E2" s="38" t="n"/>
      <c r="F2" s="38" t="n"/>
      <c r="G2" s="38" t="n"/>
      <c r="H2" s="19" t="inlineStr">
        <is>
          <t>Non-VF</t>
        </is>
      </c>
      <c r="I2" s="20" t="inlineStr">
        <is>
          <t>Education Services</t>
        </is>
      </c>
      <c r="J2" s="20" t="inlineStr">
        <is>
          <t>MW</t>
        </is>
      </c>
      <c r="K2" s="20" t="n">
        <v>0</v>
      </c>
      <c r="L2" s="21" t="n">
        <v>1.6</v>
      </c>
      <c r="M2" s="22" t="inlineStr">
        <is>
          <t>The project aims to reduce the operational costs of education and public facilities in East Jerusalem through investments in renewable energy, primarily solar systems installed on rooftops and in external yards, with an estimated capacity of 1.6 MWp, in addition to investments in energy efficiency.
Such investments will generate clean energy while also contributing to decreasing electricity expenses of schools and local CSO’s.
Consequently, this will be generating savings, which in turn can be utilized for maintenance, covering operational expenses, quality education and development purposes. Some of facilities will be benefited from energy efficiency activities, to reduce the electricity consumption, as well as upgrading electricity networks and installations.
Investments in solar energy will also raise students’, educators’ and communities’ awareness about promoting renewable energy, mitigating climate change, reducing carbon emissions (carbon footprint) and protecting the environment at large.
Overall, the project intends to support the transition of East Jerusalem schools’ and selected public institutions towards green and renewable energy, which can also significantly contribute to and strengthen schools’ and local systems resilience and self-reliance.
The project will target 20 schools, 3 hospitals and 7 public facilities.</t>
        </is>
      </c>
      <c r="N2" s="21" t="inlineStr">
        <is>
          <t>Norway</t>
        </is>
      </c>
      <c r="O2" s="23" t="n">
        <v>0.63</v>
      </c>
      <c r="P2" s="33" t="inlineStr">
        <is>
          <t xml:space="preserve">1. Installation of solar PV systems at 20 schools, 3 hospitals and 7 public facilities (1.6 MWp total)
2. Implementation of Energy Efficiency (EE) measures (lighting, ICT, HVAC)
3. Pay-for-Production Business Model &amp; Revolving Fund (MoU 2025)
4. </t>
        </is>
      </c>
      <c r="Q2" s="33" t="inlineStr">
        <is>
          <t>1. Improves school environments, reduces pollution, supports community well-being
2. Reduces energy use and improves working/study conditions
3.Promotes institutional sustainability</t>
        </is>
      </c>
      <c r="R2" s="33" t="inlineStr">
        <is>
          <t>1. Enhances resilience of schools, promotes sustainability, and boosts energy efficiency
2. Efficiency and Sustainability through upgraded systems
3. Resilience and Sustainability</t>
        </is>
      </c>
      <c r="S2" s="33" t="inlineStr">
        <is>
          <t>Flagship / Go Solar Initiative</t>
        </is>
      </c>
      <c r="T2" s="33" t="inlineStr">
        <is>
          <t>Climate Change Mitigation / Education Infrastructure
Financial Sustainability / Institutional Strengthening</t>
        </is>
      </c>
      <c r="U2" s="33" t="inlineStr">
        <is>
          <t>SDG 7 (Affordable and Clean Energy), SDG 13 (Climate Action), SDG 4 (Quality Education)</t>
        </is>
      </c>
      <c r="V2" s="33" t="inlineStr">
        <is>
          <t>1.Rooftop Solar PV systems (869 kWp) with Pay for Production grid connection
2.LED lighting (3,784 units replaced), ICT equipment (PCs, printers, interactive screens), efficient HVAC</t>
        </is>
      </c>
      <c r="W2" s="33" t="inlineStr">
        <is>
          <t>Israeli Electricity Authority Decision No. 62002 (2021); JDECO regulations
PENRA Energy Efficiency Strategy and MoE</t>
        </is>
      </c>
      <c r="X2" s="33" t="inlineStr">
        <is>
          <t>MoE, MoF, Awqaf General Department – East Jerusalem Schools</t>
        </is>
      </c>
    </row>
    <row r="3" ht="409.6" customHeight="1">
      <c r="A3" s="16" t="n"/>
      <c r="B3" s="17" t="n"/>
      <c r="C3" s="18" t="n"/>
      <c r="D3" s="19" t="n"/>
      <c r="E3" s="19" t="n"/>
      <c r="F3" s="19" t="n"/>
      <c r="G3" s="19" t="n"/>
      <c r="H3" s="19" t="n"/>
      <c r="I3" s="20" t="inlineStr">
        <is>
          <t>Energy (MW added)</t>
        </is>
      </c>
      <c r="J3" s="20" t="inlineStr">
        <is>
          <t>Installed capacity in MW for access/productive-use outputs</t>
        </is>
      </c>
      <c r="K3" s="39" t="n">
        <v>0</v>
      </c>
      <c r="L3" s="39" t="n"/>
      <c r="M3" s="22" t="n"/>
      <c r="N3" s="21" t="n"/>
      <c r="O3" s="23" t="n"/>
      <c r="P3" s="33" t="n"/>
      <c r="Q3" s="33" t="n"/>
      <c r="R3" s="33" t="n"/>
      <c r="S3" s="33" t="n"/>
      <c r="T3" s="33" t="n"/>
      <c r="U3" s="33" t="n"/>
      <c r="V3" s="33" t="n"/>
      <c r="W3" s="33" t="n"/>
      <c r="X3" s="33" t="n"/>
    </row>
    <row r="4">
      <c r="A4" s="24" t="n">
        <v>1003568</v>
      </c>
      <c r="B4" s="25" t="inlineStr">
        <is>
          <t>Water Energy Food (WEF) Nexus in the West Bank</t>
        </is>
      </c>
      <c r="C4" s="26" t="inlineStr">
        <is>
          <t xml:space="preserve"> </t>
        </is>
      </c>
      <c r="D4" s="27" t="n">
        <v>3279892.45</v>
      </c>
      <c r="E4" s="40" t="n"/>
      <c r="F4" s="40" t="n"/>
      <c r="G4" s="40" t="n"/>
      <c r="H4" s="27" t="inlineStr">
        <is>
          <t>Non-VF</t>
        </is>
      </c>
      <c r="I4" s="28" t="inlineStr">
        <is>
          <t>Water Services</t>
        </is>
      </c>
      <c r="J4" s="29" t="inlineStr">
        <is>
          <t>MW</t>
        </is>
      </c>
      <c r="K4" s="29" t="n">
        <v>0</v>
      </c>
      <c r="L4" s="28" t="n">
        <v>3.5</v>
      </c>
      <c r="M4" s="30" t="inlineStr">
        <is>
          <t xml:space="preserve">The Water-Energy-Food (WEF) Nexus project responds directly to several pressing challenges faced by communities in the West Bank. The region experiences chronic water scarcity due to limited natural resources, growing population demands, and the effects of climate change, which together place immense pressure on existing water infrastructure. Furthermore, the high cost and unreliable supply of conventional energy further complicate the delivery of water services. These intertwined issues threaten food security, limit economic opportunities, and hinder community resilience.
To address these obstacles, the project will introduce solar-powered water wells ( in the design stage to target 27 water facility , In implementation stage under the avilable resources : 15 water facilitites to be targeted, generating 1800 Kwp) , leveraging renewable energy to ensure more reliable and sustainable water supply. By integrating solar technology and energy-efficient systems, the initiative seeks to reduce operational costs, lower dependencies on fossil fuels, and enhance the resilience of water facilities throughout the West Bank.
Beyond infrastructure upgrades, the project is committed to strengthening the institutional and technical capacities of the Palestinian Water Authority (PWA), the National Water Company/West Bank Water Department (NWC/WBWD), and the Palestinian Energy and Natural Resources Authority (PENRA). This capacity building includes technical training, the creation of a Resilience Fund for sustainable investment, and improved operational procedures.
By embracing innovative technology, building local expertise, and fostering cooperative management of resources, the WEF Nexus project aspires to deliver long-lasting improvements in water access, energy efficiency, and agricultural productivity—ultimately enhancing the well-being and resilience of communities across the West Bank. </t>
        </is>
      </c>
      <c r="N4" s="28" t="inlineStr">
        <is>
          <t>Norway</t>
        </is>
      </c>
      <c r="O4" s="31" t="n">
        <v>0.49</v>
      </c>
      <c r="P4" s="34" t="inlineStr">
        <is>
          <t xml:space="preserve">Output1:  Solar PV system is developed and operationalized including energy efficiency measures at the identified water facilities in the north and south of the West Bank
Output 2: Resilience fund for wells’ sustainable operation established and operationalized </t>
        </is>
      </c>
      <c r="Q4" s="34" t="inlineStr">
        <is>
          <t>1. improves community services, protects environment,
 2. enhances operational safety
institutional strengthening,
3. sustainable resource use
gender and community empowerment</t>
        </is>
      </c>
      <c r="R4" s="34" t="inlineStr">
        <is>
          <t>1. resilience of water services, sustainability through renewables, efficiency in energy use
2. Resilience of institutions, sustainability of assets
3. inclusive participation and resilience through knowledge</t>
        </is>
      </c>
      <c r="S4" s="34" t="inlineStr">
        <is>
          <t>WEF Nexus Flagship Programme – Sustainable Natural Resources Management</t>
        </is>
      </c>
      <c r="T4" s="34" t="inlineStr">
        <is>
          <t>1. Capacity Development / Climate Change Mitigation
2. Institutional Strengthening / Governance
3. Knowledge Management / Gender Mainstreaming</t>
        </is>
      </c>
      <c r="U4" s="34" t="inlineStr">
        <is>
          <t>1. SDG 7 (Affordable and Clean Energy); SDG 13 (Climate Action)
2. SDG 6 (Clean Water and Sanitation); SDG 16 (Institutional Capacity and Accountability)</t>
        </is>
      </c>
      <c r="V4" s="34" t="inlineStr">
        <is>
          <t>1. Solar photovoltaic systems (1.8 MW) and digital monitoring platform
2. Financial and digital management tools for Resilience Fund operations
3. outreach tools</t>
        </is>
      </c>
      <c r="W4" s="34" t="inlineStr">
        <is>
          <t>Palestine comprehensive economic development: energy security and transition to renewable energy, and water security are among the key strategic initiatives to enhance self-reliance and building sustainable and resilient economy.
MoF–PWA Legal Framework for Resilience Fund; Public Finance Management Regulations</t>
        </is>
      </c>
      <c r="X4" s="34" t="inlineStr">
        <is>
          <t>PWA, WBWD, MoF, DISCOs, national utilities</t>
        </is>
      </c>
    </row>
    <row r="5">
      <c r="A5" s="24" t="n"/>
      <c r="B5" s="25" t="n"/>
      <c r="C5" s="26" t="n"/>
      <c r="D5" s="27" t="n"/>
      <c r="E5" s="27" t="n"/>
      <c r="F5" s="27" t="n"/>
      <c r="G5" s="27" t="n"/>
      <c r="H5" s="27" t="n"/>
      <c r="I5" s="28" t="inlineStr">
        <is>
          <t>Energy (MW added)</t>
        </is>
      </c>
      <c r="J5" s="29" t="inlineStr">
        <is>
          <t>Installed capacity in MW for access/productive-use outputs</t>
        </is>
      </c>
      <c r="K5" s="41" t="n">
        <v>0</v>
      </c>
      <c r="L5" s="41" t="n"/>
      <c r="M5" s="30" t="n"/>
      <c r="N5" s="28" t="n"/>
      <c r="O5" s="31" t="n"/>
      <c r="P5" s="34" t="n"/>
      <c r="Q5" s="34" t="n"/>
      <c r="R5" s="34" t="n"/>
      <c r="S5" s="34" t="n"/>
      <c r="T5" s="34" t="n"/>
      <c r="U5" s="34" t="n"/>
      <c r="V5" s="34" t="n"/>
      <c r="W5" s="34" t="n"/>
      <c r="X5" s="34" t="n"/>
    </row>
  </sheetData>
  <dataValidations count="1">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2"/>
  <sheetViews>
    <sheetView topLeftCell="H5" workbookViewId="0">
      <selection activeCell="H5" sqref="H5"/>
    </sheetView>
  </sheetViews>
  <sheetFormatPr baseColWidth="8" defaultRowHeight="15"/>
  <cols>
    <col width="50.85546875" customWidth="1" min="2" max="2"/>
    <col width="20.710937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4" t="inlineStr">
        <is>
          <t>Donors</t>
        </is>
      </c>
    </row>
    <row r="2">
      <c r="A2" t="n">
        <v>120474</v>
      </c>
      <c r="B2" t="inlineStr">
        <is>
          <t>Transition to sustainable energy and economy</t>
        </is>
      </c>
      <c r="C2" s="2" t="inlineStr">
        <is>
          <t>http://open.undp.org/projects/00120474</t>
        </is>
      </c>
      <c r="D2" t="n">
        <v>662997</v>
      </c>
      <c r="E2" s="3" t="n"/>
      <c r="F2" s="3" t="n"/>
      <c r="G2" s="3" t="n"/>
      <c r="H2" s="3" t="n"/>
      <c r="I2" s="5" t="n"/>
    </row>
    <row r="3" ht="60.75" customHeight="1">
      <c r="C3" s="2" t="n"/>
      <c r="E3" s="3" t="inlineStr">
        <is>
          <t>Education Services</t>
        </is>
      </c>
      <c r="F3" s="3" t="inlineStr">
        <is>
          <t xml:space="preserve">number of female students benefitted from access to solar energy </t>
        </is>
      </c>
      <c r="G3" s="3" t="n">
        <v>0</v>
      </c>
      <c r="H3" s="3" t="n">
        <v>3451</v>
      </c>
      <c r="I3" s="5" t="inlineStr">
        <is>
          <t xml:space="preserve">Output 116664: status: completed, 3451 female students in the Gaza Strip has improved learning environment </t>
        </is>
      </c>
      <c r="J3" t="inlineStr">
        <is>
          <t>Japan</t>
        </is>
      </c>
    </row>
    <row r="4">
      <c r="C4" s="2" t="n"/>
      <c r="E4" s="3" t="n"/>
      <c r="F4" s="3" t="inlineStr">
        <is>
          <t>KWh generated</t>
        </is>
      </c>
      <c r="G4" s="3" t="n">
        <v>0</v>
      </c>
      <c r="H4" s="6" t="n">
        <v>0.025</v>
      </c>
      <c r="I4" s="5" t="inlineStr">
        <is>
          <t>25KWP installed in 3 schools</t>
        </is>
      </c>
    </row>
    <row r="5" ht="76.5" customHeight="1">
      <c r="C5" s="2" t="n"/>
      <c r="E5" s="3" t="inlineStr">
        <is>
          <t>Energy (MW added)</t>
        </is>
      </c>
      <c r="F5" s="3" t="inlineStr">
        <is>
          <t xml:space="preserve">MWh generated </t>
        </is>
      </c>
      <c r="G5" s="3" t="n">
        <v>0</v>
      </c>
      <c r="H5" s="6" t="n">
        <v>1</v>
      </c>
      <c r="I5" s="5" t="inlineStr">
        <is>
          <t>Output 127570: Status: completed, a detailed to install 1 MWP solar canopies system in Jericho Isteraha prepared in consultation with stakeholders.</t>
        </is>
      </c>
      <c r="J5" t="inlineStr">
        <is>
          <t>Japan</t>
        </is>
      </c>
    </row>
    <row r="6" ht="60.75" customHeight="1">
      <c r="C6" s="2" t="n"/>
      <c r="E6" s="3" t="inlineStr">
        <is>
          <t>Energy (MW added)</t>
        </is>
      </c>
      <c r="F6" s="3" t="inlineStr">
        <is>
          <t xml:space="preserve">MWh generated </t>
        </is>
      </c>
      <c r="G6" s="3" t="n">
        <v>0</v>
      </c>
      <c r="H6" s="6" t="n">
        <v>0</v>
      </c>
      <c r="I6" s="5" t="inlineStr">
        <is>
          <t>status: cancelled, The project was cancelled in 2022 due to change in development of parking system at the Isteraha in Jericho.</t>
        </is>
      </c>
      <c r="J6" t="inlineStr">
        <is>
          <t>Japan</t>
        </is>
      </c>
    </row>
    <row r="7">
      <c r="C7" s="2" t="n"/>
      <c r="E7" s="3" t="n"/>
      <c r="F7" s="3" t="n"/>
      <c r="G7" s="3" t="n"/>
      <c r="H7" s="6" t="n"/>
      <c r="I7" s="5" t="n"/>
    </row>
    <row r="8">
      <c r="A8" t="n">
        <v>121913</v>
      </c>
      <c r="B8" t="inlineStr">
        <is>
          <t>Solar Energy System for KY WWTP</t>
        </is>
      </c>
      <c r="C8" s="2" t="inlineStr">
        <is>
          <t>http://open.undp.org/projects/00121913</t>
        </is>
      </c>
      <c r="D8" t="n">
        <v>2348907</v>
      </c>
      <c r="E8" s="3" t="n"/>
      <c r="F8" s="3" t="n"/>
      <c r="G8" s="3" t="n"/>
      <c r="H8" s="3" t="n"/>
      <c r="I8" s="3" t="n"/>
    </row>
    <row r="9" ht="198" customHeight="1">
      <c r="E9" t="inlineStr">
        <is>
          <t>Water Services</t>
        </is>
      </c>
      <c r="F9" t="inlineStr">
        <is>
          <t xml:space="preserve">MWh generated </t>
        </is>
      </c>
      <c r="G9" t="n">
        <v>0</v>
      </c>
      <c r="H9" t="n">
        <v>1878</v>
      </c>
      <c r="I9" s="7" t="inlineStr">
        <is>
          <t xml:space="preserve">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
        </is>
      </c>
      <c r="J9" t="inlineStr">
        <is>
          <t>Norway</t>
        </is>
      </c>
    </row>
    <row r="11">
      <c r="B11" s="8" t="inlineStr">
        <is>
          <t>For project 121913 does the target 1878 refer to an estimate of beneficiaries? Please explain further</t>
        </is>
      </c>
      <c r="I11" t="inlineStr">
        <is>
          <t xml:space="preserve">the WWTP will serve around 413,000 people in Khan Younis Governorate </t>
        </is>
      </c>
    </row>
    <row r="12">
      <c r="I12" t="inlineStr">
        <is>
          <t>the target 1,878 MWH is the generated clean energy from installing 1.3 MWp solar station</t>
        </is>
      </c>
    </row>
  </sheetData>
  <hyperlinks>
    <hyperlink xmlns:r="http://schemas.openxmlformats.org/officeDocument/2006/relationships" ref="C2" r:id="rId1"/>
    <hyperlink xmlns:r="http://schemas.openxmlformats.org/officeDocument/2006/relationships" ref="C8"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42" t="inlineStr">
        <is>
          <t>Beneficiary Category</t>
        </is>
      </c>
      <c r="B1" s="42" t="inlineStr">
        <is>
          <t>Indicator</t>
        </is>
      </c>
    </row>
    <row r="2" ht="45.75" customHeight="1">
      <c r="A2" s="43" t="inlineStr">
        <is>
          <t>Electricity Access</t>
        </is>
      </c>
      <c r="B2" s="43" t="inlineStr">
        <is>
          <t>Number of people, disaggregated by sex, who gain access to clean electricity (direct access to electricity, lighting, cooling, etc.).</t>
        </is>
      </c>
    </row>
    <row r="3">
      <c r="A3" s="43" t="inlineStr">
        <is>
          <t>Energy (MW added)</t>
        </is>
      </c>
      <c r="B3" s="43" t="inlineStr">
        <is>
          <t>Installed renewable or clean-energy power capacity added, in MW.</t>
        </is>
      </c>
    </row>
    <row r="4" ht="30.75" customHeight="1">
      <c r="A4" s="43" t="inlineStr">
        <is>
          <t>Energy Storage (MW)</t>
        </is>
      </c>
      <c r="B4" s="43" t="inlineStr">
        <is>
          <t>Installed energy storage power capacity added, in MW.</t>
        </is>
      </c>
    </row>
    <row r="5" ht="30.75" customHeight="1">
      <c r="A5" s="43" t="inlineStr">
        <is>
          <t>Clean Cooking</t>
        </is>
      </c>
      <c r="B5" s="43" t="inlineStr">
        <is>
          <t>Number of people who gain access to clean cooking (direct access to clean cook stoves, clean fuels, biomass, etc.).</t>
        </is>
      </c>
    </row>
    <row r="6" ht="91.5" customHeight="1">
      <c r="A6" s="43" t="inlineStr">
        <is>
          <t>Clean Heating</t>
        </is>
      </c>
      <c r="B6" s="43" t="inlineStr">
        <is>
          <t>Number of people who gain access to clean heating (direct access to clean electric heaters, clean fuels, etc.).</t>
        </is>
      </c>
    </row>
    <row r="7" ht="45.75" customHeight="1">
      <c r="A7" s="43" t="inlineStr">
        <is>
          <t>Agriculture and Food System</t>
        </is>
      </c>
      <c r="B7" s="43" t="inlineStr">
        <is>
          <t>Number of people who gain access to clean, affordable, and sustainable energy for agricultural and food-system activities.</t>
        </is>
      </c>
    </row>
    <row r="8" ht="45.75" customHeight="1">
      <c r="A8" s="43" t="inlineStr">
        <is>
          <t>Health Services</t>
        </is>
      </c>
      <c r="B8" s="43" t="inlineStr">
        <is>
          <t>Number of people who gain access to health care facilities through clean energy systems.</t>
        </is>
      </c>
    </row>
    <row r="9" ht="45.75" customHeight="1">
      <c r="A9" s="43" t="inlineStr">
        <is>
          <t>Water Services</t>
        </is>
      </c>
      <c r="B9" s="43" t="inlineStr">
        <is>
          <t>Number of people who gain access to water services through clean energy systems.</t>
        </is>
      </c>
    </row>
    <row r="10" ht="30.75" customHeight="1">
      <c r="A10" s="43" t="inlineStr">
        <is>
          <t>Education Services</t>
        </is>
      </c>
      <c r="B10" s="43" t="inlineStr">
        <is>
          <t>Number of people who gain access to education services through clean energy systems, including students and teachers.</t>
        </is>
      </c>
    </row>
    <row r="11" ht="30.75" customHeight="1">
      <c r="A11" s="43" t="inlineStr">
        <is>
          <t>Transportation and E-mobility Services</t>
        </is>
      </c>
      <c r="B11" s="43" t="inlineStr">
        <is>
          <t>Number of people served or energy saved from transport and e-mobility interventions, such as electric vehicles or charging stations.</t>
        </is>
      </c>
    </row>
    <row r="12" ht="45.75" customHeight="1">
      <c r="A12" s="43" t="inlineStr">
        <is>
          <t>Energy Efficiency Services</t>
        </is>
      </c>
      <c r="B12" s="43" t="inlineStr">
        <is>
          <t>Energy saved from energy-efficiency interventions, such as building or industrial efficiency.</t>
        </is>
      </c>
    </row>
    <row r="13" ht="30.75" customHeight="1">
      <c r="A13" s="43" t="inlineStr">
        <is>
          <t>Energy Infrastructure Services</t>
        </is>
      </c>
      <c r="B13" s="43" t="inlineStr">
        <is>
          <t>Number of people benefiting from energy infrastructure interventions, such as streetlights, transmission, and distribution lines.</t>
        </is>
      </c>
    </row>
    <row r="14">
      <c r="A14" s="43" t="inlineStr">
        <is>
          <t>Other Energy Services</t>
        </is>
      </c>
      <c r="B14" s="43" t="inlineStr">
        <is>
          <t>Access to other energy services not captured by the categories above.</t>
        </is>
      </c>
    </row>
    <row r="15" ht="30.75" customHeight="1">
      <c r="A15" s="43" t="inlineStr">
        <is>
          <t>Financing support</t>
        </is>
      </c>
      <c r="B15" s="43" t="inlineStr">
        <is>
          <t>Support for the development of the energy market ecosystem.</t>
        </is>
      </c>
    </row>
    <row r="16" ht="30.75" customHeight="1">
      <c r="A16" s="43" t="inlineStr">
        <is>
          <t>Medium Enterprises</t>
        </is>
      </c>
      <c r="B16" s="43" t="inlineStr">
        <is>
          <t>Support for the development of medium enterprises in the energy transition market.</t>
        </is>
      </c>
    </row>
    <row r="17" ht="30.75" customHeight="1">
      <c r="A17" s="43" t="inlineStr">
        <is>
          <t>Small Enterprises</t>
        </is>
      </c>
      <c r="B17" s="43" t="inlineStr">
        <is>
          <t>Support for the development of small enterprises in the energy transition market.</t>
        </is>
      </c>
    </row>
    <row r="18" ht="30.75" customHeight="1">
      <c r="A18" s="43" t="inlineStr">
        <is>
          <t>Capacity Building Training</t>
        </is>
      </c>
      <c r="B18" s="43" t="inlineStr">
        <is>
          <t>Number of people benefiting from training on energy business, energy finance, or related implementation capacity.</t>
        </is>
      </c>
    </row>
    <row r="19" ht="76.5" customHeight="1">
      <c r="A19" s="43" t="inlineStr">
        <is>
          <t>Entrepreneurship Training</t>
        </is>
      </c>
      <c r="B19" s="43" t="inlineStr">
        <is>
          <t>Training for enterprises on the energy business, assumed to result in direct beneficiaries.</t>
        </is>
      </c>
    </row>
    <row r="20" ht="30.75" customHeight="1">
      <c r="A20" s="43" t="inlineStr">
        <is>
          <t>Market Intervention</t>
        </is>
      </c>
      <c r="B20" s="43" t="inlineStr">
        <is>
          <t>Volume of investment leveraged or barriers removed for clean, reliable, affordable, and sustainable energy solutions.</t>
        </is>
      </c>
    </row>
    <row r="21" ht="45.75" customHeight="1">
      <c r="A21" s="43" t="inlineStr">
        <is>
          <t>Campaign Participant</t>
        </is>
      </c>
      <c r="B21" s="43" t="inlineStr">
        <is>
          <t>Individuals who participate in advocacy or awareness campaigns on energy.</t>
        </is>
      </c>
    </row>
    <row r="22" ht="30.75" customHeight="1">
      <c r="A22" s="43" t="inlineStr">
        <is>
          <t>Policy or Regulatory Framework</t>
        </is>
      </c>
      <c r="B22" s="43" t="inlineStr">
        <is>
          <t>Policies, regulations, strategies, plans, or frameworks developed, approved, implemented, or strengthened.</t>
        </is>
      </c>
    </row>
    <row r="23">
      <c r="A23" s="43" t="inlineStr">
        <is>
          <t>GHG Emissions Reduction</t>
        </is>
      </c>
      <c r="B23" s="43" t="inlineStr">
        <is>
          <t>Greenhouse gas emissions reduced or mitigated, in tCO2e.</t>
        </is>
      </c>
    </row>
    <row r="24">
      <c r="A24" s="43" t="inlineStr">
        <is>
          <t>Other</t>
        </is>
      </c>
      <c r="B24" s="4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2026-06-10T12:20:17Z</dcterms:modified>
  <cp:lastModifiedBy>Manar Shehadeh</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