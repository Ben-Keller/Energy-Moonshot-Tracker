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0370" yWindow="-4725" windowWidth="29040" windowHeight="1572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1">
    <numFmt numFmtId="164" formatCode="_([$$-409]* #,##0.00_);_([$$-409]* \(#,##0.00\);_([$$-409]* &quot;-&quot;??_);_(@_)"/>
  </numFmts>
  <fonts count="12">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scheme val="minor"/>
    </font>
    <font>
      <name val="Calibri"/>
      <family val="2"/>
      <b val="1"/>
      <color rgb="FFFF0000"/>
      <sz val="11"/>
    </font>
    <font>
      <name val="Calibri"/>
      <family val="2"/>
      <b val="1"/>
      <color rgb="FFFF0000"/>
      <sz val="11"/>
      <scheme val="minor"/>
    </font>
    <font>
      <name val="Calibri"/>
      <charset val="1"/>
      <family val="2"/>
      <color theme="1"/>
      <sz val="11"/>
    </font>
    <font>
      <name val="Calibri"/>
      <charset val="1"/>
      <color rgb="FF000000"/>
      <sz val="11"/>
    </font>
    <font>
      <name val="Calibri"/>
      <b val="1"/>
      <color theme="1"/>
      <sz val="11"/>
      <scheme val="minor"/>
    </font>
    <font>
      <name val="Calibri"/>
      <color rgb="FF000000"/>
      <sz val="11"/>
      <scheme val="minor"/>
    </font>
    <font>
      <name val="Calibri"/>
      <color rgb="FFFF0000"/>
      <sz val="11"/>
      <scheme val="minor"/>
    </font>
    <font>
      <b val="1"/>
    </font>
  </fonts>
  <fills count="4">
    <fill>
      <patternFill/>
    </fill>
    <fill>
      <patternFill patternType="gray125"/>
    </fill>
    <fill>
      <patternFill patternType="solid">
        <fgColor rgb="FFFFE497"/>
        <bgColor indexed="64"/>
      </patternFill>
    </fill>
    <fill>
      <patternFill patternType="solid">
        <fgColor rgb="00FFFF00"/>
      </patternFill>
    </fill>
  </fills>
  <borders count="14">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rgb="FF000000"/>
      </right>
      <top/>
      <bottom/>
      <diagonal/>
    </border>
  </borders>
  <cellStyleXfs count="2">
    <xf numFmtId="0" fontId="0" fillId="0" borderId="0"/>
    <xf numFmtId="0" fontId="3" fillId="0" borderId="0"/>
  </cellStyleXfs>
  <cellXfs count="67">
    <xf numFmtId="0" fontId="0" fillId="0" borderId="0" pivotButton="0" quotePrefix="0" xfId="0"/>
    <xf numFmtId="0" fontId="2" fillId="0" borderId="1" applyAlignment="1" pivotButton="0" quotePrefix="0" xfId="0">
      <alignment horizontal="center" vertical="center" wrapText="1"/>
    </xf>
    <xf numFmtId="0" fontId="0" fillId="0" borderId="0" applyAlignment="1" pivotButton="0" quotePrefix="0" xfId="0">
      <alignment vertical="center" wrapText="1"/>
    </xf>
    <xf numFmtId="0" fontId="0" fillId="2" borderId="0" applyAlignment="1" pivotButton="0" quotePrefix="0" xfId="0">
      <alignment vertical="center" wrapText="1"/>
    </xf>
    <xf numFmtId="0" fontId="2" fillId="0" borderId="3" pivotButton="0" quotePrefix="0" xfId="0"/>
    <xf numFmtId="0" fontId="4" fillId="0" borderId="0" applyAlignment="1" pivotButton="0" quotePrefix="0" xfId="0">
      <alignment vertical="center"/>
    </xf>
    <xf numFmtId="0" fontId="5" fillId="0" borderId="0" applyAlignment="1" pivotButton="0" quotePrefix="0" xfId="0">
      <alignment vertical="center" wrapText="1"/>
    </xf>
    <xf numFmtId="0" fontId="2" fillId="0" borderId="0" applyAlignment="1" pivotButton="0" quotePrefix="0" xfId="0">
      <alignment vertical="center" wrapText="1"/>
    </xf>
    <xf numFmtId="0" fontId="6" fillId="0" borderId="0" pivotButton="0" quotePrefix="0" xfId="0"/>
    <xf numFmtId="0" fontId="3" fillId="0" borderId="0" pivotButton="0" quotePrefix="0" xfId="1"/>
    <xf numFmtId="0" fontId="6" fillId="0" borderId="0" applyAlignment="1" pivotButton="0" quotePrefix="0" xfId="0">
      <alignment vertical="center" wrapText="1"/>
    </xf>
    <xf numFmtId="0" fontId="7" fillId="0" borderId="0" pivotButton="0" quotePrefix="0" xfId="0"/>
    <xf numFmtId="0" fontId="2" fillId="0" borderId="0" pivotButton="0" quotePrefix="0" xfId="0"/>
    <xf numFmtId="0" fontId="2" fillId="0" borderId="4" pivotButton="0" quotePrefix="0" xfId="0"/>
    <xf numFmtId="0" fontId="0" fillId="0" borderId="4" applyAlignment="1" pivotButton="0" quotePrefix="0" xfId="0">
      <alignment vertical="center" wrapText="1"/>
    </xf>
    <xf numFmtId="0" fontId="2" fillId="0" borderId="5" applyAlignment="1" pivotButton="0" quotePrefix="0" xfId="0">
      <alignment horizontal="center" vertical="center" wrapText="1"/>
    </xf>
    <xf numFmtId="0" fontId="2" fillId="0" borderId="4" applyAlignment="1" pivotButton="0" quotePrefix="0" xfId="0">
      <alignment horizontal="center" vertical="center" wrapText="1"/>
    </xf>
    <xf numFmtId="0" fontId="0" fillId="0" borderId="2" applyAlignment="1" pivotButton="0" quotePrefix="0" xfId="0">
      <alignment vertical="center" wrapText="1"/>
    </xf>
    <xf numFmtId="0" fontId="0" fillId="0" borderId="7" applyAlignment="1" pivotButton="0" quotePrefix="0" xfId="0">
      <alignment vertical="center" wrapText="1"/>
    </xf>
    <xf numFmtId="0" fontId="3" fillId="0" borderId="7" applyAlignment="1" pivotButton="0" quotePrefix="0" xfId="1">
      <alignment vertical="center" wrapText="1"/>
    </xf>
    <xf numFmtId="164" fontId="0" fillId="0" borderId="7" applyAlignment="1" pivotButton="0" quotePrefix="0" xfId="0">
      <alignment vertical="center" wrapText="1"/>
    </xf>
    <xf numFmtId="0" fontId="7" fillId="0" borderId="4" applyAlignment="1" pivotButton="0" quotePrefix="0" xfId="0">
      <alignment wrapText="1"/>
    </xf>
    <xf numFmtId="0" fontId="5" fillId="0" borderId="4" applyAlignment="1" pivotButton="0" quotePrefix="0" xfId="0">
      <alignment vertical="center" wrapText="1"/>
    </xf>
    <xf numFmtId="0" fontId="4" fillId="0" borderId="4" applyAlignment="1" pivotButton="0" quotePrefix="0" xfId="0">
      <alignment vertical="center"/>
    </xf>
    <xf numFmtId="0" fontId="0" fillId="0" borderId="8" applyAlignment="1" pivotButton="0" quotePrefix="0" xfId="0">
      <alignment vertical="center" wrapText="1"/>
    </xf>
    <xf numFmtId="0" fontId="0" fillId="0" borderId="9" applyAlignment="1" pivotButton="0" quotePrefix="0" xfId="0">
      <alignment vertical="center" wrapText="1"/>
    </xf>
    <xf numFmtId="0" fontId="3" fillId="0" borderId="9" applyAlignment="1" pivotButton="0" quotePrefix="0" xfId="1">
      <alignment vertical="center" wrapText="1"/>
    </xf>
    <xf numFmtId="164" fontId="0" fillId="0" borderId="10" applyAlignment="1" pivotButton="0" quotePrefix="0" xfId="0">
      <alignment vertical="center" wrapText="1"/>
    </xf>
    <xf numFmtId="0" fontId="0" fillId="0" borderId="6" applyAlignment="1" pivotButton="0" quotePrefix="0" xfId="0">
      <alignment vertical="center" wrapText="1"/>
    </xf>
    <xf numFmtId="0" fontId="2" fillId="0" borderId="4" applyAlignment="1" pivotButton="0" quotePrefix="0" xfId="0">
      <alignment horizontal="center"/>
    </xf>
    <xf numFmtId="0" fontId="0" fillId="0" borderId="4" applyAlignment="1" pivotButton="0" quotePrefix="0" xfId="0">
      <alignment horizontal="center" vertical="center"/>
    </xf>
    <xf numFmtId="0" fontId="8" fillId="0" borderId="4" applyAlignment="1" pivotButton="0" quotePrefix="0" xfId="0">
      <alignment horizontal="center" vertical="top" wrapText="1"/>
    </xf>
    <xf numFmtId="0" fontId="9" fillId="0" borderId="4" applyAlignment="1" pivotButton="0" quotePrefix="0" xfId="0">
      <alignment wrapText="1"/>
    </xf>
    <xf numFmtId="0" fontId="2" fillId="0" borderId="7" applyAlignment="1" pivotButton="0" quotePrefix="0" xfId="0">
      <alignment horizontal="center"/>
    </xf>
    <xf numFmtId="0" fontId="2" fillId="0" borderId="8" applyAlignment="1" pivotButton="0" quotePrefix="0" xfId="0">
      <alignment horizontal="center"/>
    </xf>
    <xf numFmtId="0" fontId="2" fillId="0" borderId="7" pivotButton="0" quotePrefix="0" xfId="0"/>
    <xf numFmtId="0" fontId="0" fillId="0" borderId="11" applyAlignment="1" pivotButton="0" quotePrefix="0" xfId="0">
      <alignment horizontal="center" vertical="center"/>
    </xf>
    <xf numFmtId="0" fontId="0" fillId="0" borderId="6" applyAlignment="1" pivotButton="0" quotePrefix="0" xfId="0">
      <alignment horizontal="center" vertical="center" wrapText="1"/>
    </xf>
    <xf numFmtId="0" fontId="0" fillId="0" borderId="4" applyAlignment="1" pivotButton="0" quotePrefix="0" xfId="0">
      <alignment vertical="center"/>
    </xf>
    <xf numFmtId="0" fontId="0" fillId="0" borderId="12" applyAlignment="1" pivotButton="0" quotePrefix="0" xfId="0">
      <alignment vertical="center" wrapText="1"/>
    </xf>
    <xf numFmtId="0" fontId="3" fillId="0" borderId="0" applyAlignment="1" pivotButton="0" quotePrefix="0" xfId="1">
      <alignment vertical="center" wrapText="1"/>
    </xf>
    <xf numFmtId="164" fontId="0" fillId="0" borderId="13" applyAlignment="1" pivotButton="0" quotePrefix="0" xfId="0">
      <alignment vertical="center" wrapText="1"/>
    </xf>
    <xf numFmtId="0" fontId="0" fillId="0" borderId="10" applyAlignment="1" pivotButton="0" quotePrefix="0" xfId="0">
      <alignment vertical="center" wrapText="1"/>
    </xf>
    <xf numFmtId="0" fontId="5" fillId="0" borderId="7" applyAlignment="1" pivotButton="0" quotePrefix="0" xfId="0">
      <alignment vertical="center" wrapText="1"/>
    </xf>
    <xf numFmtId="0" fontId="0" fillId="0" borderId="8" applyAlignment="1" pivotButton="0" quotePrefix="0" xfId="0">
      <alignment horizontal="center" vertical="center"/>
    </xf>
    <xf numFmtId="0" fontId="0" fillId="0" borderId="7" applyAlignment="1" pivotButton="0" quotePrefix="0" xfId="0">
      <alignment horizontal="center" vertical="center"/>
    </xf>
    <xf numFmtId="0" fontId="0" fillId="0" borderId="10" applyAlignment="1" pivotButton="0" quotePrefix="0" xfId="0">
      <alignment horizontal="center" vertical="center" wrapText="1"/>
    </xf>
    <xf numFmtId="0" fontId="0" fillId="0" borderId="7" applyAlignment="1" pivotButton="0" quotePrefix="0" xfId="0">
      <alignment vertical="center"/>
    </xf>
    <xf numFmtId="0" fontId="3" fillId="0" borderId="4" applyAlignment="1" pivotButton="0" quotePrefix="0" xfId="1">
      <alignment vertical="center" wrapText="1"/>
    </xf>
    <xf numFmtId="164" fontId="0" fillId="0" borderId="11" applyAlignment="1" pivotButton="0" quotePrefix="0" xfId="0">
      <alignment vertical="center" wrapText="1"/>
    </xf>
    <xf numFmtId="0" fontId="0" fillId="0" borderId="2" applyAlignment="1" pivotButton="0" quotePrefix="0" xfId="0">
      <alignment horizontal="left" vertical="center" wrapText="1"/>
    </xf>
    <xf numFmtId="0" fontId="0" fillId="0" borderId="0" applyAlignment="1" pivotButton="0" quotePrefix="0" xfId="0">
      <alignment horizontal="left" vertical="center" wrapText="1"/>
    </xf>
    <xf numFmtId="0" fontId="3" fillId="0" borderId="2" applyAlignment="1" pivotButton="0" quotePrefix="0" xfId="1">
      <alignment horizontal="left" vertical="center" wrapText="1"/>
    </xf>
    <xf numFmtId="0" fontId="3" fillId="0" borderId="0" applyAlignment="1" pivotButton="0" quotePrefix="0" xfId="1">
      <alignment horizontal="left" vertical="center" wrapText="1"/>
    </xf>
    <xf numFmtId="164" fontId="0" fillId="0" borderId="2" applyAlignment="1" pivotButton="0" quotePrefix="0" xfId="0">
      <alignment horizontal="left" vertical="center" wrapText="1"/>
    </xf>
    <xf numFmtId="164" fontId="0" fillId="0" borderId="0" applyAlignment="1" pivotButton="0" quotePrefix="0" xfId="0">
      <alignment horizontal="left" vertical="center" wrapText="1"/>
    </xf>
    <xf numFmtId="0" fontId="0" fillId="0" borderId="4" applyAlignment="1" pivotButton="0" quotePrefix="0" xfId="0">
      <alignment vertical="center" wrapText="1"/>
    </xf>
    <xf numFmtId="0" fontId="1" fillId="0" borderId="4" applyAlignment="1" pivotButton="0" quotePrefix="0" xfId="0">
      <alignment vertical="center" wrapText="1"/>
    </xf>
    <xf numFmtId="0" fontId="1" fillId="0" borderId="7" applyAlignment="1" pivotButton="0" quotePrefix="0" xfId="0">
      <alignment vertical="center" wrapText="1"/>
    </xf>
    <xf numFmtId="0" fontId="1" fillId="0" borderId="4" applyAlignment="1" pivotButton="0" quotePrefix="0" xfId="0">
      <alignment horizontal="left" vertical="center" wrapText="1"/>
    </xf>
    <xf numFmtId="0" fontId="1" fillId="0" borderId="4" applyAlignment="1" pivotButton="0" quotePrefix="0" xfId="0">
      <alignment wrapText="1"/>
    </xf>
    <xf numFmtId="164" fontId="0" fillId="3" borderId="7" applyAlignment="1" pivotButton="0" quotePrefix="0" xfId="0">
      <alignment vertical="center" wrapText="1"/>
    </xf>
    <xf numFmtId="0" fontId="0" fillId="3" borderId="7" applyAlignment="1" pivotButton="0" quotePrefix="0" xfId="0">
      <alignment vertical="center" wrapText="1"/>
    </xf>
    <xf numFmtId="0" fontId="1" fillId="3" borderId="7" applyAlignment="1" pivotButton="0" quotePrefix="0" xfId="0">
      <alignment vertical="center" wrapText="1"/>
    </xf>
    <xf numFmtId="164" fontId="0" fillId="3" borderId="11" applyAlignment="1" pivotButton="0" quotePrefix="0" xfId="0">
      <alignment vertical="center" wrapText="1"/>
    </xf>
    <xf numFmtId="0" fontId="11"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pen.undp.org/projects/00143571" TargetMode="External" Id="rId1"/></Relationships>
</file>

<file path=xl/worksheets/_rels/sheet2.xml.rels><Relationships xmlns="http://schemas.openxmlformats.org/package/2006/relationships"><Relationship Type="http://schemas.openxmlformats.org/officeDocument/2006/relationships/hyperlink" Target="https://open.undp.org/projects/00143571" TargetMode="External" Id="rId1"/></Relationships>
</file>

<file path=xl/worksheets/_rels/sheet3.xml.rels><Relationships xmlns="http://schemas.openxmlformats.org/package/2006/relationships"><Relationship Type="http://schemas.openxmlformats.org/officeDocument/2006/relationships/hyperlink" Target="https://open.undp.org/projects/00143571" TargetMode="External" Id="rId1"/></Relationships>
</file>

<file path=xl/worksheets/sheet1.xml><?xml version="1.0" encoding="utf-8"?>
<worksheet xmlns="http://schemas.openxmlformats.org/spreadsheetml/2006/main">
  <sheetPr>
    <outlinePr summaryBelow="1" summaryRight="1"/>
    <pageSetUpPr/>
  </sheetPr>
  <dimension ref="A1:Y6"/>
  <sheetViews>
    <sheetView tabSelected="1" workbookViewId="0">
      <pane xSplit="1" ySplit="1" topLeftCell="E4" activePane="bottomRight" state="frozen"/>
      <selection pane="bottomRight" activeCell="H9" sqref="H9"/>
      <selection pane="bottomLeft" activeCell="A1" sqref="A1"/>
      <selection pane="topRight" activeCell="A1" sqref="A1"/>
    </sheetView>
  </sheetViews>
  <sheetFormatPr baseColWidth="8" defaultColWidth="8.85546875" defaultRowHeight="15"/>
  <cols>
    <col width="15" customWidth="1" style="2" min="1" max="1"/>
    <col width="43.28515625" customWidth="1" style="2" min="2" max="2"/>
    <col width="24.7109375" customWidth="1" style="2" min="3" max="3"/>
    <col width="15.5703125" customWidth="1" style="2" min="4" max="4"/>
    <col width="15.5703125" customWidth="1" style="2" min="5" max="6"/>
    <col width="15.5703125" customWidth="1" min="6" max="6"/>
    <col width="15.5703125" customWidth="1" style="2" min="7" max="8"/>
    <col width="15.5703125" customWidth="1" min="8" max="8"/>
    <col width="30.7109375" customWidth="1" style="2" min="9" max="9"/>
    <col width="11.7109375" customWidth="1" style="2" min="10" max="10"/>
    <col width="19" customWidth="1" style="2" min="11" max="11"/>
    <col width="19.140625" customWidth="1" style="2" min="12" max="12"/>
    <col width="40.28515625" customWidth="1" style="2" min="13" max="13"/>
    <col width="14.42578125" bestFit="1" customWidth="1" style="2" min="14" max="14"/>
    <col width="14.85546875" bestFit="1" customWidth="1" style="2" min="15" max="15"/>
    <col width="15" customWidth="1" style="2" min="16" max="16"/>
    <col width="16.5703125" bestFit="1" customWidth="1" style="2" min="17" max="17"/>
    <col width="18.140625" bestFit="1" customWidth="1" style="2" min="18" max="18"/>
    <col width="11.28515625" bestFit="1" customWidth="1" style="2" min="19" max="19"/>
    <col width="30.28515625" bestFit="1" customWidth="1" style="2" min="20" max="20"/>
    <col width="16.7109375" bestFit="1" customWidth="1" style="2" min="21" max="21"/>
    <col width="8.85546875" customWidth="1" style="2" min="22" max="16384"/>
  </cols>
  <sheetData>
    <row r="1" ht="45.75" customHeight="1">
      <c r="A1" s="15" t="inlineStr">
        <is>
          <t>Project ID</t>
        </is>
      </c>
      <c r="B1" s="16" t="inlineStr">
        <is>
          <t>Title</t>
        </is>
      </c>
      <c r="C1" s="16" t="inlineStr">
        <is>
          <t>Link</t>
        </is>
      </c>
      <c r="D1" s="16" t="inlineStr">
        <is>
          <t>Budget</t>
        </is>
      </c>
      <c r="E1" s="16" t="inlineStr">
        <is>
          <t>Start Year</t>
        </is>
      </c>
      <c r="F1" s="16" t="inlineStr">
        <is>
          <t>End Year</t>
        </is>
      </c>
      <c r="G1" s="16" t="inlineStr">
        <is>
          <t>Status</t>
        </is>
      </c>
      <c r="H1" s="16" t="inlineStr">
        <is>
          <t>VF or Non-VF</t>
        </is>
      </c>
      <c r="I1" s="16" t="inlineStr">
        <is>
          <t>Beneficiary Category</t>
        </is>
      </c>
      <c r="J1" s="16" t="inlineStr">
        <is>
          <t>Indicator</t>
        </is>
      </c>
      <c r="K1" s="16" t="inlineStr">
        <is>
          <t>Baseline</t>
        </is>
      </c>
      <c r="L1" s="16" t="inlineStr">
        <is>
          <t>Target</t>
        </is>
      </c>
      <c r="M1" s="16" t="inlineStr">
        <is>
          <t>Notes</t>
        </is>
      </c>
      <c r="N1" s="13" t="inlineStr">
        <is>
          <t xml:space="preserve">Donors </t>
        </is>
      </c>
      <c r="O1" s="13" t="inlineStr">
        <is>
          <t>Gender (% female)</t>
        </is>
      </c>
      <c r="P1" s="33" t="inlineStr">
        <is>
          <t>Tag</t>
        </is>
      </c>
      <c r="Q1" s="29" t="inlineStr">
        <is>
          <t>SEH Taxonomy</t>
        </is>
      </c>
      <c r="R1" s="29" t="inlineStr">
        <is>
          <t>RISE Taxonomy</t>
        </is>
      </c>
      <c r="S1" s="33" t="inlineStr">
        <is>
          <t>Flagship</t>
        </is>
      </c>
      <c r="T1" s="33" t="inlineStr">
        <is>
          <t>Indirect Category</t>
        </is>
      </c>
      <c r="U1" s="34" t="inlineStr">
        <is>
          <t>Indirect Taxonomy</t>
        </is>
      </c>
      <c r="V1" s="35" t="inlineStr">
        <is>
          <t>Technology</t>
        </is>
      </c>
      <c r="W1" s="34" t="inlineStr">
        <is>
          <t>Policy or Regulatory Framework</t>
        </is>
      </c>
      <c r="X1" s="35" t="inlineStr">
        <is>
          <t>Policy Population</t>
        </is>
      </c>
      <c r="Y1" s="2" t="inlineStr">
        <is>
          <t>Project document</t>
        </is>
      </c>
    </row>
    <row r="2" ht="366" customHeight="1">
      <c r="A2" s="17" t="n">
        <v>143571</v>
      </c>
      <c r="B2" s="18" t="inlineStr">
        <is>
          <t>BRA/22/007 Desenvolvimento Sul do Piaui</t>
        </is>
      </c>
      <c r="C2" s="19" t="inlineStr">
        <is>
          <t>https://open.undp.org/projects/00143571</t>
        </is>
      </c>
      <c r="D2" s="20" t="n">
        <v>1733569</v>
      </c>
      <c r="E2" s="61" t="n"/>
      <c r="F2" s="61" t="n"/>
      <c r="G2" s="61" t="n"/>
      <c r="H2" s="20" t="inlineStr">
        <is>
          <t>Non-VF</t>
        </is>
      </c>
      <c r="I2" s="56" t="inlineStr">
        <is>
          <t>Clean Cooking</t>
        </is>
      </c>
      <c r="J2" s="21" t="inlineStr">
        <is>
          <t>The number of beneficiaries</t>
        </is>
      </c>
      <c r="K2" s="56" t="n">
        <v>0</v>
      </c>
      <c r="L2" s="56" t="n">
        <v>415</v>
      </c>
      <c r="M2" s="57" t="inlineStr">
        <is>
          <t>The project will implement sustainable social technologies based on the use of soil, water and biodiversity conservation technologies in degraded areas, in a participatory manner, for families affected by environmental damage, including: construction of zero-base dams (BBZ), implementation of Integration systems Crop-Livestock-Forest (ILPF) and Agroforestry Systems (SAFs), construction of ecological stoves, cisterns for capturing and storing water for human consumption, production and installation of sanitary units (Tevap septic tank, biodigestor tank, round bathroom), oven ecological, sertanejo biodigester, gray water reuse system, among others;
Clean cooking activity has been cancelled as of 2024</t>
        </is>
      </c>
      <c r="N2" s="22" t="inlineStr">
        <is>
          <t>Enel</t>
        </is>
      </c>
      <c r="O2" s="23" t="n"/>
      <c r="P2" s="30" t="n"/>
      <c r="Q2" s="37" t="inlineStr">
        <is>
          <t>Accelerating just energy transition</t>
        </is>
      </c>
      <c r="R2" s="30" t="n"/>
      <c r="S2" s="30" t="n"/>
      <c r="T2" s="30" t="n"/>
      <c r="U2" s="30" t="n"/>
      <c r="V2" s="38" t="n"/>
      <c r="W2" s="30" t="n"/>
      <c r="X2" s="38" t="n"/>
      <c r="Y2" s="2" t="inlineStr">
        <is>
          <t>Yes</t>
        </is>
      </c>
    </row>
    <row r="3" ht="336" customHeight="1">
      <c r="A3" s="24" t="n"/>
      <c r="B3" s="25" t="n"/>
      <c r="C3" s="26" t="n"/>
      <c r="D3" s="27" t="n"/>
      <c r="E3" s="27" t="n"/>
      <c r="F3" s="27" t="n"/>
      <c r="G3" s="27" t="n"/>
      <c r="H3" s="27" t="n"/>
      <c r="I3" s="28" t="inlineStr">
        <is>
          <t>Water Services</t>
        </is>
      </c>
      <c r="J3" s="56" t="inlineStr">
        <is>
          <t>Number of project beneficiary families with access to water at home</t>
        </is>
      </c>
      <c r="K3" s="56" t="n">
        <v>0</v>
      </c>
      <c r="L3" s="56" t="inlineStr">
        <is>
          <t>155 HH</t>
        </is>
      </c>
      <c r="M3" s="57" t="inlineStr">
        <is>
          <t>Complete execution of the construction of water distribution installations, to be built in the municipality of São Gonçalo do Gurguéia – PI, in the Macaco, Araras, Cipoal, Barra do Brejo, Buritizinho, Burito do Meio and Burito Grande communities. The project will install infrastructure to promote access to water for all families in the communities in the area direct influenced by the solar plant and adjacent communities. The sizing and engineering project will be previously developed and made available by ENEL (donor), after alignments with the government of the municipality of São Gonçalo do Gurguéia and the government of the State of Piaui.
Clean cooking activity has been cancelled as of 2024</t>
        </is>
      </c>
      <c r="N3" s="22" t="inlineStr">
        <is>
          <t>Enel</t>
        </is>
      </c>
      <c r="O3" s="56" t="n"/>
      <c r="P3" s="30" t="n"/>
      <c r="Q3" s="37" t="inlineStr">
        <is>
          <t>Accelerating just energy transition</t>
        </is>
      </c>
      <c r="R3" s="30" t="n"/>
      <c r="S3" s="30" t="n"/>
      <c r="T3" s="30" t="n"/>
      <c r="U3" s="30" t="n"/>
      <c r="V3" s="38" t="n"/>
      <c r="W3" s="30" t="n"/>
      <c r="X3" s="38" t="n"/>
    </row>
    <row r="4" ht="290.25" customHeight="1">
      <c r="A4" s="39" t="n"/>
      <c r="C4" s="40" t="n"/>
      <c r="D4" s="41" t="n"/>
      <c r="E4" s="41" t="n"/>
      <c r="F4" s="41" t="n"/>
      <c r="G4" s="41" t="n"/>
      <c r="H4" s="41" t="n"/>
      <c r="I4" s="42" t="inlineStr">
        <is>
          <t>Capacity Building Training</t>
        </is>
      </c>
      <c r="J4" s="18" t="inlineStr">
        <is>
          <t>Number of students and teachers from São Gonçalo and surrounding municipalities trained in environmental protection practices in degraded areas/use of environmental assets and sustainable energy;</t>
        </is>
      </c>
      <c r="K4" s="18" t="n">
        <v>0</v>
      </c>
      <c r="L4" s="18" t="n">
        <v>200</v>
      </c>
      <c r="M4" s="58" t="inlineStr">
        <is>
          <t>This activity/indicator is part of a broader project scope. An environmental training program for public schools will be conducted with two priority focuses: i) conservation of natural resources and control of the environment, especially the local biome, encouraging new habits and sustainable practices; and ii) renewable energies, environment and sustainability.
Students with capacity activities on:
   i.    Water resources: 780
   ii.      Fire and recovery of degraded areas: 871
  iii.      Solid waste: to be carried out until 12/2024</t>
        </is>
      </c>
      <c r="N4" s="43" t="inlineStr">
        <is>
          <t>Enel</t>
        </is>
      </c>
      <c r="O4" s="18" t="n"/>
      <c r="P4" s="45" t="n"/>
      <c r="Q4" s="46" t="inlineStr">
        <is>
          <t>Accelerating just energy transition</t>
        </is>
      </c>
      <c r="R4" s="45" t="n"/>
      <c r="S4" s="45" t="n"/>
      <c r="T4" s="45" t="n"/>
      <c r="U4" s="45" t="n"/>
      <c r="V4" s="47" t="n"/>
      <c r="W4" s="45" t="n"/>
      <c r="X4" s="47" t="n"/>
    </row>
    <row r="5" ht="198" customHeight="1">
      <c r="A5" s="39" t="n"/>
      <c r="C5" s="40" t="n"/>
      <c r="D5" s="41" t="n"/>
      <c r="E5" s="41" t="n"/>
      <c r="F5" s="41" t="n"/>
      <c r="G5" s="41" t="n"/>
      <c r="H5" s="41" t="n"/>
      <c r="I5" s="42" t="inlineStr">
        <is>
          <t>Energy (MW added)</t>
        </is>
      </c>
      <c r="J5" s="18" t="inlineStr">
        <is>
          <t>Installed capacity in MW for access/productive-use outputs</t>
        </is>
      </c>
      <c r="K5" s="18" t="n">
        <v>0</v>
      </c>
      <c r="L5" s="62" t="n"/>
      <c r="M5" s="63" t="inlineStr">
        <is>
          <t>[AUTO-ADDED] Project reports access/productive-use beneficiary numbers but no MW value. Please add installed capacity (MW) or confirm not applicable.</t>
        </is>
      </c>
      <c r="N5" s="43" t="n"/>
      <c r="O5" s="18" t="n"/>
      <c r="P5" s="45" t="n"/>
      <c r="Q5" s="46" t="n"/>
      <c r="R5" s="45" t="n"/>
      <c r="S5" s="45" t="n"/>
      <c r="T5" s="45" t="n"/>
      <c r="U5" s="45" t="n"/>
      <c r="V5" s="47" t="n"/>
      <c r="W5" s="45" t="n"/>
      <c r="X5" s="47" t="n"/>
    </row>
    <row r="6">
      <c r="A6" s="56" t="inlineStr">
        <is>
          <t>N/A</t>
        </is>
      </c>
      <c r="B6" s="56" t="inlineStr">
        <is>
          <t>Greening Moonshot Facility</t>
        </is>
      </c>
      <c r="C6" s="48" t="inlineStr">
        <is>
          <t>https://undpgreeningmoonshot.exposure.co/greening-the-blue-in-brazil</t>
        </is>
      </c>
      <c r="D6" s="49" t="n">
        <v>74860</v>
      </c>
      <c r="E6" s="64" t="n"/>
      <c r="F6" s="64" t="n"/>
      <c r="G6" s="64" t="n"/>
      <c r="H6" s="49" t="n"/>
      <c r="I6" s="56" t="inlineStr">
        <is>
          <t>Energy (MW added)</t>
        </is>
      </c>
      <c r="J6" s="28" t="inlineStr">
        <is>
          <t>Installed capacity in MW of solar power panels at UN House Brazil</t>
        </is>
      </c>
      <c r="K6" s="56" t="n">
        <v>0</v>
      </c>
      <c r="L6" s="56" t="n">
        <v>0.264</v>
      </c>
      <c r="M6" s="57" t="inlineStr">
        <is>
          <t>MWh produced by solar power panels at UN House Brazil
2021	50.47
2022	217.73
2023	182.68
2024**	155.28
Target: 426865 MWh
Total Capacity = 660panels × 0.4kW = 264kW = 0.264MW
Assuming an average of 400 W (0.4 kW) per panel</t>
        </is>
      </c>
      <c r="N6" s="56" t="inlineStr">
        <is>
          <t>Greening Moonshot Facility</t>
        </is>
      </c>
      <c r="O6" s="56" t="n"/>
      <c r="P6" s="56" t="n"/>
      <c r="Q6" s="56" t="n"/>
      <c r="R6" s="56" t="n"/>
      <c r="S6" s="56" t="n"/>
      <c r="T6" s="56" t="n"/>
      <c r="U6" s="56" t="n"/>
      <c r="V6" s="56" t="n"/>
      <c r="W6" s="56" t="n"/>
      <c r="X6" s="56" t="n"/>
    </row>
  </sheetData>
  <dataValidations count="12">
    <dataValidation sqref="Q2:Q4"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4" showDropDown="0" showInputMessage="1" showErrorMessage="1" allowBlank="1" type="list">
      <formula1>"AMP, PUDC, Solar4Health, Action Opportunities, Italy UNDP Energy Partnership"</formula1>
    </dataValidation>
    <dataValidation sqref="N2:N4" showDropDown="0" showInputMessage="1" showErrorMessage="1" allowBlank="1" type="list">
      <formula1>"Accelerating just energy transition, Close the gap on energy access, Scale up energy finance"</formula1>
    </dataValidation>
    <dataValidation sqref="O2:O4" showDropDown="0" showInputMessage="1" showErrorMessage="1" allowBlank="1" type="list">
      <formula1>"Electricity Access, Energy Efficiency, Clean Cooking, Renewable Energy, Overall"</formula1>
    </dataValidation>
    <dataValidation sqref="L2:L4" showDropDown="0" showInputMessage="1" showErrorMessage="1" allowBlank="1" type="list">
      <formula1>"Non-VF, VF"</formula1>
    </dataValidation>
    <dataValidation sqref="M2:M4" showDropDown="0" showInputMessage="1" showErrorMessage="1" allowBlank="1" type="list">
      <formula1>"Finance, Gender, Efficiency, Just, Health"</formula1>
    </dataValidation>
    <dataValidation sqref="T2:T4" showDropDown="0" showInputMessage="1" showErrorMessage="1" allowBlank="1" type="list">
      <formula1>"National, Regional, City, Community"</formula1>
    </dataValidation>
    <dataValidation sqref="S2:S4" showDropDown="0" showInputMessage="1" showErrorMessage="1" allowBlank="1" type="list">
      <formula1>"Solar, Wind, Bioenergy, Hydro, Geothermal, Waste, Other, Unknown"</formula1>
    </dataValidation>
    <dataValidation sqref="R2:R4"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U5"/>
  <sheetViews>
    <sheetView topLeftCell="B2" workbookViewId="0">
      <selection activeCell="F2" sqref="F2"/>
    </sheetView>
  </sheetViews>
  <sheetFormatPr baseColWidth="8" defaultColWidth="8.85546875" defaultRowHeight="15"/>
  <cols>
    <col width="15" customWidth="1" style="2" min="1" max="1"/>
    <col width="43.28515625" customWidth="1" style="2" min="2" max="2"/>
    <col width="24.7109375" customWidth="1" style="2" min="3" max="3"/>
    <col width="15.5703125" customWidth="1" style="2" min="4" max="4"/>
    <col width="20.7109375" customWidth="1" style="2" min="5" max="6"/>
    <col width="12.7109375" customWidth="1" style="2" min="7" max="8"/>
    <col width="30.7109375" customWidth="1" style="2" min="9" max="9"/>
    <col width="11.7109375" customWidth="1" style="2" min="10" max="10"/>
    <col width="13.42578125" customWidth="1" style="2" min="11" max="11"/>
    <col width="19.140625" customWidth="1" style="2" min="12" max="12"/>
    <col width="40.28515625" customWidth="1" style="2" min="13" max="13"/>
    <col width="8.85546875" customWidth="1" style="2" min="14" max="16384"/>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4" t="inlineStr">
        <is>
          <t xml:space="preserve">Donors </t>
        </is>
      </c>
      <c r="K1" s="12" t="inlineStr">
        <is>
          <t>Gender (% female)</t>
        </is>
      </c>
      <c r="L1" s="12" t="inlineStr">
        <is>
          <t>Category</t>
        </is>
      </c>
      <c r="M1" s="12" t="inlineStr">
        <is>
          <t>Comments</t>
        </is>
      </c>
      <c r="N1" s="12" t="n"/>
      <c r="O1" s="12" t="inlineStr">
        <is>
          <t>SEH Taxonomy</t>
        </is>
      </c>
      <c r="P1" s="12" t="inlineStr">
        <is>
          <t>RISE Taxonomy</t>
        </is>
      </c>
      <c r="Q1" s="12" t="inlineStr">
        <is>
          <t>Flagship</t>
        </is>
      </c>
      <c r="R1" s="12" t="inlineStr">
        <is>
          <t>Indirect Category</t>
        </is>
      </c>
      <c r="S1" s="12" t="inlineStr">
        <is>
          <t>Indirect Taxonomy</t>
        </is>
      </c>
      <c r="T1" s="12" t="n"/>
      <c r="U1" s="12" t="n"/>
    </row>
    <row r="2" ht="336" customHeight="1">
      <c r="A2" s="50" t="n">
        <v>143571</v>
      </c>
      <c r="B2" s="50" t="inlineStr">
        <is>
          <t>BRA/22/007 Desenvolvimento Sul do Piaui</t>
        </is>
      </c>
      <c r="C2" s="52" t="inlineStr">
        <is>
          <t>https://open.undp.org/projects/00143571</t>
        </is>
      </c>
      <c r="D2" s="54" t="n">
        <v>1733569</v>
      </c>
      <c r="E2" s="3" t="inlineStr">
        <is>
          <t>Clean cooking</t>
        </is>
      </c>
      <c r="F2" s="11" t="inlineStr">
        <is>
          <t>The number of beneficiaries</t>
        </is>
      </c>
      <c r="G2" s="3" t="n">
        <v>0</v>
      </c>
      <c r="H2" s="3" t="n">
        <v>415</v>
      </c>
      <c r="I2" s="3" t="inlineStr">
        <is>
          <t>The project will implement sustainable social technologies based on the use of soil, water and biodiversity conservation technologies in degraded areas, in a participatory manner, for families affected by environmental damage, including: construction of zero-base dams (BBZ), implementation of Integration systems Crop-Livestock-Forest (ILPF) and Agroforestry Systems (SAFs), construction of ecological stoves, cisterns for capturing and storing water for human consumption, production and installation of sanitary units (Tevap septic tank, biodigestor tank, round bathroom), oven ecological, sertanejo biodigester, gray water reuse system, among others;</t>
        </is>
      </c>
      <c r="J2" s="6" t="inlineStr">
        <is>
          <t>Enel</t>
        </is>
      </c>
      <c r="K2" s="5" t="n"/>
      <c r="L2" s="2" t="inlineStr">
        <is>
          <t>Non-VF</t>
        </is>
      </c>
      <c r="M2" s="10" t="n"/>
      <c r="O2" s="2" t="inlineStr">
        <is>
          <t>Accelerating just energy transition</t>
        </is>
      </c>
      <c r="P2" s="2" t="inlineStr">
        <is>
          <t>Clean Cooking</t>
        </is>
      </c>
    </row>
    <row r="3" ht="305.25" customHeight="1">
      <c r="E3" s="3" t="inlineStr">
        <is>
          <t>Water Services</t>
        </is>
      </c>
      <c r="F3" s="3" t="inlineStr">
        <is>
          <t>Number of project beneficiary families with access to water at home</t>
        </is>
      </c>
      <c r="G3" s="3" t="n">
        <v>0</v>
      </c>
      <c r="H3" s="3" t="inlineStr">
        <is>
          <t>155 HH</t>
        </is>
      </c>
      <c r="I3" s="3" t="inlineStr">
        <is>
          <t>Complete execution of the construction of water distribution installations, to be built in the municipality of São Gonçalo do Gurguéia – PI, in the Macaco, Araras, Cipoal, Barra do Brejo, Buritizinho, Burito do Meio and Burito Grande communities. The project will install infrastructure to promote access to water for all families in the communities in the area direct influenced by the solar plant and adjacent communities. The sizing and engineering project will be previously developed and made available by ENEL (donor), after alignments with the government of the municipality of São Gonçalo do Gurguéia and the government of the State of Piaui</t>
        </is>
      </c>
      <c r="J3" s="6" t="inlineStr">
        <is>
          <t>Enel</t>
        </is>
      </c>
      <c r="L3" s="2" t="inlineStr">
        <is>
          <t>Non-VF</t>
        </is>
      </c>
      <c r="M3" s="9" t="n"/>
      <c r="O3" s="2" t="inlineStr">
        <is>
          <t>Accelerating just energy transition</t>
        </is>
      </c>
      <c r="P3" s="2" t="inlineStr">
        <is>
          <t>Energy Efficiency</t>
        </is>
      </c>
    </row>
    <row r="4" ht="183" customHeight="1">
      <c r="E4" s="3" t="inlineStr">
        <is>
          <t>Capacity Training</t>
        </is>
      </c>
      <c r="F4" s="3" t="inlineStr">
        <is>
          <t>Number of students and teachers from São Gonçalo and surrounding municipalities trained in environmental protection practices in degraded areas/use of environmental assets and sustainable energy;</t>
        </is>
      </c>
      <c r="G4" s="3" t="n">
        <v>0</v>
      </c>
      <c r="H4" s="3" t="n">
        <v>200</v>
      </c>
      <c r="I4" s="3" t="inlineStr">
        <is>
          <t>This activity/indicator is part of a broader project scope. An environmental training program for public schools will be conducted with two priority focuses: i) conservation of natural resources and control of the environment, especially the local biome, encouraging new habits and sustainable practices; and ii) renewable energies, environment and sustainability.</t>
        </is>
      </c>
      <c r="J4" s="6" t="inlineStr">
        <is>
          <t>Enel</t>
        </is>
      </c>
      <c r="L4" s="2" t="inlineStr">
        <is>
          <t>Non-VF</t>
        </is>
      </c>
      <c r="M4" s="9" t="n"/>
      <c r="O4" s="2" t="inlineStr">
        <is>
          <t>Accelerating just energy transition</t>
        </is>
      </c>
      <c r="P4" s="2" t="inlineStr">
        <is>
          <t>Renewable Energy</t>
        </is>
      </c>
    </row>
    <row r="5">
      <c r="E5" s="3" t="n"/>
      <c r="F5" s="3" t="n"/>
      <c r="G5" s="3" t="n"/>
      <c r="H5" s="3" t="n"/>
      <c r="I5" s="3" t="n"/>
      <c r="M5" s="8" t="inlineStr">
        <is>
          <t xml:space="preserve"> </t>
        </is>
      </c>
    </row>
  </sheetData>
  <mergeCells count="4">
    <mergeCell ref="A2:A4"/>
    <mergeCell ref="D2:D4"/>
    <mergeCell ref="C2:C4"/>
    <mergeCell ref="B2:B4"/>
  </mergeCells>
  <dataValidations count="5">
    <dataValidation sqref="O2:O4" showDropDown="0" showInputMessage="1" showErrorMessage="1" allowBlank="1" type="list">
      <formula1>"Accelerating just energy transition, Close the gap on energy access, Scale up energy finance"</formula1>
    </dataValidation>
    <dataValidation sqref="P2:P4" showDropDown="0" showInputMessage="1" showErrorMessage="1" allowBlank="1" type="list">
      <formula1>"Electricity Access, Energy Efficiency, Clean Cooking, Renewable Energy"</formula1>
    </dataValidation>
    <dataValidation sqref="Q2:Q4" showDropDown="0" showInputMessage="1" showErrorMessage="1" allowBlank="1" type="list">
      <formula1>"AMP, PUDC, Solar4Health, Action Opportunities, Italy UNDP Energy Partnership"</formula1>
    </dataValidation>
    <dataValidation sqref="R2:R4"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S2:S4" showDropDown="0" showInputMessage="1" showErrorMessage="1" allowBlank="1" type="list">
      <formula1>"Electricity Access, Energy Efficiency, Renewable EnergyEnergy Infrastructure,   Transport, Digital &amp; Data, Clean Cooking, Decarbonization, Hydrogen, Off-Grid, On-Grid"</formula1>
    </dataValidation>
  </dataValidations>
  <hyperlinks>
    <hyperlink xmlns:r="http://schemas.openxmlformats.org/officeDocument/2006/relationships" ref="C2" r:id="rId1"/>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5"/>
  <sheetViews>
    <sheetView topLeftCell="I2" workbookViewId="0">
      <selection activeCell="I2" sqref="I2"/>
    </sheetView>
  </sheetViews>
  <sheetFormatPr baseColWidth="8" defaultColWidth="8.85546875" defaultRowHeight="15"/>
  <cols>
    <col width="15" customWidth="1" style="2" min="1" max="1"/>
    <col width="43.28515625" customWidth="1" style="2" min="2" max="2"/>
    <col width="24.7109375" customWidth="1" style="2" min="3" max="3"/>
    <col width="15.5703125" customWidth="1" style="2" min="4" max="4"/>
    <col width="20.7109375" customWidth="1" style="2" min="5" max="6"/>
    <col width="12.7109375" customWidth="1" style="2" min="7" max="8"/>
    <col width="61.7109375" customWidth="1" style="2" min="9" max="9"/>
    <col width="22.85546875" customWidth="1" style="2" min="10" max="10"/>
    <col width="54.85546875" bestFit="1" customWidth="1" style="2" min="11" max="11"/>
    <col width="19.140625" customWidth="1" style="2" min="12" max="12"/>
    <col width="40.28515625" customWidth="1" style="2" min="13" max="13"/>
    <col width="8.85546875" customWidth="1" style="2" min="14" max="16384"/>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4" t="inlineStr">
        <is>
          <t xml:space="preserve">Donors </t>
        </is>
      </c>
      <c r="K1" s="7" t="inlineStr">
        <is>
          <t>Comments</t>
        </is>
      </c>
    </row>
    <row r="2" ht="198" customHeight="1">
      <c r="A2" s="50" t="n">
        <v>143571</v>
      </c>
      <c r="B2" s="50" t="inlineStr">
        <is>
          <t>BRA/22/007 Desenvolvimento Sul do Piaui</t>
        </is>
      </c>
      <c r="C2" s="52" t="inlineStr">
        <is>
          <t>https://open.undp.org/projects/00143571</t>
        </is>
      </c>
      <c r="D2" s="54" t="n">
        <v>1733569</v>
      </c>
      <c r="E2" s="3" t="inlineStr">
        <is>
          <t>Clean cooking</t>
        </is>
      </c>
      <c r="F2" s="3" t="inlineStr">
        <is>
          <t>Number of sustainable social technologies implemented among the participating families</t>
        </is>
      </c>
      <c r="G2" s="3" t="n">
        <v>0</v>
      </c>
      <c r="H2" s="3" t="inlineStr">
        <is>
          <t>70% of beneficiary families assisted in 5 participating communities</t>
        </is>
      </c>
      <c r="I2" s="3" t="inlineStr">
        <is>
          <t>The project will implement sustainable social technologies based on the use of soil, water and biodiversity conservation technologies in degraded areas, in a participatory manner, for families affected by environmental damage, including: construction of zero-base dams (BBZ), implementation of Integration systems Crop-Livestock-Forest (ILPF) and Agroforestry Systems (SAFs), construction of ecological stoves, cisterns for capturing and storing water for human consumption, production and installation of sanitary units (Tevap septic tank, biodigestor tank, round bathroom), oven ecological, sertanejo biodigester, gray water reuse system, among others;</t>
        </is>
      </c>
      <c r="J2" s="6" t="inlineStr">
        <is>
          <t xml:space="preserve">Please can you provide donors info ? </t>
        </is>
      </c>
      <c r="K2" s="5" t="inlineStr">
        <is>
          <t xml:space="preserve">5 participating communities need their population defined to identify the number of beneficiaries </t>
        </is>
      </c>
      <c r="L2" s="2" t="inlineStr">
        <is>
          <t>The number of beneficiaries by the project is close to 415 people from 83 families, as informed below.</t>
        </is>
      </c>
      <c r="M2" s="10" t="inlineStr">
        <is>
          <t>The municipality of São Gonçalo do Gurgueia (communities of Barra do Brejo, Macacos, Buritizinho, Buriti do Meio, Kelemento/Buriti Grande, Araras e Cipoal)  has a population of 3071 people. The project is benefiting 83 families, around 415 people.
https://cidades.ibge.gov.br/brasil/pi/sao-goncalo-do-gurgueia/panorama
https://www.undp.org/pt/brazil/news/pnud-trabalha-para-fortalecer-comunidades-do-piaui-na-busca-por-mais-seguranca-hidrica</t>
        </is>
      </c>
    </row>
    <row r="3" ht="152.25" customHeight="1">
      <c r="E3" s="3" t="inlineStr">
        <is>
          <t>Water Services</t>
        </is>
      </c>
      <c r="F3" s="3" t="inlineStr">
        <is>
          <t>Number of project beneficiary families with access to water at home</t>
        </is>
      </c>
      <c r="G3" s="3" t="n">
        <v>0</v>
      </c>
      <c r="H3" s="3" t="inlineStr">
        <is>
          <t>100% of beneficiary families assisted (close to 155 families)</t>
        </is>
      </c>
      <c r="I3" s="3" t="inlineStr">
        <is>
          <t>Complete execution of the construction of water distribution installations, to be built in the municipality of São Gonçalo do Gurguéia – PI, in the Macaco, Araras, Cipoal, Barra do Brejo, Buritizinho, Burito do Meio and Burito Grande communities. The project will install infrastructure to promote access to water for all families in the communities in the area direct influenced by the solar plant and adjacent communities. The sizing and engineering project will be previously developed and made available by ENEL (donor), after alignments with the government of the municipality of São Gonçalo do Gurguéia and the government of the State of Piaui</t>
        </is>
      </c>
      <c r="M3" s="9" t="n"/>
    </row>
    <row r="4" ht="167.25" customHeight="1">
      <c r="E4" s="3" t="inlineStr">
        <is>
          <t>Capacity Training</t>
        </is>
      </c>
      <c r="F4" s="3" t="inlineStr">
        <is>
          <t>Number of students and teachers from São Gonçalo and surrounding municipalities trained in environmental protection practices in degraded areas/use of environmental assets and sustainable energy;</t>
        </is>
      </c>
      <c r="G4" s="3" t="n">
        <v>0</v>
      </c>
      <c r="H4" s="3" t="n">
        <v>200</v>
      </c>
      <c r="I4" s="3" t="inlineStr">
        <is>
          <t>This activity/indicator is part of a broader project scope. An environmental training program for public schools will be conducted with two priority focuses: i) conservation of natural resources and control of the environment, especially the local biome, encouraging new habits and sustainable practices; and ii) renewable energies, environment and sustainability.</t>
        </is>
      </c>
      <c r="M4" s="9" t="n"/>
    </row>
    <row r="5">
      <c r="E5" s="3" t="n"/>
      <c r="F5" s="3" t="n"/>
      <c r="G5" s="3" t="n"/>
      <c r="H5" s="3" t="n"/>
      <c r="I5" s="3" t="n"/>
      <c r="M5" s="8" t="inlineStr">
        <is>
          <t xml:space="preserve"> </t>
        </is>
      </c>
    </row>
  </sheetData>
  <mergeCells count="4">
    <mergeCell ref="A2:A4"/>
    <mergeCell ref="D2:D4"/>
    <mergeCell ref="C2:C4"/>
    <mergeCell ref="B2:B4"/>
  </mergeCells>
  <hyperlinks>
    <hyperlink xmlns:r="http://schemas.openxmlformats.org/officeDocument/2006/relationships" ref="C2" r:id="rId1"/>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topLeftCell="A10" workbookViewId="0">
      <pane ySplit="1" topLeftCell="A2" activePane="bottomLeft" state="frozen"/>
      <selection pane="bottomLeft" activeCell="E7" sqref="E7"/>
    </sheetView>
  </sheetViews>
  <sheetFormatPr baseColWidth="8" defaultColWidth="8.85546875" defaultRowHeight="15"/>
  <cols>
    <col width="36" customWidth="1" min="1" max="2"/>
    <col width="110" customWidth="1" min="2" max="2"/>
  </cols>
  <sheetData>
    <row r="1">
      <c r="A1" s="65" t="inlineStr">
        <is>
          <t>Beneficiary Category</t>
        </is>
      </c>
      <c r="B1" s="65" t="inlineStr">
        <is>
          <t>Indicator</t>
        </is>
      </c>
    </row>
    <row r="2" ht="45.75" customHeight="1">
      <c r="A2" s="66" t="inlineStr">
        <is>
          <t>Electricity Access</t>
        </is>
      </c>
      <c r="B2" s="66" t="inlineStr">
        <is>
          <t>Number of people, disaggregated by sex, who gain access to clean electricity (direct access to electricity, lighting, cooling, etc.).</t>
        </is>
      </c>
    </row>
    <row r="3">
      <c r="A3" s="66" t="inlineStr">
        <is>
          <t>Energy (MW added)</t>
        </is>
      </c>
      <c r="B3" s="66" t="inlineStr">
        <is>
          <t>Installed renewable or clean-energy power capacity added, in MW.</t>
        </is>
      </c>
    </row>
    <row r="4" ht="30.75" customHeight="1">
      <c r="A4" s="66" t="inlineStr">
        <is>
          <t>Energy Storage (MW)</t>
        </is>
      </c>
      <c r="B4" s="66" t="inlineStr">
        <is>
          <t>Installed energy storage power capacity added, in MW.</t>
        </is>
      </c>
    </row>
    <row r="5" ht="30.75" customHeight="1">
      <c r="A5" s="66" t="inlineStr">
        <is>
          <t>Clean Cooking</t>
        </is>
      </c>
      <c r="B5" s="66" t="inlineStr">
        <is>
          <t>Number of people who gain access to clean cooking (direct access to clean cook stoves, clean fuels, biomass, etc.).</t>
        </is>
      </c>
    </row>
    <row r="6" ht="91.5" customHeight="1">
      <c r="A6" s="66" t="inlineStr">
        <is>
          <t>Clean Heating</t>
        </is>
      </c>
      <c r="B6" s="66" t="inlineStr">
        <is>
          <t>Number of people who gain access to clean heating (direct access to clean electric heaters, clean fuels, etc.).</t>
        </is>
      </c>
    </row>
    <row r="7" ht="45.75" customHeight="1">
      <c r="A7" s="66" t="inlineStr">
        <is>
          <t>Agriculture and Food System</t>
        </is>
      </c>
      <c r="B7" s="66" t="inlineStr">
        <is>
          <t>Number of people who gain access to clean, affordable, and sustainable energy for agricultural and food-system activities.</t>
        </is>
      </c>
    </row>
    <row r="8" ht="45.75" customHeight="1">
      <c r="A8" s="66" t="inlineStr">
        <is>
          <t>Health Services</t>
        </is>
      </c>
      <c r="B8" s="66" t="inlineStr">
        <is>
          <t>Number of people who gain access to health care facilities through clean energy systems.</t>
        </is>
      </c>
    </row>
    <row r="9" ht="45.75" customHeight="1">
      <c r="A9" s="66" t="inlineStr">
        <is>
          <t>Water Services</t>
        </is>
      </c>
      <c r="B9" s="66" t="inlineStr">
        <is>
          <t>Number of people who gain access to water services through clean energy systems.</t>
        </is>
      </c>
    </row>
    <row r="10" ht="30.75" customHeight="1">
      <c r="A10" s="66" t="inlineStr">
        <is>
          <t>Education Services</t>
        </is>
      </c>
      <c r="B10" s="66" t="inlineStr">
        <is>
          <t>Number of people who gain access to education services through clean energy systems, including students and teachers.</t>
        </is>
      </c>
    </row>
    <row r="11" ht="30.75" customHeight="1">
      <c r="A11" s="66" t="inlineStr">
        <is>
          <t>Transportation and E-mobility Services</t>
        </is>
      </c>
      <c r="B11" s="66" t="inlineStr">
        <is>
          <t>Number of people served or energy saved from transport and e-mobility interventions, such as electric vehicles or charging stations.</t>
        </is>
      </c>
    </row>
    <row r="12" ht="45.75" customHeight="1">
      <c r="A12" s="66" t="inlineStr">
        <is>
          <t>Energy Efficiency Services</t>
        </is>
      </c>
      <c r="B12" s="66" t="inlineStr">
        <is>
          <t>Energy saved from energy-efficiency interventions, such as building or industrial efficiency.</t>
        </is>
      </c>
    </row>
    <row r="13" ht="30.75" customHeight="1">
      <c r="A13" s="66" t="inlineStr">
        <is>
          <t>Energy Infrastructure Services</t>
        </is>
      </c>
      <c r="B13" s="66" t="inlineStr">
        <is>
          <t>Number of people benefiting from energy infrastructure interventions, such as streetlights, transmission, and distribution lines.</t>
        </is>
      </c>
    </row>
    <row r="14">
      <c r="A14" s="66" t="inlineStr">
        <is>
          <t>Other Energy Services</t>
        </is>
      </c>
      <c r="B14" s="66" t="inlineStr">
        <is>
          <t>Access to other energy services not captured by the categories above.</t>
        </is>
      </c>
    </row>
    <row r="15" ht="30.75" customHeight="1">
      <c r="A15" s="66" t="inlineStr">
        <is>
          <t>Financing support</t>
        </is>
      </c>
      <c r="B15" s="66" t="inlineStr">
        <is>
          <t>Support for the development of the energy market ecosystem.</t>
        </is>
      </c>
    </row>
    <row r="16" ht="30.75" customHeight="1">
      <c r="A16" s="66" t="inlineStr">
        <is>
          <t>Medium Enterprises</t>
        </is>
      </c>
      <c r="B16" s="66" t="inlineStr">
        <is>
          <t>Support for the development of medium enterprises in the energy transition market.</t>
        </is>
      </c>
    </row>
    <row r="17" ht="30.75" customHeight="1">
      <c r="A17" s="66" t="inlineStr">
        <is>
          <t>Small Enterprises</t>
        </is>
      </c>
      <c r="B17" s="66" t="inlineStr">
        <is>
          <t>Support for the development of small enterprises in the energy transition market.</t>
        </is>
      </c>
    </row>
    <row r="18" ht="30.75" customHeight="1">
      <c r="A18" s="66" t="inlineStr">
        <is>
          <t>Capacity Building Training</t>
        </is>
      </c>
      <c r="B18" s="66" t="inlineStr">
        <is>
          <t>Number of people benefiting from training on energy business, energy finance, or related implementation capacity.</t>
        </is>
      </c>
    </row>
    <row r="19" ht="76.5" customHeight="1">
      <c r="A19" s="66" t="inlineStr">
        <is>
          <t>Entrepreneurship Training</t>
        </is>
      </c>
      <c r="B19" s="66" t="inlineStr">
        <is>
          <t>Training for enterprises on the energy business, assumed to result in direct beneficiaries.</t>
        </is>
      </c>
    </row>
    <row r="20" ht="30.75" customHeight="1">
      <c r="A20" s="66" t="inlineStr">
        <is>
          <t>Market Intervention</t>
        </is>
      </c>
      <c r="B20" s="66" t="inlineStr">
        <is>
          <t>Volume of investment leveraged or barriers removed for clean, reliable, affordable, and sustainable energy solutions.</t>
        </is>
      </c>
    </row>
    <row r="21" ht="45.75" customHeight="1">
      <c r="A21" s="66" t="inlineStr">
        <is>
          <t>Campaign Participant</t>
        </is>
      </c>
      <c r="B21" s="66" t="inlineStr">
        <is>
          <t>Individuals who participate in advocacy or awareness campaigns on energy.</t>
        </is>
      </c>
    </row>
    <row r="22" ht="30.75" customHeight="1">
      <c r="A22" s="66" t="inlineStr">
        <is>
          <t>Policy or Regulatory Framework</t>
        </is>
      </c>
      <c r="B22" s="66" t="inlineStr">
        <is>
          <t>Policies, regulations, strategies, plans, or frameworks developed, approved, implemented, or strengthened.</t>
        </is>
      </c>
    </row>
    <row r="23">
      <c r="A23" s="66" t="inlineStr">
        <is>
          <t>GHG Emissions Reduction</t>
        </is>
      </c>
      <c r="B23" s="66" t="inlineStr">
        <is>
          <t>Greenhouse gas emissions reduced or mitigated, in tCO2e.</t>
        </is>
      </c>
    </row>
    <row r="24">
      <c r="A24" s="66" t="inlineStr">
        <is>
          <t>Other</t>
        </is>
      </c>
      <c r="B24" s="66"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Juliana Grangeiro Ferreira</dc:creator>
  <dcterms:created xmlns:dcterms="http://purl.org/dc/terms/" xmlns:xsi="http://www.w3.org/2001/XMLSchema-instance" xsi:type="dcterms:W3CDTF">2023-05-05T09:33:41Z</dcterms:created>
  <dcterms:modified xmlns:dcterms="http://purl.org/dc/terms/" xmlns:xsi="http://www.w3.org/2001/XMLSchema-instance" xsi:type="dcterms:W3CDTF">2026-06-08T15:49:45Z</dcterms:modified>
  <cp:lastModifiedBy>Benjamin Keller</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