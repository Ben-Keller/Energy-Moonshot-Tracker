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ocumenttasks/documenttask1.xml" ContentType="application/vnd.ms-excel.documenttasks+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231"/>
  <workbookPr defaultThemeVersion="124226"/>
  <mc:AlternateContent xmlns:mc="http://schemas.openxmlformats.org/markup-compatibility/2006">
    <mc:Choice Requires="x15">
      <x15ac:absPath xmlns:x15ac="http://schemas.microsoft.com/office/spreadsheetml/2010/11/ac" url="https://undp.sharepoint.com/sites/UNDPSustainableEnergyHub/Shared Documents/General/0. CURRENT FOLDER - Sustainable Energy Hub/05. Accounting for Progress to 500M/7. CO Validation/"/>
    </mc:Choice>
  </mc:AlternateContent>
  <xr:revisionPtr revIDLastSave="223" documentId="11_BF08EB1A9688AD8D5880710D78392518E0E8549D" xr6:coauthVersionLast="47" xr6:coauthVersionMax="47" xr10:uidLastSave="{E679C7FA-4B27-40FE-ADEF-34F15840E9E7}"/>
  <bookViews>
    <workbookView xWindow="-98" yWindow="-98" windowWidth="21795" windowHeight="12975" firstSheet="1" xr2:uid="{00000000-000D-0000-FFFF-FFFF00000000}"/>
  </bookViews>
  <sheets>
    <sheet name="Projects (3)" sheetId="4" r:id="rId1"/>
    <sheet name="Projects (2)" sheetId="3" state="hidden" r:id="rId2"/>
    <sheet name="Projects" sheetId="1" state="hidden" r:id="rId3"/>
    <sheet name="Beneficiary Categories" sheetId="2" r:id="rId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tc={32EC5E1A-6084-4F05-BF51-61AFE998B99B}</author>
    <author>tc={6DE93AEE-9CFE-45EE-AAC8-02F23CE77433}</author>
    <author>tc={2023F790-2CDE-489B-AD2F-25ADA27E1B5B}</author>
  </authors>
  <commentList>
    <comment ref="D9" authorId="0" shapeId="0" xr:uid="{32EC5E1A-6084-4F05-BF51-61AFE998B99B}">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@Daisy Gladys Iteritekale budget est 2 717 948 USD pour les deux phases ( Phase I : 927 983 USD et Phase II: 1 7989 766</t>
      </text>
    </comment>
    <comment ref="G9" authorId="1" shapeId="0" xr:uid="{6DE93AEE-9CFE-45EE-AAC8-02F23CE77433}">
      <text>
        <t>[Threaded comment]
Your version of Excel allows you to read this threaded comment; however, any edits to it will get removed if the file is opened in a newer version of Excel. Learn more: https://go.microsoft.com/fwlink/?linkid=870924
Comment:
    Merci de préciser le type d'information à mettre dans baseline. Faudrait il ajouter les données techniques collectées aux sites: nombre d'heures de coupure, ...?
Reply:
    Bonjour Adonis! Pour l’établissement du baseline, il convient d’indiquer le nombre de personnes bénéficiant actuellement de services de santé électrifiés dans les structures ciblées. Si ces établissements ne disposent pas encore d’un accès fiable à l’électricité, le baseline sera tout simplement de zéro. Le "target" correspond alors à la population estimée qui aura un nouvel accès une fois que les 14 structures de santé seront équipées de systèmes solaires hybrides
Reply:
    Les données techniques, telles que le nombre d’heures de coupure, peuvent constituer un contexte utile pour la conception et le suivi du projet, mais elles ne sont pas requises dans la définition du baseline dans le cadre de l’Energy Moonshot Tracker</t>
      </text>
    </comment>
    <comment ref="H9" authorId="2" shapeId="0" xr:uid="{2023F790-2CDE-489B-AD2F-25ADA27E1B5B}">
      <text>
        <t xml:space="preserve">[Threaded comment]
Your version of Excel allows you to read this threaded comment; however, any edits to it will get removed if the file is opened in a newer version of Excel. Learn more: https://go.microsoft.com/fwlink/?linkid=870924
Comment:
    Ce chiffre doit être mis à jour : au lieu d’indiquer 14 (le nombre de systèmes solaires installés), il devrait refléter le nombre de personnes qui bénéficieront directement des nouvelles installations 
@Adonis Ndayizeye 
</t>
      </text>
    </comment>
  </commentList>
</comments>
</file>

<file path=xl/sharedStrings.xml><?xml version="1.0" encoding="utf-8"?>
<sst xmlns="http://schemas.openxmlformats.org/spreadsheetml/2006/main" count="171" uniqueCount="95">
  <si>
    <t>Project ID</t>
  </si>
  <si>
    <t>Title</t>
  </si>
  <si>
    <t>Link</t>
  </si>
  <si>
    <t>Budget</t>
  </si>
  <si>
    <t>Beneficiary Category</t>
  </si>
  <si>
    <t>Indicator</t>
  </si>
  <si>
    <t>Baseline</t>
  </si>
  <si>
    <t>Target</t>
  </si>
  <si>
    <t>Notes</t>
  </si>
  <si>
    <t>Donors</t>
  </si>
  <si>
    <t>Gender (% female)</t>
  </si>
  <si>
    <t>VF or Non-VF</t>
  </si>
  <si>
    <t>Tag</t>
  </si>
  <si>
    <t>SEH Taxonomy</t>
  </si>
  <si>
    <t>RISE Taxonomy</t>
  </si>
  <si>
    <t>Flagship</t>
  </si>
  <si>
    <t>Indirect Category</t>
  </si>
  <si>
    <t>Indirect Taxonomy</t>
  </si>
  <si>
    <t>Technology</t>
  </si>
  <si>
    <t>Policy or Regulatory Framework</t>
  </si>
  <si>
    <t>Policy Population</t>
  </si>
  <si>
    <t>Services Energétiques Ruraux</t>
  </si>
  <si>
    <t>http://open.undp.org/projects/00124212</t>
  </si>
  <si>
    <t>Electricity Access</t>
  </si>
  <si>
    <t>Number of household which has an energy access</t>
  </si>
  <si>
    <t>2864 HH</t>
  </si>
  <si>
    <t>Non-VF</t>
  </si>
  <si>
    <t>Close the gap on energy access</t>
  </si>
  <si>
    <t>Unknown</t>
  </si>
  <si>
    <t>Clean Cooking</t>
  </si>
  <si>
    <t>Number of stoves produced</t>
  </si>
  <si>
    <t>Small Enterprises</t>
  </si>
  <si>
    <t>Number of small enteprises supported</t>
  </si>
  <si>
    <t>Campaign Participant</t>
  </si>
  <si>
    <t>number of participant of awarness raising</t>
  </si>
  <si>
    <t>UNIPOD/ SMARTCENTER / WOMIPOD</t>
  </si>
  <si>
    <t>PNUD</t>
  </si>
  <si>
    <t>FONAREV (Portefeuille Entrepreneuriat)</t>
  </si>
  <si>
    <t>UN AGENCIES</t>
  </si>
  <si>
    <t>Appui à l'accès à la justice, Etat de droit et à la cohésion sociale au Burundi (11 Bureaux d'Etat Civil )</t>
  </si>
  <si>
    <t>https://open.undp.org/projects/01001073</t>
  </si>
  <si>
    <t>Other energy services</t>
  </si>
  <si>
    <t>Access to other service (electric vehicles, industries efficiency etc.)</t>
  </si>
  <si>
    <t>Installation des panneaux solaires dans 32 institutions du gouvernement</t>
  </si>
  <si>
    <t>00128744</t>
  </si>
  <si>
    <t>COVID 19 RESPONSE MECHANISM ( C19RM)</t>
  </si>
  <si>
    <t>https://open.undp.org/covid-response</t>
  </si>
  <si>
    <t>9.350.000</t>
  </si>
  <si>
    <t xml:space="preserve">Number of people who gain access to health care facilities (direct access to electricity and heating systems for clinics, hospitals, health centers etc.) </t>
  </si>
  <si>
    <t>XXX</t>
  </si>
  <si>
    <t>14 ( Phase I: 5 et Phase II: 9)</t>
  </si>
  <si>
    <t>Installation de systèmes solaires hybrides pour 14 établissements de santé au Burundi</t>
  </si>
  <si>
    <t>GFATM C19RM UNDP</t>
  </si>
  <si>
    <t>IOT</t>
  </si>
  <si>
    <t>MOONSHOT FACILITY FUNDING (SMART SOLAR HYBRID PV SYSTEM)</t>
  </si>
  <si>
    <t>HQ</t>
  </si>
  <si>
    <t>Category</t>
  </si>
  <si>
    <t>Accelerating just energy transition</t>
  </si>
  <si>
    <t>Services Energétiques Ruraux | UNDP Transparency Portal</t>
  </si>
  <si>
    <t>Number of people, disaggregated by sex, who gain access to clean electricity (direct access to electricity, lighting, cooling, etc.) </t>
  </si>
  <si>
    <t>Energy (MW added)</t>
  </si>
  <si>
    <t>Number of MW installed capacity</t>
  </si>
  <si>
    <t>Number of people who gain access to clean cooking (direct access to clean cook stoves, clean fuels, biomass, etc.).</t>
  </si>
  <si>
    <t>Clean Heating</t>
  </si>
  <si>
    <t>Number of people who gain access to clean heating (direct access to clean electric heaters, clean fuels, etc.).</t>
  </si>
  <si>
    <t>Agriculture and Food System</t>
  </si>
  <si>
    <t>Number of people who gain access to clean, affordable, and sustainable electricity for agricultural and food system activities (direct access to power machines for crop, processing, milling, grinding, de-husking, pressing, canning, sealing and packaging electricity, heating, cooling, solar water pumping for irrigation etc.) </t>
  </si>
  <si>
    <t>Health Services</t>
  </si>
  <si>
    <t>Number of people who gain access to health care facilities (direct access to electricity and heating systems for clinics, hospitals, health centers etc.) </t>
  </si>
  <si>
    <t>Water Services</t>
  </si>
  <si>
    <t>Number of people who gain access to water services (powering water pumps, water distributions, waste management, etc.).  </t>
  </si>
  <si>
    <t>Education Services</t>
  </si>
  <si>
    <t>Number of people who gain access to education services through clean energy systems (including students, teachers, etc.) </t>
  </si>
  <si>
    <t>Transportation and E-mobility Services</t>
  </si>
  <si>
    <t xml:space="preserve">Number of MJ saved from transport and e-mobility interventions (e.g., electric vehicles, charging stations, etc.)  </t>
  </si>
  <si>
    <t>Energy Efficiency Services</t>
  </si>
  <si>
    <t xml:space="preserve">Number of MJ saved from energy efficiency interventions (e.g., building efficiency, industries, etc.)  </t>
  </si>
  <si>
    <t>Energy Infrastructire Services</t>
  </si>
  <si>
    <t>Number of people who benefits from energy infrastructure interventions (streetlight, transmission, and distribution lines, etc.) </t>
  </si>
  <si>
    <t>Other Energy Services</t>
  </si>
  <si>
    <t xml:space="preserve">Financing support </t>
  </si>
  <si>
    <t xml:space="preserve">Support for the development of market ecosystem </t>
  </si>
  <si>
    <t>Medium Enterprises</t>
  </si>
  <si>
    <t>Support for the development of medium enterprises in the energy transition market</t>
  </si>
  <si>
    <t>Support for the development of small enterprises in the energy transition market</t>
  </si>
  <si>
    <t>Capacity Building Training</t>
  </si>
  <si>
    <t>Number of people who benefits from training for enterprises on the energy business and energy finance. </t>
  </si>
  <si>
    <t>Entrepreneurship Training</t>
  </si>
  <si>
    <t>Training for enterprises on the energy business is assumed to result in at least 100 direct beneficiaries</t>
  </si>
  <si>
    <t>Market Intervention</t>
  </si>
  <si>
    <t xml:space="preserve">Volume of investment (US dollars) leverage removing barriers to private and public investment in clean, reliable, affordable, and sustainable energy solutions and energy efficiency for social infrastructure, productive use of electricity and other services </t>
  </si>
  <si>
    <t>Individuals who participate in advocacy and campaign on energy</t>
  </si>
  <si>
    <t xml:space="preserve">Number of people supported by policy and regulatory framework development on clean, affordable, and sustainable energy </t>
  </si>
  <si>
    <t>Other</t>
  </si>
  <si>
    <t>Any other type of beneficiary (please specify justification in Notes)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</si>
</sst>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b/>
      <sz val="11"/>
      <color theme="1"/>
      <name val="Calibri"/>
      <family val="2"/>
      <scheme val="minor"/>
    </font>
    <font>
      <u/>
      <sz val="11"/>
      <color theme="10"/>
      <name val="Calibri"/>
      <family val="2"/>
    </font>
    <font>
      <sz val="11"/>
      <color rgb="FF444444"/>
      <name val="Calibri"/>
      <family val="2"/>
      <charset val="1"/>
    </font>
    <font>
      <b/>
      <sz val="12"/>
      <color theme="1"/>
      <name val="Calibri"/>
      <scheme val="minor"/>
    </font>
    <font>
      <sz val="12"/>
      <color theme="1"/>
      <name val="Calibri"/>
      <scheme val="minor"/>
    </font>
    <font>
      <sz val="12"/>
      <color rgb="FF000000"/>
      <name val="Calibri"/>
      <scheme val="minor"/>
    </font>
    <font>
      <sz val="9"/>
      <color indexed="81"/>
      <name val="Tahoma"/>
      <charset val="1"/>
    </font>
  </fonts>
  <fills count="6">
    <fill>
      <patternFill patternType="none"/>
    </fill>
    <fill>
      <patternFill patternType="gray125"/>
    </fill>
    <fill>
      <patternFill patternType="solid">
        <fgColor rgb="FFFFE497"/>
        <bgColor indexed="64"/>
      </patternFill>
    </fill>
    <fill>
      <patternFill patternType="solid">
        <fgColor theme="9" tint="0.59999389629810485"/>
        <bgColor indexed="64"/>
      </patternFill>
    </fill>
    <fill>
      <patternFill patternType="solid">
        <fgColor rgb="FFFFFF00"/>
        <bgColor indexed="64"/>
      </patternFill>
    </fill>
    <fill>
      <patternFill patternType="solid">
        <fgColor theme="6" tint="0.39997558519241921"/>
        <bgColor indexed="64"/>
      </patternFill>
    </fill>
  </fills>
  <borders count="9">
    <border>
      <left/>
      <right/>
      <top/>
      <bottom/>
      <diagonal/>
    </border>
    <border>
      <left style="thin">
        <color auto="1"/>
      </left>
      <right style="thin">
        <color auto="1"/>
      </right>
      <top style="thin">
        <color auto="1"/>
      </top>
      <bottom style="thin">
        <color auto="1"/>
      </bottom>
      <diagonal/>
    </border>
    <border>
      <left/>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rgb="FF000000"/>
      </right>
      <top style="thin">
        <color rgb="FF000000"/>
      </top>
      <bottom/>
      <diagonal/>
    </border>
  </borders>
  <cellStyleXfs count="2">
    <xf numFmtId="0" fontId="0" fillId="0" borderId="0"/>
    <xf numFmtId="0" fontId="2" fillId="0" borderId="0" applyNumberFormat="0" applyFill="0" applyBorder="0" applyAlignment="0" applyProtection="0">
      <alignment vertical="top"/>
      <protection locked="0"/>
    </xf>
  </cellStyleXfs>
  <cellXfs count="62">
    <xf numFmtId="0" fontId="0" fillId="0" borderId="0" xfId="0"/>
    <xf numFmtId="0" fontId="1" fillId="0" borderId="1" xfId="0" applyFont="1" applyBorder="1" applyAlignment="1">
      <alignment horizontal="center" vertical="top"/>
    </xf>
    <xf numFmtId="0" fontId="2" fillId="0" borderId="0" xfId="1" applyAlignment="1" applyProtection="1"/>
    <xf numFmtId="0" fontId="0" fillId="2" borderId="0" xfId="0" applyFill="1"/>
    <xf numFmtId="0" fontId="3" fillId="0" borderId="0" xfId="0" applyFont="1"/>
    <xf numFmtId="0" fontId="3" fillId="0" borderId="0" xfId="0" applyFont="1" applyAlignment="1">
      <alignment wrapText="1"/>
    </xf>
    <xf numFmtId="0" fontId="0" fillId="0" borderId="0" xfId="0" applyAlignment="1">
      <alignment wrapText="1"/>
    </xf>
    <xf numFmtId="0" fontId="2" fillId="0" borderId="0" xfId="1" applyAlignment="1" applyProtection="1">
      <alignment wrapText="1"/>
    </xf>
    <xf numFmtId="3" fontId="0" fillId="0" borderId="0" xfId="0" applyNumberFormat="1"/>
    <xf numFmtId="0" fontId="1" fillId="0" borderId="2" xfId="0" applyFont="1" applyBorder="1"/>
    <xf numFmtId="0" fontId="0" fillId="3" borderId="0" xfId="0" applyFill="1"/>
    <xf numFmtId="0" fontId="1" fillId="0" borderId="3" xfId="0" applyFont="1" applyBorder="1" applyAlignment="1">
      <alignment horizontal="center" vertical="top"/>
    </xf>
    <xf numFmtId="0" fontId="1" fillId="0" borderId="3" xfId="0" applyFont="1" applyBorder="1"/>
    <xf numFmtId="0" fontId="0" fillId="0" borderId="3" xfId="0" applyBorder="1"/>
    <xf numFmtId="0" fontId="0" fillId="0" borderId="3" xfId="0" applyBorder="1" applyAlignment="1">
      <alignment wrapText="1"/>
    </xf>
    <xf numFmtId="0" fontId="2" fillId="0" borderId="3" xfId="1" applyBorder="1" applyAlignment="1" applyProtection="1"/>
    <xf numFmtId="0" fontId="0" fillId="2" borderId="3" xfId="0" applyFill="1" applyBorder="1"/>
    <xf numFmtId="0" fontId="0" fillId="3" borderId="3" xfId="0" applyFill="1" applyBorder="1"/>
    <xf numFmtId="0" fontId="3" fillId="3" borderId="3" xfId="0" applyFont="1" applyFill="1" applyBorder="1" applyAlignment="1">
      <alignment wrapText="1"/>
    </xf>
    <xf numFmtId="0" fontId="2" fillId="3" borderId="3" xfId="1" applyFill="1" applyBorder="1" applyAlignment="1" applyProtection="1">
      <alignment wrapText="1"/>
    </xf>
    <xf numFmtId="0" fontId="0" fillId="3" borderId="3" xfId="0" applyFill="1" applyBorder="1" applyAlignment="1">
      <alignment wrapText="1"/>
    </xf>
    <xf numFmtId="0" fontId="3" fillId="3" borderId="3" xfId="0" applyFont="1" applyFill="1" applyBorder="1"/>
    <xf numFmtId="0" fontId="3" fillId="0" borderId="3" xfId="0" applyFont="1" applyBorder="1"/>
    <xf numFmtId="0" fontId="2" fillId="0" borderId="3" xfId="1" applyFill="1" applyBorder="1" applyAlignment="1" applyProtection="1"/>
    <xf numFmtId="0" fontId="2" fillId="0" borderId="3" xfId="1" applyFill="1" applyBorder="1" applyAlignment="1" applyProtection="1">
      <alignment wrapText="1"/>
    </xf>
    <xf numFmtId="0" fontId="3" fillId="0" borderId="3" xfId="0" applyFont="1" applyBorder="1" applyAlignment="1">
      <alignment wrapText="1"/>
    </xf>
    <xf numFmtId="0" fontId="1" fillId="0" borderId="3" xfId="0" applyFont="1" applyBorder="1" applyAlignment="1">
      <alignment horizontal="center"/>
    </xf>
    <xf numFmtId="0" fontId="0" fillId="0" borderId="3" xfId="0" applyBorder="1" applyAlignment="1">
      <alignment horizontal="center" vertical="center"/>
    </xf>
    <xf numFmtId="0" fontId="1" fillId="0" borderId="4" xfId="0" applyFont="1" applyBorder="1" applyAlignment="1">
      <alignment horizontal="center"/>
    </xf>
    <xf numFmtId="0" fontId="1" fillId="0" borderId="5" xfId="0" applyFont="1" applyBorder="1" applyAlignment="1">
      <alignment horizontal="center"/>
    </xf>
    <xf numFmtId="0" fontId="1" fillId="0" borderId="4" xfId="0" applyFont="1" applyBorder="1"/>
    <xf numFmtId="0" fontId="0" fillId="0" borderId="6" xfId="0" applyBorder="1" applyAlignment="1">
      <alignment horizontal="center" vertical="center"/>
    </xf>
    <xf numFmtId="0" fontId="0" fillId="0" borderId="7" xfId="0" applyBorder="1" applyAlignment="1">
      <alignment horizontal="center" vertical="center" wrapText="1"/>
    </xf>
    <xf numFmtId="0" fontId="0" fillId="0" borderId="3" xfId="0" applyBorder="1" applyAlignment="1">
      <alignment vertical="center"/>
    </xf>
    <xf numFmtId="0" fontId="0" fillId="0" borderId="4" xfId="0" applyBorder="1"/>
    <xf numFmtId="0" fontId="4" fillId="0" borderId="3" xfId="0" applyFont="1" applyBorder="1" applyAlignment="1">
      <alignment horizontal="center" vertical="top" wrapText="1"/>
    </xf>
    <xf numFmtId="0" fontId="5" fillId="0" borderId="3" xfId="0" applyFont="1" applyBorder="1" applyAlignment="1">
      <alignment horizontal="left" vertical="center" wrapText="1"/>
    </xf>
    <xf numFmtId="0" fontId="6" fillId="0" borderId="3" xfId="0" applyFont="1" applyBorder="1" applyAlignment="1">
      <alignment wrapText="1"/>
    </xf>
    <xf numFmtId="0" fontId="5" fillId="0" borderId="3" xfId="0" applyFont="1" applyBorder="1" applyAlignment="1">
      <alignment wrapText="1"/>
    </xf>
    <xf numFmtId="0" fontId="5" fillId="0" borderId="3" xfId="0" applyFont="1" applyBorder="1" applyAlignment="1">
      <alignment vertical="center" wrapText="1"/>
    </xf>
    <xf numFmtId="0" fontId="0" fillId="4" borderId="3" xfId="0" applyFill="1" applyBorder="1"/>
    <xf numFmtId="0" fontId="0" fillId="0" borderId="3" xfId="0" applyBorder="1" applyAlignment="1">
      <alignment horizontal="center" vertical="center" wrapText="1"/>
    </xf>
    <xf numFmtId="0" fontId="0" fillId="0" borderId="6" xfId="0" applyBorder="1"/>
    <xf numFmtId="0" fontId="3" fillId="0" borderId="4" xfId="0" applyFont="1" applyBorder="1"/>
    <xf numFmtId="0" fontId="0" fillId="0" borderId="4" xfId="0" applyBorder="1" applyAlignment="1">
      <alignment wrapText="1"/>
    </xf>
    <xf numFmtId="0" fontId="0" fillId="0" borderId="5" xfId="0" applyBorder="1" applyAlignment="1">
      <alignment horizontal="center" vertical="center"/>
    </xf>
    <xf numFmtId="0" fontId="0" fillId="0" borderId="4" xfId="0" applyBorder="1" applyAlignment="1">
      <alignment horizontal="center" vertical="center"/>
    </xf>
    <xf numFmtId="0" fontId="0" fillId="0" borderId="8" xfId="0" applyBorder="1" applyAlignment="1">
      <alignment horizontal="center" vertical="center" wrapText="1"/>
    </xf>
    <xf numFmtId="0" fontId="0" fillId="0" borderId="4" xfId="0" applyBorder="1" applyAlignment="1">
      <alignment vertical="center"/>
    </xf>
    <xf numFmtId="0" fontId="0" fillId="5" borderId="6" xfId="0" applyFill="1" applyBorder="1" applyAlignment="1">
      <alignment vertical="top"/>
    </xf>
    <xf numFmtId="0" fontId="0" fillId="5" borderId="3" xfId="0" applyFill="1" applyBorder="1" applyAlignment="1">
      <alignment vertical="top" wrapText="1"/>
    </xf>
    <xf numFmtId="0" fontId="2" fillId="5" borderId="3" xfId="1" applyFill="1" applyBorder="1" applyAlignment="1" applyProtection="1">
      <alignment vertical="top"/>
    </xf>
    <xf numFmtId="4" fontId="0" fillId="5" borderId="3" xfId="0" applyNumberFormat="1" applyFill="1" applyBorder="1" applyAlignment="1">
      <alignment vertical="top"/>
    </xf>
    <xf numFmtId="0" fontId="0" fillId="5" borderId="3" xfId="0" applyFill="1" applyBorder="1" applyAlignment="1">
      <alignment vertical="top"/>
    </xf>
    <xf numFmtId="0" fontId="0" fillId="5" borderId="3" xfId="0" applyFill="1" applyBorder="1" applyAlignment="1">
      <alignment horizontal="center" vertical="top" wrapText="1"/>
    </xf>
    <xf numFmtId="0" fontId="0" fillId="5" borderId="0" xfId="0" applyFill="1" applyAlignment="1">
      <alignment vertical="top"/>
    </xf>
    <xf numFmtId="0" fontId="0" fillId="4" borderId="3" xfId="0" applyFill="1" applyBorder="1" applyAlignment="1">
      <alignment vertical="top"/>
    </xf>
    <xf numFmtId="0" fontId="0" fillId="4" borderId="3" xfId="0" applyFill="1" applyBorder="1" applyAlignment="1">
      <alignment vertical="top" wrapText="1"/>
    </xf>
    <xf numFmtId="0" fontId="0" fillId="0" borderId="6" xfId="0" applyBorder="1" applyAlignment="1">
      <alignment vertical="center"/>
    </xf>
    <xf numFmtId="0" fontId="0" fillId="4" borderId="3" xfId="0" applyFill="1" applyBorder="1" applyAlignment="1">
      <alignment vertical="center"/>
    </xf>
    <xf numFmtId="0" fontId="0" fillId="0" borderId="0" xfId="0" applyAlignment="1">
      <alignment vertical="center"/>
    </xf>
    <xf numFmtId="0" fontId="0" fillId="5" borderId="6" xfId="0" quotePrefix="1" applyFill="1" applyBorder="1" applyAlignment="1">
      <alignment vertical="top"/>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documenttasks/documenttask1.xml><?xml version="1.0" encoding="utf-8"?>
<Tasks xmlns="http://schemas.microsoft.com/office/tasks/2019/documenttasks">
  <Task id="{13D159EB-3AE8-4CED-BD15-520B646FD785}">
    <Anchor>
      <Comment id="{32EC5E1A-6084-4F05-BF51-61AFE998B99B}"/>
    </Anchor>
    <History>
      <Event time="2025-10-02T14:07:34.51" id="{CD88487D-7EBD-43FC-B26F-2E9A7EAF4B38}">
        <Attribution userId="S::adonis.ndayizeye@undp.org::8061bff4-3d94-4a97-91bb-1833da8ff2c7" userName="Adonis Ndayizeye" userProvider="AD"/>
        <Anchor>
          <Comment id="{32EC5E1A-6084-4F05-BF51-61AFE998B99B}"/>
        </Anchor>
        <Create/>
      </Event>
      <Event time="2025-10-02T14:07:34.51" id="{53749F2F-1AC6-409B-8910-0DD57CF9E8C0}">
        <Attribution userId="S::adonis.ndayizeye@undp.org::8061bff4-3d94-4a97-91bb-1833da8ff2c7" userName="Adonis Ndayizeye" userProvider="AD"/>
        <Anchor>
          <Comment id="{32EC5E1A-6084-4F05-BF51-61AFE998B99B}"/>
        </Anchor>
        <Assign userId="S::gladys.iteriteka@undp.org::260541e3-aefa-4a16-aee3-f71b1c40578f" userName="Daisy Gladys Iteriteka" userProvider="AD"/>
      </Event>
      <Event time="2025-10-02T14:07:34.51" id="{41FA2DC1-8A37-4E0D-ABCA-9B9598F670C3}">
        <Attribution userId="S::adonis.ndayizeye@undp.org::8061bff4-3d94-4a97-91bb-1833da8ff2c7" userName="Adonis Ndayizeye" userProvider="AD"/>
        <Anchor>
          <Comment id="{32EC5E1A-6084-4F05-BF51-61AFE998B99B}"/>
        </Anchor>
        <SetTitle title="@Daisy Gladys Iteritekale budget est 2 717 948 USD pour les deux phases ( Phase I : 927 983 USD et Phase II: 1 7989 766"/>
      </Event>
    </History>
  </Task>
</Tasks>
</file>

<file path=xl/persons/person.xml><?xml version="1.0" encoding="utf-8"?>
<personList xmlns="http://schemas.microsoft.com/office/spreadsheetml/2018/threadedcomments" xmlns:x="http://schemas.openxmlformats.org/spreadsheetml/2006/main">
  <person displayName="Adonis Ndayizeye" id="{3AD562E5-5C08-47F4-B763-B8429CA91289}" userId="adonis.ndayizeye@undp.org" providerId="PeoplePicker"/>
  <person displayName="Daisy Gladys Iteriteka" id="{BF9D739B-0287-4019-B36C-8E55B32F3028}" userId="gladys.iteriteka@undp.org" providerId="PeoplePicker"/>
  <person displayName="Adonis Ndayizeye" id="{3A645A5C-66D0-4354-849C-07BEE3FBD678}" userId="S::adonis.ndayizeye@undp.org::8061bff4-3d94-4a97-91bb-1833da8ff2c7" providerId="AD"/>
  <person displayName="Danae franco Lopera" id="{031145BE-5989-4233-A3DD-652F96372418}" userId="S::danae.franco.lopera@undp.org::3c54cf1a-4cf4-4ba3-92f8-3f2da986839d" providerId="AD"/>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9" dT="2025-10-02T14:07:33.91" personId="{3A645A5C-66D0-4354-849C-07BEE3FBD678}" id="{32EC5E1A-6084-4F05-BF51-61AFE998B99B}">
    <text>@Daisy Gladys Iteritekale budget est 2 717 948 USD pour les deux phases ( Phase I : 927 983 USD et Phase II: 1 7989 766</text>
    <mentions>
      <mention mentionpersonId="{BF9D739B-0287-4019-B36C-8E55B32F3028}" mentionId="{7D9A1EF3-1DC1-479E-AD31-3B2DCE0E624D}" startIndex="0" length="23"/>
    </mentions>
  </threadedComment>
  <threadedComment ref="G9" dT="2025-10-02T14:29:39.27" personId="{3A645A5C-66D0-4354-849C-07BEE3FBD678}" id="{6DE93AEE-9CFE-45EE-AAC8-02F23CE77433}">
    <text>Merci de préciser le type d'information à mettre dans baseline. Faudrait il ajouter les données techniques collectées aux sites: nombre d'heures de coupure, ...?</text>
  </threadedComment>
  <threadedComment ref="G9" dT="2025-10-02T18:28:37.33" personId="{031145BE-5989-4233-A3DD-652F96372418}" id="{13A12C89-CA7F-4D21-88E8-78320B11B360}" parentId="{6DE93AEE-9CFE-45EE-AAC8-02F23CE77433}">
    <text>Bonjour Adonis! Pour l’établissement du baseline, il convient d’indiquer le nombre de personnes bénéficiant actuellement de services de santé électrifiés dans les structures ciblées. Si ces établissements ne disposent pas encore d’un accès fiable à l’électricité, le baseline sera tout simplement de zéro. Le "target" correspond alors à la population estimée qui aura un nouvel accès une fois que les 14 structures de santé seront équipées de systèmes solaires hybrides</text>
  </threadedComment>
  <threadedComment ref="G9" dT="2025-10-02T18:28:57.59" personId="{031145BE-5989-4233-A3DD-652F96372418}" id="{DEDD97EE-6ECD-415D-A98B-72174E1993B0}" parentId="{6DE93AEE-9CFE-45EE-AAC8-02F23CE77433}">
    <text>Les données techniques, telles que le nombre d’heures de coupure, peuvent constituer un contexte utile pour la conception et le suivi du projet, mais elles ne sont pas requises dans la définition du baseline dans le cadre de l’Energy Moonshot Tracker</text>
  </threadedComment>
  <threadedComment ref="H9" dT="2025-10-02T18:32:54.01" personId="{031145BE-5989-4233-A3DD-652F96372418}" id="{2023F790-2CDE-489B-AD2F-25ADA27E1B5B}">
    <text xml:space="preserve">Ce chiffre doit être mis à jour : au lieu d’indiquer 14 (le nombre de systèmes solaires installés), il devrait refléter le nombre de personnes qui bénéficieront directement des nouvelles installations 
@Adonis Ndayizeye 
</text>
    <mentions>
      <mention mentionpersonId="{3AD562E5-5C08-47F4-B763-B8429CA91289}" mentionId="{C99AFC46-99CE-405A-9F01-F04199B52703}" startIndex="202" length="17"/>
    </mentions>
  </threadedComment>
</ThreadedComments>
</file>

<file path=xl/worksheets/_rels/sheet1.xml.rels><?xml version="1.0" encoding="UTF-8" standalone="yes"?>
<Relationships xmlns="http://schemas.openxmlformats.org/package/2006/relationships"><Relationship Id="rId3" Type="http://schemas.openxmlformats.org/officeDocument/2006/relationships/hyperlink" Target="https://open.undp.org/covid-response" TargetMode="External"/><Relationship Id="rId7" Type="http://schemas.microsoft.com/office/2019/04/relationships/documenttask" Target="../documenttasks/documenttask1.xml"/><Relationship Id="rId2" Type="http://schemas.openxmlformats.org/officeDocument/2006/relationships/hyperlink" Target="https://open.undp.org/projects/01001073" TargetMode="External"/><Relationship Id="rId1" Type="http://schemas.openxmlformats.org/officeDocument/2006/relationships/hyperlink" Target="http://open.undp.org/projects/00124212"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hyperlink" Target="http://open.undp.org/projects/00124212" TargetMode="External"/></Relationships>
</file>

<file path=xl/worksheets/_rels/sheet3.xml.rels><?xml version="1.0" encoding="UTF-8" standalone="yes"?>
<Relationships xmlns="http://schemas.openxmlformats.org/package/2006/relationships"><Relationship Id="rId2" Type="http://schemas.openxmlformats.org/officeDocument/2006/relationships/hyperlink" Target="https://open.undp.org/projects/00124212" TargetMode="External"/><Relationship Id="rId1" Type="http://schemas.openxmlformats.org/officeDocument/2006/relationships/hyperlink" Target="http://open.undp.org/projects/00124212"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512A5A-1A2A-4B5A-BD27-0233461D1D3D}">
  <dimension ref="A1:Z10"/>
  <sheetViews>
    <sheetView tabSelected="1" topLeftCell="E1" workbookViewId="0">
      <selection activeCell="G18" sqref="G18"/>
    </sheetView>
  </sheetViews>
  <sheetFormatPr defaultRowHeight="14.25" x14ac:dyDescent="0.45"/>
  <cols>
    <col min="2" max="2" width="60" customWidth="1"/>
    <col min="3" max="3" width="27.265625" customWidth="1"/>
    <col min="4" max="4" width="10.59765625" bestFit="1" customWidth="1"/>
    <col min="5" max="5" width="20.73046875" customWidth="1"/>
    <col min="6" max="6" width="53.86328125" customWidth="1"/>
    <col min="7" max="8" width="12.73046875" customWidth="1"/>
    <col min="9" max="9" width="32.73046875" customWidth="1"/>
    <col min="10" max="10" width="13" bestFit="1" customWidth="1"/>
    <col min="11" max="11" width="17.3984375" bestFit="1" customWidth="1"/>
    <col min="12" max="12" width="12.59765625" bestFit="1" customWidth="1"/>
    <col min="14" max="14" width="25.86328125" customWidth="1"/>
    <col min="15" max="15" width="19.59765625" customWidth="1"/>
    <col min="16" max="16" width="12.59765625" customWidth="1"/>
    <col min="17" max="17" width="16.59765625" bestFit="1" customWidth="1"/>
    <col min="18" max="18" width="18.1328125" bestFit="1" customWidth="1"/>
    <col min="19" max="19" width="11.265625" bestFit="1" customWidth="1"/>
    <col min="20" max="20" width="30.265625" bestFit="1" customWidth="1"/>
    <col min="21" max="21" width="19.1328125" customWidth="1"/>
  </cols>
  <sheetData>
    <row r="1" spans="1:26" x14ac:dyDescent="0.45">
      <c r="A1" s="11" t="s">
        <v>0</v>
      </c>
      <c r="B1" s="11" t="s">
        <v>1</v>
      </c>
      <c r="C1" s="11" t="s">
        <v>2</v>
      </c>
      <c r="D1" s="11" t="s">
        <v>3</v>
      </c>
      <c r="E1" s="11" t="s">
        <v>4</v>
      </c>
      <c r="F1" s="11" t="s">
        <v>5</v>
      </c>
      <c r="G1" s="11" t="s">
        <v>6</v>
      </c>
      <c r="H1" s="11" t="s">
        <v>7</v>
      </c>
      <c r="I1" s="11" t="s">
        <v>8</v>
      </c>
      <c r="J1" s="12" t="s">
        <v>9</v>
      </c>
      <c r="K1" s="12" t="s">
        <v>10</v>
      </c>
      <c r="L1" s="26" t="s">
        <v>11</v>
      </c>
      <c r="M1" s="28" t="s">
        <v>12</v>
      </c>
      <c r="N1" s="26" t="s">
        <v>13</v>
      </c>
      <c r="O1" s="26" t="s">
        <v>14</v>
      </c>
      <c r="P1" s="28" t="s">
        <v>15</v>
      </c>
      <c r="Q1" s="28" t="s">
        <v>16</v>
      </c>
      <c r="R1" s="29" t="s">
        <v>17</v>
      </c>
      <c r="S1" s="30" t="s">
        <v>18</v>
      </c>
      <c r="T1" s="29" t="s">
        <v>19</v>
      </c>
      <c r="U1" s="30" t="s">
        <v>20</v>
      </c>
    </row>
    <row r="2" spans="1:26" x14ac:dyDescent="0.45">
      <c r="A2" s="13">
        <v>124212</v>
      </c>
      <c r="B2" s="14" t="s">
        <v>21</v>
      </c>
      <c r="C2" s="23" t="s">
        <v>22</v>
      </c>
      <c r="D2" s="13">
        <v>7260535</v>
      </c>
      <c r="E2" s="13" t="s">
        <v>23</v>
      </c>
      <c r="F2" s="13" t="s">
        <v>24</v>
      </c>
      <c r="G2" s="13">
        <v>0</v>
      </c>
      <c r="H2" s="13" t="s">
        <v>25</v>
      </c>
      <c r="I2" s="13"/>
      <c r="J2" s="13"/>
      <c r="K2" s="13"/>
      <c r="L2" s="31" t="s">
        <v>26</v>
      </c>
      <c r="M2" s="27"/>
      <c r="N2" s="32" t="s">
        <v>27</v>
      </c>
      <c r="O2" s="27"/>
      <c r="P2" s="27"/>
      <c r="Q2" s="27"/>
      <c r="R2" s="27"/>
      <c r="S2" s="33" t="s">
        <v>28</v>
      </c>
      <c r="T2" s="27"/>
      <c r="U2" s="33"/>
      <c r="X2" s="13"/>
      <c r="Y2" s="13"/>
      <c r="Z2" s="13"/>
    </row>
    <row r="3" spans="1:26" x14ac:dyDescent="0.45">
      <c r="A3" s="13"/>
      <c r="B3" s="25"/>
      <c r="C3" s="24"/>
      <c r="D3" s="13"/>
      <c r="E3" s="13" t="s">
        <v>29</v>
      </c>
      <c r="F3" s="14" t="s">
        <v>30</v>
      </c>
      <c r="G3" s="13">
        <v>0</v>
      </c>
      <c r="H3" s="13">
        <v>20000</v>
      </c>
      <c r="I3" s="13"/>
      <c r="J3" s="13"/>
      <c r="K3" s="13"/>
      <c r="L3" s="31" t="s">
        <v>26</v>
      </c>
      <c r="M3" s="27"/>
      <c r="N3" s="32" t="s">
        <v>27</v>
      </c>
      <c r="O3" s="27"/>
      <c r="P3" s="27"/>
      <c r="Q3" s="27"/>
      <c r="R3" s="27"/>
      <c r="S3" s="33"/>
      <c r="T3" s="27"/>
      <c r="U3" s="33"/>
      <c r="X3" s="13"/>
      <c r="Y3" s="13"/>
      <c r="Z3" s="13"/>
    </row>
    <row r="4" spans="1:26" x14ac:dyDescent="0.45">
      <c r="A4" s="13"/>
      <c r="B4" s="22"/>
      <c r="C4" s="13"/>
      <c r="D4" s="13"/>
      <c r="E4" s="13" t="s">
        <v>31</v>
      </c>
      <c r="F4" s="14" t="s">
        <v>32</v>
      </c>
      <c r="G4" s="13">
        <v>0</v>
      </c>
      <c r="H4" s="13">
        <v>13</v>
      </c>
      <c r="I4" s="13"/>
      <c r="J4" s="13"/>
      <c r="K4" s="13"/>
      <c r="L4" s="31" t="s">
        <v>26</v>
      </c>
      <c r="M4" s="27"/>
      <c r="N4" s="32" t="s">
        <v>27</v>
      </c>
      <c r="O4" s="27"/>
      <c r="P4" s="27"/>
      <c r="Q4" s="27"/>
      <c r="R4" s="27"/>
      <c r="S4" s="33"/>
      <c r="T4" s="27"/>
      <c r="U4" s="33"/>
    </row>
    <row r="5" spans="1:26" x14ac:dyDescent="0.45">
      <c r="A5" s="34"/>
      <c r="B5" s="43"/>
      <c r="C5" s="34"/>
      <c r="D5" s="34"/>
      <c r="E5" s="34" t="s">
        <v>33</v>
      </c>
      <c r="F5" s="44" t="s">
        <v>34</v>
      </c>
      <c r="G5" s="34">
        <v>0</v>
      </c>
      <c r="H5" s="34">
        <v>5000</v>
      </c>
      <c r="I5" s="34"/>
      <c r="J5" s="34"/>
      <c r="K5" s="34"/>
      <c r="L5" s="45" t="s">
        <v>26</v>
      </c>
      <c r="M5" s="46"/>
      <c r="N5" s="47" t="s">
        <v>27</v>
      </c>
      <c r="O5" s="46"/>
      <c r="P5" s="46"/>
      <c r="Q5" s="46"/>
      <c r="R5" s="46"/>
      <c r="S5" s="48"/>
      <c r="T5" s="46"/>
      <c r="U5" s="48"/>
    </row>
    <row r="6" spans="1:26" x14ac:dyDescent="0.45">
      <c r="A6" s="42">
        <v>1001068</v>
      </c>
      <c r="B6" s="13" t="s">
        <v>35</v>
      </c>
      <c r="C6" s="13"/>
      <c r="D6" s="40"/>
      <c r="E6" s="13"/>
      <c r="F6" s="13"/>
      <c r="G6" s="13"/>
      <c r="H6" s="13"/>
      <c r="I6" s="13"/>
      <c r="J6" s="13" t="s">
        <v>36</v>
      </c>
      <c r="K6" s="13"/>
      <c r="L6" s="13"/>
      <c r="M6" s="13"/>
      <c r="N6" s="41" t="s">
        <v>27</v>
      </c>
      <c r="O6" s="13"/>
      <c r="P6" s="13"/>
      <c r="Q6" s="13"/>
      <c r="R6" s="13"/>
      <c r="S6" s="13"/>
      <c r="T6" s="13"/>
      <c r="U6" s="13"/>
    </row>
    <row r="7" spans="1:26" x14ac:dyDescent="0.45">
      <c r="A7" s="42">
        <v>1001068</v>
      </c>
      <c r="B7" s="13" t="s">
        <v>37</v>
      </c>
      <c r="C7" s="13"/>
      <c r="D7" s="40"/>
      <c r="E7" s="13"/>
      <c r="F7" s="13"/>
      <c r="G7" s="13"/>
      <c r="H7" s="13"/>
      <c r="I7" s="13"/>
      <c r="J7" s="13" t="s">
        <v>38</v>
      </c>
      <c r="K7" s="13"/>
      <c r="L7" s="13"/>
      <c r="M7" s="13"/>
      <c r="N7" s="41" t="s">
        <v>27</v>
      </c>
      <c r="O7" s="13"/>
      <c r="P7" s="13"/>
      <c r="Q7" s="13"/>
      <c r="R7" s="13"/>
      <c r="S7" s="13"/>
      <c r="T7" s="13"/>
      <c r="U7" s="13"/>
    </row>
    <row r="8" spans="1:26" s="55" customFormat="1" ht="28.5" x14ac:dyDescent="0.45">
      <c r="A8" s="49">
        <v>1001073</v>
      </c>
      <c r="B8" s="50" t="s">
        <v>39</v>
      </c>
      <c r="C8" s="51" t="s">
        <v>40</v>
      </c>
      <c r="D8" s="52">
        <v>285715.34999999998</v>
      </c>
      <c r="E8" s="53" t="s">
        <v>41</v>
      </c>
      <c r="F8" s="50" t="s">
        <v>42</v>
      </c>
      <c r="G8" s="53">
        <v>0</v>
      </c>
      <c r="H8" s="53">
        <v>32</v>
      </c>
      <c r="I8" s="50" t="s">
        <v>43</v>
      </c>
      <c r="J8" s="53" t="s">
        <v>36</v>
      </c>
      <c r="K8" s="53"/>
      <c r="L8" s="53"/>
      <c r="M8" s="53"/>
      <c r="N8" s="54" t="s">
        <v>27</v>
      </c>
      <c r="O8" s="53"/>
      <c r="P8" s="53"/>
      <c r="Q8" s="53"/>
      <c r="R8" s="53"/>
      <c r="S8" s="53"/>
      <c r="T8" s="53"/>
      <c r="U8" s="53"/>
    </row>
    <row r="9" spans="1:26" s="55" customFormat="1" ht="42.75" x14ac:dyDescent="0.45">
      <c r="A9" s="61" t="s">
        <v>44</v>
      </c>
      <c r="B9" s="53" t="s">
        <v>45</v>
      </c>
      <c r="C9" s="51" t="s">
        <v>46</v>
      </c>
      <c r="D9" s="53" t="s">
        <v>47</v>
      </c>
      <c r="E9" s="50" t="s">
        <v>67</v>
      </c>
      <c r="F9" s="50" t="s">
        <v>48</v>
      </c>
      <c r="G9" s="56" t="s">
        <v>49</v>
      </c>
      <c r="H9" s="57" t="s">
        <v>50</v>
      </c>
      <c r="I9" s="50" t="s">
        <v>51</v>
      </c>
      <c r="J9" s="50" t="s">
        <v>52</v>
      </c>
      <c r="K9" s="53"/>
      <c r="L9" s="53"/>
      <c r="M9" s="53"/>
      <c r="N9" s="54" t="s">
        <v>27</v>
      </c>
      <c r="O9" s="53"/>
      <c r="P9" s="53"/>
      <c r="Q9" s="53"/>
      <c r="R9" s="53"/>
      <c r="S9" s="53" t="s">
        <v>53</v>
      </c>
      <c r="T9" s="53"/>
      <c r="U9" s="53"/>
    </row>
    <row r="10" spans="1:26" s="60" customFormat="1" x14ac:dyDescent="0.45">
      <c r="A10" s="58"/>
      <c r="B10" s="33" t="s">
        <v>54</v>
      </c>
      <c r="C10" s="33"/>
      <c r="D10" s="59"/>
      <c r="E10" s="33"/>
      <c r="F10" s="33"/>
      <c r="G10" s="33"/>
      <c r="H10" s="33"/>
      <c r="I10" s="33"/>
      <c r="J10" s="33" t="s">
        <v>55</v>
      </c>
      <c r="K10" s="33"/>
      <c r="L10" s="33"/>
      <c r="M10" s="33"/>
      <c r="N10" s="41" t="s">
        <v>27</v>
      </c>
      <c r="O10" s="33"/>
      <c r="P10" s="33"/>
      <c r="Q10" s="33"/>
      <c r="R10" s="33"/>
      <c r="S10" s="33"/>
      <c r="T10" s="33"/>
      <c r="U10" s="33"/>
    </row>
  </sheetData>
  <dataValidations count="10">
    <dataValidation type="list" allowBlank="1" showInputMessage="1" showErrorMessage="1" sqref="Q2:Q5" xr:uid="{C40D7CBA-62E5-4227-81B5-66DA4305B727}">
      <formula1>"NDC Support, National Strategy, Legal Framework,Incentives and Support, Government Capacity-Building, Carbon Pricing and Monitoring, Financing Model, Business Model"</formula1>
    </dataValidation>
    <dataValidation type="list" allowBlank="1" showInputMessage="1" showErrorMessage="1" sqref="P2:P5" xr:uid="{93A94023-981A-4A94-BE8B-8BE292B4B660}">
      <formula1>"AMP, PUDC, Solar4Health, Action Opportunities, Italy UNDP Energy Partnership"</formula1>
    </dataValidation>
    <dataValidation type="list" allowBlank="1" showInputMessage="1" showErrorMessage="1" sqref="Z2:Z3" xr:uid="{9F30CEBD-60CE-4230-9DD6-D4E992616B86}">
      <formula1>"Electricity Access, Energy Efficiency, Clean Cooking, Renewable Energy"</formula1>
    </dataValidation>
    <dataValidation type="list" allowBlank="1" showInputMessage="1" showErrorMessage="1" sqref="Y2:Y3 N2:N10" xr:uid="{26BE4815-FF98-471F-819E-8EEEE9C2E4E9}">
      <formula1>"Accelerating just energy transition, Close the gap on energy access, Scale up energy finance"</formula1>
    </dataValidation>
    <dataValidation type="list" allowBlank="1" showInputMessage="1" showErrorMessage="1" sqref="O2:O5" xr:uid="{5143D291-C759-4C5E-9B35-56C64D2487D9}">
      <formula1>"Electricity Access, Energy Efficiency, Clean Cooking, Renewable Energy, Overall"</formula1>
    </dataValidation>
    <dataValidation type="list" allowBlank="1" showInputMessage="1" showErrorMessage="1" sqref="L2:L5" xr:uid="{EFA3EDEA-FC17-4ED6-BB42-7308685F2AC8}">
      <formula1>"Non-VF, VF"</formula1>
    </dataValidation>
    <dataValidation type="list" allowBlank="1" showInputMessage="1" showErrorMessage="1" sqref="M2:M5" xr:uid="{71EAFE19-FD3B-4917-AFA8-8B4205A86E0B}">
      <formula1>"Finance, Gender, Efficiency, Just, Health"</formula1>
    </dataValidation>
    <dataValidation type="list" allowBlank="1" showInputMessage="1" showErrorMessage="1" sqref="T2:T5" xr:uid="{D407D44C-33C4-4415-9AF6-B814FF79E38D}">
      <formula1>"National, Regional, City, Community"</formula1>
    </dataValidation>
    <dataValidation type="list" allowBlank="1" showInputMessage="1" showErrorMessage="1" sqref="S2:S5" xr:uid="{E4C63B31-9EAC-4504-823D-2444A21A2FBD}">
      <formula1>"Solar, Wind, Bioenergy, Hydro, Geothermal, Waste, Other, Unknown"</formula1>
    </dataValidation>
    <dataValidation type="list" allowBlank="1" showInputMessage="1" showErrorMessage="1" sqref="R2:R5" xr:uid="{39FEADB5-C6B9-461B-85A3-1A07F5CD755C}">
      <formula1>"Electricity Access, Energy Efficiency, Renewable Energy, Infrastructure,  Transport, Digital &amp; Data, Clean Cooking, Decarbonization, Hydrogen, Off-Grid, On-Grid, Research &amp; Innovation, Grant &amp; Investment"</formula1>
    </dataValidation>
  </dataValidations>
  <hyperlinks>
    <hyperlink ref="C2" r:id="rId1" xr:uid="{093625CA-BA28-400B-B67C-85AD21F899A1}"/>
    <hyperlink ref="C8" r:id="rId2" xr:uid="{F58E6799-611B-458A-AAFF-19BE805AFE76}"/>
    <hyperlink ref="C9" r:id="rId3" xr:uid="{100EB9C5-F3DA-464B-863B-40EFB13F8D4D}"/>
  </hyperlinks>
  <pageMargins left="0.7" right="0.7" top="0.75" bottom="0.75" header="0.3" footer="0.3"/>
  <legacyDrawing r:id="rId4"/>
  <extLst>
    <ext xmlns:x14="http://schemas.microsoft.com/office/spreadsheetml/2009/9/main" uri="{CCE6A557-97BC-4b89-ADB6-D9C93CAAB3DF}">
      <x14:dataValidations xmlns:xm="http://schemas.microsoft.com/office/excel/2006/main" count="1">
        <x14:dataValidation type="list" allowBlank="1" showInputMessage="1" showErrorMessage="1" xr:uid="{807C7CC8-B53A-4130-AFC6-538B0006DC88}">
          <x14:formula1>
            <xm:f>'Beneficiary Categories'!$A$2:$A$22</xm:f>
          </x14:formula1>
          <xm:sqref>E2:E77</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5B8D4A-38A4-4CA4-97E7-662F506C7BFE}">
  <dimension ref="A1:R5"/>
  <sheetViews>
    <sheetView topLeftCell="F1" workbookViewId="0">
      <selection activeCell="M1" sqref="M1"/>
    </sheetView>
  </sheetViews>
  <sheetFormatPr defaultRowHeight="14.25" x14ac:dyDescent="0.45"/>
  <cols>
    <col min="2" max="2" width="60" customWidth="1"/>
    <col min="3" max="3" width="27.265625" customWidth="1"/>
    <col min="5" max="5" width="20.73046875" customWidth="1"/>
    <col min="6" max="6" width="53.86328125" customWidth="1"/>
    <col min="7" max="8" width="12.73046875" customWidth="1"/>
    <col min="9" max="9" width="32.73046875" customWidth="1"/>
  </cols>
  <sheetData>
    <row r="1" spans="1:18" x14ac:dyDescent="0.45">
      <c r="A1" s="11" t="s">
        <v>0</v>
      </c>
      <c r="B1" s="11" t="s">
        <v>1</v>
      </c>
      <c r="C1" s="11" t="s">
        <v>2</v>
      </c>
      <c r="D1" s="11" t="s">
        <v>3</v>
      </c>
      <c r="E1" s="11" t="s">
        <v>4</v>
      </c>
      <c r="F1" s="11" t="s">
        <v>5</v>
      </c>
      <c r="G1" s="11" t="s">
        <v>6</v>
      </c>
      <c r="H1" s="11" t="s">
        <v>7</v>
      </c>
      <c r="I1" s="11" t="s">
        <v>8</v>
      </c>
      <c r="J1" s="12" t="s">
        <v>9</v>
      </c>
      <c r="K1" s="12" t="s">
        <v>10</v>
      </c>
      <c r="L1" s="12" t="s">
        <v>56</v>
      </c>
      <c r="M1" s="12" t="s">
        <v>12</v>
      </c>
      <c r="N1" s="12" t="s">
        <v>13</v>
      </c>
      <c r="O1" s="12" t="s">
        <v>14</v>
      </c>
      <c r="P1" s="12" t="s">
        <v>15</v>
      </c>
      <c r="Q1" s="12" t="s">
        <v>16</v>
      </c>
      <c r="R1" s="12" t="s">
        <v>17</v>
      </c>
    </row>
    <row r="2" spans="1:18" x14ac:dyDescent="0.45">
      <c r="A2" s="13">
        <v>124212</v>
      </c>
      <c r="B2" s="14" t="s">
        <v>21</v>
      </c>
      <c r="C2" s="15" t="s">
        <v>22</v>
      </c>
      <c r="D2" s="13">
        <v>7260535</v>
      </c>
      <c r="E2" s="16" t="s">
        <v>23</v>
      </c>
      <c r="F2" s="16" t="s">
        <v>24</v>
      </c>
      <c r="G2" s="16">
        <v>0</v>
      </c>
      <c r="H2" s="16" t="s">
        <v>25</v>
      </c>
      <c r="I2" s="16"/>
      <c r="J2" s="13"/>
      <c r="K2" s="13"/>
      <c r="L2" s="13"/>
      <c r="M2" s="13"/>
      <c r="N2" s="13" t="s">
        <v>57</v>
      </c>
      <c r="O2" s="13" t="s">
        <v>23</v>
      </c>
      <c r="P2" s="13"/>
      <c r="Q2" s="13"/>
      <c r="R2" s="13"/>
    </row>
    <row r="3" spans="1:18" s="10" customFormat="1" x14ac:dyDescent="0.45">
      <c r="A3" s="17"/>
      <c r="B3" s="18"/>
      <c r="C3" s="19"/>
      <c r="D3" s="17"/>
      <c r="E3" s="17" t="s">
        <v>29</v>
      </c>
      <c r="F3" s="20" t="s">
        <v>30</v>
      </c>
      <c r="G3" s="17">
        <v>0</v>
      </c>
      <c r="H3" s="17">
        <v>20000</v>
      </c>
      <c r="I3" s="17"/>
      <c r="J3" s="17"/>
      <c r="K3" s="17"/>
      <c r="L3" s="17"/>
      <c r="M3" s="17"/>
      <c r="N3" s="13" t="s">
        <v>57</v>
      </c>
      <c r="O3" s="13" t="s">
        <v>29</v>
      </c>
      <c r="P3" s="13"/>
      <c r="Q3" s="13"/>
      <c r="R3" s="13"/>
    </row>
    <row r="4" spans="1:18" s="10" customFormat="1" x14ac:dyDescent="0.45">
      <c r="A4" s="17"/>
      <c r="B4" s="21"/>
      <c r="C4" s="17"/>
      <c r="D4" s="17"/>
      <c r="E4" s="17" t="s">
        <v>31</v>
      </c>
      <c r="F4" s="20" t="s">
        <v>32</v>
      </c>
      <c r="G4" s="17">
        <v>0</v>
      </c>
      <c r="H4" s="17">
        <v>13</v>
      </c>
      <c r="I4" s="17"/>
      <c r="J4" s="17"/>
      <c r="K4" s="17"/>
      <c r="L4" s="17"/>
      <c r="M4" s="17"/>
      <c r="N4" s="13"/>
      <c r="O4" s="13"/>
      <c r="P4" s="13"/>
      <c r="Q4" s="13"/>
      <c r="R4" s="13"/>
    </row>
    <row r="5" spans="1:18" x14ac:dyDescent="0.45">
      <c r="A5" s="13"/>
      <c r="B5" s="22"/>
      <c r="C5" s="13"/>
      <c r="D5" s="13"/>
      <c r="E5" s="13" t="s">
        <v>33</v>
      </c>
      <c r="F5" s="14" t="s">
        <v>34</v>
      </c>
      <c r="G5" s="13">
        <v>0</v>
      </c>
      <c r="H5" s="13">
        <v>5000</v>
      </c>
      <c r="I5" s="13"/>
      <c r="J5" s="13"/>
      <c r="K5" s="13"/>
      <c r="L5" s="13"/>
      <c r="M5" s="13"/>
      <c r="N5" s="13"/>
      <c r="O5" s="13"/>
      <c r="P5" s="13"/>
      <c r="Q5" s="13"/>
      <c r="R5" s="13"/>
    </row>
  </sheetData>
  <dataValidations count="5">
    <dataValidation type="list" allowBlank="1" showInputMessage="1" showErrorMessage="1" sqref="N2:N6" xr:uid="{0F8E62F8-2483-45A3-8D1A-E63AD06CD615}">
      <formula1>"Accelerating just energy transition, Close the gap on energy access, Scale up energy finance"</formula1>
    </dataValidation>
    <dataValidation type="list" allowBlank="1" showInputMessage="1" showErrorMessage="1" sqref="O2:O6" xr:uid="{B18E8CC0-4068-4146-955D-2FE633A226A9}">
      <formula1>"Electricity Access, Energy Efficiency, Clean Cooking, Renewable Energy"</formula1>
    </dataValidation>
    <dataValidation type="list" allowBlank="1" showInputMessage="1" showErrorMessage="1" sqref="P2:P6" xr:uid="{BB171A46-C898-4A8C-85FE-DD608C9BD4A5}">
      <formula1>"AMP, PUDC, Solar4Health, Action Opportunities, Italy UNDP Energy Partnership"</formula1>
    </dataValidation>
    <dataValidation type="list" allowBlank="1" showInputMessage="1" showErrorMessage="1" sqref="Q2:Q6" xr:uid="{9EB7FEAD-FF00-4021-9A0A-F2C25B4A5D23}">
      <formula1>"NDC Support, National Strategy, Legal Framework,Incentives and Support, Government Capacity-Building, Carbon Pricing and Monitoring, Financing Model, Business Model"</formula1>
    </dataValidation>
    <dataValidation type="list" allowBlank="1" showInputMessage="1" showErrorMessage="1" sqref="R2:R6" xr:uid="{D717431F-3630-489F-9CB5-B16113680180}">
      <formula1>"Electricity Access, Energy Efficiency, Renewable EnergyEnergy Infrastructure,   Transport, Digital &amp; Data, Clean Cooking, Decarbonization, Hydrogen, Off-Grid, On-Grid"</formula1>
    </dataValidation>
  </dataValidations>
  <hyperlinks>
    <hyperlink ref="C2" r:id="rId1" xr:uid="{C026437F-4734-41CB-A2A0-6F6D6305DCB6}"/>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CB010F2E-B1AE-44E9-9C53-11FEF4016CFB}">
          <x14:formula1>
            <xm:f>'Beneficiary Categories'!$A$2:$A$16</xm:f>
          </x14:formula1>
          <xm:sqref>E2:E6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6"/>
  <sheetViews>
    <sheetView workbookViewId="0">
      <selection activeCell="B6" sqref="A5:B6"/>
    </sheetView>
  </sheetViews>
  <sheetFormatPr defaultRowHeight="14.25" x14ac:dyDescent="0.45"/>
  <cols>
    <col min="2" max="2" width="60" customWidth="1"/>
    <col min="3" max="3" width="27.265625" customWidth="1"/>
    <col min="5" max="6" width="20.73046875" customWidth="1"/>
    <col min="7" max="8" width="12.73046875" customWidth="1"/>
    <col min="9" max="9" width="32.73046875" customWidth="1"/>
  </cols>
  <sheetData>
    <row r="1" spans="1:10" x14ac:dyDescent="0.45">
      <c r="A1" s="1" t="s">
        <v>0</v>
      </c>
      <c r="B1" s="1" t="s">
        <v>1</v>
      </c>
      <c r="C1" s="1" t="s">
        <v>2</v>
      </c>
      <c r="D1" s="1" t="s">
        <v>3</v>
      </c>
      <c r="E1" s="1" t="s">
        <v>4</v>
      </c>
      <c r="F1" s="1" t="s">
        <v>5</v>
      </c>
      <c r="G1" s="1" t="s">
        <v>6</v>
      </c>
      <c r="H1" s="1" t="s">
        <v>7</v>
      </c>
      <c r="I1" s="1" t="s">
        <v>8</v>
      </c>
      <c r="J1" s="9" t="s">
        <v>9</v>
      </c>
    </row>
    <row r="2" spans="1:10" x14ac:dyDescent="0.45">
      <c r="A2">
        <v>124212</v>
      </c>
      <c r="B2" s="6" t="s">
        <v>21</v>
      </c>
      <c r="C2" s="2" t="s">
        <v>22</v>
      </c>
      <c r="D2">
        <v>7260535</v>
      </c>
      <c r="E2" s="3" t="s">
        <v>23</v>
      </c>
      <c r="F2" s="3" t="s">
        <v>24</v>
      </c>
      <c r="G2" s="3">
        <v>0</v>
      </c>
      <c r="H2" s="3">
        <v>2864</v>
      </c>
      <c r="I2" s="3"/>
    </row>
    <row r="3" spans="1:10" ht="28.5" x14ac:dyDescent="0.45">
      <c r="A3">
        <v>124212</v>
      </c>
      <c r="B3" s="5" t="s">
        <v>21</v>
      </c>
      <c r="C3" s="7" t="s">
        <v>58</v>
      </c>
      <c r="D3">
        <v>7260535</v>
      </c>
      <c r="E3" t="s">
        <v>29</v>
      </c>
      <c r="F3" s="6" t="s">
        <v>30</v>
      </c>
      <c r="G3">
        <v>0</v>
      </c>
      <c r="H3" s="8">
        <v>20000</v>
      </c>
    </row>
    <row r="4" spans="1:10" ht="28.5" x14ac:dyDescent="0.45">
      <c r="A4">
        <v>124212</v>
      </c>
      <c r="B4" s="4" t="s">
        <v>21</v>
      </c>
      <c r="D4">
        <v>7260535</v>
      </c>
      <c r="E4" t="s">
        <v>31</v>
      </c>
      <c r="F4" s="6" t="s">
        <v>32</v>
      </c>
      <c r="G4">
        <v>0</v>
      </c>
      <c r="H4">
        <v>13</v>
      </c>
    </row>
    <row r="5" spans="1:10" ht="28.5" x14ac:dyDescent="0.45">
      <c r="A5">
        <v>124212</v>
      </c>
      <c r="B5" s="4" t="s">
        <v>21</v>
      </c>
      <c r="D5">
        <v>7260535</v>
      </c>
      <c r="E5" t="s">
        <v>33</v>
      </c>
      <c r="F5" s="6" t="s">
        <v>34</v>
      </c>
      <c r="G5">
        <v>0</v>
      </c>
      <c r="H5">
        <v>5000</v>
      </c>
    </row>
    <row r="6" spans="1:10" x14ac:dyDescent="0.45">
      <c r="A6">
        <v>124212</v>
      </c>
      <c r="B6" s="4" t="s">
        <v>21</v>
      </c>
    </row>
  </sheetData>
  <hyperlinks>
    <hyperlink ref="C2" r:id="rId1" xr:uid="{00000000-0004-0000-0000-000000000000}"/>
    <hyperlink ref="C3" r:id="rId2" xr:uid="{0FDA5493-01C9-4DC9-8FDF-093B87CBA793}"/>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000-000000000000}">
          <x14:formula1>
            <xm:f>'Beneficiary Categories'!$A$2:$A$16</xm:f>
          </x14:formula1>
          <xm:sqref>E2:E5 E7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22"/>
  <sheetViews>
    <sheetView workbookViewId="0">
      <selection activeCell="B7" sqref="B7"/>
    </sheetView>
  </sheetViews>
  <sheetFormatPr defaultRowHeight="14.25" x14ac:dyDescent="0.45"/>
  <cols>
    <col min="1" max="1" width="52.73046875" customWidth="1"/>
    <col min="2" max="2" width="96.73046875" customWidth="1"/>
  </cols>
  <sheetData>
    <row r="1" spans="1:2" ht="15.75" x14ac:dyDescent="0.45">
      <c r="A1" s="35" t="s">
        <v>4</v>
      </c>
      <c r="B1" s="35" t="s">
        <v>5</v>
      </c>
    </row>
    <row r="2" spans="1:2" ht="31.5" x14ac:dyDescent="0.5">
      <c r="A2" s="36" t="s">
        <v>23</v>
      </c>
      <c r="B2" s="37" t="s">
        <v>59</v>
      </c>
    </row>
    <row r="3" spans="1:2" ht="15.75" x14ac:dyDescent="0.5">
      <c r="A3" s="36" t="s">
        <v>60</v>
      </c>
      <c r="B3" s="37" t="s">
        <v>61</v>
      </c>
    </row>
    <row r="4" spans="1:2" ht="31.5" x14ac:dyDescent="0.5">
      <c r="A4" s="36" t="s">
        <v>29</v>
      </c>
      <c r="B4" s="37" t="s">
        <v>62</v>
      </c>
    </row>
    <row r="5" spans="1:2" ht="15.75" x14ac:dyDescent="0.5">
      <c r="A5" s="36" t="s">
        <v>63</v>
      </c>
      <c r="B5" s="37" t="s">
        <v>64</v>
      </c>
    </row>
    <row r="6" spans="1:2" ht="47.25" x14ac:dyDescent="0.5">
      <c r="A6" s="36" t="s">
        <v>65</v>
      </c>
      <c r="B6" s="37" t="s">
        <v>66</v>
      </c>
    </row>
    <row r="7" spans="1:2" ht="31.5" x14ac:dyDescent="0.5">
      <c r="A7" s="36" t="s">
        <v>67</v>
      </c>
      <c r="B7" s="37" t="s">
        <v>68</v>
      </c>
    </row>
    <row r="8" spans="1:2" ht="31.5" x14ac:dyDescent="0.5">
      <c r="A8" s="36" t="s">
        <v>69</v>
      </c>
      <c r="B8" s="37" t="s">
        <v>70</v>
      </c>
    </row>
    <row r="9" spans="1:2" ht="31.5" x14ac:dyDescent="0.5">
      <c r="A9" s="36" t="s">
        <v>71</v>
      </c>
      <c r="B9" s="37" t="s">
        <v>72</v>
      </c>
    </row>
    <row r="10" spans="1:2" ht="31.5" x14ac:dyDescent="0.5">
      <c r="A10" s="36" t="s">
        <v>73</v>
      </c>
      <c r="B10" s="38" t="s">
        <v>74</v>
      </c>
    </row>
    <row r="11" spans="1:2" ht="15.75" x14ac:dyDescent="0.5">
      <c r="A11" s="36" t="s">
        <v>75</v>
      </c>
      <c r="B11" s="38" t="s">
        <v>76</v>
      </c>
    </row>
    <row r="12" spans="1:2" ht="31.5" x14ac:dyDescent="0.5">
      <c r="A12" s="36" t="s">
        <v>77</v>
      </c>
      <c r="B12" s="37" t="s">
        <v>78</v>
      </c>
    </row>
    <row r="13" spans="1:2" ht="15.75" x14ac:dyDescent="0.5">
      <c r="A13" s="36" t="s">
        <v>79</v>
      </c>
      <c r="B13" s="38" t="s">
        <v>42</v>
      </c>
    </row>
    <row r="14" spans="1:2" ht="15.75" x14ac:dyDescent="0.5">
      <c r="A14" s="36" t="s">
        <v>80</v>
      </c>
      <c r="B14" s="38" t="s">
        <v>81</v>
      </c>
    </row>
    <row r="15" spans="1:2" ht="15.75" x14ac:dyDescent="0.5">
      <c r="A15" s="36" t="s">
        <v>82</v>
      </c>
      <c r="B15" s="38" t="s">
        <v>83</v>
      </c>
    </row>
    <row r="16" spans="1:2" ht="15.75" x14ac:dyDescent="0.5">
      <c r="A16" s="36" t="s">
        <v>31</v>
      </c>
      <c r="B16" s="38" t="s">
        <v>84</v>
      </c>
    </row>
    <row r="17" spans="1:2" ht="15.75" x14ac:dyDescent="0.5">
      <c r="A17" s="36" t="s">
        <v>85</v>
      </c>
      <c r="B17" s="37" t="s">
        <v>86</v>
      </c>
    </row>
    <row r="18" spans="1:2" ht="15.75" x14ac:dyDescent="0.5">
      <c r="A18" s="36" t="s">
        <v>87</v>
      </c>
      <c r="B18" s="38" t="s">
        <v>88</v>
      </c>
    </row>
    <row r="19" spans="1:2" ht="47.25" x14ac:dyDescent="0.5">
      <c r="A19" s="36" t="s">
        <v>89</v>
      </c>
      <c r="B19" s="38" t="s">
        <v>90</v>
      </c>
    </row>
    <row r="20" spans="1:2" ht="15.75" x14ac:dyDescent="0.5">
      <c r="A20" s="36" t="s">
        <v>33</v>
      </c>
      <c r="B20" s="38" t="s">
        <v>91</v>
      </c>
    </row>
    <row r="21" spans="1:2" ht="31.5" x14ac:dyDescent="0.45">
      <c r="A21" s="36" t="s">
        <v>19</v>
      </c>
      <c r="B21" s="39" t="s">
        <v>92</v>
      </c>
    </row>
    <row r="22" spans="1:2" ht="15.75" x14ac:dyDescent="0.5">
      <c r="A22" s="36" t="s">
        <v>93</v>
      </c>
      <c r="B22" s="38" t="s">
        <v>94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720239d0-7d3a-4257-bb40-a2a3b1409bb2">
      <Terms xmlns="http://schemas.microsoft.com/office/infopath/2007/PartnerControls"/>
    </lcf76f155ced4ddcb4097134ff3c332f>
    <TaxCatchAll xmlns="fb9e4d32-074f-4c04-81ef-e811753dfd59" xsi:nil="true"/>
    <SharedWithUsers xmlns="fb9e4d32-074f-4c04-81ef-e811753dfd59">
      <UserInfo>
        <DisplayName>Katiana Macius</DisplayName>
        <AccountId>1745</AccountId>
        <AccountType/>
      </UserInfo>
      <UserInfo>
        <DisplayName>Idris Bexi</DisplayName>
        <AccountId>1094</AccountId>
        <AccountType/>
      </UserInfo>
      <UserInfo>
        <DisplayName>Jonas Mfouatie</DisplayName>
        <AccountId>2561</AccountId>
        <AccountType/>
      </UserInfo>
      <UserInfo>
        <DisplayName>Benjamin Keller</DisplayName>
        <AccountId>1227</AccountId>
        <AccountType/>
      </UserInfo>
      <UserInfo>
        <DisplayName>Tannya Quinza-armenta</DisplayName>
        <AccountId>2508</AccountId>
        <AccountType/>
      </UserInfo>
      <UserInfo>
        <DisplayName>Stefano Pistolese</DisplayName>
        <AccountId>772</AccountId>
        <AccountType/>
      </UserInfo>
      <UserInfo>
        <DisplayName>Daisy Gladys Iteriteka</DisplayName>
        <AccountId>2581</AccountId>
        <AccountType/>
      </UserInfo>
    </SharedWithUsers>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81A889D055969F449BCDADF9B8A9C0F0" ma:contentTypeVersion="19" ma:contentTypeDescription="Create a new document." ma:contentTypeScope="" ma:versionID="55b7350c375998f6795677b1e38dfa8c">
  <xsd:schema xmlns:xsd="http://www.w3.org/2001/XMLSchema" xmlns:xs="http://www.w3.org/2001/XMLSchema" xmlns:p="http://schemas.microsoft.com/office/2006/metadata/properties" xmlns:ns2="720239d0-7d3a-4257-bb40-a2a3b1409bb2" xmlns:ns3="fb9e4d32-074f-4c04-81ef-e811753dfd59" targetNamespace="http://schemas.microsoft.com/office/2006/metadata/properties" ma:root="true" ma:fieldsID="12a65a177b511ef7abe69f5e8f04446c" ns2:_="" ns3:_="">
    <xsd:import namespace="720239d0-7d3a-4257-bb40-a2a3b1409bb2"/>
    <xsd:import namespace="fb9e4d32-074f-4c04-81ef-e811753dfd59"/>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DateTaken" minOccurs="0"/>
                <xsd:element ref="ns2:MediaLengthInSeconds" minOccurs="0"/>
                <xsd:element ref="ns2:MediaServiceLocation" minOccurs="0"/>
                <xsd:element ref="ns2:lcf76f155ced4ddcb4097134ff3c332f" minOccurs="0"/>
                <xsd:element ref="ns3:TaxCatchAll"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0239d0-7d3a-4257-bb40-a2a3b1409bb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8" nillable="true" ma:displayName="MediaServiceDateTaken" ma:hidden="true" ma:internalName="MediaServiceDateTaken" ma:readOnly="true">
      <xsd:simpleType>
        <xsd:restriction base="dms:Text"/>
      </xsd:simpleType>
    </xsd:element>
    <xsd:element name="MediaLengthInSeconds" ma:index="19" nillable="true" ma:displayName="Length (seconds)" ma:internalName="MediaLengthInSeconds" ma:readOnly="true">
      <xsd:simpleType>
        <xsd:restriction base="dms:Unknown"/>
      </xsd:simpleType>
    </xsd:element>
    <xsd:element name="MediaServiceLocation" ma:index="20"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f8ebb0a5-c57d-4c3a-bec7-8a38252dd05c"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fb9e4d32-074f-4c04-81ef-e811753dfd59"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d5300f42-37b4-4000-b69c-e0298172bf57}" ma:internalName="TaxCatchAll" ma:showField="CatchAllData" ma:web="fb9e4d32-074f-4c04-81ef-e811753dfd5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6ED487C-1C70-45A6-8C0C-8934EE26B218}">
  <ds:schemaRefs>
    <ds:schemaRef ds:uri="http://purl.org/dc/dcmitype/"/>
    <ds:schemaRef ds:uri="http://schemas.microsoft.com/office/infopath/2007/PartnerControls"/>
    <ds:schemaRef ds:uri="http://purl.org/dc/terms/"/>
    <ds:schemaRef ds:uri="http://www.w3.org/XML/1998/namespace"/>
    <ds:schemaRef ds:uri="http://schemas.microsoft.com/office/2006/metadata/properties"/>
    <ds:schemaRef ds:uri="http://schemas.openxmlformats.org/package/2006/metadata/core-properties"/>
    <ds:schemaRef ds:uri="http://schemas.microsoft.com/office/2006/documentManagement/types"/>
    <ds:schemaRef ds:uri="fb9e4d32-074f-4c04-81ef-e811753dfd59"/>
    <ds:schemaRef ds:uri="720239d0-7d3a-4257-bb40-a2a3b1409bb2"/>
    <ds:schemaRef ds:uri="http://purl.org/dc/elements/1.1/"/>
  </ds:schemaRefs>
</ds:datastoreItem>
</file>

<file path=customXml/itemProps2.xml><?xml version="1.0" encoding="utf-8"?>
<ds:datastoreItem xmlns:ds="http://schemas.openxmlformats.org/officeDocument/2006/customXml" ds:itemID="{10A1C27C-4564-4B31-A569-F02E5067EC7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0239d0-7d3a-4257-bb40-a2a3b1409bb2"/>
    <ds:schemaRef ds:uri="fb9e4d32-074f-4c04-81ef-e811753dfd5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69C17265-16CB-4971-B835-78CCC99C85A1}">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Projects (3)</vt:lpstr>
      <vt:lpstr>Projects (2)</vt:lpstr>
      <vt:lpstr>Projects</vt:lpstr>
      <vt:lpstr>Beneficiary Categories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Danae franco Lopera</cp:lastModifiedBy>
  <cp:revision/>
  <dcterms:created xsi:type="dcterms:W3CDTF">2023-05-05T09:33:41Z</dcterms:created>
  <dcterms:modified xsi:type="dcterms:W3CDTF">2025-10-02T18:33:00Z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0x01010081A889D055969F449BCDADF9B8A9C0F0</vt:lpwstr>
  </property>
  <property fmtid="{D5CDD505-2E9C-101B-9397-08002B2CF9AE}" pid="3" name="MediaServiceImageTags">
    <vt:lpwstr/>
  </property>
</Properties>
</file>