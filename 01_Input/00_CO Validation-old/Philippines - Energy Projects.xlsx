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300" documentId="11_07EE13C193757A3225BDE5FB35085310783B1F5F" xr6:coauthVersionLast="47" xr6:coauthVersionMax="47" xr10:uidLastSave="{F365C191-8F26-4C11-ADF4-D89546ED2530}"/>
  <bookViews>
    <workbookView xWindow="-108" yWindow="-108" windowWidth="23256" windowHeight="12456"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4" l="1"/>
</calcChain>
</file>

<file path=xl/sharedStrings.xml><?xml version="1.0" encoding="utf-8"?>
<sst xmlns="http://schemas.openxmlformats.org/spreadsheetml/2006/main" count="350" uniqueCount="122">
  <si>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</si>
  <si>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</si>
  <si>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</si>
  <si>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</si>
  <si>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</si>
  <si>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</si>
  <si>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</si>
  <si>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</si>
  <si>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</si>
  <si>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</si>
  <si>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</si>
  <si>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</si>
  <si>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</si>
  <si>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</si>
  <si>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</si>
  <si>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</si>
  <si>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</si>
  <si>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</si>
  <si>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</si>
  <si>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</si>
  <si>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</si>
  <si>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Urban Transport</t>
  </si>
  <si>
    <t>https://co.pims.undp.org/project/view?id=5304</t>
  </si>
  <si>
    <t>Other</t>
  </si>
  <si>
    <t xml:space="preserve">Number of people gainfully employed in the low carbon transport sector </t>
  </si>
  <si>
    <t>These are all from prodoc</t>
  </si>
  <si>
    <t>GEF</t>
  </si>
  <si>
    <t>VF</t>
  </si>
  <si>
    <t>Accelerating just energy transition</t>
  </si>
  <si>
    <t>Transportation and E-mobility Services</t>
  </si>
  <si>
    <t xml:space="preserve">Number of daily users of new transport options using low carbon transport systems </t>
  </si>
  <si>
    <t>Market Intervention</t>
  </si>
  <si>
    <t>Cumulative investment in new low carbon vehicle projects by EOP (USD)</t>
  </si>
  <si>
    <t>DREAMS</t>
  </si>
  <si>
    <t>https://co.pims.undp.org/project/view?id=5194</t>
  </si>
  <si>
    <t>GHG Emissions Reduction</t>
  </si>
  <si>
    <t>Cumulative direct project CO2 emission reductions from RE development by end-of-project (EOP), tonnes CO2</t>
  </si>
  <si>
    <t>Direct GHG avoidance calculated according the GEF Manual for GHG Reductions from RE Projects</t>
  </si>
  <si>
    <t>Close the gap on energy access</t>
  </si>
  <si>
    <t>Percent share of RE in the power generation mix of the Philippines – based on installed capacity.</t>
  </si>
  <si>
    <t>Reported progress is based on Philippine government data on annual generation mix</t>
  </si>
  <si>
    <t>Electricity Access</t>
  </si>
  <si>
    <t>Number of sitio households in far-flung areas that have obtained access to reliable sources of renewable energy due to the Project</t>
  </si>
  <si>
    <t>20000 HH</t>
  </si>
  <si>
    <t>The DREAMS Project implements the Support Facility for RE (SF4RE), a $1.7 million total grant of goods or services for RE projects for electrification and productive use, especially in in off-grid areas. Among supported projects are SF4RE RE Projects that benefit sitio households.</t>
  </si>
  <si>
    <t>Some Sources</t>
  </si>
  <si>
    <t>Number of approved and enforced policies and guidelines for leveraging RE investments</t>
  </si>
  <si>
    <t>DREAMS provides technical assistance to policy formulation of the Department of Energy.</t>
  </si>
  <si>
    <t>Renewable Energy</t>
  </si>
  <si>
    <t>Incentives and Support</t>
  </si>
  <si>
    <t>National</t>
  </si>
  <si>
    <t>Number of sitios with off-grid rural electrification plans using RE</t>
  </si>
  <si>
    <t>DREAMS Project provides capacity building for Local RE Planning of LGUs and Electric Cooperatives, specifically in integrating RE and electrification in budgets, policies, and plans.</t>
  </si>
  <si>
    <t>Medium Enterprises</t>
  </si>
  <si>
    <t>Number of businesses who have accreditation or applied for DOE accreditation to manufacture, fabricater supply locally produced RE components</t>
  </si>
  <si>
    <t>RE manufacturers can register their businesses to the Department of Energy to avail incentives.</t>
  </si>
  <si>
    <t>Number of funded and implemented RE projects championed or facilitated by LGU-based RE focal points</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</si>
  <si>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</si>
  <si>
    <t>Number of RE projects facilitated by operational provincial level RE market service centres</t>
  </si>
  <si>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</si>
  <si>
    <t xml:space="preserve">Number of RE projects that were designed based on information and technical advice obtained from the established RE knowledge platform </t>
  </si>
  <si>
    <t>DREAMS Project supported the development of the RE Management Bureau Information System. The System will go live on June 2023. This system will be used by students of the RE Executive Course to create RE projects as a capstone requirement for certification.</t>
  </si>
  <si>
    <t>Energy (MW added)</t>
  </si>
  <si>
    <t>Cumulative MW of installed capacity registered in the RER established in the “capitalized” RE market</t>
  </si>
  <si>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</si>
  <si>
    <t>Number of RE developers registered in the RER</t>
  </si>
  <si>
    <t>MW of RE projects that are being developed through the PPF</t>
  </si>
  <si>
    <t xml:space="preserve">The DREAMS Project implements the Support Facility for RE (SF4RE), a $1.7 million total grant of goods or services for RE projects for electrification and productive use, especially in in off-grid areas. </t>
  </si>
  <si>
    <t>Number of bankable RE plans completed by other LGUs who were interested in RE-based energy systems</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</si>
  <si>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</si>
  <si>
    <t>Capacity Building Training</t>
  </si>
  <si>
    <t>Number of certified technicians for RE equipment assembly and supply working with locally DOE accredited RE manufacturing entities</t>
  </si>
  <si>
    <t>DREAMS conducts technical training for RE technicians, particularly to implement RE plans produced from other outcomes</t>
  </si>
  <si>
    <t>MW of installed capacity of RE projects being implemented that received support from new RE financial mechanisms that combine PPF, RE loan financing and the LGUGC (when appropriate)</t>
  </si>
  <si>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</si>
  <si>
    <t>MW of installed capacity of RE projects resulting from accelerated expediting of RE service contracts</t>
  </si>
  <si>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</si>
  <si>
    <t>Category</t>
  </si>
  <si>
    <t>Comments</t>
  </si>
  <si>
    <t>PIMS+</t>
  </si>
  <si>
    <t>Transport Services</t>
  </si>
  <si>
    <t>to the CO: Please define the target.</t>
  </si>
  <si>
    <t>20,000 HH</t>
  </si>
  <si>
    <t xml:space="preserve">to the CO: for this entire project, can you please provide a sum of the total additional MW capacity targeted? It is unclear whether the listed MW targets are all independent </t>
  </si>
  <si>
    <r>
      <rPr>
        <sz val="11"/>
        <color rgb="FF000000"/>
        <rFont val="Calibri"/>
      </rPr>
      <t xml:space="preserve">Project response: Total sum of total target added capicity is 95 MW total. This is composed of the items in bold in column H, which are independent of each other.  I note that I don't recommend adding to the total the Energy (MW Added) from the target "Cumulative MW of installed capacity registered in the RER established in the “capitalized” RE market;" it isn't included in the figure I gave of 95 MW total. This is because this target is capturing the registration of </t>
    </r>
    <r>
      <rPr>
        <i/>
        <sz val="11"/>
        <color rgb="FF000000"/>
        <rFont val="Calibri"/>
      </rPr>
      <t xml:space="preserve">already existing capacities </t>
    </r>
    <r>
      <rPr>
        <sz val="11"/>
        <color rgb="FF000000"/>
        <rFont val="Calibri"/>
      </rPr>
      <t>into the RE Registrar for RE Certificate trading, instead of installing a greenfield RE facility with new capacities.</t>
    </r>
  </si>
  <si>
    <t>Project Rresponse 2 (November 2023): For beneficiaries of the SF4RE, please see slide below:</t>
  </si>
  <si>
    <t>Other Energy Services</t>
  </si>
  <si>
    <t>Capacity Training</t>
  </si>
  <si>
    <t>Cumulative direct project CO2 emission reductions from RE development by end-of-project (EOP), ktonnes CO2</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</si>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</sst>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sz val="10"/>
      <color rgb="FFFF0000"/>
      <name val="Helvetica Neue"/>
      <charset val="1"/>
    </font>
    <font>
      <sz val="11"/>
      <color rgb="FF000000"/>
      <name val="Calibri"/>
    </font>
    <font>
      <i/>
      <sz val="11"/>
      <color rgb="FF000000"/>
      <name val="Calibri"/>
    </font>
    <font>
      <b/>
      <sz val="11"/>
      <color theme="1"/>
      <name val="Calibri"/>
      <scheme val="minor"/>
    </font>
    <font>
      <sz val="11"/>
      <color rgb="FF000000"/>
      <name val="Calibri"/>
      <scheme val="minor"/>
    </font>
    <font>
      <u/>
      <sz val="11"/>
      <color theme="10"/>
      <name val="Calibri"/>
      <family val="2"/>
      <scheme val="minor"/>
    </font>
  </fonts>
  <fills count="3">
    <fill>
      <patternFill patternType="none"/>
    </fill>
    <fill>
      <patternFill patternType="gray125"/>
    </fill>
    <fill>
      <patternFill patternType="solid">
        <fgColor rgb="FFFFE497"/>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8" fillId="0" borderId="0" applyNumberFormat="0" applyFill="0" applyBorder="0" applyAlignment="0" applyProtection="0"/>
  </cellStyleXfs>
  <cellXfs count="39">
    <xf numFmtId="0" fontId="0" fillId="0" borderId="0" xfId="0"/>
    <xf numFmtId="0" fontId="0" fillId="2" borderId="0" xfId="0" applyFill="1" applyAlignment="1">
      <alignment vertical="center"/>
    </xf>
    <xf numFmtId="0" fontId="0" fillId="0" borderId="0" xfId="0" applyAlignment="1">
      <alignment vertical="center"/>
    </xf>
    <xf numFmtId="0" fontId="0" fillId="2" borderId="0" xfId="0" applyFill="1" applyAlignment="1">
      <alignment vertical="center" wrapText="1"/>
    </xf>
    <xf numFmtId="0" fontId="0" fillId="0" borderId="0" xfId="0" applyAlignment="1">
      <alignment vertical="center" wrapText="1"/>
    </xf>
    <xf numFmtId="0" fontId="2" fillId="0" borderId="1" xfId="0" applyFont="1" applyBorder="1" applyAlignment="1">
      <alignment horizontal="center" vertical="center"/>
    </xf>
    <xf numFmtId="10" fontId="0" fillId="0" borderId="0" xfId="0" applyNumberFormat="1" applyAlignment="1">
      <alignment vertical="center"/>
    </xf>
    <xf numFmtId="9" fontId="0" fillId="0" borderId="0" xfId="0" applyNumberFormat="1" applyAlignment="1">
      <alignment vertical="center"/>
    </xf>
    <xf numFmtId="0" fontId="2" fillId="0" borderId="0" xfId="0" applyFont="1" applyAlignment="1">
      <alignment vertical="center"/>
    </xf>
    <xf numFmtId="0" fontId="2" fillId="0" borderId="2" xfId="0" applyFont="1" applyBorder="1"/>
    <xf numFmtId="0" fontId="3" fillId="0" borderId="0" xfId="0" applyFont="1"/>
    <xf numFmtId="0" fontId="3" fillId="0" borderId="0" xfId="0" applyFont="1" applyAlignment="1">
      <alignment vertical="center"/>
    </xf>
    <xf numFmtId="0" fontId="4" fillId="0" borderId="0" xfId="0" applyFont="1" applyAlignment="1">
      <alignment vertical="center"/>
    </xf>
    <xf numFmtId="0" fontId="2" fillId="0" borderId="2" xfId="0" applyFont="1" applyBorder="1" applyAlignment="1">
      <alignment horizontal="center" vertical="center"/>
    </xf>
    <xf numFmtId="0" fontId="2" fillId="0" borderId="2" xfId="0" applyFont="1" applyBorder="1" applyAlignment="1">
      <alignment vertical="center"/>
    </xf>
    <xf numFmtId="0" fontId="0" fillId="0" borderId="2" xfId="0" applyBorder="1" applyAlignment="1">
      <alignment vertical="center"/>
    </xf>
    <xf numFmtId="0" fontId="0" fillId="2" borderId="2" xfId="0" applyFill="1" applyBorder="1" applyAlignment="1">
      <alignment vertical="center"/>
    </xf>
    <xf numFmtId="0" fontId="0" fillId="2" borderId="2" xfId="0" applyFill="1" applyBorder="1" applyAlignment="1">
      <alignment vertical="center" wrapText="1"/>
    </xf>
    <xf numFmtId="0" fontId="0" fillId="0" borderId="2" xfId="0" applyBorder="1" applyAlignment="1">
      <alignment vertical="center" wrapText="1"/>
    </xf>
    <xf numFmtId="10" fontId="0" fillId="0" borderId="2" xfId="0" applyNumberFormat="1" applyBorder="1" applyAlignment="1">
      <alignment vertical="center"/>
    </xf>
    <xf numFmtId="9" fontId="0" fillId="0" borderId="2" xfId="0" applyNumberFormat="1"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2" fillId="0" borderId="2" xfId="0" applyFont="1" applyBorder="1" applyAlignment="1">
      <alignment horizontal="center"/>
    </xf>
    <xf numFmtId="0" fontId="0" fillId="0" borderId="2" xfId="0" applyBorder="1" applyAlignment="1">
      <alignment horizontal="center" vertical="center"/>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6" xfId="0" applyBorder="1" applyAlignment="1">
      <alignment horizontal="center" vertical="center" wrapText="1"/>
    </xf>
    <xf numFmtId="0" fontId="8" fillId="0" borderId="2" xfId="1" applyBorder="1" applyAlignment="1">
      <alignment vertical="center"/>
    </xf>
    <xf numFmtId="0" fontId="0" fillId="2" borderId="3"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7</xdr:row>
      <xdr:rowOff>0</xdr:rowOff>
    </xdr:from>
    <xdr:to>
      <xdr:col>18</xdr:col>
      <xdr:colOff>390525</xdr:colOff>
      <xdr:row>11</xdr:row>
      <xdr:rowOff>57150</xdr:rowOff>
    </xdr:to>
    <xdr:pic>
      <xdr:nvPicPr>
        <xdr:cNvPr id="2" name="Picture 1">
          <a:extLst>
            <a:ext uri="{FF2B5EF4-FFF2-40B4-BE49-F238E27FC236}">
              <a16:creationId xmlns:a16="http://schemas.microsoft.com/office/drawing/2014/main" id="{A7B2F6DA-7BC3-85D6-C95A-6D111F1FF0EC}"/>
            </a:ext>
          </a:extLst>
        </xdr:cNvPr>
        <xdr:cNvPicPr>
          <a:picLocks noChangeAspect="1"/>
        </xdr:cNvPicPr>
      </xdr:nvPicPr>
      <xdr:blipFill>
        <a:blip xmlns:r="http://schemas.openxmlformats.org/officeDocument/2006/relationships" r:embed="rId1"/>
        <a:stretch>
          <a:fillRect/>
        </a:stretch>
      </xdr:blipFill>
      <xdr:spPr>
        <a:xfrm>
          <a:off x="18554700" y="2524125"/>
          <a:ext cx="4572000" cy="25717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pims.undp.org/project/view?id=5304" TargetMode="External"/><Relationship Id="rId1" Type="http://schemas.openxmlformats.org/officeDocument/2006/relationships/hyperlink" Target="https://co.pims.undp.org/project/view?id=519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B3898-2A77-4AE2-836D-F8825DFD7021}">
  <dimension ref="A1:U20"/>
  <sheetViews>
    <sheetView tabSelected="1" zoomScale="75" workbookViewId="0">
      <pane xSplit="1" ySplit="1" topLeftCell="B5" activePane="bottomRight" state="frozen"/>
      <selection pane="bottomRight" activeCell="C5" sqref="C5"/>
      <selection pane="bottomLeft"/>
      <selection pane="topRight"/>
    </sheetView>
  </sheetViews>
  <sheetFormatPr defaultRowHeight="15"/>
  <cols>
    <col min="2" max="3" width="20.7109375" customWidth="1"/>
    <col min="5" max="5" width="35.5703125" bestFit="1" customWidth="1"/>
    <col min="6" max="6" width="53.7109375" customWidth="1"/>
    <col min="7" max="8" width="12.7109375" customWidth="1"/>
    <col min="9" max="9" width="91.28515625" customWidth="1"/>
    <col min="12" max="12" width="12.85546875" bestFit="1" customWidth="1"/>
    <col min="13" max="13" width="12.140625" customWidth="1"/>
    <col min="14" max="14" width="14.42578125" bestFit="1" customWidth="1"/>
    <col min="15" max="16" width="17.5703125" bestFit="1" customWidth="1"/>
    <col min="17" max="17" width="21.5703125" bestFit="1" customWidth="1"/>
    <col min="18" max="18" width="18.140625" bestFit="1" customWidth="1"/>
    <col min="19" max="19" width="13.42578125" bestFit="1" customWidth="1"/>
    <col min="20" max="20" width="30.28515625" bestFit="1" customWidth="1"/>
    <col min="21" max="21" width="16.7109375" bestFit="1" customWidth="1"/>
  </cols>
  <sheetData>
    <row r="1" spans="1:21" s="2" customFormat="1">
      <c r="A1" s="13" t="s">
        <v>0</v>
      </c>
      <c r="B1" s="13" t="s">
        <v>1</v>
      </c>
      <c r="C1" s="13" t="s">
        <v>2</v>
      </c>
      <c r="D1" s="13" t="s">
        <v>3</v>
      </c>
      <c r="E1" s="13" t="s">
        <v>4</v>
      </c>
      <c r="F1" s="13" t="s">
        <v>5</v>
      </c>
      <c r="G1" s="13" t="s">
        <v>6</v>
      </c>
      <c r="H1" s="13" t="s">
        <v>7</v>
      </c>
      <c r="I1" s="13" t="s">
        <v>8</v>
      </c>
      <c r="J1" s="14" t="s">
        <v>9</v>
      </c>
      <c r="K1" s="9" t="s">
        <v>10</v>
      </c>
      <c r="L1" s="23" t="s">
        <v>11</v>
      </c>
      <c r="M1" s="27" t="s">
        <v>12</v>
      </c>
      <c r="N1" s="23" t="s">
        <v>13</v>
      </c>
      <c r="O1" s="23" t="s">
        <v>14</v>
      </c>
      <c r="P1" s="27" t="s">
        <v>15</v>
      </c>
      <c r="Q1" s="27" t="s">
        <v>16</v>
      </c>
      <c r="R1" s="28" t="s">
        <v>17</v>
      </c>
      <c r="S1" s="29" t="s">
        <v>18</v>
      </c>
      <c r="T1" s="28" t="s">
        <v>19</v>
      </c>
      <c r="U1" s="29" t="s">
        <v>20</v>
      </c>
    </row>
    <row r="2" spans="1:21" s="2" customFormat="1" ht="45.75">
      <c r="A2" s="15">
        <v>5304</v>
      </c>
      <c r="B2" s="15" t="s">
        <v>21</v>
      </c>
      <c r="C2" s="32" t="s">
        <v>22</v>
      </c>
      <c r="D2" s="15">
        <v>2639726</v>
      </c>
      <c r="E2" s="16" t="s">
        <v>23</v>
      </c>
      <c r="F2" s="17" t="s">
        <v>24</v>
      </c>
      <c r="G2" s="16"/>
      <c r="H2" s="16">
        <v>222</v>
      </c>
      <c r="I2" s="33" t="s">
        <v>25</v>
      </c>
      <c r="J2" s="15" t="s">
        <v>26</v>
      </c>
      <c r="K2" s="15"/>
      <c r="L2" s="30" t="s">
        <v>27</v>
      </c>
      <c r="M2" s="24"/>
      <c r="N2" s="31" t="s">
        <v>28</v>
      </c>
      <c r="O2" s="24"/>
      <c r="P2" s="24"/>
      <c r="Q2" s="24"/>
      <c r="R2" s="24"/>
      <c r="S2" s="15"/>
      <c r="T2" s="24"/>
      <c r="U2" s="15"/>
    </row>
    <row r="3" spans="1:21" s="2" customFormat="1" ht="45.75">
      <c r="A3" s="15"/>
      <c r="B3" s="15"/>
      <c r="C3" s="15"/>
      <c r="D3" s="15"/>
      <c r="E3" s="16" t="s">
        <v>29</v>
      </c>
      <c r="F3" s="17" t="s">
        <v>30</v>
      </c>
      <c r="G3" s="16">
        <v>6500</v>
      </c>
      <c r="H3" s="16">
        <f>(1.2^15)*6500</f>
        <v>100145.64023481136</v>
      </c>
      <c r="I3" s="34"/>
      <c r="J3" s="15" t="s">
        <v>26</v>
      </c>
      <c r="K3" s="15"/>
      <c r="L3" s="30" t="s">
        <v>27</v>
      </c>
      <c r="M3" s="24"/>
      <c r="N3" s="31" t="s">
        <v>28</v>
      </c>
      <c r="O3" s="24"/>
      <c r="P3" s="24"/>
      <c r="Q3" s="24"/>
      <c r="R3" s="24"/>
      <c r="S3" s="15"/>
      <c r="T3" s="24"/>
      <c r="U3" s="15"/>
    </row>
    <row r="4" spans="1:21" s="2" customFormat="1" ht="45.75">
      <c r="A4" s="15"/>
      <c r="B4" s="15"/>
      <c r="C4" s="15"/>
      <c r="D4" s="15"/>
      <c r="E4" s="16" t="s">
        <v>31</v>
      </c>
      <c r="F4" s="17" t="s">
        <v>32</v>
      </c>
      <c r="G4" s="16">
        <v>7500000</v>
      </c>
      <c r="H4" s="16">
        <v>20000000</v>
      </c>
      <c r="I4" s="35"/>
      <c r="J4" s="15" t="s">
        <v>26</v>
      </c>
      <c r="K4" s="15"/>
      <c r="L4" s="30" t="s">
        <v>27</v>
      </c>
      <c r="M4" s="24"/>
      <c r="N4" s="31" t="s">
        <v>28</v>
      </c>
      <c r="O4" s="24"/>
      <c r="P4" s="24"/>
      <c r="Q4" s="24"/>
      <c r="R4" s="24"/>
      <c r="S4" s="15"/>
      <c r="T4" s="24"/>
      <c r="U4" s="15"/>
    </row>
    <row r="5" spans="1:21" s="2" customFormat="1" ht="45.75">
      <c r="A5" s="15">
        <v>5194</v>
      </c>
      <c r="B5" s="15" t="s">
        <v>33</v>
      </c>
      <c r="C5" s="32" t="s">
        <v>34</v>
      </c>
      <c r="D5" s="15">
        <v>5200000</v>
      </c>
      <c r="E5" s="16" t="s">
        <v>35</v>
      </c>
      <c r="F5" s="17" t="s">
        <v>36</v>
      </c>
      <c r="G5" s="16">
        <v>0</v>
      </c>
      <c r="H5" s="16">
        <v>205000</v>
      </c>
      <c r="I5" s="17" t="s">
        <v>37</v>
      </c>
      <c r="J5" s="15" t="s">
        <v>26</v>
      </c>
      <c r="K5" s="15"/>
      <c r="L5" s="30" t="s">
        <v>27</v>
      </c>
      <c r="M5" s="24"/>
      <c r="N5" s="31" t="s">
        <v>38</v>
      </c>
      <c r="O5" s="24"/>
      <c r="P5" s="24"/>
      <c r="Q5" s="24"/>
      <c r="R5" s="24"/>
      <c r="S5" s="15"/>
      <c r="T5" s="24"/>
      <c r="U5" s="15"/>
    </row>
    <row r="6" spans="1:21" s="2" customFormat="1" ht="45.75">
      <c r="A6" s="15"/>
      <c r="B6" s="15"/>
      <c r="C6" s="15"/>
      <c r="D6" s="15"/>
      <c r="E6" s="15"/>
      <c r="F6" s="18" t="s">
        <v>39</v>
      </c>
      <c r="G6" s="19">
        <v>0.14399999999999999</v>
      </c>
      <c r="H6" s="20">
        <v>0.35</v>
      </c>
      <c r="I6" s="18" t="s">
        <v>40</v>
      </c>
      <c r="J6" s="15" t="s">
        <v>26</v>
      </c>
      <c r="K6" s="15"/>
      <c r="L6" s="30" t="s">
        <v>27</v>
      </c>
      <c r="M6" s="24"/>
      <c r="N6" s="31" t="s">
        <v>38</v>
      </c>
      <c r="O6" s="24"/>
      <c r="P6" s="24"/>
      <c r="Q6" s="24"/>
      <c r="R6" s="24"/>
      <c r="S6" s="15"/>
      <c r="T6" s="24"/>
      <c r="U6" s="15"/>
    </row>
    <row r="7" spans="1:21" s="2" customFormat="1" ht="45.75">
      <c r="A7" s="15"/>
      <c r="B7" s="15"/>
      <c r="C7" s="15"/>
      <c r="D7" s="15"/>
      <c r="E7" s="15" t="s">
        <v>41</v>
      </c>
      <c r="F7" s="18" t="s">
        <v>42</v>
      </c>
      <c r="G7" s="15">
        <v>0</v>
      </c>
      <c r="H7" s="15" t="s">
        <v>43</v>
      </c>
      <c r="I7" s="18" t="s">
        <v>44</v>
      </c>
      <c r="J7" s="15" t="s">
        <v>26</v>
      </c>
      <c r="K7" s="15"/>
      <c r="L7" s="30" t="s">
        <v>27</v>
      </c>
      <c r="M7" s="24"/>
      <c r="N7" s="31" t="s">
        <v>38</v>
      </c>
      <c r="O7" s="24"/>
      <c r="P7" s="24"/>
      <c r="Q7" s="24"/>
      <c r="R7" s="24"/>
      <c r="S7" s="15" t="s">
        <v>45</v>
      </c>
      <c r="T7" s="24"/>
      <c r="U7" s="15"/>
    </row>
    <row r="8" spans="1:21" s="2" customFormat="1" ht="238.5" customHeight="1">
      <c r="A8" s="21"/>
      <c r="B8" s="21"/>
      <c r="C8" s="21"/>
      <c r="D8" s="21"/>
      <c r="E8" s="21" t="s">
        <v>19</v>
      </c>
      <c r="F8" s="22" t="s">
        <v>46</v>
      </c>
      <c r="G8" s="21">
        <v>0</v>
      </c>
      <c r="H8" s="21">
        <v>8</v>
      </c>
      <c r="I8" s="22" t="s">
        <v>47</v>
      </c>
      <c r="J8" s="15" t="s">
        <v>26</v>
      </c>
      <c r="K8" s="21"/>
      <c r="L8" s="30" t="s">
        <v>27</v>
      </c>
      <c r="M8" s="24"/>
      <c r="N8" s="31" t="s">
        <v>38</v>
      </c>
      <c r="O8" s="24" t="s">
        <v>48</v>
      </c>
      <c r="P8" s="24"/>
      <c r="Q8" s="24" t="s">
        <v>49</v>
      </c>
      <c r="R8" s="24" t="s">
        <v>48</v>
      </c>
      <c r="S8" s="15"/>
      <c r="T8" s="24" t="s">
        <v>50</v>
      </c>
      <c r="U8" s="15"/>
    </row>
    <row r="9" spans="1:21" s="2" customFormat="1" ht="45.75">
      <c r="A9" s="15"/>
      <c r="B9" s="15"/>
      <c r="C9" s="15"/>
      <c r="D9" s="15"/>
      <c r="E9" s="15"/>
      <c r="F9" s="18" t="s">
        <v>51</v>
      </c>
      <c r="G9" s="15">
        <v>0</v>
      </c>
      <c r="H9" s="15">
        <v>12</v>
      </c>
      <c r="I9" s="18" t="s">
        <v>52</v>
      </c>
      <c r="J9" s="15" t="s">
        <v>26</v>
      </c>
      <c r="K9" s="15"/>
      <c r="L9" s="30" t="s">
        <v>27</v>
      </c>
      <c r="M9" s="24"/>
      <c r="N9" s="31" t="s">
        <v>38</v>
      </c>
      <c r="O9" s="24"/>
      <c r="P9" s="24"/>
      <c r="Q9" s="24"/>
      <c r="R9" s="24"/>
      <c r="S9" s="15"/>
      <c r="T9" s="24"/>
      <c r="U9" s="15"/>
    </row>
    <row r="10" spans="1:21" s="2" customFormat="1" ht="45.75">
      <c r="A10" s="15"/>
      <c r="B10" s="15"/>
      <c r="C10" s="15"/>
      <c r="D10" s="15"/>
      <c r="E10" s="15" t="s">
        <v>53</v>
      </c>
      <c r="F10" s="18" t="s">
        <v>54</v>
      </c>
      <c r="G10" s="15">
        <v>9</v>
      </c>
      <c r="H10" s="15">
        <v>50</v>
      </c>
      <c r="I10" s="18" t="s">
        <v>55</v>
      </c>
      <c r="J10" s="15" t="s">
        <v>26</v>
      </c>
      <c r="K10" s="15"/>
      <c r="L10" s="30" t="s">
        <v>27</v>
      </c>
      <c r="M10" s="24"/>
      <c r="N10" s="31" t="s">
        <v>38</v>
      </c>
      <c r="O10" s="24"/>
      <c r="P10" s="24"/>
      <c r="Q10" s="24"/>
      <c r="R10" s="24"/>
      <c r="S10" s="15"/>
      <c r="T10" s="24"/>
      <c r="U10" s="15"/>
    </row>
    <row r="11" spans="1:21" s="2" customFormat="1" ht="45.75">
      <c r="A11" s="15"/>
      <c r="B11" s="15"/>
      <c r="C11" s="15"/>
      <c r="D11" s="15"/>
      <c r="E11" s="15"/>
      <c r="F11" s="18" t="s">
        <v>56</v>
      </c>
      <c r="G11" s="15">
        <v>0</v>
      </c>
      <c r="H11" s="15"/>
      <c r="I11" s="18" t="s">
        <v>57</v>
      </c>
      <c r="J11" s="15" t="s">
        <v>26</v>
      </c>
      <c r="K11" s="15"/>
      <c r="L11" s="30" t="s">
        <v>27</v>
      </c>
      <c r="M11" s="24"/>
      <c r="N11" s="31" t="s">
        <v>38</v>
      </c>
      <c r="O11" s="24"/>
      <c r="P11" s="24"/>
      <c r="Q11" s="24"/>
      <c r="R11" s="24"/>
      <c r="S11" s="15"/>
      <c r="T11" s="24"/>
      <c r="U11" s="15"/>
    </row>
    <row r="12" spans="1:21" s="2" customFormat="1" ht="60.75">
      <c r="A12" s="15"/>
      <c r="B12" s="15"/>
      <c r="C12" s="15"/>
      <c r="D12" s="15"/>
      <c r="E12" s="15"/>
      <c r="F12" s="18" t="s">
        <v>58</v>
      </c>
      <c r="G12" s="15">
        <v>0</v>
      </c>
      <c r="H12" s="15"/>
      <c r="I12" s="18" t="s">
        <v>59</v>
      </c>
      <c r="J12" s="15" t="s">
        <v>26</v>
      </c>
      <c r="K12" s="15"/>
      <c r="L12" s="30" t="s">
        <v>27</v>
      </c>
      <c r="M12" s="24"/>
      <c r="N12" s="31" t="s">
        <v>38</v>
      </c>
      <c r="O12" s="24"/>
      <c r="P12" s="24"/>
      <c r="Q12" s="24"/>
      <c r="R12" s="24"/>
      <c r="S12" s="15"/>
      <c r="T12" s="24"/>
      <c r="U12" s="15"/>
    </row>
    <row r="13" spans="1:21" s="2" customFormat="1" ht="45.75">
      <c r="A13" s="15"/>
      <c r="B13" s="15"/>
      <c r="C13" s="15"/>
      <c r="D13" s="15"/>
      <c r="E13" s="15"/>
      <c r="F13" s="18" t="s">
        <v>60</v>
      </c>
      <c r="G13" s="15">
        <v>0</v>
      </c>
      <c r="H13" s="15"/>
      <c r="I13" s="18" t="s">
        <v>61</v>
      </c>
      <c r="J13" s="15" t="s">
        <v>26</v>
      </c>
      <c r="K13" s="15"/>
      <c r="L13" s="30" t="s">
        <v>27</v>
      </c>
      <c r="M13" s="24"/>
      <c r="N13" s="31" t="s">
        <v>38</v>
      </c>
      <c r="O13" s="24"/>
      <c r="P13" s="24"/>
      <c r="Q13" s="24"/>
      <c r="R13" s="24"/>
      <c r="S13" s="15"/>
      <c r="T13" s="24"/>
      <c r="U13" s="15"/>
    </row>
    <row r="14" spans="1:21" s="2" customFormat="1" ht="45.75">
      <c r="A14" s="15"/>
      <c r="B14" s="15"/>
      <c r="C14" s="15"/>
      <c r="D14" s="15"/>
      <c r="E14" s="15" t="s">
        <v>62</v>
      </c>
      <c r="F14" s="18" t="s">
        <v>63</v>
      </c>
      <c r="G14" s="15">
        <v>0</v>
      </c>
      <c r="H14" s="15">
        <v>10</v>
      </c>
      <c r="I14" s="18" t="s">
        <v>64</v>
      </c>
      <c r="J14" s="15" t="s">
        <v>26</v>
      </c>
      <c r="K14" s="15"/>
      <c r="L14" s="30" t="s">
        <v>27</v>
      </c>
      <c r="M14" s="24"/>
      <c r="N14" s="31" t="s">
        <v>38</v>
      </c>
      <c r="O14" s="24"/>
      <c r="P14" s="24"/>
      <c r="Q14" s="24"/>
      <c r="R14" s="24"/>
      <c r="S14" s="15" t="s">
        <v>45</v>
      </c>
      <c r="T14" s="24"/>
      <c r="U14" s="15"/>
    </row>
    <row r="15" spans="1:21" s="2" customFormat="1" ht="45.75">
      <c r="A15" s="15"/>
      <c r="B15" s="15"/>
      <c r="C15" s="15"/>
      <c r="D15" s="15"/>
      <c r="E15" s="15"/>
      <c r="F15" s="18" t="s">
        <v>65</v>
      </c>
      <c r="G15" s="15">
        <v>0</v>
      </c>
      <c r="H15" s="15">
        <v>15</v>
      </c>
      <c r="I15" s="18" t="s">
        <v>64</v>
      </c>
      <c r="J15" s="15" t="s">
        <v>26</v>
      </c>
      <c r="K15" s="15"/>
      <c r="L15" s="30" t="s">
        <v>27</v>
      </c>
      <c r="M15" s="24"/>
      <c r="N15" s="31" t="s">
        <v>38</v>
      </c>
      <c r="O15" s="24"/>
      <c r="P15" s="24"/>
      <c r="Q15" s="24"/>
      <c r="R15" s="24"/>
      <c r="S15" s="15"/>
      <c r="T15" s="24"/>
      <c r="U15" s="15"/>
    </row>
    <row r="16" spans="1:21" s="2" customFormat="1" ht="45.75">
      <c r="A16" s="15"/>
      <c r="B16" s="15"/>
      <c r="C16" s="15"/>
      <c r="D16" s="15"/>
      <c r="E16" s="15" t="s">
        <v>62</v>
      </c>
      <c r="F16" s="18" t="s">
        <v>66</v>
      </c>
      <c r="G16" s="15">
        <v>0</v>
      </c>
      <c r="H16" s="14">
        <v>15</v>
      </c>
      <c r="I16" s="18" t="s">
        <v>67</v>
      </c>
      <c r="J16" s="15" t="s">
        <v>26</v>
      </c>
      <c r="K16" s="15"/>
      <c r="L16" s="30" t="s">
        <v>27</v>
      </c>
      <c r="M16" s="24"/>
      <c r="N16" s="31" t="s">
        <v>38</v>
      </c>
      <c r="O16" s="24"/>
      <c r="P16" s="24"/>
      <c r="Q16" s="24"/>
      <c r="R16" s="24"/>
      <c r="S16" s="15" t="s">
        <v>45</v>
      </c>
      <c r="T16" s="24"/>
      <c r="U16" s="15"/>
    </row>
    <row r="17" spans="1:21" s="2" customFormat="1" ht="76.5">
      <c r="A17" s="15"/>
      <c r="B17" s="15"/>
      <c r="C17" s="15"/>
      <c r="D17" s="15"/>
      <c r="E17" s="15"/>
      <c r="F17" s="18" t="s">
        <v>68</v>
      </c>
      <c r="G17" s="15">
        <v>0</v>
      </c>
      <c r="H17" s="15">
        <v>3</v>
      </c>
      <c r="I17" s="18" t="s">
        <v>69</v>
      </c>
      <c r="J17" s="15" t="s">
        <v>26</v>
      </c>
      <c r="K17" s="15"/>
      <c r="L17" s="30" t="s">
        <v>27</v>
      </c>
      <c r="M17" s="24"/>
      <c r="N17" s="31" t="s">
        <v>38</v>
      </c>
      <c r="O17" s="24"/>
      <c r="P17" s="24"/>
      <c r="Q17" s="24"/>
      <c r="R17" s="24"/>
      <c r="S17" s="15"/>
      <c r="T17" s="24"/>
      <c r="U17" s="15"/>
    </row>
    <row r="18" spans="1:21" s="2" customFormat="1" ht="45.75">
      <c r="A18" s="15"/>
      <c r="B18" s="15"/>
      <c r="C18" s="15"/>
      <c r="D18" s="15"/>
      <c r="E18" s="15" t="s">
        <v>70</v>
      </c>
      <c r="F18" s="18" t="s">
        <v>71</v>
      </c>
      <c r="G18" s="15">
        <v>0</v>
      </c>
      <c r="H18" s="15">
        <v>10</v>
      </c>
      <c r="I18" s="18" t="s">
        <v>72</v>
      </c>
      <c r="J18" s="15" t="s">
        <v>26</v>
      </c>
      <c r="K18" s="15"/>
      <c r="L18" s="30" t="s">
        <v>27</v>
      </c>
      <c r="M18" s="24"/>
      <c r="N18" s="31" t="s">
        <v>38</v>
      </c>
      <c r="O18" s="24"/>
      <c r="P18" s="24"/>
      <c r="Q18" s="24"/>
      <c r="R18" s="24"/>
      <c r="S18" s="15"/>
      <c r="T18" s="24"/>
      <c r="U18" s="15"/>
    </row>
    <row r="19" spans="1:21" s="2" customFormat="1" ht="137.25">
      <c r="A19" s="15"/>
      <c r="B19" s="15"/>
      <c r="C19" s="15"/>
      <c r="D19" s="15"/>
      <c r="E19" s="15" t="s">
        <v>62</v>
      </c>
      <c r="F19" s="18" t="s">
        <v>73</v>
      </c>
      <c r="G19" s="15">
        <v>0</v>
      </c>
      <c r="H19" s="14">
        <v>5</v>
      </c>
      <c r="I19" s="18" t="s">
        <v>74</v>
      </c>
      <c r="J19" s="15" t="s">
        <v>26</v>
      </c>
      <c r="K19" s="15"/>
      <c r="L19" s="30" t="s">
        <v>27</v>
      </c>
      <c r="M19" s="24"/>
      <c r="N19" s="31" t="s">
        <v>38</v>
      </c>
      <c r="O19" s="24"/>
      <c r="P19" s="24"/>
      <c r="Q19" s="24"/>
      <c r="R19" s="24"/>
      <c r="S19" s="15" t="s">
        <v>45</v>
      </c>
      <c r="T19" s="24"/>
      <c r="U19" s="15"/>
    </row>
    <row r="20" spans="1:21" s="2" customFormat="1" ht="121.5">
      <c r="A20" s="15"/>
      <c r="B20" s="15"/>
      <c r="C20" s="15"/>
      <c r="D20" s="15"/>
      <c r="E20" s="15" t="s">
        <v>62</v>
      </c>
      <c r="F20" s="18" t="s">
        <v>75</v>
      </c>
      <c r="G20" s="15">
        <v>0</v>
      </c>
      <c r="H20" s="14">
        <v>75</v>
      </c>
      <c r="I20" s="18" t="s">
        <v>76</v>
      </c>
      <c r="J20" s="15" t="s">
        <v>26</v>
      </c>
      <c r="K20" s="15"/>
      <c r="L20" s="30" t="s">
        <v>27</v>
      </c>
      <c r="M20" s="24"/>
      <c r="N20" s="31" t="s">
        <v>38</v>
      </c>
      <c r="O20" s="24"/>
      <c r="P20" s="24"/>
      <c r="Q20" s="24"/>
      <c r="R20" s="24"/>
      <c r="S20" s="15" t="s">
        <v>45</v>
      </c>
      <c r="T20" s="24"/>
      <c r="U20" s="15"/>
    </row>
  </sheetData>
  <mergeCells count="1">
    <mergeCell ref="I2:I4"/>
  </mergeCells>
  <dataValidations count="9">
    <dataValidation type="list" allowBlank="1" showInputMessage="1" showErrorMessage="1" sqref="N2:N20" xr:uid="{0D3739D0-7316-4ACF-95D8-7F5ED2A40205}">
      <formula1>"Accelerating just energy transition, Close the gap on energy access, Scale up energy finance"</formula1>
    </dataValidation>
    <dataValidation type="list" allowBlank="1" showInputMessage="1" showErrorMessage="1" sqref="P2:P20" xr:uid="{E8004D35-C804-4A5A-A47B-E1EF4428AABE}">
      <formula1>"AMP, PUDC, Solar4Health, Action Opportunities, Italy UNDP Energy Partnership"</formula1>
    </dataValidation>
    <dataValidation type="list" allowBlank="1" showInputMessage="1" showErrorMessage="1" sqref="Q2:Q20" xr:uid="{409AFE67-1EEA-4A4C-A808-AA8CFB413588}">
      <formula1>"NDC Support, National Strategy, Legal Framework,Incentives and Support, Government Capacity-Building, Carbon Pricing and Monitoring, Financing Model, Business Model"</formula1>
    </dataValidation>
    <dataValidation type="list" allowBlank="1" showInputMessage="1" showErrorMessage="1" sqref="O2:O20" xr:uid="{C929ACB8-D352-4206-BAF1-97BDE09973DB}">
      <formula1>"Electricity Access, Energy Efficiency, Clean Cooking, Renewable Energy, Overall"</formula1>
    </dataValidation>
    <dataValidation type="list" allowBlank="1" showInputMessage="1" showErrorMessage="1" sqref="M2:M20" xr:uid="{419413FE-92FE-4E4E-80A3-EA4D6E2D764D}">
      <formula1>"Finance, Gender, Efficiency, Just, Health"</formula1>
    </dataValidation>
    <dataValidation type="list" allowBlank="1" showInputMessage="1" showErrorMessage="1" sqref="T2:T20" xr:uid="{69B0D31E-66F1-4737-8D79-5A3524392D87}">
      <formula1>"National, Regional, City, Community"</formula1>
    </dataValidation>
    <dataValidation type="list" allowBlank="1" showInputMessage="1" showErrorMessage="1" sqref="L2:L20" xr:uid="{5E88C837-7D28-4528-AF02-AF0B8F420546}">
      <formula1>"Non-VF, VF"</formula1>
    </dataValidation>
    <dataValidation type="list" allowBlank="1" showInputMessage="1" showErrorMessage="1" sqref="R2:R20" xr:uid="{55C9C8B0-8712-4828-BF4B-3BE5A256A1F9}">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20" xr:uid="{AF1A1E39-288A-4B98-8833-9B6175BD6E95}">
      <formula1>"Solar, Wind, Bioenergy, Hydro, Geothermal, Waste, Some Sources, Other, Unknown"</formula1>
    </dataValidation>
  </dataValidations>
  <hyperlinks>
    <hyperlink ref="C5" r:id="rId1" xr:uid="{6F1F70C9-F0B9-4D44-AFE4-BF9AC35F5C63}"/>
    <hyperlink ref="C2" r:id="rId2" xr:uid="{92731A32-FE77-4378-B0D5-FB0B7CE67387}"/>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2C600D8E-E68F-473E-A5F5-678BA76C2904}">
          <x14:formula1>
            <xm:f>'Beneficiary Categories'!$A$2:$A$22</xm:f>
          </x14:formula1>
          <xm:sqref>E2:E20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DAD67-0C13-42EB-BEB4-5CDB4689BABA}">
  <dimension ref="A1:M18"/>
  <sheetViews>
    <sheetView topLeftCell="F1" zoomScale="75" workbookViewId="0">
      <selection activeCell="M8" sqref="M8"/>
    </sheetView>
  </sheetViews>
  <sheetFormatPr defaultRowHeight="15"/>
  <cols>
    <col min="2" max="3" width="20.7109375" customWidth="1"/>
    <col min="5" max="5" width="20.7109375" customWidth="1"/>
    <col min="6" max="6" width="53.7109375" customWidth="1"/>
    <col min="7" max="8" width="12.7109375" customWidth="1"/>
    <col min="9" max="9" width="91.28515625" customWidth="1"/>
    <col min="13" max="13" width="17" customWidth="1"/>
  </cols>
  <sheetData>
    <row r="1" spans="1:13" s="2" customFormat="1">
      <c r="A1" s="5" t="s">
        <v>0</v>
      </c>
      <c r="B1" s="5" t="s">
        <v>1</v>
      </c>
      <c r="C1" s="5" t="s">
        <v>2</v>
      </c>
      <c r="D1" s="5" t="s">
        <v>3</v>
      </c>
      <c r="E1" s="5" t="s">
        <v>4</v>
      </c>
      <c r="F1" s="5" t="s">
        <v>5</v>
      </c>
      <c r="G1" s="5" t="s">
        <v>6</v>
      </c>
      <c r="H1" s="5" t="s">
        <v>7</v>
      </c>
      <c r="I1" s="5" t="s">
        <v>8</v>
      </c>
      <c r="J1" s="8" t="s">
        <v>9</v>
      </c>
      <c r="K1" s="9" t="s">
        <v>10</v>
      </c>
      <c r="L1" s="9" t="s">
        <v>77</v>
      </c>
      <c r="M1" s="9" t="s">
        <v>78</v>
      </c>
    </row>
    <row r="2" spans="1:13" s="2" customFormat="1">
      <c r="A2" s="2">
        <v>5304</v>
      </c>
      <c r="B2" s="2" t="s">
        <v>21</v>
      </c>
      <c r="C2" s="2" t="s">
        <v>79</v>
      </c>
      <c r="D2" s="2">
        <v>2639726</v>
      </c>
      <c r="E2" s="1" t="s">
        <v>80</v>
      </c>
      <c r="F2" s="1"/>
      <c r="G2" s="1"/>
      <c r="H2" s="1">
        <v>222</v>
      </c>
      <c r="I2" s="3"/>
      <c r="L2" s="2" t="s">
        <v>27</v>
      </c>
      <c r="M2" s="10" t="s">
        <v>81</v>
      </c>
    </row>
    <row r="3" spans="1:13" s="2" customFormat="1" ht="30.75">
      <c r="A3" s="2">
        <v>5194</v>
      </c>
      <c r="B3" s="2" t="s">
        <v>33</v>
      </c>
      <c r="C3" s="2" t="s">
        <v>79</v>
      </c>
      <c r="D3" s="2">
        <v>5200000</v>
      </c>
      <c r="E3" s="1" t="s">
        <v>35</v>
      </c>
      <c r="F3" s="3" t="s">
        <v>36</v>
      </c>
      <c r="G3" s="1">
        <v>0</v>
      </c>
      <c r="H3" s="1">
        <v>205000</v>
      </c>
      <c r="I3" s="3" t="s">
        <v>37</v>
      </c>
      <c r="L3" s="2" t="s">
        <v>27</v>
      </c>
    </row>
    <row r="4" spans="1:13" s="2" customFormat="1" ht="30.75">
      <c r="E4" s="2" t="s">
        <v>41</v>
      </c>
      <c r="F4" s="4" t="s">
        <v>39</v>
      </c>
      <c r="G4" s="6">
        <v>0.14399999999999999</v>
      </c>
      <c r="H4" s="7">
        <v>0.35</v>
      </c>
      <c r="I4" s="4" t="s">
        <v>40</v>
      </c>
      <c r="L4" s="2" t="s">
        <v>27</v>
      </c>
      <c r="M4" s="11"/>
    </row>
    <row r="5" spans="1:13" s="2" customFormat="1" ht="45.75">
      <c r="E5" s="2" t="s">
        <v>41</v>
      </c>
      <c r="F5" s="4" t="s">
        <v>42</v>
      </c>
      <c r="G5" s="2">
        <v>0</v>
      </c>
      <c r="H5" s="2" t="s">
        <v>82</v>
      </c>
      <c r="I5" s="4" t="s">
        <v>44</v>
      </c>
      <c r="L5" s="2" t="s">
        <v>27</v>
      </c>
      <c r="M5" s="10" t="s">
        <v>83</v>
      </c>
    </row>
    <row r="6" spans="1:13" s="2" customFormat="1" ht="30.75">
      <c r="E6" s="2" t="s">
        <v>19</v>
      </c>
      <c r="F6" s="4" t="s">
        <v>46</v>
      </c>
      <c r="G6" s="2">
        <v>0</v>
      </c>
      <c r="H6" s="2">
        <v>8</v>
      </c>
      <c r="I6" s="4" t="s">
        <v>47</v>
      </c>
      <c r="L6" s="2" t="s">
        <v>27</v>
      </c>
      <c r="M6" s="12" t="s">
        <v>84</v>
      </c>
    </row>
    <row r="7" spans="1:13" s="2" customFormat="1" ht="30.75">
      <c r="E7" s="2" t="s">
        <v>19</v>
      </c>
      <c r="F7" s="4" t="s">
        <v>51</v>
      </c>
      <c r="G7" s="2">
        <v>0</v>
      </c>
      <c r="H7" s="2">
        <v>12</v>
      </c>
      <c r="I7" s="4" t="s">
        <v>52</v>
      </c>
      <c r="L7" s="2" t="s">
        <v>27</v>
      </c>
      <c r="M7" s="2" t="s">
        <v>85</v>
      </c>
    </row>
    <row r="8" spans="1:13" s="2" customFormat="1" ht="45.75">
      <c r="E8" s="2" t="s">
        <v>53</v>
      </c>
      <c r="F8" s="4" t="s">
        <v>54</v>
      </c>
      <c r="G8" s="2">
        <v>9</v>
      </c>
      <c r="H8" s="2">
        <v>50</v>
      </c>
      <c r="I8" s="4" t="s">
        <v>55</v>
      </c>
      <c r="L8" s="2" t="s">
        <v>27</v>
      </c>
    </row>
    <row r="9" spans="1:13" s="2" customFormat="1" ht="45.75">
      <c r="E9" s="2" t="s">
        <v>86</v>
      </c>
      <c r="F9" s="4" t="s">
        <v>56</v>
      </c>
      <c r="G9" s="2">
        <v>0</v>
      </c>
      <c r="I9" s="4" t="s">
        <v>57</v>
      </c>
      <c r="L9" s="2" t="s">
        <v>27</v>
      </c>
      <c r="M9" s="11"/>
    </row>
    <row r="10" spans="1:13" s="2" customFormat="1" ht="60.75">
      <c r="E10" s="2" t="s">
        <v>86</v>
      </c>
      <c r="F10" s="4" t="s">
        <v>58</v>
      </c>
      <c r="G10" s="2">
        <v>0</v>
      </c>
      <c r="I10" s="4" t="s">
        <v>59</v>
      </c>
      <c r="L10" s="2" t="s">
        <v>27</v>
      </c>
      <c r="M10" s="11"/>
    </row>
    <row r="11" spans="1:13" s="2" customFormat="1" ht="45.75">
      <c r="E11" s="2" t="s">
        <v>86</v>
      </c>
      <c r="F11" s="4" t="s">
        <v>60</v>
      </c>
      <c r="G11" s="2">
        <v>0</v>
      </c>
      <c r="I11" s="4" t="s">
        <v>61</v>
      </c>
      <c r="L11" s="2" t="s">
        <v>27</v>
      </c>
      <c r="M11" s="11"/>
    </row>
    <row r="12" spans="1:13" s="2" customFormat="1" ht="45.75">
      <c r="E12" s="2" t="s">
        <v>62</v>
      </c>
      <c r="F12" s="4" t="s">
        <v>63</v>
      </c>
      <c r="G12" s="2">
        <v>0</v>
      </c>
      <c r="H12" s="2">
        <v>10</v>
      </c>
      <c r="I12" s="4" t="s">
        <v>64</v>
      </c>
      <c r="L12" s="2" t="s">
        <v>27</v>
      </c>
    </row>
    <row r="13" spans="1:13" s="2" customFormat="1" ht="45.75">
      <c r="E13" s="2" t="s">
        <v>86</v>
      </c>
      <c r="F13" s="4" t="s">
        <v>65</v>
      </c>
      <c r="G13" s="2">
        <v>0</v>
      </c>
      <c r="H13" s="2">
        <v>15</v>
      </c>
      <c r="I13" s="4" t="s">
        <v>64</v>
      </c>
      <c r="L13" s="2" t="s">
        <v>27</v>
      </c>
    </row>
    <row r="14" spans="1:13" s="2" customFormat="1" ht="30.75">
      <c r="E14" s="2" t="s">
        <v>62</v>
      </c>
      <c r="F14" s="4" t="s">
        <v>66</v>
      </c>
      <c r="G14" s="2">
        <v>0</v>
      </c>
      <c r="H14" s="8">
        <v>15</v>
      </c>
      <c r="I14" s="4" t="s">
        <v>67</v>
      </c>
      <c r="L14" s="2" t="s">
        <v>27</v>
      </c>
    </row>
    <row r="15" spans="1:13" s="2" customFormat="1" ht="76.5">
      <c r="E15" s="2" t="s">
        <v>19</v>
      </c>
      <c r="F15" s="4" t="s">
        <v>68</v>
      </c>
      <c r="G15" s="2">
        <v>0</v>
      </c>
      <c r="H15" s="2">
        <v>3</v>
      </c>
      <c r="I15" s="4" t="s">
        <v>69</v>
      </c>
      <c r="L15" s="2" t="s">
        <v>27</v>
      </c>
    </row>
    <row r="16" spans="1:13" s="2" customFormat="1" ht="45.75">
      <c r="E16" s="2" t="s">
        <v>87</v>
      </c>
      <c r="F16" s="4" t="s">
        <v>71</v>
      </c>
      <c r="G16" s="2">
        <v>0</v>
      </c>
      <c r="H16" s="2">
        <v>10</v>
      </c>
      <c r="I16" s="4" t="s">
        <v>72</v>
      </c>
      <c r="L16" s="2" t="s">
        <v>27</v>
      </c>
    </row>
    <row r="17" spans="5:12" s="2" customFormat="1" ht="137.25">
      <c r="E17" s="2" t="s">
        <v>62</v>
      </c>
      <c r="F17" s="4" t="s">
        <v>73</v>
      </c>
      <c r="G17" s="2">
        <v>0</v>
      </c>
      <c r="H17" s="8">
        <v>5</v>
      </c>
      <c r="I17" s="4" t="s">
        <v>74</v>
      </c>
      <c r="L17" s="2" t="s">
        <v>27</v>
      </c>
    </row>
    <row r="18" spans="5:12" s="2" customFormat="1" ht="121.5">
      <c r="E18" s="2" t="s">
        <v>62</v>
      </c>
      <c r="F18" s="4" t="s">
        <v>75</v>
      </c>
      <c r="G18" s="2">
        <v>0</v>
      </c>
      <c r="H18" s="8">
        <v>75</v>
      </c>
      <c r="I18" s="4" t="s">
        <v>76</v>
      </c>
      <c r="L18" s="2" t="s">
        <v>27</v>
      </c>
    </row>
  </sheetData>
  <dataValidations count="1">
    <dataValidation allowBlank="1" showInputMessage="1" showErrorMessage="1" sqref="E2:E3" xr:uid="{1E157561-5221-4704-8031-98D91005BA68}"/>
  </dataValidations>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B4477F6-7B5A-4886-9E9A-57DF56A5D622}">
          <x14:formula1>
            <xm:f>'Beneficiary Categories'!$A$2:$A$16</xm:f>
          </x14:formula1>
          <xm:sqref>E5:E18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75" workbookViewId="0">
      <selection activeCell="E18" sqref="E18"/>
    </sheetView>
  </sheetViews>
  <sheetFormatPr defaultRowHeight="14.45"/>
  <cols>
    <col min="2" max="3" width="20.7109375" customWidth="1"/>
    <col min="5" max="5" width="20.7109375" customWidth="1"/>
    <col min="6" max="6" width="53.7109375" customWidth="1"/>
    <col min="7" max="8" width="12.7109375" customWidth="1"/>
    <col min="9" max="9" width="91.28515625" customWidth="1"/>
  </cols>
  <sheetData>
    <row r="1" spans="1:10" s="2" customFormat="1" ht="15">
      <c r="A1" s="5" t="s">
        <v>0</v>
      </c>
      <c r="B1" s="5" t="s">
        <v>1</v>
      </c>
      <c r="C1" s="5" t="s">
        <v>2</v>
      </c>
      <c r="D1" s="5" t="s">
        <v>3</v>
      </c>
      <c r="E1" s="5" t="s">
        <v>4</v>
      </c>
      <c r="F1" s="5" t="s">
        <v>5</v>
      </c>
      <c r="G1" s="5" t="s">
        <v>6</v>
      </c>
      <c r="H1" s="5" t="s">
        <v>7</v>
      </c>
      <c r="I1" s="5" t="s">
        <v>8</v>
      </c>
      <c r="J1" s="8" t="s">
        <v>9</v>
      </c>
    </row>
    <row r="2" spans="1:10" s="2" customFormat="1" ht="15">
      <c r="A2" s="2">
        <v>5304</v>
      </c>
      <c r="B2" s="2" t="s">
        <v>21</v>
      </c>
      <c r="C2" s="2" t="s">
        <v>79</v>
      </c>
      <c r="D2" s="2">
        <v>2639726</v>
      </c>
      <c r="E2" s="1"/>
      <c r="F2" s="1"/>
      <c r="G2" s="1"/>
      <c r="H2" s="1">
        <v>222</v>
      </c>
      <c r="I2" s="3"/>
    </row>
    <row r="3" spans="1:10" s="2" customFormat="1" ht="30.75">
      <c r="A3" s="2">
        <v>5194</v>
      </c>
      <c r="B3" s="2" t="s">
        <v>33</v>
      </c>
      <c r="C3" s="2" t="s">
        <v>79</v>
      </c>
      <c r="D3" s="2">
        <v>5200000</v>
      </c>
      <c r="E3" s="1" t="s">
        <v>23</v>
      </c>
      <c r="F3" s="3" t="s">
        <v>88</v>
      </c>
      <c r="G3" s="1">
        <v>0</v>
      </c>
      <c r="H3" s="1">
        <v>205</v>
      </c>
      <c r="I3" s="3" t="s">
        <v>37</v>
      </c>
    </row>
    <row r="4" spans="1:10" s="2" customFormat="1" ht="30.75">
      <c r="A4" s="2">
        <v>5194</v>
      </c>
      <c r="B4" s="2" t="s">
        <v>33</v>
      </c>
      <c r="D4" s="2">
        <v>5200000</v>
      </c>
      <c r="E4" s="2" t="s">
        <v>62</v>
      </c>
      <c r="F4" s="4" t="s">
        <v>39</v>
      </c>
      <c r="G4" s="6">
        <v>0.14399999999999999</v>
      </c>
      <c r="H4" s="7">
        <v>0.35</v>
      </c>
      <c r="I4" s="4" t="s">
        <v>40</v>
      </c>
    </row>
    <row r="5" spans="1:10" s="2" customFormat="1" ht="45.75">
      <c r="A5" s="2">
        <v>5194</v>
      </c>
      <c r="B5" s="2" t="s">
        <v>33</v>
      </c>
      <c r="D5" s="2">
        <v>5200000</v>
      </c>
      <c r="E5" s="2" t="s">
        <v>41</v>
      </c>
      <c r="F5" s="4" t="s">
        <v>42</v>
      </c>
      <c r="G5" s="2">
        <v>0</v>
      </c>
      <c r="H5" s="2" t="s">
        <v>82</v>
      </c>
      <c r="I5" s="4" t="s">
        <v>44</v>
      </c>
    </row>
    <row r="6" spans="1:10" s="2" customFormat="1" ht="30.75">
      <c r="A6" s="2">
        <v>5194</v>
      </c>
      <c r="B6" s="2" t="s">
        <v>33</v>
      </c>
      <c r="D6" s="2">
        <v>5200000</v>
      </c>
      <c r="E6" s="2" t="s">
        <v>19</v>
      </c>
      <c r="F6" s="4" t="s">
        <v>46</v>
      </c>
      <c r="G6" s="2">
        <v>0</v>
      </c>
      <c r="H6" s="2">
        <v>8</v>
      </c>
      <c r="I6" s="4" t="s">
        <v>47</v>
      </c>
    </row>
    <row r="7" spans="1:10" s="2" customFormat="1" ht="30.75">
      <c r="A7" s="2">
        <v>5194</v>
      </c>
      <c r="B7" s="2" t="s">
        <v>33</v>
      </c>
      <c r="D7" s="2">
        <v>5200000</v>
      </c>
      <c r="E7" s="2" t="s">
        <v>19</v>
      </c>
      <c r="F7" s="4" t="s">
        <v>51</v>
      </c>
      <c r="G7" s="2">
        <v>0</v>
      </c>
      <c r="H7" s="2">
        <v>12</v>
      </c>
      <c r="I7" s="4" t="s">
        <v>52</v>
      </c>
    </row>
    <row r="8" spans="1:10" s="2" customFormat="1" ht="45.75">
      <c r="A8" s="2">
        <v>5194</v>
      </c>
      <c r="B8" s="2" t="s">
        <v>33</v>
      </c>
      <c r="D8" s="2">
        <v>5200000</v>
      </c>
      <c r="E8" s="2" t="s">
        <v>53</v>
      </c>
      <c r="F8" s="4" t="s">
        <v>54</v>
      </c>
      <c r="G8" s="2">
        <v>9</v>
      </c>
      <c r="H8" s="2">
        <v>50</v>
      </c>
      <c r="I8" s="4" t="s">
        <v>55</v>
      </c>
    </row>
    <row r="9" spans="1:10" s="2" customFormat="1" ht="45.75">
      <c r="A9" s="2">
        <v>5194</v>
      </c>
      <c r="B9" s="2" t="s">
        <v>33</v>
      </c>
      <c r="D9" s="2">
        <v>5200000</v>
      </c>
      <c r="E9" s="2" t="s">
        <v>62</v>
      </c>
      <c r="F9" s="4" t="s">
        <v>56</v>
      </c>
      <c r="G9" s="2">
        <v>0</v>
      </c>
      <c r="H9" s="2">
        <v>5</v>
      </c>
      <c r="I9" s="4" t="s">
        <v>57</v>
      </c>
    </row>
    <row r="10" spans="1:10" s="2" customFormat="1" ht="60.75">
      <c r="A10" s="2">
        <v>5194</v>
      </c>
      <c r="B10" s="2" t="s">
        <v>33</v>
      </c>
      <c r="D10" s="2">
        <v>5200000</v>
      </c>
      <c r="E10" s="2" t="s">
        <v>62</v>
      </c>
      <c r="F10" s="4" t="s">
        <v>58</v>
      </c>
      <c r="G10" s="2">
        <v>0</v>
      </c>
      <c r="H10" s="2">
        <v>5</v>
      </c>
      <c r="I10" s="4" t="s">
        <v>59</v>
      </c>
    </row>
    <row r="11" spans="1:10" s="2" customFormat="1" ht="45.75">
      <c r="A11" s="2">
        <v>5194</v>
      </c>
      <c r="B11" s="2" t="s">
        <v>33</v>
      </c>
      <c r="D11" s="2">
        <v>5200000</v>
      </c>
      <c r="E11" s="2" t="s">
        <v>62</v>
      </c>
      <c r="F11" s="4" t="s">
        <v>60</v>
      </c>
      <c r="G11" s="2">
        <v>0</v>
      </c>
      <c r="H11" s="2">
        <v>6</v>
      </c>
      <c r="I11" s="4" t="s">
        <v>61</v>
      </c>
    </row>
    <row r="12" spans="1:10" s="2" customFormat="1" ht="45.75">
      <c r="A12" s="2">
        <v>5194</v>
      </c>
      <c r="B12" s="2" t="s">
        <v>33</v>
      </c>
      <c r="D12" s="2">
        <v>5200000</v>
      </c>
      <c r="E12" s="2" t="s">
        <v>23</v>
      </c>
      <c r="F12" s="4" t="s">
        <v>63</v>
      </c>
      <c r="G12" s="2">
        <v>0</v>
      </c>
      <c r="H12" s="2">
        <v>10</v>
      </c>
      <c r="I12" s="4" t="s">
        <v>64</v>
      </c>
    </row>
    <row r="13" spans="1:10" s="2" customFormat="1" ht="45.75">
      <c r="A13" s="2">
        <v>5194</v>
      </c>
      <c r="B13" s="2" t="s">
        <v>33</v>
      </c>
      <c r="D13" s="2">
        <v>5200000</v>
      </c>
      <c r="E13" s="2" t="s">
        <v>23</v>
      </c>
      <c r="F13" s="4" t="s">
        <v>65</v>
      </c>
      <c r="G13" s="2">
        <v>0</v>
      </c>
      <c r="H13" s="2">
        <v>15</v>
      </c>
      <c r="I13" s="4" t="s">
        <v>64</v>
      </c>
    </row>
    <row r="14" spans="1:10" s="2" customFormat="1" ht="30.75">
      <c r="A14" s="2">
        <v>5194</v>
      </c>
      <c r="B14" s="2" t="s">
        <v>33</v>
      </c>
      <c r="D14" s="2">
        <v>5200000</v>
      </c>
      <c r="E14" s="2" t="s">
        <v>62</v>
      </c>
      <c r="F14" s="4" t="s">
        <v>66</v>
      </c>
      <c r="G14" s="2">
        <v>0</v>
      </c>
      <c r="H14" s="2">
        <v>15</v>
      </c>
      <c r="I14" s="4" t="s">
        <v>67</v>
      </c>
    </row>
    <row r="15" spans="1:10" s="2" customFormat="1" ht="76.5">
      <c r="A15" s="2">
        <v>5194</v>
      </c>
      <c r="B15" s="2" t="s">
        <v>33</v>
      </c>
      <c r="D15" s="2">
        <v>5200000</v>
      </c>
      <c r="E15" s="2" t="s">
        <v>87</v>
      </c>
      <c r="F15" s="4" t="s">
        <v>68</v>
      </c>
      <c r="G15" s="2">
        <v>0</v>
      </c>
      <c r="H15" s="2">
        <v>3</v>
      </c>
      <c r="I15" s="4" t="s">
        <v>69</v>
      </c>
    </row>
    <row r="16" spans="1:10" s="2" customFormat="1" ht="45.75">
      <c r="A16" s="2">
        <v>5194</v>
      </c>
      <c r="B16" s="2" t="s">
        <v>33</v>
      </c>
      <c r="D16" s="2">
        <v>5200000</v>
      </c>
      <c r="E16" s="2" t="s">
        <v>87</v>
      </c>
      <c r="F16" s="4" t="s">
        <v>71</v>
      </c>
      <c r="G16" s="2">
        <v>0</v>
      </c>
      <c r="H16" s="2">
        <v>10</v>
      </c>
      <c r="I16" s="4" t="s">
        <v>72</v>
      </c>
    </row>
    <row r="17" spans="1:9" s="2" customFormat="1" ht="137.25">
      <c r="A17" s="2">
        <v>5194</v>
      </c>
      <c r="B17" s="2" t="s">
        <v>33</v>
      </c>
      <c r="D17" s="2">
        <v>5200000</v>
      </c>
      <c r="E17" s="2" t="s">
        <v>62</v>
      </c>
      <c r="F17" s="4" t="s">
        <v>73</v>
      </c>
      <c r="G17" s="2">
        <v>0</v>
      </c>
      <c r="H17" s="2">
        <v>5</v>
      </c>
      <c r="I17" s="4" t="s">
        <v>74</v>
      </c>
    </row>
    <row r="18" spans="1:9" s="2" customFormat="1" ht="121.5">
      <c r="A18" s="2">
        <v>5194</v>
      </c>
      <c r="B18" s="2" t="s">
        <v>33</v>
      </c>
      <c r="D18" s="2">
        <v>5200000</v>
      </c>
      <c r="E18" s="2" t="s">
        <v>62</v>
      </c>
      <c r="F18" s="4" t="s">
        <v>75</v>
      </c>
      <c r="G18" s="2">
        <v>0</v>
      </c>
      <c r="H18" s="2">
        <v>75</v>
      </c>
      <c r="I18" s="4" t="s">
        <v>76</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9" workbookViewId="0">
      <selection activeCell="A10" sqref="A10"/>
    </sheetView>
  </sheetViews>
  <sheetFormatPr defaultRowHeight="15" customHeight="1"/>
  <cols>
    <col min="1" max="2" width="52.7109375" customWidth="1"/>
  </cols>
  <sheetData>
    <row r="1" spans="1:2">
      <c r="A1" s="25" t="s">
        <v>4</v>
      </c>
      <c r="B1" s="25" t="s">
        <v>5</v>
      </c>
    </row>
    <row r="2" spans="1:2" ht="45.75">
      <c r="A2" s="36" t="s">
        <v>41</v>
      </c>
      <c r="B2" s="26" t="s">
        <v>89</v>
      </c>
    </row>
    <row r="3" spans="1:2">
      <c r="A3" s="36" t="s">
        <v>62</v>
      </c>
      <c r="B3" s="26" t="s">
        <v>90</v>
      </c>
    </row>
    <row r="4" spans="1:2" ht="30.75">
      <c r="A4" s="36" t="s">
        <v>91</v>
      </c>
      <c r="B4" s="26" t="s">
        <v>92</v>
      </c>
    </row>
    <row r="5" spans="1:2" ht="30.75">
      <c r="A5" s="36" t="s">
        <v>93</v>
      </c>
      <c r="B5" s="26" t="s">
        <v>94</v>
      </c>
    </row>
    <row r="6" spans="1:2" ht="91.5">
      <c r="A6" s="36" t="s">
        <v>95</v>
      </c>
      <c r="B6" s="26" t="s">
        <v>96</v>
      </c>
    </row>
    <row r="7" spans="1:2" ht="45.75">
      <c r="A7" s="36" t="s">
        <v>97</v>
      </c>
      <c r="B7" s="26" t="s">
        <v>98</v>
      </c>
    </row>
    <row r="8" spans="1:2" ht="45.75">
      <c r="A8" s="36" t="s">
        <v>99</v>
      </c>
      <c r="B8" s="26" t="s">
        <v>100</v>
      </c>
    </row>
    <row r="9" spans="1:2" ht="45.75">
      <c r="A9" s="36" t="s">
        <v>101</v>
      </c>
      <c r="B9" s="26" t="s">
        <v>102</v>
      </c>
    </row>
    <row r="10" spans="1:2" ht="30.75">
      <c r="A10" s="36" t="s">
        <v>29</v>
      </c>
      <c r="B10" s="37" t="s">
        <v>103</v>
      </c>
    </row>
    <row r="11" spans="1:2" ht="30.75">
      <c r="A11" s="36" t="s">
        <v>104</v>
      </c>
      <c r="B11" s="37" t="s">
        <v>105</v>
      </c>
    </row>
    <row r="12" spans="1:2" ht="45.75">
      <c r="A12" s="36" t="s">
        <v>106</v>
      </c>
      <c r="B12" s="26" t="s">
        <v>107</v>
      </c>
    </row>
    <row r="13" spans="1:2" ht="30.75">
      <c r="A13" s="36" t="s">
        <v>86</v>
      </c>
      <c r="B13" s="37" t="s">
        <v>108</v>
      </c>
    </row>
    <row r="14" spans="1:2">
      <c r="A14" s="36" t="s">
        <v>109</v>
      </c>
      <c r="B14" s="37" t="s">
        <v>110</v>
      </c>
    </row>
    <row r="15" spans="1:2" ht="30.75">
      <c r="A15" s="36" t="s">
        <v>53</v>
      </c>
      <c r="B15" s="37" t="s">
        <v>111</v>
      </c>
    </row>
    <row r="16" spans="1:2" ht="30.75">
      <c r="A16" s="36" t="s">
        <v>112</v>
      </c>
      <c r="B16" s="37" t="s">
        <v>113</v>
      </c>
    </row>
    <row r="17" spans="1:2" ht="30.75">
      <c r="A17" s="36" t="s">
        <v>70</v>
      </c>
      <c r="B17" s="26" t="s">
        <v>114</v>
      </c>
    </row>
    <row r="18" spans="1:2" ht="30.75">
      <c r="A18" s="36" t="s">
        <v>115</v>
      </c>
      <c r="B18" s="37" t="s">
        <v>116</v>
      </c>
    </row>
    <row r="19" spans="1:2" ht="76.5">
      <c r="A19" s="36" t="s">
        <v>31</v>
      </c>
      <c r="B19" s="37" t="s">
        <v>117</v>
      </c>
    </row>
    <row r="20" spans="1:2" ht="30.75">
      <c r="A20" s="36" t="s">
        <v>118</v>
      </c>
      <c r="B20" s="37" t="s">
        <v>119</v>
      </c>
    </row>
    <row r="21" spans="1:2" ht="45.75">
      <c r="A21" s="36" t="s">
        <v>19</v>
      </c>
      <c r="B21" s="38" t="s">
        <v>120</v>
      </c>
    </row>
    <row r="22" spans="1:2" ht="30.75">
      <c r="A22" s="36" t="s">
        <v>23</v>
      </c>
      <c r="B22" s="37"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D103A4-8629-4334-9C7A-F7808F718D20}"/>
</file>

<file path=customXml/itemProps2.xml><?xml version="1.0" encoding="utf-8"?>
<ds:datastoreItem xmlns:ds="http://schemas.openxmlformats.org/officeDocument/2006/customXml" ds:itemID="{194DB693-C70A-42D6-B9B1-88F44F16E2A3}"/>
</file>

<file path=customXml/itemProps3.xml><?xml version="1.0" encoding="utf-8"?>
<ds:datastoreItem xmlns:ds="http://schemas.openxmlformats.org/officeDocument/2006/customXml" ds:itemID="{1195EE3F-E7E6-4651-AAE5-31740C95F8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2024-11-24T20:16:52Z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