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58" documentId="8_{6A671246-EDD2-4A8C-BCC0-84A494FC8939}" xr6:coauthVersionLast="47" xr6:coauthVersionMax="47" xr10:uidLastSave="{CEF3133A-8E28-43E8-9F54-C4CF8BADD0B1}"/>
  <bookViews>
    <workbookView xWindow="-108" yWindow="-108" windowWidth="23256" windowHeight="12576" xr2:uid="{00000000-000D-0000-FFFF-FFFF00000000}"/>
  </bookViews>
  <sheets>
    <sheet name="Projects (3)" sheetId="1" r:id="rId1"/>
    <sheet name="Beneficiary Categories" sheetId="2" r:id="rId2"/>
    <sheet name="Sheet1" sheetId="3" state="hidden" r:id="rId3"/>
    <sheet name="Sheet2"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<sst xmlns="http://schemas.openxmlformats.org/spreadsheetml/2006/main" count="246" uniqueCount="88">
  <si>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</si>
  <si>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</si>
  <si>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</si>
  <si>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</si>
  <si>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</si>
  <si>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</si>
  <si>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</si>
  <si>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</si>
  <si>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</si>
  <si>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</si>
  <si>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</si>
  <si>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</si>
  <si>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</si>
  <si>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</si>
  <si>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</si>
  <si>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</si>
  <si>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</si>
  <si>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</si>
  <si>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</si>
  <si>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</si>
  <si>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</si>
  <si>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Renewable Energy for Rural Livelihood</t>
  </si>
  <si>
    <t>https://www.aepc.gov.np/rerl/public/
https://www.undp.org/nepal/projects/rerl
https://www.undp.org/nepal/projects/reras</t>
  </si>
  <si>
    <t>Electricity Access</t>
  </si>
  <si>
    <t>Number of people, disaggregated by sex, who gain access to clean electricity (direct access to electricity, lighting, cooling, etc.) </t>
  </si>
  <si>
    <t xml:space="preserve">The baseline and target are both related to solar and mini hydro projects developed under South Asia Subregional Economic Cooperation (SASEC) project of the Asian Development Bank (ADB) </t>
  </si>
  <si>
    <t>ADB, UNDP</t>
  </si>
  <si>
    <t>Non-VF</t>
  </si>
  <si>
    <t>Close the gap on energy access</t>
  </si>
  <si>
    <t>Overall</t>
  </si>
  <si>
    <t>Government Capacity-Building</t>
  </si>
  <si>
    <t>Off-Grid</t>
  </si>
  <si>
    <t>Hydro</t>
  </si>
  <si>
    <t>National</t>
  </si>
  <si>
    <t>Energy (MW added)</t>
  </si>
  <si>
    <t>Number of MW installed capacity</t>
  </si>
  <si>
    <t>Clean Cooking</t>
  </si>
  <si>
    <t>Number of people who gain access to clean cooking (direct access to clean cook stoves, clean fuels, biomass, etc.).</t>
  </si>
  <si>
    <t>Baseline: 544 induction stove, electric pressure cooker &amp; low wattage water heater  promoted with GoJ fund
Target :  1500 induction stove under Renewable Energy for Resilient Agri-Food System (RERAS) project of UNDP funded by Government of Norway</t>
  </si>
  <si>
    <t>Government of Norway</t>
  </si>
  <si>
    <t>Accelerating just energy transition</t>
  </si>
  <si>
    <t>NDC Support</t>
  </si>
  <si>
    <t>Health Services</t>
  </si>
  <si>
    <t>Number of people who gain access to health care facilities (direct access to electricity and heating systems for clinics, hospitals, health centers etc.) </t>
  </si>
  <si>
    <t xml:space="preserve">Baseline : Solar backup systems installed in 11  birthing centres with GoJ fund
Target: Not planned </t>
  </si>
  <si>
    <t>Government of Japan</t>
  </si>
  <si>
    <t>Solar</t>
  </si>
  <si>
    <t>Water Services</t>
  </si>
  <si>
    <t>Number of people who gain access to water services (powering water pumps, water distributions, waste management, etc.).  </t>
  </si>
  <si>
    <t>Baseline: Solar backup systems installed in 11 drinking water projects with GoJ fund
Traget : 7 micro hydro  operated lift irrigation and drinking projects with Norwegian fund</t>
  </si>
  <si>
    <t>Education Services</t>
  </si>
  <si>
    <t>Number of people who gain access to education services through clean energy systems (including students, teachers, etc.) </t>
  </si>
  <si>
    <t>Baseline: Solar backup systems installed in 2 community schools with GoJ fund 
Target : Micro hydro's Line extention in 15 community school in Jumla Energy for Resilient Agri-Food System (RERAS) project of UNDP funded by Government of Norway</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</si>
  <si>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</si>
  <si>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</si>
  <si>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</si>
  <si>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</si>
  <si>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</si>
  <si>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</si>
  <si>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</si>
  <si>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</si>
  <si>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</si>
  <si>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</si>
  <si>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</si>
  <si>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</si>
  <si>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</si>
  <si>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</si>
  <si>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</si>
  <si>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</si>
  <si>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</si>
  <si>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</si>
  <si>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</si>
  <si>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</si>
  <si>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</si>
  <si>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</si>
  <si>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</si>
  <si>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</si>
  <si>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</si>
  <si>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</si>
  <si>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</si>
  <si>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</si>
  <si>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</si>
  <si>
    <t>https://www.aepc.gov.np/rerl/public/</t>
  </si>
  <si>
    <t>2.4 million</t>
  </si>
  <si>
    <t>https://www.undp.org/nepal/projects/rerl</t>
  </si>
  <si>
    <t>https://www.undp.org/nepal/projects/reras</t>
  </si>
  <si>
    <t>3.8 million</t>
  </si>
  <si>
    <t>2.08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</si>
</sst>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409]* #,##0.00_);_([$$-409]* \(#,##0.00\);_([$$-409]* &quot;-&quot;??_);_(@_)"/>
  </numFmts>
  <fonts count="10">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b/>
      <sz val="11"/>
      <color theme="1"/>
      <name val="Calibri"/>
      <scheme val="minor"/>
    </font>
    <font>
      <sz val="11"/>
      <color rgb="FF000000"/>
      <name val="Calibri"/>
      <scheme val="minor"/>
    </font>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4" fillId="0" borderId="0" applyNumberFormat="0" applyFill="0" applyBorder="0" applyAlignment="0" applyProtection="0">
      <alignment vertical="top"/>
      <protection locked="0"/>
    </xf>
    <xf numFmtId="43" fontId="8" fillId="0" borderId="0" applyFont="0" applyFill="0" applyBorder="0" applyAlignment="0" applyProtection="0"/>
  </cellStyleXfs>
  <cellXfs count="101">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center"/>
    </xf>
    <xf numFmtId="0" fontId="3" fillId="0" borderId="0" xfId="0" applyFont="1" applyAlignment="1">
      <alignment vertical="top"/>
    </xf>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ill="1" applyBorder="1" applyAlignment="1" applyProtection="1">
      <alignment vertical="center" wrapText="1"/>
    </xf>
    <xf numFmtId="4" fontId="5" fillId="0" borderId="0" xfId="0" applyNumberFormat="1" applyFont="1" applyAlignment="1">
      <alignment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2" borderId="0" xfId="0" applyFill="1"/>
    <xf numFmtId="0" fontId="7" fillId="2" borderId="2" xfId="0" applyFont="1" applyFill="1" applyBorder="1" applyAlignment="1">
      <alignment wrapText="1"/>
    </xf>
    <xf numFmtId="0" fontId="2" fillId="0" borderId="7" xfId="0" applyFont="1" applyBorder="1" applyAlignment="1">
      <alignment horizontal="center" vertical="top"/>
    </xf>
    <xf numFmtId="0" fontId="2" fillId="0" borderId="0" xfId="0" applyFont="1"/>
    <xf numFmtId="0" fontId="2" fillId="0" borderId="4"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5" fillId="0" borderId="1" xfId="0" applyFont="1" applyBorder="1" applyAlignment="1">
      <alignment vertical="center" wrapText="1"/>
    </xf>
    <xf numFmtId="3" fontId="5" fillId="0" borderId="1" xfId="0" applyNumberFormat="1" applyFont="1" applyBorder="1" applyAlignment="1">
      <alignment vertical="center" wrapText="1"/>
    </xf>
    <xf numFmtId="0" fontId="5" fillId="0" borderId="1" xfId="0" applyFont="1" applyBorder="1" applyAlignment="1">
      <alignment horizontal="right" vertical="center"/>
    </xf>
    <xf numFmtId="0" fontId="2" fillId="0" borderId="8" xfId="0" applyFont="1" applyBorder="1" applyAlignment="1">
      <alignment horizontal="center" vertical="top"/>
    </xf>
    <xf numFmtId="0" fontId="8" fillId="0" borderId="6" xfId="0" applyFont="1" applyBorder="1" applyAlignment="1">
      <alignment horizontal="left" vertical="center" wrapText="1"/>
    </xf>
    <xf numFmtId="0" fontId="4" fillId="0" borderId="1" xfId="1" applyBorder="1" applyAlignment="1" applyProtection="1">
      <alignment horizontal="left" vertical="center" wrapText="1"/>
    </xf>
    <xf numFmtId="0" fontId="8" fillId="0" borderId="10" xfId="0" applyFont="1" applyBorder="1" applyAlignment="1">
      <alignment horizontal="left" vertical="center" wrapText="1"/>
    </xf>
    <xf numFmtId="9" fontId="0" fillId="0" borderId="1" xfId="0" applyNumberFormat="1" applyBorder="1" applyAlignment="1">
      <alignment vertical="center"/>
    </xf>
    <xf numFmtId="0" fontId="9" fillId="0" borderId="5" xfId="0" applyFont="1" applyBorder="1" applyAlignment="1">
      <alignment vertical="center" wrapText="1"/>
    </xf>
    <xf numFmtId="0" fontId="0" fillId="0" borderId="1" xfId="0" applyBorder="1" applyAlignment="1">
      <alignment vertical="center" wrapText="1"/>
    </xf>
    <xf numFmtId="0" fontId="4" fillId="0" borderId="1" xfId="1" applyFill="1" applyBorder="1" applyAlignment="1" applyProtection="1">
      <alignment vertical="center" wrapText="1"/>
    </xf>
    <xf numFmtId="0" fontId="9" fillId="0" borderId="9" xfId="0" applyFont="1" applyBorder="1" applyAlignment="1">
      <alignment vertical="center" wrapText="1"/>
    </xf>
    <xf numFmtId="3" fontId="0" fillId="0" borderId="1" xfId="0" applyNumberFormat="1" applyBorder="1" applyAlignment="1">
      <alignment vertical="center"/>
    </xf>
    <xf numFmtId="0" fontId="4" fillId="0" borderId="1" xfId="1" applyFill="1" applyBorder="1" applyAlignment="1" applyProtection="1">
      <alignment vertical="center"/>
    </xf>
    <xf numFmtId="43" fontId="0" fillId="0" borderId="1" xfId="0" applyNumberFormat="1" applyBorder="1" applyAlignment="1">
      <alignment horizontal="right" vertical="center"/>
    </xf>
    <xf numFmtId="0" fontId="0" fillId="0" borderId="1" xfId="0" applyBorder="1" applyAlignment="1">
      <alignment horizontal="left" vertical="center" wrapText="1"/>
    </xf>
    <xf numFmtId="164" fontId="5" fillId="0" borderId="1" xfId="2" applyNumberFormat="1" applyFont="1" applyBorder="1" applyAlignment="1">
      <alignment vertical="center" wrapText="1"/>
    </xf>
    <xf numFmtId="9" fontId="5" fillId="0" borderId="1" xfId="0" applyNumberFormat="1" applyFont="1" applyBorder="1" applyAlignment="1">
      <alignment vertical="center" wrapText="1"/>
    </xf>
    <xf numFmtId="3" fontId="5" fillId="0" borderId="1" xfId="0" applyNumberFormat="1" applyFont="1" applyBorder="1" applyAlignment="1">
      <alignment horizontal="right" vertical="center"/>
    </xf>
    <xf numFmtId="165" fontId="5" fillId="0" borderId="0" xfId="0" applyNumberFormat="1" applyFont="1" applyAlignment="1">
      <alignment horizontal="right" vertical="center"/>
    </xf>
    <xf numFmtId="165" fontId="5" fillId="0" borderId="0" xfId="0" applyNumberFormat="1" applyFont="1" applyAlignment="1">
      <alignment vertical="center"/>
    </xf>
    <xf numFmtId="165" fontId="0" fillId="0" borderId="0" xfId="0" applyNumberFormat="1" applyAlignment="1">
      <alignment vertical="top"/>
    </xf>
    <xf numFmtId="0" fontId="0" fillId="0" borderId="2" xfId="0" applyBorder="1" applyAlignment="1">
      <alignment horizontal="center" vertical="center"/>
    </xf>
    <xf numFmtId="0" fontId="0" fillId="0" borderId="2" xfId="0" applyBorder="1" applyAlignment="1">
      <alignment vertical="center"/>
    </xf>
    <xf numFmtId="165" fontId="0" fillId="0" borderId="2" xfId="0" applyNumberFormat="1" applyBorder="1"/>
    <xf numFmtId="0" fontId="0" fillId="0" borderId="2" xfId="0" applyBorder="1"/>
    <xf numFmtId="0" fontId="0" fillId="0" borderId="2" xfId="0" applyBorder="1" applyAlignment="1">
      <alignment wrapText="1"/>
    </xf>
    <xf numFmtId="0" fontId="0" fillId="0" borderId="2" xfId="0" applyBorder="1" applyAlignment="1">
      <alignment vertical="top"/>
    </xf>
    <xf numFmtId="0" fontId="0" fillId="0" borderId="2" xfId="0" applyBorder="1" applyAlignment="1">
      <alignment horizontal="center" vertical="center" wrapText="1"/>
    </xf>
    <xf numFmtId="0" fontId="5" fillId="0" borderId="2" xfId="0" applyFont="1" applyBorder="1" applyAlignment="1">
      <alignment vertical="center" wrapText="1"/>
    </xf>
    <xf numFmtId="3" fontId="5" fillId="0" borderId="2" xfId="0" applyNumberFormat="1" applyFont="1" applyBorder="1" applyAlignment="1">
      <alignment vertical="center" wrapText="1"/>
    </xf>
    <xf numFmtId="165" fontId="5" fillId="0" borderId="2" xfId="0" applyNumberFormat="1" applyFont="1" applyBorder="1" applyAlignment="1">
      <alignment horizontal="right"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2" xfId="0" applyFont="1" applyBorder="1" applyAlignment="1">
      <alignment horizontal="right" vertical="center"/>
    </xf>
    <xf numFmtId="0" fontId="0" fillId="0" borderId="2" xfId="0" applyBorder="1" applyAlignment="1">
      <alignment vertical="center" wrapText="1"/>
    </xf>
    <xf numFmtId="165" fontId="2" fillId="0" borderId="7" xfId="0" applyNumberFormat="1" applyFont="1" applyBorder="1" applyAlignment="1">
      <alignment horizontal="center" vertical="top"/>
    </xf>
    <xf numFmtId="0" fontId="4" fillId="0" borderId="6" xfId="1" applyFill="1" applyBorder="1" applyAlignment="1" applyProtection="1">
      <alignment wrapText="1"/>
    </xf>
    <xf numFmtId="0" fontId="4" fillId="0" borderId="6" xfId="1" applyFill="1" applyBorder="1" applyAlignment="1" applyProtection="1"/>
    <xf numFmtId="0" fontId="0" fillId="0" borderId="6" xfId="0" applyBorder="1"/>
    <xf numFmtId="0" fontId="4" fillId="0" borderId="6" xfId="1" applyFill="1" applyBorder="1" applyAlignment="1" applyProtection="1">
      <alignment horizontal="left" vertical="center" wrapText="1"/>
    </xf>
    <xf numFmtId="0" fontId="0" fillId="0" borderId="3" xfId="0" applyBorder="1" applyAlignment="1">
      <alignment vertical="center"/>
    </xf>
    <xf numFmtId="0" fontId="0" fillId="0" borderId="3" xfId="0" applyBorder="1" applyAlignment="1">
      <alignment vertical="center" wrapText="1"/>
    </xf>
    <xf numFmtId="0" fontId="0" fillId="0" borderId="13" xfId="0" applyBorder="1" applyAlignment="1">
      <alignment vertical="center"/>
    </xf>
    <xf numFmtId="0" fontId="0" fillId="0" borderId="13" xfId="0" applyBorder="1" applyAlignment="1">
      <alignment vertical="center" wrapText="1"/>
    </xf>
    <xf numFmtId="0" fontId="0" fillId="0" borderId="14" xfId="0" applyBorder="1" applyAlignment="1">
      <alignment vertical="center"/>
    </xf>
    <xf numFmtId="0" fontId="0" fillId="0" borderId="14" xfId="0" applyBorder="1" applyAlignment="1">
      <alignment vertical="center" wrapText="1"/>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left" vertical="center" wrapText="1"/>
    </xf>
    <xf numFmtId="0" fontId="0" fillId="0" borderId="12" xfId="0" applyBorder="1" applyAlignment="1">
      <alignment horizontal="left" vertical="center" wrapText="1"/>
    </xf>
    <xf numFmtId="0" fontId="0" fillId="0" borderId="11" xfId="0" applyBorder="1" applyAlignment="1">
      <alignment horizontal="left" vertical="center" wrapText="1"/>
    </xf>
    <xf numFmtId="9" fontId="0" fillId="0" borderId="7" xfId="0" applyNumberFormat="1" applyBorder="1" applyAlignment="1">
      <alignment horizontal="right" vertical="center"/>
    </xf>
    <xf numFmtId="9" fontId="0" fillId="0" borderId="11" xfId="0" applyNumberFormat="1" applyBorder="1" applyAlignment="1">
      <alignment horizontal="right" vertical="center"/>
    </xf>
    <xf numFmtId="43" fontId="0" fillId="0" borderId="7" xfId="0" applyNumberFormat="1" applyBorder="1" applyAlignment="1">
      <alignment horizontal="left" vertical="center"/>
    </xf>
    <xf numFmtId="43" fontId="0" fillId="0" borderId="12" xfId="0" applyNumberFormat="1" applyBorder="1" applyAlignment="1">
      <alignment horizontal="left" vertical="center"/>
    </xf>
    <xf numFmtId="43" fontId="0" fillId="0" borderId="11" xfId="0" applyNumberFormat="1" applyBorder="1" applyAlignment="1">
      <alignment horizontal="left" vertical="center"/>
    </xf>
    <xf numFmtId="0" fontId="0" fillId="0" borderId="7" xfId="0" applyBorder="1" applyAlignment="1">
      <alignment horizontal="left" vertical="center"/>
    </xf>
    <xf numFmtId="0" fontId="0" fillId="0" borderId="12" xfId="0" applyBorder="1" applyAlignment="1">
      <alignment horizontal="left" vertical="center"/>
    </xf>
    <xf numFmtId="0" fontId="0" fillId="0" borderId="11" xfId="0" applyBorder="1" applyAlignment="1">
      <alignment horizontal="left" vertical="center"/>
    </xf>
    <xf numFmtId="43" fontId="0" fillId="0" borderId="7" xfId="0" applyNumberFormat="1" applyBorder="1" applyAlignment="1">
      <alignment horizontal="right" vertical="center"/>
    </xf>
    <xf numFmtId="43" fontId="0" fillId="0" borderId="11" xfId="0" applyNumberFormat="1" applyBorder="1" applyAlignment="1">
      <alignment horizontal="right" vertical="center"/>
    </xf>
    <xf numFmtId="3" fontId="0" fillId="0" borderId="7" xfId="0" applyNumberFormat="1" applyBorder="1" applyAlignment="1">
      <alignment horizontal="right" vertical="center"/>
    </xf>
    <xf numFmtId="3" fontId="0" fillId="0" borderId="11" xfId="0" applyNumberFormat="1" applyBorder="1" applyAlignment="1">
      <alignment horizontal="right" vertical="center"/>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xf numFmtId="0" fontId="1" fillId="2" borderId="2" xfId="0" applyFont="1" applyFill="1" applyBorder="1" applyAlignment="1">
      <alignment horizontal="left" vertical="center" wrapText="1"/>
    </xf>
    <xf numFmtId="0" fontId="1" fillId="2" borderId="2" xfId="0" applyFont="1" applyFill="1" applyBorder="1" applyAlignment="1">
      <alignment wrapText="1"/>
    </xf>
    <xf numFmtId="0" fontId="1" fillId="2" borderId="2" xfId="0" applyFont="1" applyFill="1" applyBorder="1" applyAlignment="1">
      <alignment vertical="center" wrapText="1"/>
    </xf>
  </cellXfs>
  <cellStyles count="3">
    <cellStyle name="Comma" xfId="2" builtinId="3"/>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
  <sheetViews>
    <sheetView tabSelected="1" zoomScale="70" zoomScaleNormal="70" workbookViewId="0">
      <pane xSplit="1" ySplit="1" topLeftCell="F2" activePane="bottomRight" state="frozen"/>
      <selection pane="bottomRight" activeCell="H6" sqref="H6"/>
      <selection pane="bottomLeft"/>
      <selection pane="topRight"/>
    </sheetView>
  </sheetViews>
  <sheetFormatPr defaultColWidth="8.85546875" defaultRowHeight="15" customHeight="1"/>
  <cols>
    <col min="1" max="1" width="15.7109375" style="3" customWidth="1"/>
    <col min="2" max="3" width="41.7109375" style="3" customWidth="1"/>
    <col min="4" max="4" width="23.85546875" style="49" customWidth="1"/>
    <col min="5" max="5" width="28.5703125" style="3" customWidth="1"/>
    <col min="6" max="6" width="35" style="2" customWidth="1"/>
    <col min="7" max="7" width="19.85546875" style="4" customWidth="1"/>
    <col min="8" max="8" width="21.5703125" style="2" customWidth="1"/>
    <col min="9" max="9" width="65.140625" style="2" customWidth="1"/>
    <col min="10" max="10" width="11.5703125" style="3" customWidth="1"/>
    <col min="11" max="11" width="10.7109375" style="3" customWidth="1"/>
    <col min="12" max="16384" width="8.85546875" style="3"/>
  </cols>
  <sheetData>
    <row r="1" spans="1:21" ht="19.5" customHeight="1">
      <c r="A1" s="23" t="s">
        <v>0</v>
      </c>
      <c r="B1" s="23" t="s">
        <v>1</v>
      </c>
      <c r="C1" s="23" t="s">
        <v>2</v>
      </c>
      <c r="D1" s="64" t="s">
        <v>3</v>
      </c>
      <c r="E1" s="23" t="s">
        <v>4</v>
      </c>
      <c r="F1" s="23" t="s">
        <v>5</v>
      </c>
      <c r="G1" s="23" t="s">
        <v>6</v>
      </c>
      <c r="H1" s="23" t="s">
        <v>7</v>
      </c>
      <c r="I1" s="23" t="s">
        <v>8</v>
      </c>
      <c r="J1" s="24" t="s">
        <v>9</v>
      </c>
      <c r="K1" s="25" t="s">
        <v>10</v>
      </c>
      <c r="L1" s="18" t="s">
        <v>11</v>
      </c>
      <c r="M1" s="18" t="s">
        <v>12</v>
      </c>
      <c r="N1" s="18" t="s">
        <v>13</v>
      </c>
      <c r="O1" s="18" t="s">
        <v>14</v>
      </c>
      <c r="P1" s="18" t="s">
        <v>15</v>
      </c>
      <c r="Q1" s="18" t="s">
        <v>16</v>
      </c>
      <c r="R1" s="19" t="s">
        <v>17</v>
      </c>
      <c r="S1" s="20" t="s">
        <v>18</v>
      </c>
      <c r="T1" s="19" t="s">
        <v>19</v>
      </c>
      <c r="U1" s="20" t="s">
        <v>20</v>
      </c>
    </row>
    <row r="2" spans="1:21" ht="65.25" customHeight="1">
      <c r="A2" s="69">
        <v>117173</v>
      </c>
      <c r="B2" s="70" t="s">
        <v>21</v>
      </c>
      <c r="C2" s="65" t="s">
        <v>22</v>
      </c>
      <c r="D2" s="52">
        <v>2400000</v>
      </c>
      <c r="E2" s="53" t="s">
        <v>23</v>
      </c>
      <c r="F2" s="54" t="s">
        <v>24</v>
      </c>
      <c r="G2" s="53">
        <v>39226</v>
      </c>
      <c r="H2" s="53">
        <v>134200</v>
      </c>
      <c r="I2" s="53" t="s">
        <v>25</v>
      </c>
      <c r="J2" s="55" t="s">
        <v>26</v>
      </c>
      <c r="K2" s="55">
        <v>0.5</v>
      </c>
      <c r="L2" s="50" t="s">
        <v>27</v>
      </c>
      <c r="M2" s="50"/>
      <c r="N2" s="56" t="s">
        <v>28</v>
      </c>
      <c r="O2" s="50" t="s">
        <v>29</v>
      </c>
      <c r="P2" s="50"/>
      <c r="Q2" s="50" t="s">
        <v>30</v>
      </c>
      <c r="R2" s="50" t="s">
        <v>31</v>
      </c>
      <c r="S2" s="51" t="s">
        <v>32</v>
      </c>
      <c r="T2" s="50" t="s">
        <v>33</v>
      </c>
      <c r="U2" s="51">
        <v>34469</v>
      </c>
    </row>
    <row r="3" spans="1:21" s="5" customFormat="1" ht="57.75" customHeight="1">
      <c r="A3" s="71"/>
      <c r="B3" s="72"/>
      <c r="C3" s="66"/>
      <c r="D3" s="52"/>
      <c r="E3" s="53" t="s">
        <v>34</v>
      </c>
      <c r="F3" s="53" t="s">
        <v>35</v>
      </c>
      <c r="G3" s="53">
        <v>2.6</v>
      </c>
      <c r="H3" s="54">
        <v>4.8</v>
      </c>
      <c r="I3" s="54"/>
      <c r="J3" s="51" t="s">
        <v>26</v>
      </c>
      <c r="K3" s="51"/>
      <c r="L3" s="50"/>
      <c r="M3" s="50"/>
      <c r="N3" s="56"/>
      <c r="O3" s="50"/>
      <c r="P3" s="50"/>
      <c r="Q3" s="50"/>
      <c r="R3" s="50"/>
      <c r="S3" s="51"/>
      <c r="T3" s="50"/>
      <c r="U3" s="51"/>
    </row>
    <row r="4" spans="1:21" ht="83.25" customHeight="1">
      <c r="A4" s="71"/>
      <c r="B4" s="72"/>
      <c r="C4" s="67"/>
      <c r="D4" s="52">
        <v>3800000</v>
      </c>
      <c r="E4" s="53" t="s">
        <v>36</v>
      </c>
      <c r="F4" s="57" t="s">
        <v>37</v>
      </c>
      <c r="G4" s="57">
        <v>2709</v>
      </c>
      <c r="H4" s="58">
        <v>7470</v>
      </c>
      <c r="I4" s="57" t="s">
        <v>38</v>
      </c>
      <c r="J4" s="55" t="s">
        <v>39</v>
      </c>
      <c r="K4" s="55">
        <v>1</v>
      </c>
      <c r="L4" s="55" t="s">
        <v>27</v>
      </c>
      <c r="M4" s="55"/>
      <c r="N4" s="55" t="s">
        <v>40</v>
      </c>
      <c r="O4" s="55" t="s">
        <v>36</v>
      </c>
      <c r="P4" s="55"/>
      <c r="Q4" s="55" t="s">
        <v>41</v>
      </c>
      <c r="R4" s="55" t="s">
        <v>36</v>
      </c>
      <c r="S4" s="55" t="s">
        <v>32</v>
      </c>
      <c r="T4" s="55"/>
      <c r="U4" s="55"/>
    </row>
    <row r="5" spans="1:21" ht="60.75">
      <c r="A5" s="71"/>
      <c r="B5" s="72"/>
      <c r="C5" s="67"/>
      <c r="D5" s="52">
        <v>2080000</v>
      </c>
      <c r="E5" s="53" t="s">
        <v>42</v>
      </c>
      <c r="F5" s="57" t="s">
        <v>43</v>
      </c>
      <c r="G5" s="57"/>
      <c r="H5" s="57"/>
      <c r="I5" s="57" t="s">
        <v>44</v>
      </c>
      <c r="J5" s="55" t="s">
        <v>45</v>
      </c>
      <c r="K5" s="55">
        <v>1</v>
      </c>
      <c r="L5" s="55" t="s">
        <v>27</v>
      </c>
      <c r="M5" s="55"/>
      <c r="N5" s="55" t="s">
        <v>40</v>
      </c>
      <c r="O5" s="55" t="s">
        <v>23</v>
      </c>
      <c r="P5" s="55"/>
      <c r="Q5" s="55" t="s">
        <v>41</v>
      </c>
      <c r="R5" s="55" t="s">
        <v>23</v>
      </c>
      <c r="S5" s="55" t="s">
        <v>46</v>
      </c>
      <c r="T5" s="55" t="s">
        <v>33</v>
      </c>
      <c r="U5" s="55"/>
    </row>
    <row r="6" spans="1:21" ht="60.75">
      <c r="A6" s="71"/>
      <c r="B6" s="72"/>
      <c r="C6" s="67"/>
      <c r="D6" s="52"/>
      <c r="E6" s="53" t="s">
        <v>47</v>
      </c>
      <c r="F6" s="57" t="s">
        <v>48</v>
      </c>
      <c r="G6" s="57"/>
      <c r="H6" s="57">
        <v>2734</v>
      </c>
      <c r="I6" s="57" t="s">
        <v>49</v>
      </c>
      <c r="J6" s="55"/>
      <c r="K6" s="55">
        <v>0.9</v>
      </c>
      <c r="L6" s="55"/>
      <c r="M6" s="55"/>
      <c r="N6" s="55" t="s">
        <v>40</v>
      </c>
      <c r="O6" s="55" t="s">
        <v>23</v>
      </c>
      <c r="P6" s="55"/>
      <c r="Q6" s="55" t="s">
        <v>41</v>
      </c>
      <c r="R6" s="55" t="s">
        <v>23</v>
      </c>
      <c r="S6" s="55" t="s">
        <v>46</v>
      </c>
      <c r="T6" s="55" t="s">
        <v>33</v>
      </c>
      <c r="U6" s="55"/>
    </row>
    <row r="7" spans="1:21" ht="76.5">
      <c r="A7" s="73"/>
      <c r="B7" s="74"/>
      <c r="C7" s="68"/>
      <c r="D7" s="59"/>
      <c r="E7" s="60" t="s">
        <v>50</v>
      </c>
      <c r="F7" s="61" t="s">
        <v>51</v>
      </c>
      <c r="G7" s="62">
        <v>950</v>
      </c>
      <c r="H7" s="62">
        <v>3260</v>
      </c>
      <c r="I7" s="63" t="s">
        <v>52</v>
      </c>
      <c r="J7" s="55"/>
      <c r="K7" s="55">
        <v>0.5</v>
      </c>
      <c r="L7" s="55"/>
      <c r="M7" s="55"/>
      <c r="N7" s="55" t="s">
        <v>40</v>
      </c>
      <c r="O7" s="55" t="s">
        <v>23</v>
      </c>
      <c r="P7" s="55"/>
      <c r="Q7" s="55" t="s">
        <v>41</v>
      </c>
      <c r="R7" s="55" t="s">
        <v>23</v>
      </c>
      <c r="S7" s="55" t="s">
        <v>46</v>
      </c>
      <c r="T7" s="55" t="s">
        <v>33</v>
      </c>
      <c r="U7" s="55"/>
    </row>
    <row r="8" spans="1:21">
      <c r="A8" s="7"/>
      <c r="B8" s="8"/>
      <c r="C8" s="9"/>
      <c r="D8" s="47"/>
      <c r="E8" s="12"/>
      <c r="F8" s="13"/>
      <c r="G8" s="12"/>
      <c r="H8" s="12"/>
      <c r="I8" s="11"/>
    </row>
    <row r="9" spans="1:21" ht="14.45">
      <c r="A9" s="7"/>
      <c r="B9" s="8"/>
      <c r="C9" s="9"/>
      <c r="D9" s="47"/>
      <c r="E9" s="12"/>
      <c r="F9" s="13"/>
      <c r="G9" s="12"/>
      <c r="H9" s="12"/>
    </row>
    <row r="10" spans="1:21" ht="14.45">
      <c r="A10" s="12"/>
      <c r="B10" s="12"/>
      <c r="C10" s="14"/>
      <c r="D10" s="48"/>
      <c r="E10" s="12"/>
      <c r="F10" s="13"/>
      <c r="G10" s="12"/>
      <c r="H10" s="12"/>
      <c r="I10" s="11"/>
    </row>
    <row r="14" spans="1:21" ht="14.45">
      <c r="B14" s="6"/>
    </row>
  </sheetData>
  <dataValidations count="9">
    <dataValidation type="list" allowBlank="1" showInputMessage="1" showErrorMessage="1" sqref="Q2:Q3" xr:uid="{98F9F694-D5D0-4AEA-91A8-8BAD58AEF969}">
      <formula1>"NDC Support, National Strategy, Legal Framework,Incentives and Support, Government Capacity-Building, Carbon Pricing and Monitoring, Financing Model, Business Model"</formula1>
    </dataValidation>
    <dataValidation type="list" allowBlank="1" showInputMessage="1" showErrorMessage="1" sqref="N2:N3" xr:uid="{C0993E8F-7FB1-41B9-9433-1408FAFE7A16}">
      <formula1>"Accelerating just energy transition, Close the gap on energy access, Scale up energy finance"</formula1>
    </dataValidation>
    <dataValidation type="list" allowBlank="1" showInputMessage="1" showErrorMessage="1" sqref="O2:O3" xr:uid="{0F0B9168-D3F3-4C6C-A8B9-4FE5086FF6B2}">
      <formula1>"Electricity Access, Energy Efficiency, Clean Cooking, Renewable Energy, Overall"</formula1>
    </dataValidation>
    <dataValidation type="list" allowBlank="1" showInputMessage="1" showErrorMessage="1" sqref="M2:M3" xr:uid="{0C4E72B7-F03C-40B4-B085-E8EEF5D7ADE3}">
      <formula1>"Finance, Gender, Efficiency, Just, Health"</formula1>
    </dataValidation>
    <dataValidation type="list" allowBlank="1" showInputMessage="1" showErrorMessage="1" sqref="T2:T3" xr:uid="{A6399D52-10CF-4B36-9247-1A9D5C3E161A}">
      <formula1>"National, Regional, City, Community"</formula1>
    </dataValidation>
    <dataValidation type="list" allowBlank="1" showInputMessage="1" showErrorMessage="1" sqref="P2:P3" xr:uid="{AFEF45E4-4521-4FDC-8AFE-E0B96D7A648E}">
      <formula1>"AMP, PUDC, Solar4Health, Action Opportunities, Italy UNDP Energy Partnership"</formula1>
    </dataValidation>
    <dataValidation type="list" allowBlank="1" showInputMessage="1" showErrorMessage="1" sqref="L2:L3" xr:uid="{4B43FF64-64C9-44F1-BFB9-086854B30C86}">
      <formula1>"Non-VF, VF"</formula1>
    </dataValidation>
    <dataValidation type="list" allowBlank="1" showInputMessage="1" showErrorMessage="1" sqref="R2:R3" xr:uid="{0514B98E-FDC6-4817-8263-AA082535261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 xr:uid="{14FAC07F-C607-4DD3-B145-2D9D6CBFD4F5}">
      <formula1>"Solar, Wind, Bioenergy, Hydro, Geothermal, Waste, Some Sources,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ustomHeight="1"/>
  <cols>
    <col min="1" max="1" width="30.42578125" customWidth="1"/>
    <col min="2" max="2" width="96" customWidth="1"/>
  </cols>
  <sheetData>
    <row r="1" spans="1:2" ht="14.45">
      <c r="A1" s="16" t="s">
        <v>4</v>
      </c>
      <c r="B1" s="16" t="s">
        <v>5</v>
      </c>
    </row>
    <row r="2" spans="1:2" ht="14.45" customHeight="1">
      <c r="A2" s="95" t="s">
        <v>23</v>
      </c>
      <c r="B2" s="17" t="s">
        <v>24</v>
      </c>
    </row>
    <row r="3" spans="1:2" ht="14.45" customHeight="1">
      <c r="A3" s="95" t="s">
        <v>34</v>
      </c>
      <c r="B3" s="17" t="s">
        <v>35</v>
      </c>
    </row>
    <row r="4" spans="1:2" ht="14.45" customHeight="1">
      <c r="A4" s="95" t="s">
        <v>36</v>
      </c>
      <c r="B4" s="17" t="s">
        <v>37</v>
      </c>
    </row>
    <row r="5" spans="1:2" ht="14.45">
      <c r="A5" s="95" t="s">
        <v>53</v>
      </c>
      <c r="B5" s="17" t="s">
        <v>54</v>
      </c>
    </row>
    <row r="6" spans="1:2" ht="14.45" customHeight="1">
      <c r="A6" s="95" t="s">
        <v>55</v>
      </c>
      <c r="B6" s="17" t="s">
        <v>56</v>
      </c>
    </row>
    <row r="7" spans="1:2" ht="14.45" customHeight="1">
      <c r="A7" s="95" t="s">
        <v>42</v>
      </c>
      <c r="B7" s="17" t="s">
        <v>43</v>
      </c>
    </row>
    <row r="8" spans="1:2" ht="14.45" customHeight="1">
      <c r="A8" s="95" t="s">
        <v>47</v>
      </c>
      <c r="B8" s="17" t="s">
        <v>48</v>
      </c>
    </row>
    <row r="9" spans="1:2" ht="14.45" customHeight="1">
      <c r="A9" s="95" t="s">
        <v>50</v>
      </c>
      <c r="B9" s="17" t="s">
        <v>51</v>
      </c>
    </row>
    <row r="10" spans="1:2" ht="28.9">
      <c r="A10" s="95" t="s">
        <v>57</v>
      </c>
      <c r="B10" s="96" t="s">
        <v>58</v>
      </c>
    </row>
    <row r="11" spans="1:2" ht="14.45" customHeight="1">
      <c r="A11" s="95" t="s">
        <v>59</v>
      </c>
      <c r="B11" s="96" t="s">
        <v>60</v>
      </c>
    </row>
    <row r="12" spans="1:2" ht="28.9">
      <c r="A12" s="95" t="s">
        <v>61</v>
      </c>
      <c r="B12" s="17" t="s">
        <v>62</v>
      </c>
    </row>
    <row r="13" spans="1:2" ht="14.45" customHeight="1">
      <c r="A13" s="95" t="s">
        <v>63</v>
      </c>
      <c r="B13" s="96" t="s">
        <v>64</v>
      </c>
    </row>
    <row r="14" spans="1:2" ht="14.45" customHeight="1">
      <c r="A14" s="95" t="s">
        <v>65</v>
      </c>
      <c r="B14" s="96" t="s">
        <v>66</v>
      </c>
    </row>
    <row r="15" spans="1:2" ht="14.45">
      <c r="A15" s="95" t="s">
        <v>67</v>
      </c>
      <c r="B15" s="96" t="s">
        <v>68</v>
      </c>
    </row>
    <row r="16" spans="1:2" ht="14.45">
      <c r="A16" s="95" t="s">
        <v>69</v>
      </c>
      <c r="B16" s="96" t="s">
        <v>70</v>
      </c>
    </row>
    <row r="17" spans="1:2" ht="15" customHeight="1">
      <c r="A17" s="95" t="s">
        <v>71</v>
      </c>
      <c r="B17" s="17" t="s">
        <v>72</v>
      </c>
    </row>
    <row r="18" spans="1:2" ht="15" customHeight="1">
      <c r="A18" s="95" t="s">
        <v>73</v>
      </c>
      <c r="B18" s="96" t="s">
        <v>74</v>
      </c>
    </row>
    <row r="19" spans="1:2" ht="15" customHeight="1">
      <c r="A19" s="95" t="s">
        <v>75</v>
      </c>
      <c r="B19" s="96" t="s">
        <v>76</v>
      </c>
    </row>
    <row r="20" spans="1:2" ht="15" customHeight="1">
      <c r="A20" s="95" t="s">
        <v>77</v>
      </c>
      <c r="B20" s="96" t="s">
        <v>78</v>
      </c>
    </row>
    <row r="21" spans="1:2" ht="24.6" customHeight="1">
      <c r="A21" s="95" t="s">
        <v>19</v>
      </c>
      <c r="B21" s="97" t="s">
        <v>79</v>
      </c>
    </row>
    <row r="22" spans="1:2" ht="15" customHeight="1">
      <c r="A22" s="95" t="s">
        <v>80</v>
      </c>
      <c r="B22" s="96"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DF6FD-9DF9-43DB-8900-16C1F299B78B}">
  <dimension ref="A1:B22"/>
  <sheetViews>
    <sheetView workbookViewId="0">
      <selection activeCell="A17" sqref="A17"/>
    </sheetView>
  </sheetViews>
  <sheetFormatPr defaultColWidth="8.85546875" defaultRowHeight="15" customHeight="1"/>
  <cols>
    <col min="1" max="1" width="30.42578125" customWidth="1"/>
    <col min="2" max="2" width="96" customWidth="1"/>
  </cols>
  <sheetData>
    <row r="1" spans="1:2" ht="14.45">
      <c r="A1" s="16" t="s">
        <v>4</v>
      </c>
      <c r="B1" s="16" t="s">
        <v>5</v>
      </c>
    </row>
    <row r="2" spans="1:2" s="21" customFormat="1" ht="14.45" customHeight="1">
      <c r="A2" s="98" t="s">
        <v>23</v>
      </c>
      <c r="B2" s="22" t="s">
        <v>24</v>
      </c>
    </row>
    <row r="3" spans="1:2" s="21" customFormat="1" ht="14.45" customHeight="1">
      <c r="A3" s="98" t="s">
        <v>34</v>
      </c>
      <c r="B3" s="22" t="s">
        <v>35</v>
      </c>
    </row>
    <row r="4" spans="1:2" s="21" customFormat="1" ht="14.45" customHeight="1">
      <c r="A4" s="98" t="s">
        <v>36</v>
      </c>
      <c r="B4" s="22" t="s">
        <v>37</v>
      </c>
    </row>
    <row r="5" spans="1:2" ht="14.45">
      <c r="A5" s="95" t="s">
        <v>53</v>
      </c>
      <c r="B5" s="17" t="s">
        <v>54</v>
      </c>
    </row>
    <row r="6" spans="1:2" ht="14.45" customHeight="1">
      <c r="A6" s="95" t="s">
        <v>55</v>
      </c>
      <c r="B6" s="17" t="s">
        <v>56</v>
      </c>
    </row>
    <row r="7" spans="1:2" ht="14.45" customHeight="1">
      <c r="A7" s="95" t="s">
        <v>42</v>
      </c>
      <c r="B7" s="17" t="s">
        <v>43</v>
      </c>
    </row>
    <row r="8" spans="1:2" s="21" customFormat="1" ht="14.45" customHeight="1">
      <c r="A8" s="98" t="s">
        <v>47</v>
      </c>
      <c r="B8" s="22" t="s">
        <v>48</v>
      </c>
    </row>
    <row r="9" spans="1:2" ht="14.45" customHeight="1">
      <c r="A9" s="95" t="s">
        <v>50</v>
      </c>
      <c r="B9" s="17" t="s">
        <v>51</v>
      </c>
    </row>
    <row r="10" spans="1:2" ht="28.9">
      <c r="A10" s="95" t="s">
        <v>57</v>
      </c>
      <c r="B10" s="96" t="s">
        <v>58</v>
      </c>
    </row>
    <row r="11" spans="1:2" s="21" customFormat="1" ht="14.45" customHeight="1">
      <c r="A11" s="98" t="s">
        <v>59</v>
      </c>
      <c r="B11" s="99" t="s">
        <v>60</v>
      </c>
    </row>
    <row r="12" spans="1:2" ht="28.9">
      <c r="A12" s="95" t="s">
        <v>61</v>
      </c>
      <c r="B12" s="17" t="s">
        <v>62</v>
      </c>
    </row>
    <row r="13" spans="1:2" ht="14.45" customHeight="1">
      <c r="A13" s="95" t="s">
        <v>63</v>
      </c>
      <c r="B13" s="96" t="s">
        <v>64</v>
      </c>
    </row>
    <row r="14" spans="1:2" ht="14.45" customHeight="1">
      <c r="A14" s="95" t="s">
        <v>65</v>
      </c>
      <c r="B14" s="96" t="s">
        <v>66</v>
      </c>
    </row>
    <row r="15" spans="1:2" s="21" customFormat="1" ht="14.45">
      <c r="A15" s="98" t="s">
        <v>67</v>
      </c>
      <c r="B15" s="99" t="s">
        <v>68</v>
      </c>
    </row>
    <row r="16" spans="1:2" ht="14.45">
      <c r="A16" s="95" t="s">
        <v>69</v>
      </c>
      <c r="B16" s="96" t="s">
        <v>70</v>
      </c>
    </row>
    <row r="17" spans="1:2" s="21" customFormat="1" ht="15" customHeight="1">
      <c r="A17" s="98" t="s">
        <v>71</v>
      </c>
      <c r="B17" s="22" t="s">
        <v>72</v>
      </c>
    </row>
    <row r="18" spans="1:2" ht="20.45" customHeight="1">
      <c r="A18" s="95" t="s">
        <v>73</v>
      </c>
      <c r="B18" s="96" t="s">
        <v>74</v>
      </c>
    </row>
    <row r="19" spans="1:2" ht="40.15" customHeight="1">
      <c r="A19" s="95" t="s">
        <v>75</v>
      </c>
      <c r="B19" s="96" t="s">
        <v>76</v>
      </c>
    </row>
    <row r="20" spans="1:2" ht="15" customHeight="1">
      <c r="A20" s="95" t="s">
        <v>77</v>
      </c>
      <c r="B20" s="96" t="s">
        <v>78</v>
      </c>
    </row>
    <row r="21" spans="1:2" s="21" customFormat="1" ht="24.6" customHeight="1">
      <c r="A21" s="98" t="s">
        <v>19</v>
      </c>
      <c r="B21" s="100" t="s">
        <v>79</v>
      </c>
    </row>
    <row r="22" spans="1:2" ht="15" customHeight="1">
      <c r="A22" s="95" t="s">
        <v>80</v>
      </c>
      <c r="B22" s="96"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8AB1E-23AD-457A-A129-41E2B7A6F3C4}">
  <dimension ref="A1:U14"/>
  <sheetViews>
    <sheetView topLeftCell="A7" workbookViewId="0"/>
  </sheetViews>
  <sheetFormatPr defaultRowHeight="14.45"/>
  <sheetData>
    <row r="1" spans="1:21">
      <c r="A1" s="1" t="s">
        <v>0</v>
      </c>
      <c r="B1" s="1" t="s">
        <v>1</v>
      </c>
      <c r="C1" s="1" t="s">
        <v>2</v>
      </c>
      <c r="D1" s="1" t="s">
        <v>3</v>
      </c>
      <c r="E1" s="31" t="s">
        <v>4</v>
      </c>
      <c r="F1" s="1" t="s">
        <v>5</v>
      </c>
      <c r="G1" s="23" t="s">
        <v>6</v>
      </c>
      <c r="H1" s="23" t="s">
        <v>7</v>
      </c>
      <c r="I1" s="23" t="s">
        <v>8</v>
      </c>
      <c r="J1" s="24" t="s">
        <v>9</v>
      </c>
      <c r="K1" s="25" t="s">
        <v>10</v>
      </c>
      <c r="L1" s="18" t="s">
        <v>11</v>
      </c>
      <c r="M1" s="18" t="s">
        <v>12</v>
      </c>
      <c r="N1" s="18" t="s">
        <v>13</v>
      </c>
      <c r="O1" s="18" t="s">
        <v>14</v>
      </c>
      <c r="P1" s="18" t="s">
        <v>15</v>
      </c>
      <c r="Q1" s="18" t="s">
        <v>16</v>
      </c>
      <c r="R1" s="19" t="s">
        <v>17</v>
      </c>
      <c r="S1" s="20" t="s">
        <v>18</v>
      </c>
      <c r="T1" s="19" t="s">
        <v>19</v>
      </c>
      <c r="U1" s="20" t="s">
        <v>20</v>
      </c>
    </row>
    <row r="2" spans="1:21" ht="244.9">
      <c r="A2" s="75">
        <v>117173</v>
      </c>
      <c r="B2" s="78" t="s">
        <v>21</v>
      </c>
      <c r="C2" s="38" t="s">
        <v>82</v>
      </c>
      <c r="D2" s="89" t="s">
        <v>83</v>
      </c>
      <c r="E2" s="27" t="s">
        <v>23</v>
      </c>
      <c r="F2" s="39" t="s">
        <v>24</v>
      </c>
      <c r="G2" s="40">
        <v>39226</v>
      </c>
      <c r="H2" s="40">
        <v>134200</v>
      </c>
      <c r="I2" s="78" t="s">
        <v>25</v>
      </c>
      <c r="J2" s="27" t="s">
        <v>26</v>
      </c>
      <c r="K2" s="81">
        <v>0.5</v>
      </c>
      <c r="L2" s="75" t="s">
        <v>27</v>
      </c>
      <c r="M2" s="26"/>
      <c r="N2" s="78" t="s">
        <v>28</v>
      </c>
      <c r="O2" s="75" t="s">
        <v>29</v>
      </c>
      <c r="P2" s="26"/>
      <c r="Q2" s="78" t="s">
        <v>30</v>
      </c>
      <c r="R2" s="93" t="s">
        <v>31</v>
      </c>
      <c r="S2" s="93" t="s">
        <v>32</v>
      </c>
      <c r="T2" s="93" t="s">
        <v>33</v>
      </c>
      <c r="U2" s="91">
        <v>34469</v>
      </c>
    </row>
    <row r="3" spans="1:21" ht="57.6">
      <c r="A3" s="76"/>
      <c r="B3" s="79"/>
      <c r="C3" s="41" t="s">
        <v>84</v>
      </c>
      <c r="D3" s="90"/>
      <c r="E3" s="27" t="s">
        <v>34</v>
      </c>
      <c r="F3" s="39" t="s">
        <v>35</v>
      </c>
      <c r="G3" s="27">
        <v>2.6</v>
      </c>
      <c r="H3" s="37">
        <v>4.8</v>
      </c>
      <c r="I3" s="80"/>
      <c r="J3" s="27" t="s">
        <v>26</v>
      </c>
      <c r="K3" s="82"/>
      <c r="L3" s="77"/>
      <c r="M3" s="26"/>
      <c r="N3" s="80"/>
      <c r="O3" s="77"/>
      <c r="P3" s="26"/>
      <c r="Q3" s="80"/>
      <c r="R3" s="94"/>
      <c r="S3" s="94"/>
      <c r="T3" s="94" t="s">
        <v>33</v>
      </c>
      <c r="U3" s="92"/>
    </row>
    <row r="4" spans="1:21" ht="409.6">
      <c r="A4" s="76"/>
      <c r="B4" s="79"/>
      <c r="C4" s="27" t="s">
        <v>85</v>
      </c>
      <c r="D4" s="42" t="s">
        <v>86</v>
      </c>
      <c r="E4" s="34" t="s">
        <v>36</v>
      </c>
      <c r="F4" s="36" t="s">
        <v>37</v>
      </c>
      <c r="G4" s="44">
        <v>2709</v>
      </c>
      <c r="H4" s="29">
        <v>7470</v>
      </c>
      <c r="I4" s="28" t="s">
        <v>38</v>
      </c>
      <c r="J4" s="27" t="s">
        <v>39</v>
      </c>
      <c r="K4" s="35">
        <v>1</v>
      </c>
      <c r="L4" s="26" t="s">
        <v>27</v>
      </c>
      <c r="M4" s="26"/>
      <c r="N4" s="43" t="s">
        <v>40</v>
      </c>
      <c r="O4" s="26" t="s">
        <v>36</v>
      </c>
      <c r="P4" s="27"/>
      <c r="Q4" s="43" t="s">
        <v>41</v>
      </c>
      <c r="R4" s="26" t="s">
        <v>36</v>
      </c>
      <c r="S4" s="27" t="s">
        <v>32</v>
      </c>
      <c r="T4" s="26"/>
      <c r="U4" s="27"/>
    </row>
    <row r="5" spans="1:21" ht="273.60000000000002">
      <c r="A5" s="76"/>
      <c r="B5" s="79"/>
      <c r="C5" s="27"/>
      <c r="D5" s="83" t="s">
        <v>87</v>
      </c>
      <c r="E5" s="32" t="s">
        <v>42</v>
      </c>
      <c r="F5" s="36" t="s">
        <v>43</v>
      </c>
      <c r="G5" s="29">
        <v>41676</v>
      </c>
      <c r="H5" s="5"/>
      <c r="I5" s="28" t="s">
        <v>44</v>
      </c>
      <c r="J5" s="86" t="s">
        <v>45</v>
      </c>
      <c r="K5" s="45">
        <v>1</v>
      </c>
      <c r="L5" s="75" t="s">
        <v>27</v>
      </c>
      <c r="M5" s="27"/>
      <c r="N5" s="43" t="s">
        <v>40</v>
      </c>
      <c r="O5" s="26" t="s">
        <v>23</v>
      </c>
      <c r="P5" s="27"/>
      <c r="Q5" s="43" t="s">
        <v>41</v>
      </c>
      <c r="R5" s="26" t="s">
        <v>23</v>
      </c>
      <c r="S5" s="27" t="s">
        <v>46</v>
      </c>
      <c r="T5" s="26" t="s">
        <v>33</v>
      </c>
      <c r="U5" s="27"/>
    </row>
    <row r="6" spans="1:21" ht="331.15">
      <c r="A6" s="76"/>
      <c r="B6" s="79"/>
      <c r="C6" s="27"/>
      <c r="D6" s="84"/>
      <c r="E6" s="32" t="s">
        <v>47</v>
      </c>
      <c r="F6" s="36" t="s">
        <v>48</v>
      </c>
      <c r="G6" s="29">
        <v>10900</v>
      </c>
      <c r="H6" s="29">
        <v>2734</v>
      </c>
      <c r="I6" s="28" t="s">
        <v>49</v>
      </c>
      <c r="J6" s="87"/>
      <c r="K6" s="35">
        <v>0.9</v>
      </c>
      <c r="L6" s="76"/>
      <c r="M6" s="27"/>
      <c r="N6" s="43" t="s">
        <v>40</v>
      </c>
      <c r="O6" s="26" t="s">
        <v>23</v>
      </c>
      <c r="P6" s="27"/>
      <c r="Q6" s="43" t="s">
        <v>41</v>
      </c>
      <c r="R6" s="26" t="s">
        <v>23</v>
      </c>
      <c r="S6" s="27" t="s">
        <v>46</v>
      </c>
      <c r="T6" s="26" t="s">
        <v>33</v>
      </c>
      <c r="U6" s="27"/>
    </row>
    <row r="7" spans="1:21" ht="409.6">
      <c r="A7" s="77"/>
      <c r="B7" s="80"/>
      <c r="C7" s="33"/>
      <c r="D7" s="85"/>
      <c r="E7" s="32" t="s">
        <v>50</v>
      </c>
      <c r="F7" s="36" t="s">
        <v>51</v>
      </c>
      <c r="G7" s="30">
        <v>950</v>
      </c>
      <c r="H7" s="46">
        <v>3260</v>
      </c>
      <c r="I7" s="28" t="s">
        <v>52</v>
      </c>
      <c r="J7" s="88"/>
      <c r="K7" s="35">
        <v>0.5</v>
      </c>
      <c r="L7" s="77"/>
      <c r="M7" s="27"/>
      <c r="N7" s="43" t="s">
        <v>40</v>
      </c>
      <c r="O7" s="26" t="s">
        <v>23</v>
      </c>
      <c r="P7" s="27"/>
      <c r="Q7" s="43" t="s">
        <v>41</v>
      </c>
      <c r="R7" s="26" t="s">
        <v>23</v>
      </c>
      <c r="S7" s="27" t="s">
        <v>46</v>
      </c>
      <c r="T7" s="26" t="s">
        <v>33</v>
      </c>
      <c r="U7" s="27"/>
    </row>
    <row r="8" spans="1:21">
      <c r="A8" s="7"/>
      <c r="B8" s="8"/>
      <c r="C8" s="9"/>
      <c r="D8" s="10"/>
      <c r="E8" s="12"/>
      <c r="F8" s="13"/>
      <c r="G8" s="12"/>
      <c r="H8" s="12"/>
      <c r="I8" s="11"/>
    </row>
    <row r="9" spans="1:21">
      <c r="A9" s="7"/>
      <c r="B9" s="8"/>
      <c r="C9" s="9"/>
      <c r="D9" s="10"/>
      <c r="E9" s="12"/>
      <c r="F9" s="13"/>
      <c r="G9" s="12"/>
      <c r="H9" s="12"/>
    </row>
    <row r="10" spans="1:21">
      <c r="A10" s="12"/>
      <c r="B10" s="12"/>
      <c r="C10" s="14"/>
      <c r="D10" s="15"/>
      <c r="E10" s="12"/>
      <c r="F10" s="13"/>
      <c r="G10" s="12"/>
      <c r="H10" s="12"/>
      <c r="I10" s="11"/>
    </row>
    <row r="14" spans="1:21">
      <c r="B14" s="6"/>
    </row>
  </sheetData>
  <mergeCells count="16">
    <mergeCell ref="U2:U3"/>
    <mergeCell ref="N2:N3"/>
    <mergeCell ref="O2:O3"/>
    <mergeCell ref="Q2:Q3"/>
    <mergeCell ref="R2:R3"/>
    <mergeCell ref="S2:S3"/>
    <mergeCell ref="T2:T3"/>
    <mergeCell ref="A2:A7"/>
    <mergeCell ref="B2:B7"/>
    <mergeCell ref="I2:I3"/>
    <mergeCell ref="K2:K3"/>
    <mergeCell ref="L2:L3"/>
    <mergeCell ref="D5:D7"/>
    <mergeCell ref="J5:J7"/>
    <mergeCell ref="L5:L7"/>
    <mergeCell ref="D2: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Nawaraj Chhetri</DisplayName>
        <AccountId>1793</AccountId>
        <AccountType/>
      </UserInfo>
      <UserInfo>
        <DisplayName>Khurshid Alam</DisplayName>
        <AccountId>1967</AccountId>
        <AccountType/>
      </UserInfo>
      <UserInfo>
        <DisplayName>Akiko Yamamoto</DisplayName>
        <AccountId>84</AccountId>
        <AccountType/>
      </UserInfo>
      <UserInfo>
        <DisplayName>Riad Meddeb</DisplayName>
        <AccountId>9</AccountId>
        <AccountType/>
      </UserInfo>
      <UserInfo>
        <DisplayName>Benjamin Keller</DisplayName>
        <AccountId>1227</AccountId>
        <AccountType/>
      </UserInfo>
      <UserInfo>
        <DisplayName>Stefano Pistolese</DisplayName>
        <AccountId>772</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81FDDA-C186-4709-82EF-5BFF02EEBF60}"/>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2024-11-24T21:53:11Z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