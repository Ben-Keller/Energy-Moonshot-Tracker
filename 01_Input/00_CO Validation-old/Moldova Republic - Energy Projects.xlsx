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104" documentId="13_ncr:1_{F7DA749C-5740-5D4C-B662-A29A9599CDA2}" xr6:coauthVersionLast="47" xr6:coauthVersionMax="47" xr10:uidLastSave="{861D363B-CEF6-4E28-9804-331D9E22095D}"/>
  <bookViews>
    <workbookView xWindow="28680" yWindow="-15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definedNames>
    <definedName name="_xlnm._FilterDatabase" localSheetId="0" hidden="1">'Projects (3)'!$A$1:$AF$1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4" l="1"/>
  <c r="D20" i="4" s="1"/>
</calcChain>
</file>

<file path=xl/sharedStrings.xml><?xml version="1.0" encoding="utf-8"?>
<sst xmlns="http://schemas.openxmlformats.org/spreadsheetml/2006/main" count="451" uniqueCount="191">
  <si>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</si>
  <si>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</si>
  <si>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</si>
  <si>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</si>
  <si>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</si>
  <si>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</si>
  <si>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</si>
  <si>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</si>
  <si>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</si>
  <si>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</si>
  <si>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</si>
  <si>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</si>
  <si>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</si>
  <si>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</si>
  <si>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</si>
  <si>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</si>
  <si>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</si>
  <si>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</si>
  <si>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</si>
  <si>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</si>
  <si>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</si>
  <si>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prodoc</t>
  </si>
  <si>
    <t>5492 / 00101330</t>
  </si>
  <si>
    <t>Moldova Green Cities</t>
  </si>
  <si>
    <t>https://www.undp.org/moldova/projects/moldova-sustainable-green-cities</t>
  </si>
  <si>
    <t>Electricity Access</t>
  </si>
  <si>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</si>
  <si>
    <t>421 HH</t>
  </si>
  <si>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</si>
  <si>
    <t>GEF, UNDP</t>
  </si>
  <si>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</si>
  <si>
    <t>Non-VF</t>
  </si>
  <si>
    <t>Accelerating just energy transition</t>
  </si>
  <si>
    <t>Solar</t>
  </si>
  <si>
    <t>VF</t>
  </si>
  <si>
    <t>Renewable Energy</t>
  </si>
  <si>
    <t>301 apartments from Chisinau and Balti municipalities</t>
  </si>
  <si>
    <t>301 HH</t>
  </si>
  <si>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</si>
  <si>
    <t>Energy (MW added)</t>
  </si>
  <si>
    <t>2 solar trees generating green energy to
charge for free electronic gadgets installed in
Riscani and Ciocana districts</t>
  </si>
  <si>
    <t>About 5 MWh produced untill now</t>
  </si>
  <si>
    <t>1. Feasibility study "Development of the electric
vehicles charging infrastructure"
2. Pre-feasibility and feasibility study for
transforming biomass waste into energy
developed
3. Roadmap for Sustainable energy and climate
action plan for Chisinau Municipality</t>
  </si>
  <si>
    <t>NDC Support</t>
  </si>
  <si>
    <t>Transport</t>
  </si>
  <si>
    <t>City</t>
  </si>
  <si>
    <t>Tier 2</t>
  </si>
  <si>
    <t>Transportation and E-mobility Services</t>
  </si>
  <si>
    <t>66 electric vehicles charging stations installed</t>
  </si>
  <si>
    <t>2000 HH</t>
  </si>
  <si>
    <t xml:space="preserve">In the Repubic of Moldova are registred about 2000 electric vehicles. </t>
  </si>
  <si>
    <t>GEF, UNDP, Government of Moldova</t>
  </si>
  <si>
    <t>Campaign Participant</t>
  </si>
  <si>
    <t>4 editions of the electric cars’ marathon</t>
  </si>
  <si>
    <t>Other Energy Services</t>
  </si>
  <si>
    <t>An Energy Management Information System
(EMIS) and smart meters were installed in 17 public buildings from
Chisinau</t>
  </si>
  <si>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</si>
  <si>
    <t>Addressing the impacts of the energy crisis in the Republic of Moldova: Initiating solutions toward energy security and energy poverty</t>
  </si>
  <si>
    <t>https://www.undp.org/moldova/projects/addressing-impacts-energy-crisis-republic-moldova</t>
  </si>
  <si>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</si>
  <si>
    <t xml:space="preserve">1. 2 drafts/amendments for the energy policy documents are developed ,consulted and presented to relevant authorities for further approval; 
2. at least 10 draft regulatory documents developed, consulted and presented for relevant authorities for approval  </t>
  </si>
  <si>
    <t xml:space="preserve">Assisted different Government ministries, agencies and departments in improving their policies and regulatory frameworks. </t>
  </si>
  <si>
    <t>European Union $13.5M</t>
  </si>
  <si>
    <t>Overall</t>
  </si>
  <si>
    <t>Legal Framework</t>
  </si>
  <si>
    <t>National</t>
  </si>
  <si>
    <t>Close the gap on energy access</t>
  </si>
  <si>
    <t>Tier 1</t>
  </si>
  <si>
    <t>Capacity Building Training</t>
  </si>
  <si>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</si>
  <si>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</si>
  <si>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</si>
  <si>
    <t>1. 50% increase 
2. tbd
3. 50% increase
4. The Center of energy information is operational (the legal documents for Information Centre functioning are avalable - Operational manual, Regulation on InfoCentre functioning, Awareness and Communication plan)</t>
  </si>
  <si>
    <t>Energy Efficiency Services</t>
  </si>
  <si>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</si>
  <si>
    <t>700000 HH</t>
  </si>
  <si>
    <t>National Programms on Green home and Vouchers on replacing non efficient home appliances  have been drafted and being piloted during 2023-2024</t>
  </si>
  <si>
    <t>Energy Efficiency</t>
  </si>
  <si>
    <t xml:space="preserve">Energy Vulnerability Reduction Fund </t>
  </si>
  <si>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</si>
  <si>
    <t xml:space="preserve">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
2023:
Sweden: 9,826,008 USD
Switzerland: 6,666,666 USD </t>
  </si>
  <si>
    <t>Incentives and Support</t>
  </si>
  <si>
    <t>Multidimensional response to emerging human security challenges - "Biomass revitalization"</t>
  </si>
  <si>
    <t>https://www.undp.org/moldova/projects/multidimensional-response-emerging-human-security-challenges-moldova</t>
  </si>
  <si>
    <t># of beneficiaries</t>
  </si>
  <si>
    <t xml:space="preserve">To enhance people’s energy security through access to affordable energy that supports livelihoods and energy-efficient production
</t>
  </si>
  <si>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</si>
  <si>
    <t xml:space="preserve">Japan $ 2,2  (2023)
</t>
  </si>
  <si>
    <t>Bioenergy</t>
  </si>
  <si>
    <t xml:space="preserve">Emergency support for agri-producers /energy technologies </t>
  </si>
  <si>
    <t>https://www.undp.org/moldova/projects/emergency-support-agri-producers-context-socio-economic-climate-and-energy-crisis</t>
  </si>
  <si>
    <t>Medium Enterprises</t>
  </si>
  <si>
    <t>SMEs, vulnerable small farmers (particularly women-led farms and young people) in rural areas</t>
  </si>
  <si>
    <t>To enhance women agri-producer's resilience in the context of the socio-economic, climate and energys crisis in Moldova</t>
  </si>
  <si>
    <t xml:space="preserve">83
</t>
  </si>
  <si>
    <t>47 micro agri-producers and 36 small and medium agri-producers benefit from the implementation of renewable energy and energy-efficient technologies (biomass boilers in greenhouses, photovoltaic, among others).
US$4,150.139 ($1,447.590 managed by UNDP)</t>
  </si>
  <si>
    <t>Austria (ADA) $ 455,455.53 (2024)
Switzerland (SDC)$ 986,845.96 (2024)</t>
  </si>
  <si>
    <t>The target qroup are 100% women 
agri-producers</t>
  </si>
  <si>
    <t>Community</t>
  </si>
  <si>
    <t>Greening the future, advancing rights and stability: spurring an inclusive and green transition with responsive governance in the eastern neighbourhood region (Molodva)</t>
  </si>
  <si>
    <t>https://www.undp.org/moldova/projects/greening-future-advancing-rights-and-stability-spurring-inclusive-and-green-transition-responsive-governance-eastern-neighbourhood</t>
  </si>
  <si>
    <t>4.1.2.Number of co-designed risk-informed regulatory and policy frameworks on climate change, disaster risk reduction, environment and energy
4.2.1. Number of people with access to clean, affordable and sustainable energy
4.2.4. Number of partnerships with private sector to promote and co-design innovative solutions on renewable energy, low emission, climate resilient and green development
4.3.3. Number of non-governmental organizations (NGOs)/CBOs with capacities to engage in the areas of climate resilience, low emission and green development</t>
  </si>
  <si>
    <t>4.1.2. Baseline: 4 
4.2.1. Baseline: total 199,030 (Women: 53,738 (27%) Men: 145,291) 
4.2.4. Baseline: 29 
4.3.3. Baseline: 116</t>
  </si>
  <si>
    <t>4.1.2. Target: 7
4.2.1.  Target: 215,000 (Women: 64,500/Men: 150,500)
4.2.4. Target: 34
4.3.3.Target: 130</t>
  </si>
  <si>
    <t>Expected results:
- National Centre for Sustainable Energy has enhanced proficiency in funding and executing energy efficiency projects in the residential buildings
- National energy related campaigns are complemented by nudging strategies and behavioural change initiatives to encourage energy efficiency practices
- At least 5 energy audit of residential buildings are conducted and at least 2 technical designs completedBroadened access for private companies to green and low-carbon technologies available in the national market;
- A targeted energy audit program for MSMEs to engage in energy-saving and greenhouse gas emission reduction practices is launched
- At least 10 regulatory acts in transportation sector 
- Support provided to certain elements of digitalization process of road transportation sector</t>
  </si>
  <si>
    <t>Denmark: 2024	= $1,217,005, 2025 = $1,887,018, 2026 = $910,065, 2027 = $254,178</t>
  </si>
  <si>
    <t>Accelerating a Just Transition in the Republic of Moldova Programme</t>
  </si>
  <si>
    <t>https://www.undp.org/moldova/projects/accelerating-just-transition-republic-moldova-programme</t>
  </si>
  <si>
    <t xml:space="preserve">I1 Number of people reached through public awareness campaign outreach on energy efficiency and differentiated tariff benefits (out of which at least 40% women)
I2 Number of representatives participating in workshops on differentiated tariffs provided with educational materials
I3 Number of households and public sector entities with installed smart metering infrastructure for electricity
I4 Number of households/apartments in multi-apartment buildings (MAB) with installed smart thermal energy metering infrastructure
I5 Number of established unified National Consumer Location ID Register (RNLC)
</t>
  </si>
  <si>
    <t xml:space="preserve">3,000,000 consumers outreach (40% women)
60,000 consumers (households )
4
1
3,000,000 people (40% women)
50 journalists, system operators, institutions, and civil society representatives
60,000 households, prosumers, and public sector entities
1,500 households/apartments in MAB
1 established unified RNLC
</t>
  </si>
  <si>
    <t>Italy: 2024 = $7,813,710, 2025 = $3,151,201
Sweden: 2024 = $9,560,229.01</t>
  </si>
  <si>
    <t>Government Capacity-Building</t>
  </si>
  <si>
    <t>Resilient Communities through Women Empowerment, phase II</t>
  </si>
  <si>
    <t>https://www.undp.org/moldova/projects/resilient-communities-through-women-empowerment-phase-2</t>
  </si>
  <si>
    <t>Level of awareness on gender transformative climate change interventions in pilot communities as a result of project interventions
No. of LPAs that developed and apply SECAPs with integrated gender aspects
Number of policy recommendations or other central government actions actively promoted in these fora
Number of business incubators benefiting from capacity building and institutional support on gender &amp; climate
Number of women benefiting from implemented community grants financed by the project 
Number of household women who improved their resilience due to climate change adaptation/mitigation activities</t>
  </si>
  <si>
    <t>TBD
68
0
0
0
0</t>
  </si>
  <si>
    <t>70% of the target beneficiaries are aware of gender transformative climate change interventions
83 
6
12
30,000
80</t>
  </si>
  <si>
    <t xml:space="preserve">Sweden: 2024 = $182,338.04, 2025 = $1,689,690.26, 2026 = $1,686,532.06, 2027 = $1,137,162.54, 2028 = $299,093.38
Norway: 2024 = $592,708.17, 2025 = $1,063,419.99, 2026 = $747,128,23	 </t>
  </si>
  <si>
    <t>Most of the direct and indirect
 beneficiaries are women mainly consisting in provision of dedicated technical and financial assistance for putting in place climate resilient agri-practices</t>
  </si>
  <si>
    <t>Enabling an Inclusive Green Transition in the Republic of Moldova</t>
  </si>
  <si>
    <t>https://open.undp.org/projects/01001335</t>
  </si>
  <si>
    <t xml:space="preserve">1.3 Private investment attracted to green and eco-innovation projects
1.5 Number of green jobs supported/sustained
1.1.1 Number of public officials who participated in platforms, research and events
1.1.2 Number of civisl society representatives who participated in the platforms and events
1.1.3 Number of other participants of the platforms and events
1.1.7 National Sustainable Mobility Programme and Action Plan developed
2.1.2 Number of people benefiting from capacity building programme on the green transition
3.1.3 Number of green start-ups
</t>
  </si>
  <si>
    <t>1.3 Target: 1,000,000 EUR additional investment
1.5 Target: 150 new jobs
1.1.1 Target: 50, including 40% women
1.1.2 Target: 25, including 30% women
1.1.3 Target: 25
1.1.7 Target: National Sustainable Mobility Programme and Action Plan developed
2.1.2 Target: 100, including 50% women
3.1.3 Target: 3 eco-mobility startups supported</t>
  </si>
  <si>
    <t>Note: project data added by Yevgen on 21 Nov 2024</t>
  </si>
  <si>
    <t>Category</t>
  </si>
  <si>
    <t>Comments</t>
  </si>
  <si>
    <t>2021-2023</t>
  </si>
  <si>
    <t>to the CO: Please estimate number of MW or total benefiricaries</t>
  </si>
  <si>
    <t>2022-2023</t>
  </si>
  <si>
    <t>to the CO: Please estimate number of MW.</t>
  </si>
  <si>
    <t>Transport Services</t>
  </si>
  <si>
    <t>2019-2022</t>
  </si>
  <si>
    <t>to the CO: Please estimate number of beneficiaries.</t>
  </si>
  <si>
    <t>2018-2021</t>
  </si>
  <si>
    <t>2020-2023</t>
  </si>
  <si>
    <t>to the CO: Please estimate number of beneficiaries / participants in the campaign</t>
  </si>
  <si>
    <t>Addressing the impacts of the energy crisis in the Republic of Moldova | United Nations Development Programme (undp.org)</t>
  </si>
  <si>
    <t xml:space="preserve">2023:
Sweden: 9,826,008 USD
Switzerland: 6,666,666 USD </t>
  </si>
  <si>
    <t>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t>
  </si>
  <si>
    <t>US$1,983,621 ($689,308 managed by UNDP)</t>
  </si>
  <si>
    <t xml:space="preserve">30
</t>
  </si>
  <si>
    <t>20 micro agri-producers and 10 small and medium agri-producers benefit from the implementation of renewable energy and energy-efficient technologies (biomass boilers in greenhouses, photovoltaic, among others).</t>
  </si>
  <si>
    <t>Austria (ADA) $670,123 (2024)</t>
  </si>
  <si>
    <t xml:space="preserve">1 multi-storey building and 2 social institutions </t>
  </si>
  <si>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
  </si>
  <si>
    <t xml:space="preserve">6 multi-storey residential building from 2 cities </t>
  </si>
  <si>
    <t xml:space="preserve">6 multi-storey residential buildings from Chișinău and Bălți municipality (301 apartments) were switched to horizontal system of distribution the thermal energy, that can generate savings up to 30%, and were connected to Domestic Hot Water system </t>
  </si>
  <si>
    <t>2 solar trees instaled in Chisinau</t>
  </si>
  <si>
    <t xml:space="preserve">At least one strategic document developed for Chisinau municipality </t>
  </si>
  <si>
    <t xml:space="preserve">A national network of charges for electric vehicles </t>
  </si>
  <si>
    <t xml:space="preserve">At least 2 big events to promote electric vehicles </t>
  </si>
  <si>
    <t xml:space="preserve">An established MRV system (including EMIS) with open data access </t>
  </si>
  <si>
    <t>Capacity Training</t>
  </si>
  <si>
    <t>Other</t>
  </si>
  <si>
    <t>For this component it is hard to estimate the exact number of beneficiaries especially in the case of legislative support or capacity development that aims to positively impact Moldovan citizens.</t>
  </si>
  <si>
    <t xml:space="preserve">1. 0 national programs for households  on energy efficiency and energy security 
2. n/a (to be calculated at the inception stage)
3.% energy consumption for 2021 (based on the report will be developed).
</t>
  </si>
  <si>
    <r>
      <rPr>
        <sz val="11"/>
        <color rgb="FF000000"/>
        <rFont val="Calibri"/>
        <scheme val="minor"/>
      </rPr>
      <t xml:space="preserve">National Programms on Green home and Vouchers on replacing non efficient home appliances  have been drafted and being piloted during 2023-2024
</t>
    </r>
    <r>
      <rPr>
        <b/>
        <sz val="11"/>
        <color rgb="FF000000"/>
        <rFont val="Calibri"/>
        <scheme val="minor"/>
      </rPr>
      <t>Estimation of beneficiaries: Counted around 1800 beneficiaries + 50 000 EcoVoucher Program.</t>
    </r>
  </si>
  <si>
    <t>Protect human security and enhance the resilience of the Republic of Moldova, in order to address the multifaceted and interconnected challenges of the current socioeconomic, food and energy shocks.</t>
  </si>
  <si>
    <t>Agricultural Services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</si>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</sst>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 #,##0_-;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theme="1"/>
      <name val="Calibri"/>
      <family val="2"/>
      <scheme val="minor"/>
    </font>
    <font>
      <sz val="11"/>
      <color rgb="FFED7D31"/>
      <name val="Calibri"/>
      <family val="2"/>
    </font>
    <font>
      <b/>
      <sz val="10"/>
      <color rgb="FFFF0000"/>
      <name val="Helvetica Neue"/>
      <charset val="1"/>
    </font>
    <font>
      <sz val="11"/>
      <color rgb="FF000000"/>
      <name val="Calibri"/>
      <scheme val="minor"/>
    </font>
    <font>
      <b/>
      <sz val="11"/>
      <color rgb="FF000000"/>
      <name val="Calibri"/>
      <scheme val="minor"/>
    </font>
    <font>
      <sz val="11"/>
      <color rgb="FFFF0000"/>
      <name val="Calibri"/>
      <family val="2"/>
      <scheme val="minor"/>
    </font>
    <font>
      <b/>
      <sz val="11"/>
      <color theme="1"/>
      <name val="Calibri"/>
      <scheme val="minor"/>
    </font>
    <font>
      <sz val="11"/>
      <color rgb="FF000000"/>
      <name val="Calibri"/>
      <family val="2"/>
      <scheme val="minor"/>
    </font>
  </fonts>
  <fills count="5">
    <fill>
      <patternFill patternType="none"/>
    </fill>
    <fill>
      <patternFill patternType="gray125"/>
    </fill>
    <fill>
      <patternFill patternType="solid">
        <fgColor rgb="FFFFE497"/>
        <bgColor indexed="64"/>
      </patternFill>
    </fill>
    <fill>
      <patternFill patternType="solid">
        <fgColor rgb="FFFFE699"/>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3">
    <xf numFmtId="0" fontId="0" fillId="0" borderId="0"/>
    <xf numFmtId="0" fontId="3" fillId="0" borderId="0" applyNumberFormat="0" applyFill="0" applyBorder="0" applyAlignment="0" applyProtection="0"/>
    <xf numFmtId="43" fontId="4" fillId="0" borderId="0" applyFont="0" applyFill="0" applyBorder="0" applyAlignment="0" applyProtection="0"/>
  </cellStyleXfs>
  <cellXfs count="116">
    <xf numFmtId="0" fontId="0" fillId="0" borderId="0" xfId="0"/>
    <xf numFmtId="0" fontId="0" fillId="0" borderId="3" xfId="0" applyBorder="1" applyAlignment="1">
      <alignment horizontal="center" vertical="center"/>
    </xf>
    <xf numFmtId="0" fontId="2" fillId="0" borderId="1" xfId="0" applyFont="1" applyBorder="1" applyAlignment="1">
      <alignment horizontal="center" vertical="top"/>
    </xf>
    <xf numFmtId="0" fontId="0" fillId="2" borderId="0" xfId="0" applyFill="1" applyAlignment="1">
      <alignment vertical="top" wrapText="1"/>
    </xf>
    <xf numFmtId="0" fontId="0" fillId="2" borderId="0" xfId="0" applyFill="1" applyAlignment="1">
      <alignment vertical="top"/>
    </xf>
    <xf numFmtId="0" fontId="0" fillId="0" borderId="0" xfId="0" applyAlignment="1">
      <alignment vertical="top" wrapText="1"/>
    </xf>
    <xf numFmtId="0" fontId="0" fillId="0" borderId="0" xfId="0" applyAlignment="1">
      <alignment vertical="top"/>
    </xf>
    <xf numFmtId="164" fontId="0" fillId="0" borderId="0" xfId="2" applyNumberFormat="1" applyFont="1" applyAlignment="1">
      <alignment vertical="top"/>
    </xf>
    <xf numFmtId="0" fontId="3" fillId="0" borderId="0" xfId="1" applyAlignment="1">
      <alignment vertical="top" wrapText="1"/>
    </xf>
    <xf numFmtId="0" fontId="0" fillId="2" borderId="0" xfId="0" applyFill="1" applyAlignment="1">
      <alignment horizontal="center" vertical="top"/>
    </xf>
    <xf numFmtId="0" fontId="0" fillId="3" borderId="0" xfId="0" applyFill="1" applyAlignment="1">
      <alignment vertical="top" wrapText="1"/>
    </xf>
    <xf numFmtId="0" fontId="5" fillId="0" borderId="0" xfId="0" applyFont="1"/>
    <xf numFmtId="0" fontId="2" fillId="0" borderId="0" xfId="0" applyFont="1"/>
    <xf numFmtId="165" fontId="0" fillId="0" borderId="0" xfId="2" applyNumberFormat="1" applyFont="1" applyAlignment="1">
      <alignment vertical="top"/>
    </xf>
    <xf numFmtId="165" fontId="0" fillId="0" borderId="0" xfId="2" applyNumberFormat="1" applyFont="1" applyAlignment="1">
      <alignment vertical="top" wrapText="1"/>
    </xf>
    <xf numFmtId="0" fontId="0" fillId="2" borderId="0" xfId="0" applyFill="1" applyAlignment="1">
      <alignment horizontal="center" vertical="top" wrapText="1"/>
    </xf>
    <xf numFmtId="165" fontId="0" fillId="0" borderId="0" xfId="2" applyNumberFormat="1" applyFont="1" applyBorder="1" applyAlignment="1">
      <alignment vertical="top"/>
    </xf>
    <xf numFmtId="0" fontId="0" fillId="2" borderId="0" xfId="0" applyFill="1" applyAlignment="1">
      <alignment horizontal="center" vertical="center" wrapText="1"/>
    </xf>
    <xf numFmtId="0" fontId="0" fillId="0" borderId="0" xfId="0" applyAlignment="1">
      <alignment vertical="center" wrapText="1"/>
    </xf>
    <xf numFmtId="0" fontId="0" fillId="2" borderId="0" xfId="0" applyFill="1" applyAlignment="1">
      <alignment horizontal="right" vertical="top" wrapText="1"/>
    </xf>
    <xf numFmtId="0" fontId="0" fillId="0" borderId="0" xfId="0" quotePrefix="1" applyAlignment="1">
      <alignment horizontal="center" wrapText="1"/>
    </xf>
    <xf numFmtId="164" fontId="0" fillId="0" borderId="0" xfId="2" applyNumberFormat="1" applyFont="1" applyAlignment="1">
      <alignment vertical="top" wrapText="1"/>
    </xf>
    <xf numFmtId="0" fontId="3" fillId="0" borderId="0" xfId="1" applyAlignment="1">
      <alignment horizontal="center" vertical="center" wrapText="1"/>
    </xf>
    <xf numFmtId="0" fontId="2" fillId="0" borderId="3" xfId="0" applyFont="1" applyBorder="1"/>
    <xf numFmtId="0" fontId="0" fillId="0" borderId="0" xfId="0" applyAlignment="1">
      <alignment vertical="center"/>
    </xf>
    <xf numFmtId="0" fontId="6" fillId="0" borderId="0" xfId="0" applyFont="1" applyAlignment="1">
      <alignment vertical="center"/>
    </xf>
    <xf numFmtId="0" fontId="0" fillId="0" borderId="0" xfId="0" applyAlignment="1">
      <alignment wrapText="1"/>
    </xf>
    <xf numFmtId="0" fontId="7" fillId="2" borderId="0" xfId="0" applyFont="1" applyFill="1" applyAlignment="1">
      <alignment vertical="top" wrapText="1"/>
    </xf>
    <xf numFmtId="0" fontId="2" fillId="0" borderId="3" xfId="0" applyFont="1" applyBorder="1" applyAlignment="1">
      <alignment horizontal="center" vertical="top"/>
    </xf>
    <xf numFmtId="0" fontId="0" fillId="0" borderId="3" xfId="0" applyBorder="1" applyAlignment="1">
      <alignment vertical="top" wrapText="1"/>
    </xf>
    <xf numFmtId="0" fontId="0" fillId="0" borderId="3" xfId="0" applyBorder="1" applyAlignment="1">
      <alignment vertical="top"/>
    </xf>
    <xf numFmtId="0" fontId="3" fillId="0" borderId="3" xfId="1" applyBorder="1" applyAlignment="1">
      <alignment vertical="top" wrapText="1"/>
    </xf>
    <xf numFmtId="164" fontId="0" fillId="0" borderId="3" xfId="2" applyNumberFormat="1" applyFont="1" applyBorder="1" applyAlignment="1">
      <alignment vertical="top"/>
    </xf>
    <xf numFmtId="0" fontId="0" fillId="0" borderId="3" xfId="0" applyBorder="1" applyAlignment="1">
      <alignment horizontal="center" vertical="top"/>
    </xf>
    <xf numFmtId="0" fontId="0" fillId="0" borderId="3" xfId="0" applyBorder="1"/>
    <xf numFmtId="164" fontId="0" fillId="4" borderId="3" xfId="2" applyNumberFormat="1" applyFont="1" applyFill="1" applyBorder="1" applyAlignment="1">
      <alignment vertical="top"/>
    </xf>
    <xf numFmtId="0" fontId="0" fillId="4" borderId="3" xfId="0" applyFill="1" applyBorder="1" applyAlignment="1">
      <alignment vertical="top"/>
    </xf>
    <xf numFmtId="0" fontId="0" fillId="4" borderId="3" xfId="0" applyFill="1" applyBorder="1" applyAlignment="1">
      <alignment vertical="top" wrapText="1"/>
    </xf>
    <xf numFmtId="0" fontId="0" fillId="4" borderId="3" xfId="0" applyFill="1" applyBorder="1" applyAlignment="1">
      <alignment horizontal="center" vertical="top"/>
    </xf>
    <xf numFmtId="0" fontId="0" fillId="0" borderId="3" xfId="0" applyBorder="1" applyAlignment="1">
      <alignment vertical="center"/>
    </xf>
    <xf numFmtId="0" fontId="0" fillId="0" borderId="3" xfId="0" applyBorder="1" applyAlignment="1">
      <alignment vertical="center" wrapText="1"/>
    </xf>
    <xf numFmtId="0" fontId="3" fillId="0" borderId="3" xfId="1" applyBorder="1" applyAlignment="1" applyProtection="1">
      <alignment vertical="center" wrapText="1"/>
    </xf>
    <xf numFmtId="165" fontId="0" fillId="0" borderId="3" xfId="2" applyNumberFormat="1" applyFont="1" applyBorder="1" applyAlignment="1">
      <alignment vertical="top" wrapText="1"/>
    </xf>
    <xf numFmtId="0" fontId="0" fillId="0" borderId="3" xfId="0" applyBorder="1" applyAlignment="1">
      <alignment horizontal="center" vertical="top" wrapText="1"/>
    </xf>
    <xf numFmtId="165" fontId="0" fillId="0" borderId="3" xfId="2" applyNumberFormat="1" applyFont="1" applyBorder="1" applyAlignment="1">
      <alignment vertical="top"/>
    </xf>
    <xf numFmtId="165" fontId="0" fillId="0" borderId="3" xfId="2" applyNumberFormat="1" applyFont="1" applyFill="1" applyBorder="1" applyAlignment="1">
      <alignment vertical="top"/>
    </xf>
    <xf numFmtId="165" fontId="0" fillId="4" borderId="3" xfId="2" applyNumberFormat="1" applyFont="1" applyFill="1" applyBorder="1" applyAlignment="1">
      <alignment vertical="top"/>
    </xf>
    <xf numFmtId="0" fontId="0" fillId="4" borderId="3" xfId="0" applyFill="1" applyBorder="1" applyAlignment="1">
      <alignment horizontal="center" vertical="top" wrapText="1"/>
    </xf>
    <xf numFmtId="0" fontId="3" fillId="0" borderId="3" xfId="1" applyBorder="1" applyAlignment="1">
      <alignment horizontal="center" vertical="center" wrapText="1"/>
    </xf>
    <xf numFmtId="164" fontId="0" fillId="0" borderId="3" xfId="2" applyNumberFormat="1" applyFont="1" applyBorder="1" applyAlignment="1">
      <alignment vertical="top" wrapText="1"/>
    </xf>
    <xf numFmtId="0" fontId="0" fillId="0" borderId="3" xfId="0" applyBorder="1" applyAlignment="1">
      <alignment horizontal="center" vertical="center" wrapText="1"/>
    </xf>
    <xf numFmtId="0" fontId="2" fillId="0" borderId="3" xfId="0" applyFont="1" applyBorder="1" applyAlignment="1">
      <alignment horizontal="center"/>
    </xf>
    <xf numFmtId="0" fontId="9" fillId="0" borderId="3" xfId="0" applyFont="1" applyBorder="1" applyAlignment="1">
      <alignment wrapText="1"/>
    </xf>
    <xf numFmtId="0" fontId="0" fillId="0" borderId="3" xfId="0" quotePrefix="1" applyBorder="1" applyAlignment="1">
      <alignment vertical="center"/>
    </xf>
    <xf numFmtId="0" fontId="10" fillId="0" borderId="3" xfId="0" applyFont="1" applyBorder="1" applyAlignment="1">
      <alignment horizontal="center" vertical="top" wrapText="1"/>
    </xf>
    <xf numFmtId="0" fontId="7" fillId="0" borderId="3" xfId="0" applyFont="1" applyBorder="1" applyAlignment="1">
      <alignment wrapText="1"/>
    </xf>
    <xf numFmtId="0" fontId="0" fillId="0" borderId="5" xfId="0" applyBorder="1" applyAlignment="1">
      <alignment vertical="top" wrapText="1"/>
    </xf>
    <xf numFmtId="0" fontId="0" fillId="0" borderId="6" xfId="0" applyBorder="1" applyAlignment="1">
      <alignment wrapText="1"/>
    </xf>
    <xf numFmtId="0" fontId="0" fillId="0" borderId="6" xfId="0" applyBorder="1"/>
    <xf numFmtId="0" fontId="2" fillId="0" borderId="7" xfId="0" applyFont="1" applyBorder="1"/>
    <xf numFmtId="0" fontId="0" fillId="0" borderId="7" xfId="0" quotePrefix="1" applyBorder="1"/>
    <xf numFmtId="0" fontId="0" fillId="0" borderId="9" xfId="0" quotePrefix="1" applyBorder="1"/>
    <xf numFmtId="0" fontId="0" fillId="0" borderId="8" xfId="0" quotePrefix="1" applyBorder="1"/>
    <xf numFmtId="0" fontId="0" fillId="0" borderId="9" xfId="0" quotePrefix="1" applyBorder="1" applyAlignment="1">
      <alignment horizontal="center" wrapText="1"/>
    </xf>
    <xf numFmtId="0" fontId="0" fillId="0" borderId="8" xfId="0" quotePrefix="1" applyBorder="1" applyAlignment="1">
      <alignment vertical="center"/>
    </xf>
    <xf numFmtId="0" fontId="0" fillId="0" borderId="7" xfId="0" applyBorder="1"/>
    <xf numFmtId="0" fontId="0" fillId="0" borderId="8" xfId="0" applyBorder="1"/>
    <xf numFmtId="0" fontId="2" fillId="0" borderId="7" xfId="0" applyFont="1" applyBorder="1" applyAlignment="1">
      <alignment horizontal="center"/>
    </xf>
    <xf numFmtId="0" fontId="2" fillId="0" borderId="10" xfId="0" applyFont="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wrapText="1"/>
    </xf>
    <xf numFmtId="164" fontId="0" fillId="0" borderId="0" xfId="0" applyNumberFormat="1"/>
    <xf numFmtId="0" fontId="0" fillId="0" borderId="7" xfId="0" applyBorder="1" applyAlignment="1">
      <alignment vertical="top"/>
    </xf>
    <xf numFmtId="0" fontId="0" fillId="0" borderId="7" xfId="0" applyBorder="1" applyAlignment="1">
      <alignment vertical="top" wrapText="1"/>
    </xf>
    <xf numFmtId="0" fontId="3" fillId="0" borderId="7" xfId="1" applyBorder="1" applyAlignment="1">
      <alignment vertical="top" wrapText="1"/>
    </xf>
    <xf numFmtId="165" fontId="0" fillId="0" borderId="7" xfId="2" applyNumberFormat="1" applyFont="1" applyBorder="1" applyAlignment="1">
      <alignment vertical="top"/>
    </xf>
    <xf numFmtId="0" fontId="0" fillId="0" borderId="7" xfId="0" applyBorder="1" applyAlignment="1">
      <alignment horizontal="right" vertical="top" wrapText="1"/>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wrapText="1"/>
    </xf>
    <xf numFmtId="0" fontId="0" fillId="0" borderId="7" xfId="0" applyBorder="1" applyAlignment="1">
      <alignment vertical="center"/>
    </xf>
    <xf numFmtId="0" fontId="0" fillId="0" borderId="1" xfId="0" applyBorder="1" applyAlignment="1">
      <alignment vertical="top"/>
    </xf>
    <xf numFmtId="0" fontId="0" fillId="0" borderId="1" xfId="0" applyBorder="1" applyAlignment="1">
      <alignment vertical="top" wrapText="1"/>
    </xf>
    <xf numFmtId="0" fontId="3" fillId="0" borderId="1" xfId="1" applyBorder="1" applyAlignment="1">
      <alignment vertical="top" wrapText="1"/>
    </xf>
    <xf numFmtId="0" fontId="0" fillId="0" borderId="1" xfId="0" applyBorder="1" applyAlignment="1">
      <alignment horizontal="right" vertical="top"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9" fillId="0" borderId="7" xfId="0" applyFont="1" applyBorder="1" applyAlignment="1">
      <alignment wrapText="1"/>
    </xf>
    <xf numFmtId="0" fontId="9" fillId="0" borderId="1" xfId="0" applyFont="1" applyBorder="1" applyAlignment="1">
      <alignment wrapText="1"/>
    </xf>
    <xf numFmtId="165" fontId="0" fillId="0" borderId="1" xfId="2" applyNumberFormat="1" applyFont="1" applyBorder="1" applyAlignment="1">
      <alignment vertical="top" wrapText="1"/>
    </xf>
    <xf numFmtId="0" fontId="0" fillId="0" borderId="0" xfId="0" applyAlignment="1">
      <alignment horizontal="center" vertical="center"/>
    </xf>
    <xf numFmtId="3" fontId="11" fillId="0" borderId="0" xfId="0" applyNumberFormat="1" applyFont="1"/>
    <xf numFmtId="0" fontId="0" fillId="0" borderId="0" xfId="0" applyAlignment="1">
      <alignment horizontal="right" vertical="top" wrapText="1"/>
    </xf>
    <xf numFmtId="0" fontId="9" fillId="0" borderId="0" xfId="0" applyFont="1" applyAlignment="1">
      <alignment wrapText="1"/>
    </xf>
    <xf numFmtId="0" fontId="3" fillId="0" borderId="0" xfId="1" applyBorder="1" applyAlignment="1">
      <alignment vertical="top" wrapText="1"/>
    </xf>
    <xf numFmtId="0" fontId="0" fillId="0" borderId="1" xfId="0" applyBorder="1" applyAlignment="1">
      <alignment horizontal="left" vertical="top" wrapText="1"/>
    </xf>
    <xf numFmtId="0" fontId="0" fillId="0" borderId="7" xfId="0" applyBorder="1" applyAlignment="1">
      <alignment wrapText="1"/>
    </xf>
    <xf numFmtId="0" fontId="0" fillId="0" borderId="3"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1" applyAlignment="1" applyProtection="1">
      <alignment horizontal="center" vertical="center" wrapText="1"/>
    </xf>
    <xf numFmtId="0" fontId="0" fillId="0" borderId="0" xfId="0" quotePrefix="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xf>
    <xf numFmtId="0" fontId="0" fillId="0" borderId="0" xfId="0" applyAlignment="1">
      <alignment horizontal="center" vertical="top"/>
    </xf>
    <xf numFmtId="0" fontId="3" fillId="0" borderId="2" xfId="1" applyBorder="1" applyAlignment="1">
      <alignment horizontal="center" vertical="top" wrapText="1"/>
    </xf>
    <xf numFmtId="0" fontId="3" fillId="0" borderId="0" xfId="1" applyBorder="1" applyAlignment="1">
      <alignment horizontal="center" vertical="top" wrapText="1"/>
    </xf>
    <xf numFmtId="0" fontId="0" fillId="0" borderId="0" xfId="0" quotePrefix="1" applyAlignment="1">
      <alignment horizontal="center"/>
    </xf>
    <xf numFmtId="0" fontId="0" fillId="0" borderId="0" xfId="0" applyAlignment="1">
      <alignment horizont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3">
    <cellStyle name="Comma" xfId="2" builtinId="3"/>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undp.org/moldova/projects/resilient-communities-through-women-empowerment-phase-2" TargetMode="External"/><Relationship Id="rId3" Type="http://schemas.openxmlformats.org/officeDocument/2006/relationships/hyperlink" Target="https://www.undp.org/moldova/projects/moldova-sustainable-green-cities" TargetMode="External"/><Relationship Id="rId7" Type="http://schemas.openxmlformats.org/officeDocument/2006/relationships/hyperlink" Target="https://www.undp.org/moldova/projects/accelerating-just-transition-republic-moldova-programme" TargetMode="External"/><Relationship Id="rId2" Type="http://schemas.openxmlformats.org/officeDocument/2006/relationships/hyperlink" Target="https://www.undp.org/moldova/projects/emergency-support-agri-producers-context-socio-economic-climate-and-energy-crisis" TargetMode="External"/><Relationship Id="rId1" Type="http://schemas.openxmlformats.org/officeDocument/2006/relationships/hyperlink" Target="https://www.undp.org/moldova/projects/multidimensional-response-emerging-human-security-challenges-moldova" TargetMode="External"/><Relationship Id="rId6" Type="http://schemas.openxmlformats.org/officeDocument/2006/relationships/hyperlink" Target="https://www.undp.org/moldova/projects/greening-future-advancing-rights-and-stability-spurring-inclusive-and-green-transition-responsive-governance-eastern-neighbourhood" TargetMode="External"/><Relationship Id="rId11" Type="http://schemas.openxmlformats.org/officeDocument/2006/relationships/printerSettings" Target="../printerSettings/printerSettings1.bin"/><Relationship Id="rId5" Type="http://schemas.openxmlformats.org/officeDocument/2006/relationships/hyperlink" Target="https://www.undp.org/moldova/projects/addressing-impacts-energy-crisis-republic-moldova" TargetMode="External"/><Relationship Id="rId10" Type="http://schemas.openxmlformats.org/officeDocument/2006/relationships/hyperlink" Target="https://www.undp.org/moldova/projects/addressing-impacts-energy-crisis-republic-moldova" TargetMode="External"/><Relationship Id="rId4" Type="http://schemas.openxmlformats.org/officeDocument/2006/relationships/hyperlink" Target="https://www.undp.org/moldova/projects/addressing-impacts-energy-crisis-republic-moldova" TargetMode="External"/><Relationship Id="rId9" Type="http://schemas.openxmlformats.org/officeDocument/2006/relationships/hyperlink" Target="https://open.undp.org/projects/0100133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undp.org/moldova/projects/moldova-sustainable-green-cities" TargetMode="External"/><Relationship Id="rId2" Type="http://schemas.openxmlformats.org/officeDocument/2006/relationships/hyperlink" Target="https://www.undp.org/moldova/projects/emergency-support-agri-producers-context-socio-economic-climate-and-energy-crisis" TargetMode="External"/><Relationship Id="rId1" Type="http://schemas.openxmlformats.org/officeDocument/2006/relationships/hyperlink" Target="https://www.undp.org/moldova/projects/multidimensional-response-emerging-human-security-challenges-moldova" TargetMode="External"/><Relationship Id="rId5" Type="http://schemas.openxmlformats.org/officeDocument/2006/relationships/hyperlink" Target="https://www.undp.org/moldova/projects/addressing-impacts-energy-crisis-republic-moldova" TargetMode="External"/><Relationship Id="rId4" Type="http://schemas.openxmlformats.org/officeDocument/2006/relationships/hyperlink" Target="https://www.undp.org/moldova/projects/addressing-impacts-energy-crisis-republic-moldov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undp.org/moldova/projects/moldova-sustainable-green-cities" TargetMode="External"/><Relationship Id="rId2" Type="http://schemas.openxmlformats.org/officeDocument/2006/relationships/hyperlink" Target="https://www.undp.org/moldova/projects/emergency-support-agri-producers-context-socio-economic-climate-and-energy-crisis" TargetMode="External"/><Relationship Id="rId1" Type="http://schemas.openxmlformats.org/officeDocument/2006/relationships/hyperlink" Target="https://www.undp.org/moldova/projects/multidimensional-response-emerging-human-security-challenges-moldova" TargetMode="External"/><Relationship Id="rId5" Type="http://schemas.openxmlformats.org/officeDocument/2006/relationships/hyperlink" Target="https://www.undp.org/moldova/projects/addressing-impacts-energy-crisis-republic-moldova" TargetMode="External"/><Relationship Id="rId4" Type="http://schemas.openxmlformats.org/officeDocument/2006/relationships/hyperlink" Target="https://www.undp.org/moldova/projects/addressing-impacts-energy-crisis-republic-moldo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D031-DB22-47ED-A6B4-22FC4BDA370C}">
  <dimension ref="A1:AF20"/>
  <sheetViews>
    <sheetView tabSelected="1" zoomScale="124" zoomScaleNormal="124" workbookViewId="0">
      <pane ySplit="1" topLeftCell="A16" activePane="bottomLeft" state="frozen"/>
      <selection pane="bottomLeft" activeCell="C17" sqref="C17"/>
      <selection activeCell="H1" sqref="H1"/>
    </sheetView>
  </sheetViews>
  <sheetFormatPr defaultColWidth="8.85546875" defaultRowHeight="15"/>
  <cols>
    <col min="1" max="1" width="11" customWidth="1"/>
    <col min="2" max="2" width="38.7109375" customWidth="1"/>
    <col min="3" max="3" width="42.85546875" customWidth="1"/>
    <col min="4" max="4" width="39.5703125" customWidth="1"/>
    <col min="5" max="5" width="28.42578125" customWidth="1"/>
    <col min="6" max="6" width="65.140625" customWidth="1"/>
    <col min="7" max="7" width="46.85546875" customWidth="1"/>
    <col min="8" max="8" width="45.140625" customWidth="1"/>
    <col min="9" max="9" width="56.140625" customWidth="1"/>
    <col min="10" max="10" width="28.28515625" customWidth="1"/>
    <col min="11" max="11" width="32" customWidth="1"/>
    <col min="12" max="12" width="17.28515625" bestFit="1" customWidth="1"/>
    <col min="13" max="13" width="6" bestFit="1" customWidth="1"/>
    <col min="14" max="14" width="18.7109375" bestFit="1" customWidth="1"/>
    <col min="15" max="15" width="19.28515625" bestFit="1" customWidth="1"/>
    <col min="16" max="16" width="11.42578125" bestFit="1" customWidth="1"/>
    <col min="17" max="17" width="28.28515625" bestFit="1" customWidth="1"/>
    <col min="18" max="18" width="28.28515625" customWidth="1"/>
    <col min="19" max="19" width="15" bestFit="1" customWidth="1"/>
    <col min="20" max="20" width="38.140625" bestFit="1" customWidth="1"/>
    <col min="21" max="21" width="22" bestFit="1" customWidth="1"/>
  </cols>
  <sheetData>
    <row r="1" spans="1:31" ht="31.5" customHeight="1">
      <c r="A1" s="28" t="s">
        <v>0</v>
      </c>
      <c r="B1" s="28" t="s">
        <v>1</v>
      </c>
      <c r="C1" s="28" t="s">
        <v>2</v>
      </c>
      <c r="D1" s="28" t="s">
        <v>3</v>
      </c>
      <c r="E1" s="28" t="s">
        <v>4</v>
      </c>
      <c r="F1" s="28" t="s">
        <v>5</v>
      </c>
      <c r="G1" s="28" t="s">
        <v>6</v>
      </c>
      <c r="H1" s="28" t="s">
        <v>7</v>
      </c>
      <c r="I1" s="28" t="s">
        <v>8</v>
      </c>
      <c r="J1" s="59" t="s">
        <v>9</v>
      </c>
      <c r="K1" s="23" t="s">
        <v>10</v>
      </c>
      <c r="L1" s="51" t="s">
        <v>11</v>
      </c>
      <c r="M1" s="67" t="s">
        <v>12</v>
      </c>
      <c r="N1" s="51" t="s">
        <v>13</v>
      </c>
      <c r="O1" s="51" t="s">
        <v>14</v>
      </c>
      <c r="P1" s="67" t="s">
        <v>15</v>
      </c>
      <c r="Q1" s="67" t="s">
        <v>16</v>
      </c>
      <c r="R1" s="68" t="s">
        <v>17</v>
      </c>
      <c r="S1" s="59" t="s">
        <v>18</v>
      </c>
      <c r="T1" s="68" t="s">
        <v>19</v>
      </c>
      <c r="U1" s="59" t="s">
        <v>20</v>
      </c>
      <c r="V1" t="s">
        <v>21</v>
      </c>
    </row>
    <row r="2" spans="1:31" ht="306" customHeight="1">
      <c r="A2" s="29" t="s">
        <v>22</v>
      </c>
      <c r="B2" s="30" t="s">
        <v>23</v>
      </c>
      <c r="C2" s="31" t="s">
        <v>24</v>
      </c>
      <c r="D2" s="32">
        <v>127500</v>
      </c>
      <c r="E2" s="30" t="s">
        <v>25</v>
      </c>
      <c r="F2" s="29" t="s">
        <v>26</v>
      </c>
      <c r="G2" s="33"/>
      <c r="H2" s="29" t="s">
        <v>27</v>
      </c>
      <c r="I2" s="56" t="s">
        <v>28</v>
      </c>
      <c r="J2" s="60" t="s">
        <v>29</v>
      </c>
      <c r="K2" s="57" t="s">
        <v>30</v>
      </c>
      <c r="L2" s="69" t="s">
        <v>31</v>
      </c>
      <c r="M2" s="1"/>
      <c r="N2" s="70" t="s">
        <v>32</v>
      </c>
      <c r="O2" s="1"/>
      <c r="P2" s="1"/>
      <c r="Q2" s="1"/>
      <c r="R2" s="1"/>
      <c r="S2" s="39" t="s">
        <v>33</v>
      </c>
      <c r="T2" s="1"/>
      <c r="U2" s="39"/>
      <c r="Y2" s="99" t="s">
        <v>34</v>
      </c>
      <c r="Z2" s="52"/>
      <c r="AA2" s="29" t="s">
        <v>31</v>
      </c>
      <c r="AB2" s="34"/>
      <c r="AC2" s="34" t="s">
        <v>32</v>
      </c>
      <c r="AD2" s="34" t="s">
        <v>35</v>
      </c>
      <c r="AE2" s="1"/>
    </row>
    <row r="3" spans="1:31" ht="252.75" customHeight="1">
      <c r="A3" s="29"/>
      <c r="B3" s="30"/>
      <c r="C3" s="31"/>
      <c r="D3" s="32">
        <v>186950</v>
      </c>
      <c r="E3" s="30" t="s">
        <v>25</v>
      </c>
      <c r="F3" s="29" t="s">
        <v>36</v>
      </c>
      <c r="G3" s="33"/>
      <c r="H3" s="29" t="s">
        <v>37</v>
      </c>
      <c r="I3" s="56" t="s">
        <v>38</v>
      </c>
      <c r="J3" s="61"/>
      <c r="K3" s="58"/>
      <c r="L3" s="69" t="s">
        <v>31</v>
      </c>
      <c r="M3" s="1"/>
      <c r="N3" s="70" t="s">
        <v>32</v>
      </c>
      <c r="O3" s="1"/>
      <c r="P3" s="1"/>
      <c r="Q3" s="1"/>
      <c r="R3" s="1"/>
      <c r="S3" s="39" t="s">
        <v>33</v>
      </c>
      <c r="T3" s="1"/>
      <c r="U3" s="39"/>
      <c r="Y3" s="99"/>
      <c r="Z3" s="52"/>
      <c r="AA3" s="29" t="s">
        <v>31</v>
      </c>
      <c r="AB3" s="34"/>
      <c r="AC3" s="34" t="s">
        <v>32</v>
      </c>
      <c r="AD3" s="34" t="s">
        <v>35</v>
      </c>
      <c r="AE3" s="1"/>
    </row>
    <row r="4" spans="1:31" ht="45" customHeight="1">
      <c r="A4" s="29"/>
      <c r="B4" s="30"/>
      <c r="C4" s="31"/>
      <c r="D4" s="32">
        <v>49000</v>
      </c>
      <c r="E4" s="30" t="s">
        <v>39</v>
      </c>
      <c r="F4" s="29" t="s">
        <v>40</v>
      </c>
      <c r="G4" s="33"/>
      <c r="H4" s="30"/>
      <c r="I4" s="56" t="s">
        <v>41</v>
      </c>
      <c r="J4" s="61"/>
      <c r="K4" s="58"/>
      <c r="L4" s="69" t="s">
        <v>31</v>
      </c>
      <c r="M4" s="1"/>
      <c r="N4" s="70" t="s">
        <v>32</v>
      </c>
      <c r="O4" s="1"/>
      <c r="P4" s="1"/>
      <c r="Q4" s="1"/>
      <c r="R4" s="1"/>
      <c r="S4" s="39" t="s">
        <v>33</v>
      </c>
      <c r="T4" s="1"/>
      <c r="U4" s="39"/>
      <c r="Y4" s="99"/>
      <c r="Z4" s="52"/>
      <c r="AA4" s="29" t="s">
        <v>31</v>
      </c>
      <c r="AB4" s="34"/>
      <c r="AC4" s="34" t="s">
        <v>32</v>
      </c>
      <c r="AD4" s="34" t="s">
        <v>35</v>
      </c>
      <c r="AE4" s="1"/>
    </row>
    <row r="5" spans="1:31" ht="105">
      <c r="A5" s="29"/>
      <c r="B5" s="30"/>
      <c r="C5" s="31"/>
      <c r="D5" s="32">
        <v>30000</v>
      </c>
      <c r="E5" s="30" t="s">
        <v>19</v>
      </c>
      <c r="F5" s="29" t="s">
        <v>42</v>
      </c>
      <c r="G5" s="33"/>
      <c r="H5" s="29"/>
      <c r="I5" s="56"/>
      <c r="J5" s="62"/>
      <c r="K5" s="58"/>
      <c r="L5" s="69" t="s">
        <v>31</v>
      </c>
      <c r="M5" s="1"/>
      <c r="N5" s="70" t="s">
        <v>32</v>
      </c>
      <c r="O5" s="1" t="s">
        <v>35</v>
      </c>
      <c r="P5" s="1"/>
      <c r="Q5" s="1" t="s">
        <v>43</v>
      </c>
      <c r="R5" s="1" t="s">
        <v>44</v>
      </c>
      <c r="S5" s="39"/>
      <c r="T5" s="1" t="s">
        <v>45</v>
      </c>
      <c r="U5" s="39">
        <v>487707</v>
      </c>
      <c r="Y5" s="99"/>
      <c r="Z5" s="52"/>
      <c r="AA5" s="29" t="s">
        <v>31</v>
      </c>
      <c r="AB5" s="34"/>
      <c r="AC5" s="34" t="s">
        <v>32</v>
      </c>
      <c r="AD5" s="34" t="s">
        <v>35</v>
      </c>
      <c r="AE5" s="1" t="s">
        <v>46</v>
      </c>
    </row>
    <row r="6" spans="1:31" ht="45" customHeight="1">
      <c r="A6" s="29"/>
      <c r="B6" s="30"/>
      <c r="C6" s="31"/>
      <c r="D6" s="32">
        <v>122000</v>
      </c>
      <c r="E6" s="30" t="s">
        <v>47</v>
      </c>
      <c r="F6" s="29" t="s">
        <v>48</v>
      </c>
      <c r="G6" s="33"/>
      <c r="H6" s="29" t="s">
        <v>49</v>
      </c>
      <c r="I6" s="29" t="s">
        <v>50</v>
      </c>
      <c r="J6" s="63" t="s">
        <v>51</v>
      </c>
      <c r="K6" s="34"/>
      <c r="L6" s="69" t="s">
        <v>31</v>
      </c>
      <c r="M6" s="1"/>
      <c r="N6" s="70" t="s">
        <v>32</v>
      </c>
      <c r="O6" s="1"/>
      <c r="P6" s="1"/>
      <c r="Q6" s="1"/>
      <c r="R6" s="1"/>
      <c r="S6" s="39"/>
      <c r="T6" s="1"/>
      <c r="U6" s="39"/>
      <c r="Y6" s="99"/>
      <c r="Z6" s="52"/>
      <c r="AA6" s="29" t="s">
        <v>31</v>
      </c>
      <c r="AB6" s="34"/>
      <c r="AC6" s="34" t="s">
        <v>32</v>
      </c>
      <c r="AD6" s="34" t="s">
        <v>25</v>
      </c>
      <c r="AE6" s="1"/>
    </row>
    <row r="7" spans="1:31" ht="45" customHeight="1">
      <c r="A7" s="29"/>
      <c r="B7" s="30"/>
      <c r="C7" s="31"/>
      <c r="D7" s="35">
        <v>20000</v>
      </c>
      <c r="E7" s="36" t="s">
        <v>52</v>
      </c>
      <c r="F7" s="37" t="s">
        <v>53</v>
      </c>
      <c r="G7" s="38"/>
      <c r="H7" s="37"/>
      <c r="I7" s="56"/>
      <c r="J7" s="65" t="s">
        <v>29</v>
      </c>
      <c r="K7" s="58"/>
      <c r="L7" s="69" t="s">
        <v>31</v>
      </c>
      <c r="M7" s="1"/>
      <c r="N7" s="70" t="s">
        <v>32</v>
      </c>
      <c r="O7" s="1"/>
      <c r="P7" s="1"/>
      <c r="Q7" s="1"/>
      <c r="R7" s="1"/>
      <c r="S7" s="39"/>
      <c r="T7" s="1"/>
      <c r="U7" s="39"/>
      <c r="Y7" s="99"/>
      <c r="Z7" s="52"/>
      <c r="AA7" s="29" t="s">
        <v>31</v>
      </c>
      <c r="AB7" s="34"/>
      <c r="AC7" s="34" t="s">
        <v>32</v>
      </c>
      <c r="AD7" s="34" t="s">
        <v>25</v>
      </c>
      <c r="AE7" s="1"/>
    </row>
    <row r="8" spans="1:31" ht="106.5" customHeight="1">
      <c r="A8" s="29"/>
      <c r="B8" s="30"/>
      <c r="C8" s="31"/>
      <c r="D8" s="35">
        <v>56000</v>
      </c>
      <c r="E8" s="36" t="s">
        <v>54</v>
      </c>
      <c r="F8" s="37" t="s">
        <v>55</v>
      </c>
      <c r="G8" s="38"/>
      <c r="H8" s="37"/>
      <c r="I8" s="56" t="s">
        <v>56</v>
      </c>
      <c r="J8" s="66"/>
      <c r="K8" s="58"/>
      <c r="L8" s="69" t="s">
        <v>31</v>
      </c>
      <c r="M8" s="1"/>
      <c r="N8" s="70" t="s">
        <v>32</v>
      </c>
      <c r="O8" s="1"/>
      <c r="P8" s="1"/>
      <c r="Q8" s="1"/>
      <c r="R8" s="1"/>
      <c r="S8" s="39"/>
      <c r="T8" s="1"/>
      <c r="U8" s="39"/>
      <c r="Y8" s="99"/>
      <c r="Z8" s="52"/>
      <c r="AA8" s="29" t="s">
        <v>31</v>
      </c>
      <c r="AB8" s="34"/>
      <c r="AC8" s="34" t="s">
        <v>32</v>
      </c>
      <c r="AD8" s="34" t="s">
        <v>25</v>
      </c>
      <c r="AE8" s="1"/>
    </row>
    <row r="9" spans="1:31" ht="303.75" customHeight="1">
      <c r="A9" s="39">
        <v>130906</v>
      </c>
      <c r="B9" s="40" t="s">
        <v>57</v>
      </c>
      <c r="C9" s="41" t="s">
        <v>58</v>
      </c>
      <c r="D9" s="42">
        <v>649000</v>
      </c>
      <c r="E9" s="30" t="s">
        <v>19</v>
      </c>
      <c r="F9" s="29" t="s">
        <v>59</v>
      </c>
      <c r="G9" s="43"/>
      <c r="H9" s="29" t="s">
        <v>60</v>
      </c>
      <c r="I9" s="29" t="s">
        <v>61</v>
      </c>
      <c r="J9" s="64" t="s">
        <v>62</v>
      </c>
      <c r="K9" s="34"/>
      <c r="L9" s="69" t="s">
        <v>31</v>
      </c>
      <c r="M9" s="1"/>
      <c r="N9" s="70" t="s">
        <v>32</v>
      </c>
      <c r="O9" s="1" t="s">
        <v>63</v>
      </c>
      <c r="P9" s="1"/>
      <c r="Q9" s="1" t="s">
        <v>64</v>
      </c>
      <c r="R9" s="1" t="s">
        <v>25</v>
      </c>
      <c r="S9" s="39"/>
      <c r="T9" s="1" t="s">
        <v>65</v>
      </c>
      <c r="U9" s="39"/>
      <c r="Y9" s="34"/>
      <c r="Z9" s="52"/>
      <c r="AA9" s="29" t="s">
        <v>31</v>
      </c>
      <c r="AB9" s="34"/>
      <c r="AC9" s="34" t="s">
        <v>66</v>
      </c>
      <c r="AD9" s="34" t="s">
        <v>25</v>
      </c>
      <c r="AE9" s="1" t="s">
        <v>67</v>
      </c>
    </row>
    <row r="10" spans="1:31" ht="214.5" customHeight="1">
      <c r="A10" s="39"/>
      <c r="B10" s="40"/>
      <c r="C10" s="41"/>
      <c r="D10" s="44">
        <v>730850</v>
      </c>
      <c r="E10" s="30" t="s">
        <v>68</v>
      </c>
      <c r="F10" s="29" t="s">
        <v>69</v>
      </c>
      <c r="G10" s="43"/>
      <c r="H10" s="29"/>
      <c r="I10" s="29" t="s">
        <v>70</v>
      </c>
      <c r="J10" s="53"/>
      <c r="K10" s="34"/>
      <c r="L10" s="69" t="s">
        <v>31</v>
      </c>
      <c r="M10" s="1"/>
      <c r="N10" s="70" t="s">
        <v>32</v>
      </c>
      <c r="O10" s="1"/>
      <c r="P10" s="1"/>
      <c r="Q10" s="1"/>
      <c r="R10" s="1"/>
      <c r="S10" s="39"/>
      <c r="T10" s="1"/>
      <c r="U10" s="39"/>
      <c r="Y10" s="34"/>
      <c r="Z10" s="52"/>
      <c r="AA10" s="29" t="s">
        <v>31</v>
      </c>
      <c r="AB10" s="34"/>
      <c r="AC10" s="34" t="s">
        <v>32</v>
      </c>
      <c r="AD10" s="34" t="s">
        <v>25</v>
      </c>
      <c r="AE10" s="1" t="s">
        <v>46</v>
      </c>
    </row>
    <row r="11" spans="1:31" ht="214.5" customHeight="1">
      <c r="A11" s="39"/>
      <c r="B11" s="40"/>
      <c r="C11" s="41"/>
      <c r="D11" s="45">
        <v>372900</v>
      </c>
      <c r="E11" s="30" t="s">
        <v>52</v>
      </c>
      <c r="F11" s="29" t="s">
        <v>71</v>
      </c>
      <c r="G11" s="43"/>
      <c r="H11" s="29">
        <v>200000</v>
      </c>
      <c r="I11" s="29" t="s">
        <v>72</v>
      </c>
      <c r="J11" s="53"/>
      <c r="K11" s="34"/>
      <c r="L11" s="69" t="s">
        <v>31</v>
      </c>
      <c r="M11" s="1"/>
      <c r="N11" s="70" t="s">
        <v>32</v>
      </c>
      <c r="O11" s="1"/>
      <c r="P11" s="1"/>
      <c r="Q11" s="1"/>
      <c r="R11" s="1"/>
      <c r="S11" s="39"/>
      <c r="T11" s="1"/>
      <c r="U11" s="39"/>
      <c r="Y11" s="34"/>
      <c r="Z11" s="52"/>
      <c r="AA11" s="29" t="s">
        <v>31</v>
      </c>
      <c r="AB11" s="34"/>
      <c r="AC11" s="34" t="s">
        <v>32</v>
      </c>
      <c r="AD11" s="34" t="s">
        <v>25</v>
      </c>
      <c r="AE11" s="1"/>
    </row>
    <row r="12" spans="1:31" ht="214.5" customHeight="1">
      <c r="A12" s="39"/>
      <c r="B12" s="40"/>
      <c r="C12" s="41"/>
      <c r="D12" s="46">
        <v>9039075</v>
      </c>
      <c r="E12" s="36" t="s">
        <v>73</v>
      </c>
      <c r="F12" s="37" t="s">
        <v>74</v>
      </c>
      <c r="G12" s="47"/>
      <c r="H12" s="37" t="s">
        <v>75</v>
      </c>
      <c r="I12" s="29" t="s">
        <v>76</v>
      </c>
      <c r="J12" s="53"/>
      <c r="K12" s="34"/>
      <c r="L12" s="69" t="s">
        <v>31</v>
      </c>
      <c r="M12" s="1"/>
      <c r="N12" s="70" t="s">
        <v>32</v>
      </c>
      <c r="O12" s="1"/>
      <c r="P12" s="1"/>
      <c r="Q12" s="1"/>
      <c r="R12" s="1"/>
      <c r="S12" s="39"/>
      <c r="T12" s="1"/>
      <c r="U12" s="39"/>
      <c r="Y12" s="34"/>
      <c r="Z12" s="52"/>
      <c r="AA12" s="29" t="s">
        <v>31</v>
      </c>
      <c r="AB12" s="34"/>
      <c r="AC12" s="34" t="s">
        <v>32</v>
      </c>
      <c r="AD12" s="34" t="s">
        <v>77</v>
      </c>
      <c r="AE12" s="1"/>
    </row>
    <row r="13" spans="1:31" ht="214.5" customHeight="1">
      <c r="A13" s="30">
        <v>130906</v>
      </c>
      <c r="B13" s="29" t="s">
        <v>78</v>
      </c>
      <c r="C13" s="48" t="s">
        <v>58</v>
      </c>
      <c r="D13" s="49">
        <f>9826008+6666666</f>
        <v>16492674</v>
      </c>
      <c r="E13" s="30" t="s">
        <v>19</v>
      </c>
      <c r="F13" s="29" t="s">
        <v>79</v>
      </c>
      <c r="G13" s="50"/>
      <c r="H13" s="30"/>
      <c r="I13" s="29" t="s">
        <v>80</v>
      </c>
      <c r="J13" s="53"/>
      <c r="K13" s="34"/>
      <c r="L13" s="69" t="s">
        <v>31</v>
      </c>
      <c r="M13" s="1"/>
      <c r="N13" s="70" t="s">
        <v>32</v>
      </c>
      <c r="O13" s="1" t="s">
        <v>25</v>
      </c>
      <c r="P13" s="1"/>
      <c r="Q13" s="1" t="s">
        <v>81</v>
      </c>
      <c r="R13" s="1" t="s">
        <v>25</v>
      </c>
      <c r="S13" s="39"/>
      <c r="T13" s="1" t="s">
        <v>65</v>
      </c>
      <c r="U13" s="39"/>
      <c r="Y13" s="34"/>
      <c r="Z13" s="52"/>
      <c r="AA13" s="29" t="s">
        <v>31</v>
      </c>
      <c r="AB13" s="34"/>
      <c r="AC13" s="34" t="s">
        <v>32</v>
      </c>
      <c r="AD13" s="34" t="s">
        <v>25</v>
      </c>
      <c r="AE13" s="1" t="s">
        <v>67</v>
      </c>
    </row>
    <row r="14" spans="1:31" ht="193.5" customHeight="1">
      <c r="A14" s="30">
        <v>1000378</v>
      </c>
      <c r="B14" s="29" t="s">
        <v>82</v>
      </c>
      <c r="C14" s="31" t="s">
        <v>83</v>
      </c>
      <c r="D14" s="32">
        <v>2298111</v>
      </c>
      <c r="E14" s="30" t="s">
        <v>25</v>
      </c>
      <c r="F14" s="29" t="s">
        <v>84</v>
      </c>
      <c r="G14" s="29" t="s">
        <v>85</v>
      </c>
      <c r="H14" s="30">
        <v>20000</v>
      </c>
      <c r="I14" s="29" t="s">
        <v>86</v>
      </c>
      <c r="J14" s="40" t="s">
        <v>87</v>
      </c>
      <c r="K14" s="34"/>
      <c r="L14" s="69" t="s">
        <v>31</v>
      </c>
      <c r="M14" s="1"/>
      <c r="N14" s="70" t="s">
        <v>32</v>
      </c>
      <c r="O14" s="1"/>
      <c r="P14" s="1"/>
      <c r="Q14" s="1"/>
      <c r="R14" s="1"/>
      <c r="S14" s="39" t="s">
        <v>88</v>
      </c>
      <c r="T14" s="1"/>
      <c r="U14" s="39"/>
      <c r="Y14" s="34" t="s">
        <v>31</v>
      </c>
      <c r="Z14" s="52"/>
      <c r="AA14" s="29" t="s">
        <v>31</v>
      </c>
      <c r="AB14" s="34"/>
      <c r="AC14" s="34" t="s">
        <v>32</v>
      </c>
      <c r="AD14" s="34" t="s">
        <v>25</v>
      </c>
      <c r="AE14" s="1"/>
    </row>
    <row r="15" spans="1:31" ht="322.5" customHeight="1">
      <c r="A15" s="72">
        <v>133573</v>
      </c>
      <c r="B15" s="73" t="s">
        <v>89</v>
      </c>
      <c r="C15" s="74" t="s">
        <v>90</v>
      </c>
      <c r="D15" s="75">
        <v>4150139</v>
      </c>
      <c r="E15" s="72" t="s">
        <v>91</v>
      </c>
      <c r="F15" s="73" t="s">
        <v>92</v>
      </c>
      <c r="G15" s="73" t="s">
        <v>93</v>
      </c>
      <c r="H15" s="76" t="s">
        <v>94</v>
      </c>
      <c r="I15" s="73" t="s">
        <v>95</v>
      </c>
      <c r="J15" s="98" t="s">
        <v>96</v>
      </c>
      <c r="K15" s="98" t="s">
        <v>97</v>
      </c>
      <c r="L15" s="77" t="s">
        <v>31</v>
      </c>
      <c r="M15" s="78"/>
      <c r="N15" s="79" t="s">
        <v>32</v>
      </c>
      <c r="O15" s="78" t="s">
        <v>77</v>
      </c>
      <c r="P15" s="78"/>
      <c r="Q15" s="78"/>
      <c r="R15" s="78" t="s">
        <v>35</v>
      </c>
      <c r="S15" s="80" t="s">
        <v>33</v>
      </c>
      <c r="T15" s="78" t="s">
        <v>98</v>
      </c>
      <c r="U15" s="80"/>
      <c r="Y15" s="80" t="s">
        <v>31</v>
      </c>
      <c r="Z15" s="89"/>
      <c r="AA15" s="73" t="s">
        <v>31</v>
      </c>
      <c r="AB15" s="65"/>
      <c r="AC15" s="65" t="s">
        <v>32</v>
      </c>
      <c r="AD15" s="65" t="s">
        <v>35</v>
      </c>
      <c r="AE15" s="78"/>
    </row>
    <row r="16" spans="1:31" ht="322.5" customHeight="1">
      <c r="A16" s="81">
        <v>1001727</v>
      </c>
      <c r="B16" s="82" t="s">
        <v>99</v>
      </c>
      <c r="C16" s="83" t="s">
        <v>100</v>
      </c>
      <c r="D16" s="91">
        <v>4268266</v>
      </c>
      <c r="E16" s="82" t="s">
        <v>19</v>
      </c>
      <c r="F16" s="82" t="s">
        <v>101</v>
      </c>
      <c r="G16" s="82" t="s">
        <v>102</v>
      </c>
      <c r="H16" s="84" t="s">
        <v>103</v>
      </c>
      <c r="I16" s="82" t="s">
        <v>104</v>
      </c>
      <c r="J16" s="82" t="s">
        <v>105</v>
      </c>
      <c r="K16" s="85"/>
      <c r="L16" s="86" t="s">
        <v>31</v>
      </c>
      <c r="M16" s="86"/>
      <c r="N16" s="87" t="s">
        <v>32</v>
      </c>
      <c r="O16" s="86" t="s">
        <v>77</v>
      </c>
      <c r="P16" s="86"/>
      <c r="Q16" s="86" t="s">
        <v>64</v>
      </c>
      <c r="R16" s="86" t="s">
        <v>35</v>
      </c>
      <c r="S16" s="88"/>
      <c r="T16" s="86" t="s">
        <v>65</v>
      </c>
      <c r="U16" s="88"/>
      <c r="Y16" s="88"/>
      <c r="Z16" s="90"/>
      <c r="AA16" s="82"/>
      <c r="AB16" s="85"/>
      <c r="AC16" s="85"/>
      <c r="AD16" s="85"/>
      <c r="AE16" s="86"/>
    </row>
    <row r="17" spans="1:32" ht="322.5" customHeight="1">
      <c r="A17" s="81">
        <v>1000952</v>
      </c>
      <c r="B17" s="82" t="s">
        <v>106</v>
      </c>
      <c r="C17" s="83" t="s">
        <v>107</v>
      </c>
      <c r="D17" s="91">
        <v>20675141</v>
      </c>
      <c r="E17" s="82" t="s">
        <v>19</v>
      </c>
      <c r="F17" s="82" t="s">
        <v>108</v>
      </c>
      <c r="G17" s="82">
        <v>0</v>
      </c>
      <c r="H17" s="97" t="s">
        <v>109</v>
      </c>
      <c r="I17" s="82"/>
      <c r="J17" s="82" t="s">
        <v>110</v>
      </c>
      <c r="K17" s="85"/>
      <c r="L17" s="86" t="s">
        <v>31</v>
      </c>
      <c r="M17" s="86"/>
      <c r="N17" s="87" t="s">
        <v>32</v>
      </c>
      <c r="O17" s="86" t="s">
        <v>35</v>
      </c>
      <c r="P17" s="86"/>
      <c r="Q17" s="86" t="s">
        <v>111</v>
      </c>
      <c r="R17" s="86" t="s">
        <v>77</v>
      </c>
      <c r="S17" s="88"/>
      <c r="T17" s="86" t="s">
        <v>65</v>
      </c>
      <c r="U17" s="88"/>
      <c r="Y17" s="88"/>
      <c r="Z17" s="90"/>
      <c r="AA17" s="82"/>
      <c r="AB17" s="85"/>
      <c r="AC17" s="85"/>
      <c r="AD17" s="85"/>
      <c r="AE17" s="86"/>
    </row>
    <row r="18" spans="1:32" ht="322.5" customHeight="1">
      <c r="A18" s="81">
        <v>1002849</v>
      </c>
      <c r="B18" s="82" t="s">
        <v>112</v>
      </c>
      <c r="C18" s="83" t="s">
        <v>113</v>
      </c>
      <c r="D18" s="93">
        <v>8461359</v>
      </c>
      <c r="E18" s="82" t="s">
        <v>91</v>
      </c>
      <c r="F18" s="82" t="s">
        <v>114</v>
      </c>
      <c r="G18" s="82" t="s">
        <v>115</v>
      </c>
      <c r="H18" s="97" t="s">
        <v>116</v>
      </c>
      <c r="I18" s="82"/>
      <c r="J18" s="82" t="s">
        <v>117</v>
      </c>
      <c r="K18" s="82" t="s">
        <v>118</v>
      </c>
      <c r="L18" s="86" t="s">
        <v>31</v>
      </c>
      <c r="M18" s="86"/>
      <c r="N18" s="87" t="s">
        <v>66</v>
      </c>
      <c r="O18" s="86" t="s">
        <v>63</v>
      </c>
      <c r="P18" s="86"/>
      <c r="Q18" s="86" t="s">
        <v>81</v>
      </c>
      <c r="R18" s="86" t="s">
        <v>77</v>
      </c>
      <c r="S18" s="88"/>
      <c r="T18" s="86" t="s">
        <v>98</v>
      </c>
      <c r="U18" s="88"/>
      <c r="Y18" s="88"/>
      <c r="Z18" s="90"/>
      <c r="AA18" s="82"/>
      <c r="AB18" s="85"/>
      <c r="AC18" s="85"/>
      <c r="AD18" s="85"/>
      <c r="AE18" s="86"/>
    </row>
    <row r="19" spans="1:32" ht="198">
      <c r="A19" s="6">
        <v>1001335</v>
      </c>
      <c r="B19" s="5" t="s">
        <v>119</v>
      </c>
      <c r="C19" s="96" t="s">
        <v>120</v>
      </c>
      <c r="D19" s="93">
        <v>7894000</v>
      </c>
      <c r="E19" s="5" t="s">
        <v>19</v>
      </c>
      <c r="F19" s="5" t="s">
        <v>121</v>
      </c>
      <c r="G19" s="5"/>
      <c r="H19" s="94" t="s">
        <v>122</v>
      </c>
      <c r="I19" s="5"/>
      <c r="J19" s="5"/>
      <c r="L19" s="92" t="s">
        <v>31</v>
      </c>
      <c r="M19" s="92"/>
      <c r="N19" s="87" t="s">
        <v>32</v>
      </c>
      <c r="O19" s="92"/>
      <c r="P19" s="92"/>
      <c r="Q19" s="92"/>
      <c r="R19" s="92"/>
      <c r="S19" s="24"/>
      <c r="T19" s="92"/>
      <c r="U19" s="24"/>
      <c r="Y19" s="24"/>
      <c r="Z19" s="95"/>
      <c r="AA19" s="5"/>
      <c r="AE19" s="92"/>
      <c r="AF19" t="s">
        <v>123</v>
      </c>
    </row>
    <row r="20" spans="1:32">
      <c r="D20" s="71">
        <f>SUM(D2:D18)</f>
        <v>67728965</v>
      </c>
    </row>
  </sheetData>
  <autoFilter ref="A1:AF1" xr:uid="{D0B8D031-DB22-47ED-A6B4-22FC4BDA370C}"/>
  <mergeCells count="1">
    <mergeCell ref="Y2:Y8"/>
  </mergeCells>
  <dataValidations count="11">
    <dataValidation type="list" allowBlank="1" showInputMessage="1" showErrorMessage="1" sqref="Q2:Q19" xr:uid="{304A6038-030B-423D-85B2-97A30E5B9E14}">
      <formula1>"NDC Support, National Strategy, Legal Framework,Incentives and Support, Government Capacity-Building, Carbon Pricing and Monitoring, Financing Model, Business Model"</formula1>
    </dataValidation>
    <dataValidation type="list" allowBlank="1" showInputMessage="1" showErrorMessage="1" sqref="P2:P19" xr:uid="{3E1AD7A5-DE00-4CB1-B8EA-17E3E71042B0}">
      <formula1>"AMP, PUDC, Solar4Health, Action Opportunities, Italy UNDP Energy Partnership"</formula1>
    </dataValidation>
    <dataValidation type="list" allowBlank="1" showInputMessage="1" showErrorMessage="1" sqref="AD2:AD19" xr:uid="{F42860DB-BA6C-4B30-8A9A-28104AC985C2}">
      <formula1>"Electricity Access, Energy Efficiency, Clean Cooking, Renewable Energy"</formula1>
    </dataValidation>
    <dataValidation type="list" allowBlank="1" showInputMessage="1" showErrorMessage="1" sqref="AC2:AC19 N2:N19" xr:uid="{D07DEE95-4178-413F-97C2-43B98AB92C59}">
      <formula1>"Accelerating just energy transition, Close the gap on energy access, Scale up energy finance"</formula1>
    </dataValidation>
    <dataValidation type="list" allowBlank="1" showInputMessage="1" showErrorMessage="1" sqref="AE2:AE19" xr:uid="{7791340A-49D5-45D0-AAB2-9DA87499FD23}">
      <formula1>"Tier 1, Tier 2, Tier 3"</formula1>
    </dataValidation>
    <dataValidation type="list" allowBlank="1" showInputMessage="1" showErrorMessage="1" sqref="O2:O19" xr:uid="{63FA1942-D9FE-4EA4-8F8B-53F663803108}">
      <formula1>"Electricity Access, Energy Efficiency, Clean Cooking, Renewable Energy, Overall"</formula1>
    </dataValidation>
    <dataValidation type="list" allowBlank="1" showInputMessage="1" showErrorMessage="1" sqref="L2:L19" xr:uid="{23816C40-05D4-4E16-88BD-AA2F00DB37AC}">
      <formula1>"Non-VF, VF"</formula1>
    </dataValidation>
    <dataValidation type="list" allowBlank="1" showInputMessage="1" showErrorMessage="1" sqref="M2:M19" xr:uid="{900507B2-D87F-4BB0-A4C3-4A23A96B916D}">
      <formula1>"Finance, Gender, Efficiency, Just, Health"</formula1>
    </dataValidation>
    <dataValidation type="list" allowBlank="1" showInputMessage="1" showErrorMessage="1" sqref="T2:T19" xr:uid="{2991C196-C86C-408A-B119-90A37F01DB5C}">
      <formula1>"National, Regional, City, Community"</formula1>
    </dataValidation>
    <dataValidation type="list" allowBlank="1" showInputMessage="1" showErrorMessage="1" sqref="R2:R19" xr:uid="{4A71B761-6EA8-4568-805E-2274DE181F93}">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9" xr:uid="{7DFBADEF-CAD9-4A79-A251-3FA16481E2BF}">
      <formula1>"Solar, Wind, Bioenergy, Hydro, Geothermal, Waste, Some Sources, Other, Unknown"</formula1>
    </dataValidation>
  </dataValidations>
  <hyperlinks>
    <hyperlink ref="C14" r:id="rId1" xr:uid="{E166A882-82EE-43BA-800C-43C699F5B8AD}"/>
    <hyperlink ref="C15" r:id="rId2" xr:uid="{F54D7698-3310-46A8-8B34-7F617E5DC071}"/>
    <hyperlink ref="C2" r:id="rId3" xr:uid="{2FDD2CD3-4A1D-44AC-945B-AF971CA09CE4}"/>
    <hyperlink ref="C9:C12" r:id="rId4" display="https://www.undp.org/moldova/projects/addressing-impacts-energy-crisis-republic-moldova" xr:uid="{C8AAC88F-363F-4778-A2DA-825D54C305E7}"/>
    <hyperlink ref="C13" r:id="rId5" xr:uid="{CE989422-ABF1-46B8-AB73-AC4E686E8BD7}"/>
    <hyperlink ref="C16" r:id="rId6" xr:uid="{28D6598E-8460-424B-B5C7-0C854D133F46}"/>
    <hyperlink ref="C17" r:id="rId7" xr:uid="{477C5E6A-F5EA-4D23-B319-BFD4B1FAC357}"/>
    <hyperlink ref="C18" r:id="rId8" xr:uid="{7806E600-B176-4A25-A9FE-F1EB0654515D}"/>
    <hyperlink ref="C19" r:id="rId9" xr:uid="{B7B4D2A7-DFBE-49CD-B377-A4B6826D19DC}"/>
    <hyperlink ref="C9" r:id="rId10" xr:uid="{424FC7FC-0D16-465A-A52E-F02CCB811E8C}"/>
  </hyperlinks>
  <pageMargins left="0.7" right="0.7" top="0.75" bottom="0.75" header="0.3" footer="0.3"/>
  <pageSetup paperSize="9" orientation="portrait" r:id="rId11"/>
  <extLst>
    <ext xmlns:x14="http://schemas.microsoft.com/office/spreadsheetml/2009/9/main" uri="{CCE6A557-97BC-4b89-ADB6-D9C93CAAB3DF}">
      <x14:dataValidations xmlns:xm="http://schemas.microsoft.com/office/excel/2006/main" count="1">
        <x14:dataValidation type="list" allowBlank="1" showInputMessage="1" showErrorMessage="1" xr:uid="{CDB26839-7B64-48C4-B4A7-48D628B2FBC8}">
          <x14:formula1>
            <xm:f>'Beneficiary Categories'!$A$2:$A$22</xm:f>
          </x14:formula1>
          <xm:sqref>E2:E19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9D02-0BFC-449F-BFDA-CA7667244C40}">
  <dimension ref="A1:M18"/>
  <sheetViews>
    <sheetView topLeftCell="C9" workbookViewId="0">
      <selection activeCell="M11" sqref="M11"/>
    </sheetView>
  </sheetViews>
  <sheetFormatPr defaultColWidth="8.85546875" defaultRowHeight="15"/>
  <cols>
    <col min="1" max="1" width="11" customWidth="1"/>
    <col min="2" max="2" width="38.7109375" customWidth="1"/>
    <col min="3" max="3" width="42.85546875" customWidth="1"/>
    <col min="4" max="4" width="39.5703125" customWidth="1"/>
    <col min="5" max="5" width="28.42578125" customWidth="1"/>
    <col min="6" max="6" width="65.140625" customWidth="1"/>
    <col min="7" max="7" width="46.85546875" customWidth="1"/>
    <col min="8" max="8" width="30.85546875" customWidth="1"/>
    <col min="9" max="9" width="56.140625" customWidth="1"/>
    <col min="10" max="10" width="28.28515625" customWidth="1"/>
    <col min="11" max="11" width="32" customWidth="1"/>
  </cols>
  <sheetData>
    <row r="1" spans="1:13">
      <c r="A1" s="2" t="s">
        <v>0</v>
      </c>
      <c r="B1" s="2" t="s">
        <v>1</v>
      </c>
      <c r="C1" s="2" t="s">
        <v>2</v>
      </c>
      <c r="D1" s="2" t="s">
        <v>3</v>
      </c>
      <c r="E1" s="2" t="s">
        <v>4</v>
      </c>
      <c r="F1" s="2" t="s">
        <v>5</v>
      </c>
      <c r="G1" s="2" t="s">
        <v>6</v>
      </c>
      <c r="H1" s="2" t="s">
        <v>7</v>
      </c>
      <c r="I1" s="2" t="s">
        <v>8</v>
      </c>
      <c r="J1" s="12" t="s">
        <v>9</v>
      </c>
      <c r="K1" s="23" t="s">
        <v>10</v>
      </c>
      <c r="L1" s="23" t="s">
        <v>124</v>
      </c>
      <c r="M1" s="23" t="s">
        <v>125</v>
      </c>
    </row>
    <row r="2" spans="1:13" ht="306" customHeight="1">
      <c r="A2" s="105" t="s">
        <v>22</v>
      </c>
      <c r="B2" s="107" t="s">
        <v>23</v>
      </c>
      <c r="C2" s="109" t="s">
        <v>24</v>
      </c>
      <c r="D2" s="7">
        <v>127500</v>
      </c>
      <c r="E2" s="4" t="s">
        <v>39</v>
      </c>
      <c r="F2" s="3" t="s">
        <v>26</v>
      </c>
      <c r="G2" s="9" t="s">
        <v>126</v>
      </c>
      <c r="H2" s="3"/>
      <c r="I2" s="3" t="s">
        <v>28</v>
      </c>
      <c r="J2" s="111" t="s">
        <v>29</v>
      </c>
      <c r="K2" s="26" t="s">
        <v>30</v>
      </c>
      <c r="L2" s="104" t="s">
        <v>34</v>
      </c>
      <c r="M2" s="25" t="s">
        <v>127</v>
      </c>
    </row>
    <row r="3" spans="1:13" ht="252.75" customHeight="1">
      <c r="A3" s="106"/>
      <c r="B3" s="108"/>
      <c r="C3" s="110"/>
      <c r="D3" s="7">
        <v>186950</v>
      </c>
      <c r="E3" s="4" t="s">
        <v>25</v>
      </c>
      <c r="F3" s="3" t="s">
        <v>36</v>
      </c>
      <c r="G3" s="9" t="s">
        <v>128</v>
      </c>
      <c r="H3" s="3" t="s">
        <v>37</v>
      </c>
      <c r="I3" s="3" t="s">
        <v>38</v>
      </c>
      <c r="J3" s="111"/>
      <c r="L3" s="100"/>
      <c r="M3" s="25"/>
    </row>
    <row r="4" spans="1:13" ht="45" customHeight="1">
      <c r="A4" s="106"/>
      <c r="B4" s="108"/>
      <c r="C4" s="110"/>
      <c r="D4" s="7">
        <v>49000</v>
      </c>
      <c r="E4" s="4" t="s">
        <v>39</v>
      </c>
      <c r="F4" s="3" t="s">
        <v>40</v>
      </c>
      <c r="G4" s="9">
        <v>2020</v>
      </c>
      <c r="H4" s="4"/>
      <c r="I4" s="3" t="s">
        <v>41</v>
      </c>
      <c r="J4" s="111"/>
      <c r="L4" s="100"/>
      <c r="M4" s="25" t="s">
        <v>129</v>
      </c>
    </row>
    <row r="5" spans="1:13" ht="94.5" customHeight="1">
      <c r="A5" s="106"/>
      <c r="B5" s="108"/>
      <c r="C5" s="110"/>
      <c r="D5" s="7">
        <v>30000</v>
      </c>
      <c r="E5" s="4" t="s">
        <v>19</v>
      </c>
      <c r="F5" s="3" t="s">
        <v>42</v>
      </c>
      <c r="G5" s="9">
        <v>2019</v>
      </c>
      <c r="H5" s="3"/>
      <c r="I5" s="3"/>
      <c r="J5" s="111"/>
      <c r="L5" s="100"/>
      <c r="M5" s="12"/>
    </row>
    <row r="6" spans="1:13" ht="45" customHeight="1">
      <c r="A6" s="106"/>
      <c r="B6" s="108"/>
      <c r="C6" s="110"/>
      <c r="D6" s="7">
        <v>122000</v>
      </c>
      <c r="E6" s="4" t="s">
        <v>130</v>
      </c>
      <c r="F6" s="3" t="s">
        <v>48</v>
      </c>
      <c r="G6" s="9" t="s">
        <v>131</v>
      </c>
      <c r="H6" s="3"/>
      <c r="I6" s="3" t="s">
        <v>50</v>
      </c>
      <c r="J6" s="20" t="s">
        <v>51</v>
      </c>
      <c r="L6" s="100"/>
      <c r="M6" s="25" t="s">
        <v>132</v>
      </c>
    </row>
    <row r="7" spans="1:13" ht="45" customHeight="1">
      <c r="A7" s="106"/>
      <c r="B7" s="108"/>
      <c r="C7" s="110"/>
      <c r="D7" s="7">
        <v>20000</v>
      </c>
      <c r="E7" s="4" t="s">
        <v>52</v>
      </c>
      <c r="F7" s="3" t="s">
        <v>53</v>
      </c>
      <c r="G7" s="9" t="s">
        <v>133</v>
      </c>
      <c r="H7" s="3"/>
      <c r="I7" s="3"/>
      <c r="J7" s="112" t="s">
        <v>29</v>
      </c>
      <c r="L7" s="100"/>
      <c r="M7" s="25"/>
    </row>
    <row r="8" spans="1:13" ht="106.5" customHeight="1">
      <c r="A8" s="106"/>
      <c r="B8" s="108"/>
      <c r="C8" s="110"/>
      <c r="D8" s="7">
        <v>56000</v>
      </c>
      <c r="E8" s="4" t="s">
        <v>54</v>
      </c>
      <c r="F8" s="3" t="s">
        <v>55</v>
      </c>
      <c r="G8" s="9" t="s">
        <v>134</v>
      </c>
      <c r="H8" s="3"/>
      <c r="I8" s="3" t="s">
        <v>56</v>
      </c>
      <c r="J8" s="112"/>
      <c r="L8" s="100"/>
      <c r="M8" s="25" t="s">
        <v>132</v>
      </c>
    </row>
    <row r="9" spans="1:13" ht="303.75" customHeight="1">
      <c r="A9" s="100">
        <v>130906</v>
      </c>
      <c r="B9" s="101" t="s">
        <v>57</v>
      </c>
      <c r="C9" s="102" t="s">
        <v>58</v>
      </c>
      <c r="D9" s="14">
        <v>649000</v>
      </c>
      <c r="E9" s="4" t="s">
        <v>19</v>
      </c>
      <c r="F9" s="3" t="s">
        <v>59</v>
      </c>
      <c r="G9" s="15">
        <v>2022</v>
      </c>
      <c r="H9" s="3" t="s">
        <v>60</v>
      </c>
      <c r="I9" s="3" t="s">
        <v>61</v>
      </c>
      <c r="J9" s="103" t="s">
        <v>62</v>
      </c>
      <c r="M9" s="12"/>
    </row>
    <row r="10" spans="1:13" ht="214.5" customHeight="1">
      <c r="A10" s="100"/>
      <c r="B10" s="101"/>
      <c r="C10" s="102"/>
      <c r="D10" s="13">
        <v>730850</v>
      </c>
      <c r="E10" s="4" t="s">
        <v>19</v>
      </c>
      <c r="F10" s="3" t="s">
        <v>69</v>
      </c>
      <c r="G10" s="15">
        <v>2022</v>
      </c>
      <c r="H10" s="3"/>
      <c r="I10" s="3" t="s">
        <v>70</v>
      </c>
      <c r="J10" s="103"/>
      <c r="M10" s="12"/>
    </row>
    <row r="11" spans="1:13" ht="214.5" customHeight="1">
      <c r="A11" s="100"/>
      <c r="B11" s="101"/>
      <c r="C11" s="102"/>
      <c r="D11" s="13">
        <v>372900</v>
      </c>
      <c r="E11" s="4"/>
      <c r="F11" s="3" t="s">
        <v>71</v>
      </c>
      <c r="G11" s="15">
        <v>2022</v>
      </c>
      <c r="H11" s="3"/>
      <c r="I11" s="3" t="s">
        <v>72</v>
      </c>
      <c r="J11" s="103"/>
      <c r="M11" s="25" t="s">
        <v>135</v>
      </c>
    </row>
    <row r="12" spans="1:13" ht="214.5" customHeight="1">
      <c r="A12" s="100"/>
      <c r="B12" s="101"/>
      <c r="C12" s="102"/>
      <c r="D12" s="13">
        <v>9039075</v>
      </c>
      <c r="E12" s="4"/>
      <c r="F12" s="3" t="s">
        <v>74</v>
      </c>
      <c r="G12" s="15">
        <v>2022</v>
      </c>
      <c r="H12" s="3"/>
      <c r="I12" s="3" t="s">
        <v>76</v>
      </c>
      <c r="J12" s="103"/>
      <c r="M12" s="25" t="s">
        <v>132</v>
      </c>
    </row>
    <row r="13" spans="1:13" ht="214.5" customHeight="1">
      <c r="A13" s="6">
        <v>130906</v>
      </c>
      <c r="B13" s="5" t="s">
        <v>78</v>
      </c>
      <c r="C13" s="22" t="s">
        <v>136</v>
      </c>
      <c r="D13" s="21" t="s">
        <v>137</v>
      </c>
      <c r="E13" s="4" t="s">
        <v>19</v>
      </c>
      <c r="F13" s="3" t="s">
        <v>79</v>
      </c>
      <c r="G13" s="17">
        <v>2022</v>
      </c>
      <c r="H13" s="4"/>
      <c r="I13" s="3" t="s">
        <v>138</v>
      </c>
      <c r="J13" s="103"/>
      <c r="M13" s="12"/>
    </row>
    <row r="14" spans="1:13" ht="193.5" customHeight="1">
      <c r="A14" s="6">
        <v>1000378</v>
      </c>
      <c r="B14" s="5" t="s">
        <v>82</v>
      </c>
      <c r="C14" s="8" t="s">
        <v>83</v>
      </c>
      <c r="D14" s="7">
        <v>2298111</v>
      </c>
      <c r="E14" s="4" t="s">
        <v>54</v>
      </c>
      <c r="F14" s="3" t="s">
        <v>84</v>
      </c>
      <c r="G14" s="3" t="s">
        <v>85</v>
      </c>
      <c r="H14" s="4">
        <v>20000</v>
      </c>
      <c r="I14" s="3" t="s">
        <v>86</v>
      </c>
      <c r="J14" s="18" t="s">
        <v>87</v>
      </c>
      <c r="L14" t="s">
        <v>31</v>
      </c>
      <c r="M14" s="12"/>
    </row>
    <row r="15" spans="1:13" ht="26.25" customHeight="1">
      <c r="A15" s="6"/>
      <c r="B15" s="5"/>
      <c r="C15" s="8"/>
      <c r="D15" s="7"/>
      <c r="E15" s="4" t="s">
        <v>91</v>
      </c>
      <c r="F15" s="3"/>
      <c r="G15" s="3"/>
      <c r="H15" s="4">
        <v>10</v>
      </c>
      <c r="I15" s="3"/>
      <c r="J15" s="18"/>
      <c r="M15" s="12"/>
    </row>
    <row r="16" spans="1:13" ht="322.5" customHeight="1">
      <c r="A16" s="6">
        <v>133573</v>
      </c>
      <c r="B16" s="5" t="s">
        <v>89</v>
      </c>
      <c r="C16" s="8" t="s">
        <v>90</v>
      </c>
      <c r="D16" s="16" t="s">
        <v>139</v>
      </c>
      <c r="E16" s="4" t="s">
        <v>91</v>
      </c>
      <c r="F16" s="10" t="s">
        <v>92</v>
      </c>
      <c r="G16" s="3">
        <v>2022</v>
      </c>
      <c r="H16" s="19" t="s">
        <v>140</v>
      </c>
      <c r="I16" s="3" t="s">
        <v>141</v>
      </c>
      <c r="J16" t="s">
        <v>142</v>
      </c>
      <c r="L16" s="24" t="s">
        <v>31</v>
      </c>
      <c r="M16" s="12"/>
    </row>
    <row r="18" spans="1:1">
      <c r="A18" s="11"/>
    </row>
  </sheetData>
  <mergeCells count="10">
    <mergeCell ref="A9:A12"/>
    <mergeCell ref="B9:B12"/>
    <mergeCell ref="C9:C12"/>
    <mergeCell ref="J9:J13"/>
    <mergeCell ref="L2:L8"/>
    <mergeCell ref="A2:A8"/>
    <mergeCell ref="B2:B8"/>
    <mergeCell ref="C2:C8"/>
    <mergeCell ref="J2:J5"/>
    <mergeCell ref="J7:J8"/>
  </mergeCells>
  <dataValidations count="1">
    <dataValidation allowBlank="1" showInputMessage="1" showErrorMessage="1" sqref="E6" xr:uid="{57A50B7C-64CD-41BC-B785-E19A02B9164A}"/>
  </dataValidations>
  <hyperlinks>
    <hyperlink ref="C14" r:id="rId1" xr:uid="{26E2FF17-269E-40AF-AEC1-4767D7DE6B2E}"/>
    <hyperlink ref="C16" r:id="rId2" xr:uid="{3AE0638F-6B77-4949-9D83-901382A0C538}"/>
    <hyperlink ref="C2" r:id="rId3" xr:uid="{CEE8C571-AA03-4624-B5C5-014E1CF2E0B1}"/>
    <hyperlink ref="C9:C12" r:id="rId4" display="https://www.undp.org/moldova/projects/addressing-impacts-energy-crisis-republic-moldova" xr:uid="{29B24606-A15B-4B3D-A33D-A72A4197D096}"/>
    <hyperlink ref="C13" r:id="rId5" xr:uid="{C8773039-F7AB-49F9-B13F-E67446ACD99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B9B7110-DF23-4B19-86DC-C548AFB1B3D1}">
          <x14:formula1>
            <xm:f>'Beneficiary Categories'!$A$2:$A$16</xm:f>
          </x14:formula1>
          <xm:sqref>E2:E5 E7:E16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pane ySplit="1" topLeftCell="A17" activePane="bottomLeft" state="frozen"/>
      <selection pane="bottomLeft" activeCell="A17" sqref="A17"/>
    </sheetView>
  </sheetViews>
  <sheetFormatPr defaultColWidth="8.85546875" defaultRowHeight="15"/>
  <cols>
    <col min="1" max="1" width="11" customWidth="1"/>
    <col min="2" max="2" width="38.7109375" customWidth="1"/>
    <col min="3" max="3" width="42.85546875" customWidth="1"/>
    <col min="4" max="4" width="39.5703125" customWidth="1"/>
    <col min="5" max="5" width="28.42578125" customWidth="1"/>
    <col min="6" max="6" width="65.140625" customWidth="1"/>
    <col min="7" max="7" width="46.85546875" customWidth="1"/>
    <col min="8" max="8" width="30.85546875" customWidth="1"/>
    <col min="9" max="9" width="56.140625" customWidth="1"/>
    <col min="10" max="10" width="28.28515625" customWidth="1"/>
  </cols>
  <sheetData>
    <row r="1" spans="1:10">
      <c r="A1" s="2" t="s">
        <v>0</v>
      </c>
      <c r="B1" s="2" t="s">
        <v>1</v>
      </c>
      <c r="C1" s="2" t="s">
        <v>2</v>
      </c>
      <c r="D1" s="2" t="s">
        <v>3</v>
      </c>
      <c r="E1" s="2" t="s">
        <v>4</v>
      </c>
      <c r="F1" s="2" t="s">
        <v>5</v>
      </c>
      <c r="G1" s="2" t="s">
        <v>6</v>
      </c>
      <c r="H1" s="2" t="s">
        <v>7</v>
      </c>
      <c r="I1" s="2" t="s">
        <v>8</v>
      </c>
      <c r="J1" s="12" t="s">
        <v>9</v>
      </c>
    </row>
    <row r="2" spans="1:10" ht="166.5" customHeight="1">
      <c r="A2" s="105" t="s">
        <v>22</v>
      </c>
      <c r="B2" s="107" t="s">
        <v>23</v>
      </c>
      <c r="C2" s="109" t="s">
        <v>24</v>
      </c>
      <c r="D2" s="7">
        <v>127500</v>
      </c>
      <c r="E2" s="4" t="s">
        <v>39</v>
      </c>
      <c r="F2" s="3" t="s">
        <v>26</v>
      </c>
      <c r="G2" s="9" t="s">
        <v>126</v>
      </c>
      <c r="H2" s="3" t="s">
        <v>143</v>
      </c>
      <c r="I2" s="3" t="s">
        <v>144</v>
      </c>
      <c r="J2" s="111" t="s">
        <v>29</v>
      </c>
    </row>
    <row r="3" spans="1:10" ht="45" customHeight="1">
      <c r="A3" s="106"/>
      <c r="B3" s="108"/>
      <c r="C3" s="110"/>
      <c r="D3" s="7">
        <v>186950</v>
      </c>
      <c r="E3" s="4" t="s">
        <v>25</v>
      </c>
      <c r="F3" s="3" t="s">
        <v>36</v>
      </c>
      <c r="G3" s="9" t="s">
        <v>128</v>
      </c>
      <c r="H3" s="3" t="s">
        <v>145</v>
      </c>
      <c r="I3" s="3" t="s">
        <v>146</v>
      </c>
      <c r="J3" s="111"/>
    </row>
    <row r="4" spans="1:10" ht="45" customHeight="1">
      <c r="A4" s="106"/>
      <c r="B4" s="108"/>
      <c r="C4" s="110"/>
      <c r="D4" s="7">
        <v>49000</v>
      </c>
      <c r="E4" s="4" t="s">
        <v>39</v>
      </c>
      <c r="F4" s="3" t="s">
        <v>40</v>
      </c>
      <c r="G4" s="9">
        <v>2020</v>
      </c>
      <c r="H4" s="4" t="s">
        <v>147</v>
      </c>
      <c r="I4" s="3"/>
      <c r="J4" s="111"/>
    </row>
    <row r="5" spans="1:10" ht="94.5" customHeight="1">
      <c r="A5" s="106"/>
      <c r="B5" s="108"/>
      <c r="C5" s="110"/>
      <c r="D5" s="7">
        <v>30000</v>
      </c>
      <c r="E5" s="4" t="s">
        <v>19</v>
      </c>
      <c r="F5" s="3" t="s">
        <v>42</v>
      </c>
      <c r="G5" s="9">
        <v>2019</v>
      </c>
      <c r="H5" s="3" t="s">
        <v>148</v>
      </c>
      <c r="I5" s="3"/>
      <c r="J5" s="111"/>
    </row>
    <row r="6" spans="1:10" ht="45" customHeight="1">
      <c r="A6" s="106"/>
      <c r="B6" s="108"/>
      <c r="C6" s="110"/>
      <c r="D6" s="7">
        <v>122000</v>
      </c>
      <c r="E6" s="4" t="s">
        <v>54</v>
      </c>
      <c r="F6" s="3" t="s">
        <v>48</v>
      </c>
      <c r="G6" s="9" t="s">
        <v>131</v>
      </c>
      <c r="H6" s="3" t="s">
        <v>149</v>
      </c>
      <c r="I6" s="3"/>
      <c r="J6" s="20" t="s">
        <v>51</v>
      </c>
    </row>
    <row r="7" spans="1:10" ht="45" customHeight="1">
      <c r="A7" s="106"/>
      <c r="B7" s="108"/>
      <c r="C7" s="110"/>
      <c r="D7" s="7">
        <v>20000</v>
      </c>
      <c r="E7" s="4" t="s">
        <v>52</v>
      </c>
      <c r="F7" s="3" t="s">
        <v>53</v>
      </c>
      <c r="G7" s="9" t="s">
        <v>133</v>
      </c>
      <c r="H7" s="3" t="s">
        <v>150</v>
      </c>
      <c r="I7" s="3"/>
      <c r="J7" s="112" t="s">
        <v>29</v>
      </c>
    </row>
    <row r="8" spans="1:10" ht="61.5" customHeight="1">
      <c r="A8" s="106"/>
      <c r="B8" s="108"/>
      <c r="C8" s="110"/>
      <c r="D8" s="7">
        <v>56000</v>
      </c>
      <c r="E8" s="4" t="s">
        <v>54</v>
      </c>
      <c r="F8" s="3" t="s">
        <v>55</v>
      </c>
      <c r="G8" s="9" t="s">
        <v>134</v>
      </c>
      <c r="H8" s="3" t="s">
        <v>151</v>
      </c>
      <c r="I8" s="3"/>
      <c r="J8" s="112"/>
    </row>
    <row r="9" spans="1:10" ht="303.75" customHeight="1">
      <c r="A9" s="100">
        <v>130906</v>
      </c>
      <c r="B9" s="101" t="s">
        <v>57</v>
      </c>
      <c r="C9" s="102" t="s">
        <v>58</v>
      </c>
      <c r="D9" s="14">
        <v>649000</v>
      </c>
      <c r="E9" s="4" t="s">
        <v>19</v>
      </c>
      <c r="F9" s="3" t="s">
        <v>59</v>
      </c>
      <c r="G9" s="15">
        <v>2022</v>
      </c>
      <c r="H9" s="3" t="s">
        <v>60</v>
      </c>
      <c r="I9" s="3" t="s">
        <v>61</v>
      </c>
      <c r="J9" s="103" t="s">
        <v>62</v>
      </c>
    </row>
    <row r="10" spans="1:10" ht="214.5" customHeight="1">
      <c r="A10" s="100"/>
      <c r="B10" s="101"/>
      <c r="C10" s="102"/>
      <c r="D10" s="13">
        <v>730850</v>
      </c>
      <c r="E10" s="4" t="s">
        <v>152</v>
      </c>
      <c r="F10" s="3" t="s">
        <v>69</v>
      </c>
      <c r="G10" s="15">
        <v>2022</v>
      </c>
      <c r="H10" s="3" t="s">
        <v>70</v>
      </c>
      <c r="I10" s="3"/>
      <c r="J10" s="103"/>
    </row>
    <row r="11" spans="1:10" ht="214.5" customHeight="1">
      <c r="A11" s="100"/>
      <c r="B11" s="101"/>
      <c r="C11" s="102"/>
      <c r="D11" s="13">
        <v>372900</v>
      </c>
      <c r="E11" s="4" t="s">
        <v>153</v>
      </c>
      <c r="F11" s="3" t="s">
        <v>71</v>
      </c>
      <c r="G11" s="15">
        <v>2022</v>
      </c>
      <c r="H11" s="3" t="s">
        <v>72</v>
      </c>
      <c r="I11" s="3" t="s">
        <v>154</v>
      </c>
      <c r="J11" s="103"/>
    </row>
    <row r="12" spans="1:10" ht="214.5" customHeight="1">
      <c r="A12" s="100"/>
      <c r="B12" s="101"/>
      <c r="C12" s="102"/>
      <c r="D12" s="13">
        <v>9039075</v>
      </c>
      <c r="E12" s="4" t="s">
        <v>39</v>
      </c>
      <c r="F12" s="3" t="s">
        <v>74</v>
      </c>
      <c r="G12" s="15">
        <v>2022</v>
      </c>
      <c r="H12" s="3" t="s">
        <v>155</v>
      </c>
      <c r="I12" s="27" t="s">
        <v>156</v>
      </c>
      <c r="J12" s="103"/>
    </row>
    <row r="13" spans="1:10" ht="214.5" customHeight="1">
      <c r="A13" s="6">
        <v>130906</v>
      </c>
      <c r="B13" s="5" t="s">
        <v>78</v>
      </c>
      <c r="C13" s="22" t="s">
        <v>136</v>
      </c>
      <c r="D13" s="21" t="s">
        <v>137</v>
      </c>
      <c r="E13" s="4" t="s">
        <v>19</v>
      </c>
      <c r="F13" s="3" t="s">
        <v>79</v>
      </c>
      <c r="G13" s="17">
        <v>2022</v>
      </c>
      <c r="H13" s="4"/>
      <c r="I13" s="3" t="s">
        <v>138</v>
      </c>
      <c r="J13" s="103"/>
    </row>
    <row r="14" spans="1:10" ht="303" customHeight="1">
      <c r="A14" s="6">
        <v>1000378</v>
      </c>
      <c r="B14" s="5" t="s">
        <v>82</v>
      </c>
      <c r="C14" s="8" t="s">
        <v>83</v>
      </c>
      <c r="D14" s="7">
        <v>2298111</v>
      </c>
      <c r="E14" s="4" t="s">
        <v>54</v>
      </c>
      <c r="F14" s="3" t="s">
        <v>157</v>
      </c>
      <c r="G14" s="3" t="s">
        <v>85</v>
      </c>
      <c r="H14" s="4">
        <v>500</v>
      </c>
      <c r="I14" s="3" t="s">
        <v>86</v>
      </c>
      <c r="J14" s="18" t="s">
        <v>87</v>
      </c>
    </row>
    <row r="15" spans="1:10" ht="322.5" customHeight="1">
      <c r="A15" s="6">
        <v>133573</v>
      </c>
      <c r="B15" s="5" t="s">
        <v>89</v>
      </c>
      <c r="C15" s="8" t="s">
        <v>90</v>
      </c>
      <c r="D15" s="16" t="s">
        <v>139</v>
      </c>
      <c r="E15" s="4" t="s">
        <v>158</v>
      </c>
      <c r="F15" s="10" t="s">
        <v>92</v>
      </c>
      <c r="G15" s="3">
        <v>2022</v>
      </c>
      <c r="H15" s="19" t="s">
        <v>140</v>
      </c>
      <c r="I15" s="3" t="s">
        <v>141</v>
      </c>
      <c r="J15" t="s">
        <v>142</v>
      </c>
    </row>
    <row r="17" spans="1:1">
      <c r="A17" s="11"/>
    </row>
  </sheetData>
  <mergeCells count="9">
    <mergeCell ref="A9:A12"/>
    <mergeCell ref="B9:B12"/>
    <mergeCell ref="C9:C12"/>
    <mergeCell ref="J9:J13"/>
    <mergeCell ref="A2:A8"/>
    <mergeCell ref="B2:B8"/>
    <mergeCell ref="C2:C8"/>
    <mergeCell ref="J2:J5"/>
    <mergeCell ref="J7:J8"/>
  </mergeCells>
  <hyperlinks>
    <hyperlink ref="C14" r:id="rId1" xr:uid="{F8A644CE-0823-4D3D-90AE-65A9234576AF}"/>
    <hyperlink ref="C15" r:id="rId2" xr:uid="{05A78B4A-3453-4AC7-BBFB-3DD892A3E79E}"/>
    <hyperlink ref="C2" r:id="rId3" xr:uid="{1CE9BDD4-62D8-4263-9D8C-B26C835A03B4}"/>
    <hyperlink ref="C9:C12" r:id="rId4" display="https://www.undp.org/moldova/projects/addressing-impacts-energy-crisis-republic-moldova" xr:uid="{B8F29A0B-D201-4F48-A829-E9D6C62AACB2}"/>
    <hyperlink ref="C13" r:id="rId5" xr:uid="{73274909-2352-4717-BC0A-40A81A053FB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0" workbookViewId="0">
      <selection activeCell="B19" sqref="B19"/>
    </sheetView>
  </sheetViews>
  <sheetFormatPr defaultColWidth="8.85546875" defaultRowHeight="15"/>
  <cols>
    <col min="1" max="2" width="52.7109375" customWidth="1"/>
  </cols>
  <sheetData>
    <row r="1" spans="1:2">
      <c r="A1" s="54" t="s">
        <v>4</v>
      </c>
      <c r="B1" s="54" t="s">
        <v>5</v>
      </c>
    </row>
    <row r="2" spans="1:2" ht="45">
      <c r="A2" s="113" t="s">
        <v>25</v>
      </c>
      <c r="B2" s="55" t="s">
        <v>159</v>
      </c>
    </row>
    <row r="3" spans="1:2">
      <c r="A3" s="113" t="s">
        <v>39</v>
      </c>
      <c r="B3" s="55" t="s">
        <v>160</v>
      </c>
    </row>
    <row r="4" spans="1:2" ht="45">
      <c r="A4" s="113" t="s">
        <v>161</v>
      </c>
      <c r="B4" s="55" t="s">
        <v>162</v>
      </c>
    </row>
    <row r="5" spans="1:2" ht="30">
      <c r="A5" s="113" t="s">
        <v>163</v>
      </c>
      <c r="B5" s="55" t="s">
        <v>164</v>
      </c>
    </row>
    <row r="6" spans="1:2" ht="90">
      <c r="A6" s="113" t="s">
        <v>165</v>
      </c>
      <c r="B6" s="55" t="s">
        <v>166</v>
      </c>
    </row>
    <row r="7" spans="1:2" ht="45">
      <c r="A7" s="113" t="s">
        <v>167</v>
      </c>
      <c r="B7" s="55" t="s">
        <v>168</v>
      </c>
    </row>
    <row r="8" spans="1:2" ht="45">
      <c r="A8" s="113" t="s">
        <v>169</v>
      </c>
      <c r="B8" s="55" t="s">
        <v>170</v>
      </c>
    </row>
    <row r="9" spans="1:2" ht="45">
      <c r="A9" s="113" t="s">
        <v>171</v>
      </c>
      <c r="B9" s="55" t="s">
        <v>172</v>
      </c>
    </row>
    <row r="10" spans="1:2" ht="45">
      <c r="A10" s="113" t="s">
        <v>47</v>
      </c>
      <c r="B10" s="114" t="s">
        <v>173</v>
      </c>
    </row>
    <row r="11" spans="1:2" ht="30">
      <c r="A11" s="113" t="s">
        <v>73</v>
      </c>
      <c r="B11" s="114" t="s">
        <v>174</v>
      </c>
    </row>
    <row r="12" spans="1:2" ht="45">
      <c r="A12" s="113" t="s">
        <v>175</v>
      </c>
      <c r="B12" s="55" t="s">
        <v>176</v>
      </c>
    </row>
    <row r="13" spans="1:2" ht="30">
      <c r="A13" s="113" t="s">
        <v>54</v>
      </c>
      <c r="B13" s="114" t="s">
        <v>177</v>
      </c>
    </row>
    <row r="14" spans="1:2">
      <c r="A14" s="113" t="s">
        <v>178</v>
      </c>
      <c r="B14" s="114" t="s">
        <v>179</v>
      </c>
    </row>
    <row r="15" spans="1:2" ht="30">
      <c r="A15" s="113" t="s">
        <v>91</v>
      </c>
      <c r="B15" s="114" t="s">
        <v>180</v>
      </c>
    </row>
    <row r="16" spans="1:2" ht="30">
      <c r="A16" s="113" t="s">
        <v>181</v>
      </c>
      <c r="B16" s="114" t="s">
        <v>182</v>
      </c>
    </row>
    <row r="17" spans="1:2" ht="30">
      <c r="A17" s="113" t="s">
        <v>68</v>
      </c>
      <c r="B17" s="55" t="s">
        <v>183</v>
      </c>
    </row>
    <row r="18" spans="1:2" ht="30">
      <c r="A18" s="113" t="s">
        <v>184</v>
      </c>
      <c r="B18" s="114" t="s">
        <v>185</v>
      </c>
    </row>
    <row r="19" spans="1:2" ht="75">
      <c r="A19" s="113" t="s">
        <v>186</v>
      </c>
      <c r="B19" s="114" t="s">
        <v>187</v>
      </c>
    </row>
    <row r="20" spans="1:2" ht="30">
      <c r="A20" s="113" t="s">
        <v>52</v>
      </c>
      <c r="B20" s="114" t="s">
        <v>188</v>
      </c>
    </row>
    <row r="21" spans="1:2" ht="45">
      <c r="A21" s="113" t="s">
        <v>19</v>
      </c>
      <c r="B21" s="115" t="s">
        <v>189</v>
      </c>
    </row>
    <row r="22" spans="1:2" ht="30">
      <c r="A22" s="113" t="s">
        <v>153</v>
      </c>
      <c r="B22" s="114" t="s">
        <v>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2BDBD-B953-49D7-8E70-1D2C6591DC4D}"/>
</file>

<file path=customXml/itemProps2.xml><?xml version="1.0" encoding="utf-8"?>
<ds:datastoreItem xmlns:ds="http://schemas.openxmlformats.org/officeDocument/2006/customXml" ds:itemID="{F1FA3D7F-F698-4E68-A900-C45E704A4D7C}"/>
</file>

<file path=customXml/itemProps3.xml><?xml version="1.0" encoding="utf-8"?>
<ds:datastoreItem xmlns:ds="http://schemas.openxmlformats.org/officeDocument/2006/customXml" ds:itemID="{16E1EE50-1E76-4669-A00C-97DB2E2DCE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2025-03-07T21:28:56Z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