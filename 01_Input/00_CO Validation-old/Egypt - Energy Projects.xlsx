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ben/Documents/UNDP/SEH/Energy-Moonshot-Tracker/01_Input/00_CO Validation/"/>
    </mc:Choice>
  </mc:AlternateContent>
  <xr:revisionPtr revIDLastSave="0" documentId="13_ncr:1_{75471F00-26E8-4446-8F0E-F9826DB9F3F2}" xr6:coauthVersionLast="47" xr6:coauthVersionMax="47" xr10:uidLastSave="{00000000-0000-0000-0000-000000000000}"/>
  <bookViews>
    <workbookView xWindow="0" yWindow="680" windowWidth="29400" windowHeight="17300" xr2:uid="{00000000-000D-0000-FFFF-FFFF00000000}"/>
  </bookViews>
  <sheets>
    <sheet name="Projects (3)" sheetId="4" r:id="rId1"/>
    <sheet name="Projects (2)" sheetId="3" state="hidden" r:id="rId2"/>
    <sheet name="Projects" sheetId="1" state="hidden" r:id="rId3"/>
    <sheet name="Beneficiary Categories" sheetId="2" r:id="rId4"/>
  </sheets>
  <definedNames>
    <definedName name="_xlnm._FilterDatabase" localSheetId="0" hidden="1">'Projects (3)'!$A$1:$V$1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<sst xmlns="http://schemas.openxmlformats.org/spreadsheetml/2006/main" count="211" uniqueCount="100">
  <si>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</si>
  <si>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</si>
  <si>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</si>
  <si>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</si>
  <si>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</si>
  <si>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</si>
  <si>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</si>
  <si>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</si>
  <si>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</si>
  <si>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</si>
  <si>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</si>
  <si>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</si>
  <si>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</si>
  <si>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</si>
  <si>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</si>
  <si>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</si>
  <si>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</si>
  <si>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</si>
  <si>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</si>
  <si>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</si>
  <si>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</si>
  <si>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</si>
  <si>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Green Sharm El Sheikh</t>
  </si>
  <si>
    <t>https://pims.undp.org/project/view?id=6249</t>
  </si>
  <si>
    <t>Electricity Access</t>
  </si>
  <si>
    <t>Electricity generation capacity shfited from fossil fuel to solar energy, MW , Indicator 1 / GEF Core Indicator 11: Number of direct individual and institutional participants (including both women and men) benefiting from project-led initiatives on energy efficiency and renewable energy, alternative transport, pilot waste sorting and management, biodiversity protection and green hotel management</t>
  </si>
  <si>
    <t>The project will add  1 MW of solar energy but will also support energy efficiency actions in hotel sector as well as other small scale renewable energy technologies aiming to support energy transition in the city</t>
  </si>
  <si>
    <t>GEF</t>
  </si>
  <si>
    <t>VF</t>
  </si>
  <si>
    <t>Efficiency</t>
  </si>
  <si>
    <t>Accelerating just energy transition</t>
  </si>
  <si>
    <t>Energy Efficiency</t>
  </si>
  <si>
    <t>Solar</t>
  </si>
  <si>
    <t>National</t>
  </si>
  <si>
    <t>Grid-connected Small-Scale Photovoltaic Syste</t>
  </si>
  <si>
    <t>https://pims.undp.org/project/view?id=4998</t>
  </si>
  <si>
    <t>Energy (MW added)</t>
  </si>
  <si>
    <t>Electricity generation capacity shfited from fossil fuel to solar energy, MW. "120000At least 4 MWp of installed rooftop PV capacity, producing 6,000 MWh of electricity per year.
More than 1,000 households and SMEs together benefitting from PV-generated electricity."</t>
  </si>
  <si>
    <t>1000 HH</t>
  </si>
  <si>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</si>
  <si>
    <t>Promote small-scale PV-UNDP-EGY</t>
  </si>
  <si>
    <t xml:space="preserve">Quantum </t>
  </si>
  <si>
    <t>Electricity generation capacity shfited from fossil fuel to solar energy, MW</t>
  </si>
  <si>
    <t xml:space="preserve">The added PV capacities will be mainly implemented in public buildings to promote use of PV systems for different facilities </t>
  </si>
  <si>
    <t>Japan</t>
  </si>
  <si>
    <t>Non-VF</t>
  </si>
  <si>
    <t>Multilateral Support to COP27</t>
  </si>
  <si>
    <t>Qunatum</t>
  </si>
  <si>
    <t>EU</t>
  </si>
  <si>
    <t>00122723
00132893</t>
  </si>
  <si>
    <t>HCFC Phase-out Management Plan (HPMP-II) Stage II -  Tranche 2
HCFC Phase-out Management Plan (HPMP-II) Stage II -  Tranche 3</t>
  </si>
  <si>
    <t>Transforming Financial Systems for Climate in Egypt</t>
  </si>
  <si>
    <t>Category</t>
  </si>
  <si>
    <t xml:space="preserve">Comments </t>
  </si>
  <si>
    <t>PIMS+</t>
  </si>
  <si>
    <t>The facilities are fully dependent on electricity generated from fossil field</t>
  </si>
  <si>
    <t>The supported 1 MW will be installed in hotels as the objective is to increase private sector investment in PV systems.  The ongoing Egypt PV project has already addressed the Hotels in Sharm ahead of the COP27 and we have worked in more than 10 hotels which have invested in more than 3 MWs. Green Sharm Project will further promote the technology in hotels aiming to have all hotels in the city install PV systems. 
For instance one of the hotels in Sharm  keep expanding the solar power station and aims to reach 70% of total electricity consumption to be from solar energy.  With the improvement in electricity storage technology, the hotel should be able to dis-connect soonest from the grid. 
Meanwhile, the guests and hotel staff are watching and replicating in their homes.  This is exactly how it went with the market transformation to energy efficient lighting  (LED technology) in Egypt.  I did not mention about the energy efficiency project because it has ended in 2018 but it has induced a reduction of 10-15% to total electricity consumption in the country.   
Based on the above, it is difficult to estimated the number of beneficiaries from the energy transition actions and I would appreciate your suggestions in this respect.  As mentioned earlier, the moonshot indicators are not tuned to capture achievements in energy transition.  I will be glad to contribute to a brainstorming session on if you like to discuss developing indicators to describe energy transition</t>
  </si>
  <si>
    <t>Close the gap on energy access</t>
  </si>
  <si>
    <t>Renewable Energy</t>
  </si>
  <si>
    <t>Electricity generation capacity shfited from fossil fuel to solar energy</t>
  </si>
  <si>
    <t>The supported 1 MW will be installed in hotels as the objective is to increase private sector investment in PV systems.  The ongoing Egypt PV project has already addressed the Hotels in Sharm ahead of the COP27 and we have worked in more than 10 hotels which have invested in more than 3 MWs. Green Sharm Project will further promote the technology in hotels aiming to have all hotels in the city install PV systems. 
For instance one of the hotels in Sharm  keep expanding the solar power station and aims to reach 70% of total electricity consumption to be from solar energy.  With the improvement in electricity storage technology, the hotel should be able to dis-connect soonest from the grid. 
Meanwhile, the guests and hotel staff are watching and replicating in their homes.  This is exactly how it went with the market transformation to energy efficient lighting  (LED technology) in Egypt.  I did not mention about the energy efficiency project because it has ended in 2018 but it has induced a reduction of 10-15% to total electricity consumption in the country.   
Based on the above, it is difficult to estimated the number of beneficiaries from the energy transition actions and I would appreciate your suggestions in this respect.  As mentioned earlier, the moonshot indicators are not tuned to capture achievements in energy transition.  I will be glad to contribute to a brainstorming session on if you like to discuss developing indicators to describe energy transition</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</si>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</sst>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1"/>
      <color theme="1"/>
      <name val="Calibri"/>
      <family val="2"/>
      <scheme val="minor"/>
    </font>
    <font>
      <sz val="11"/>
      <color rgb="FFED7D31"/>
      <name val="Calibri"/>
      <family val="2"/>
      <scheme val="minor"/>
    </font>
    <font>
      <b/>
      <sz val="11"/>
      <color theme="1"/>
      <name val="Calibri"/>
      <family val="2"/>
      <scheme val="minor"/>
    </font>
    <font>
      <sz val="11"/>
      <color rgb="FF000000"/>
      <name val="Calibri"/>
      <family val="2"/>
      <scheme val="minor"/>
    </font>
    <font>
      <u/>
      <sz val="11"/>
      <color theme="10"/>
      <name val="Calibri"/>
      <family val="2"/>
      <scheme val="minor"/>
    </font>
    <font>
      <sz val="11"/>
      <color rgb="FF000000"/>
      <name val="Calibri"/>
      <family val="2"/>
    </font>
  </fonts>
  <fills count="6">
    <fill>
      <patternFill patternType="none"/>
    </fill>
    <fill>
      <patternFill patternType="gray125"/>
    </fill>
    <fill>
      <patternFill patternType="solid">
        <fgColor rgb="FFFFE497"/>
        <bgColor indexed="64"/>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s>
  <cellStyleXfs count="2">
    <xf numFmtId="0" fontId="0" fillId="0" borderId="0"/>
    <xf numFmtId="0" fontId="6" fillId="0" borderId="0" applyNumberFormat="0" applyFill="0" applyBorder="0" applyAlignment="0" applyProtection="0"/>
  </cellStyleXfs>
  <cellXfs count="48">
    <xf numFmtId="0" fontId="0" fillId="0" borderId="0" xfId="0"/>
    <xf numFmtId="0" fontId="2" fillId="0" borderId="1" xfId="0" applyFont="1" applyBorder="1" applyAlignment="1">
      <alignment horizontal="center" vertical="top"/>
    </xf>
    <xf numFmtId="0" fontId="2" fillId="0" borderId="0" xfId="0" applyFont="1"/>
    <xf numFmtId="0" fontId="0" fillId="2" borderId="0" xfId="0" applyFill="1" applyAlignment="1">
      <alignment wrapText="1"/>
    </xf>
    <xf numFmtId="0" fontId="0" fillId="0" borderId="0" xfId="0" applyAlignment="1">
      <alignment vertical="top"/>
    </xf>
    <xf numFmtId="3" fontId="0" fillId="0" borderId="0" xfId="0" applyNumberFormat="1" applyAlignment="1">
      <alignment vertical="top"/>
    </xf>
    <xf numFmtId="0" fontId="0" fillId="2" borderId="0" xfId="0" applyFill="1" applyAlignment="1">
      <alignment vertical="top"/>
    </xf>
    <xf numFmtId="0" fontId="0" fillId="0" borderId="0" xfId="0" applyAlignment="1">
      <alignment vertical="top" wrapText="1"/>
    </xf>
    <xf numFmtId="0" fontId="0" fillId="2" borderId="0" xfId="0" applyFill="1" applyAlignment="1">
      <alignment vertical="top" wrapText="1"/>
    </xf>
    <xf numFmtId="0" fontId="3" fillId="0" borderId="0" xfId="0" applyFont="1"/>
    <xf numFmtId="0" fontId="2" fillId="0" borderId="2" xfId="0" applyFont="1" applyBorder="1" applyAlignment="1">
      <alignment horizontal="center" vertical="top"/>
    </xf>
    <xf numFmtId="0" fontId="2" fillId="0" borderId="2" xfId="0" applyFont="1" applyBorder="1"/>
    <xf numFmtId="0" fontId="0" fillId="0" borderId="2" xfId="0" applyBorder="1" applyAlignment="1">
      <alignment vertical="top"/>
    </xf>
    <xf numFmtId="3" fontId="0" fillId="0" borderId="2" xfId="0" applyNumberFormat="1" applyBorder="1" applyAlignment="1">
      <alignment vertical="top"/>
    </xf>
    <xf numFmtId="0" fontId="0" fillId="2" borderId="2" xfId="0" applyFill="1" applyBorder="1" applyAlignment="1">
      <alignment vertical="top"/>
    </xf>
    <xf numFmtId="0" fontId="0" fillId="0" borderId="2" xfId="0" applyBorder="1" applyAlignment="1">
      <alignment vertical="top" wrapText="1"/>
    </xf>
    <xf numFmtId="0" fontId="0" fillId="2" borderId="2" xfId="0" applyFill="1" applyBorder="1" applyAlignment="1">
      <alignment wrapText="1"/>
    </xf>
    <xf numFmtId="0" fontId="0" fillId="2" borderId="2" xfId="0" applyFill="1" applyBorder="1" applyAlignment="1">
      <alignment vertical="top" wrapText="1"/>
    </xf>
    <xf numFmtId="0" fontId="0" fillId="0" borderId="2" xfId="0" applyBorder="1"/>
    <xf numFmtId="0" fontId="4" fillId="0" borderId="2" xfId="0" applyFont="1" applyBorder="1" applyAlignment="1">
      <alignment horizontal="center" vertical="top" wrapText="1"/>
    </xf>
    <xf numFmtId="0" fontId="5" fillId="0" borderId="2" xfId="0" applyFont="1" applyBorder="1" applyAlignment="1">
      <alignment wrapText="1"/>
    </xf>
    <xf numFmtId="0" fontId="0" fillId="3" borderId="2" xfId="0" applyFill="1" applyBorder="1" applyAlignment="1">
      <alignment horizontal="left" vertical="top" wrapText="1"/>
    </xf>
    <xf numFmtId="0" fontId="6" fillId="3" borderId="2" xfId="1" applyFill="1" applyBorder="1" applyAlignment="1">
      <alignment horizontal="left" vertical="top" wrapText="1"/>
    </xf>
    <xf numFmtId="3" fontId="0" fillId="3" borderId="2" xfId="0" applyNumberFormat="1" applyFill="1" applyBorder="1" applyAlignment="1">
      <alignment horizontal="left" vertical="top" wrapText="1"/>
    </xf>
    <xf numFmtId="0" fontId="0" fillId="0" borderId="6" xfId="0" applyBorder="1" applyAlignment="1">
      <alignment horizontal="left" vertical="top" wrapText="1"/>
    </xf>
    <xf numFmtId="9" fontId="0" fillId="3" borderId="2" xfId="0" applyNumberFormat="1" applyFill="1" applyBorder="1" applyAlignment="1">
      <alignment horizontal="left" vertical="top" wrapText="1"/>
    </xf>
    <xf numFmtId="0" fontId="0" fillId="3" borderId="3" xfId="0" applyFill="1" applyBorder="1" applyAlignment="1">
      <alignment horizontal="left" vertical="top" wrapText="1"/>
    </xf>
    <xf numFmtId="3" fontId="0" fillId="3" borderId="3" xfId="0" applyNumberFormat="1" applyFill="1" applyBorder="1" applyAlignment="1">
      <alignment horizontal="left" vertical="top" wrapText="1"/>
    </xf>
    <xf numFmtId="0" fontId="0" fillId="0" borderId="7" xfId="0" applyBorder="1" applyAlignment="1">
      <alignment horizontal="left" vertical="top" wrapText="1"/>
    </xf>
    <xf numFmtId="0" fontId="2" fillId="3" borderId="3" xfId="0" applyFont="1" applyFill="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7" fillId="4" borderId="1" xfId="0" applyFont="1" applyFill="1" applyBorder="1" applyAlignment="1">
      <alignment horizontal="left" vertical="top" wrapText="1"/>
    </xf>
    <xf numFmtId="0" fontId="0" fillId="4" borderId="2" xfId="0" applyFill="1" applyBorder="1" applyAlignment="1">
      <alignment horizontal="left" vertical="top" wrapText="1"/>
    </xf>
    <xf numFmtId="4" fontId="7" fillId="4" borderId="1" xfId="0" applyNumberFormat="1" applyFont="1" applyFill="1" applyBorder="1" applyAlignment="1">
      <alignment horizontal="left" vertical="top" wrapText="1"/>
    </xf>
    <xf numFmtId="0" fontId="7" fillId="4" borderId="8" xfId="0" applyFont="1" applyFill="1" applyBorder="1" applyAlignment="1">
      <alignment horizontal="left" vertical="top" wrapText="1"/>
    </xf>
    <xf numFmtId="4" fontId="7" fillId="4" borderId="8" xfId="0" applyNumberFormat="1" applyFont="1" applyFill="1" applyBorder="1" applyAlignment="1">
      <alignment horizontal="left" vertical="top"/>
    </xf>
    <xf numFmtId="3" fontId="0" fillId="4" borderId="2" xfId="0" applyNumberFormat="1" applyFill="1" applyBorder="1" applyAlignment="1">
      <alignment horizontal="left" vertical="top"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xf numFmtId="0" fontId="5" fillId="5" borderId="2"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pims.undp.org/project/view?id=4998" TargetMode="External"/><Relationship Id="rId1" Type="http://schemas.openxmlformats.org/officeDocument/2006/relationships/hyperlink" Target="https://pims.undp.org/project/view?id=62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3D3FE-9CD9-45E4-90AB-6BD009593D2A}">
  <dimension ref="A1:V7"/>
  <sheetViews>
    <sheetView tabSelected="1" workbookViewId="0">
      <selection activeCell="F3" sqref="F3"/>
    </sheetView>
  </sheetViews>
  <sheetFormatPr baseColWidth="10" defaultColWidth="9.1640625" defaultRowHeight="15" x14ac:dyDescent="0.2"/>
  <cols>
    <col min="1" max="1" width="15.5" style="33" customWidth="1"/>
    <col min="2" max="2" width="35.5" style="33" customWidth="1"/>
    <col min="3" max="3" width="20.6640625" style="33" customWidth="1"/>
    <col min="4" max="4" width="16.83203125" style="33" customWidth="1"/>
    <col min="5" max="5" width="20.6640625" style="33" customWidth="1"/>
    <col min="6" max="6" width="40.5" style="33" customWidth="1"/>
    <col min="7" max="7" width="19.6640625" style="33" customWidth="1"/>
    <col min="8" max="8" width="37.1640625" style="33" customWidth="1"/>
    <col min="9" max="9" width="32.6640625" style="33" customWidth="1"/>
    <col min="10" max="10" width="7.5" style="33" bestFit="1" customWidth="1"/>
    <col min="11" max="11" width="18" style="33" bestFit="1" customWidth="1"/>
    <col min="12" max="12" width="12.83203125" style="33" bestFit="1" customWidth="1"/>
    <col min="13" max="13" width="12" style="33" customWidth="1"/>
    <col min="14" max="14" width="14.5" style="33" bestFit="1" customWidth="1"/>
    <col min="15" max="15" width="19.83203125" style="33" customWidth="1"/>
    <col min="16" max="16" width="11.5" style="33" customWidth="1"/>
    <col min="17" max="17" width="16.5" style="33" bestFit="1" customWidth="1"/>
    <col min="18" max="18" width="18.1640625" style="33" bestFit="1" customWidth="1"/>
    <col min="19" max="19" width="11.33203125" style="33" bestFit="1" customWidth="1"/>
    <col min="20" max="20" width="30.33203125" style="33" bestFit="1" customWidth="1"/>
    <col min="21" max="21" width="16.6640625" style="33" bestFit="1" customWidth="1"/>
    <col min="22" max="22" width="17.5" style="33" customWidth="1"/>
    <col min="23" max="16384" width="9.1640625" style="33"/>
  </cols>
  <sheetData>
    <row r="1" spans="1:22" ht="16" x14ac:dyDescent="0.2">
      <c r="A1" s="29" t="s">
        <v>0</v>
      </c>
      <c r="B1" s="29" t="s">
        <v>1</v>
      </c>
      <c r="C1" s="29" t="s">
        <v>2</v>
      </c>
      <c r="D1" s="29" t="s">
        <v>3</v>
      </c>
      <c r="E1" s="29" t="s">
        <v>4</v>
      </c>
      <c r="F1" s="29" t="s">
        <v>5</v>
      </c>
      <c r="G1" s="29" t="s">
        <v>6</v>
      </c>
      <c r="H1" s="29" t="s">
        <v>7</v>
      </c>
      <c r="I1" s="29" t="s">
        <v>8</v>
      </c>
      <c r="J1" s="29" t="s">
        <v>9</v>
      </c>
      <c r="K1" s="29" t="s">
        <v>10</v>
      </c>
      <c r="L1" s="30" t="s">
        <v>11</v>
      </c>
      <c r="M1" s="31" t="s">
        <v>12</v>
      </c>
      <c r="N1" s="30" t="s">
        <v>13</v>
      </c>
      <c r="O1" s="30" t="s">
        <v>14</v>
      </c>
      <c r="P1" s="31" t="s">
        <v>15</v>
      </c>
      <c r="Q1" s="31" t="s">
        <v>16</v>
      </c>
      <c r="R1" s="32" t="s">
        <v>17</v>
      </c>
      <c r="S1" s="31" t="s">
        <v>18</v>
      </c>
      <c r="T1" s="32" t="s">
        <v>19</v>
      </c>
      <c r="U1" s="31" t="s">
        <v>20</v>
      </c>
      <c r="V1" s="33" t="s">
        <v>21</v>
      </c>
    </row>
    <row r="2" spans="1:22" ht="164.25" customHeight="1" x14ac:dyDescent="0.2">
      <c r="A2" s="21">
        <v>6249</v>
      </c>
      <c r="B2" s="21" t="s">
        <v>22</v>
      </c>
      <c r="C2" s="22" t="s">
        <v>23</v>
      </c>
      <c r="D2" s="23">
        <v>6212694</v>
      </c>
      <c r="E2" s="21" t="s">
        <v>24</v>
      </c>
      <c r="F2" s="21" t="s">
        <v>25</v>
      </c>
      <c r="G2" s="21">
        <v>0</v>
      </c>
      <c r="H2" s="23">
        <v>7500</v>
      </c>
      <c r="I2" s="21" t="s">
        <v>26</v>
      </c>
      <c r="J2" s="21" t="s">
        <v>27</v>
      </c>
      <c r="K2" s="25">
        <v>0.5</v>
      </c>
      <c r="L2" s="34" t="s">
        <v>28</v>
      </c>
      <c r="M2" s="35" t="s">
        <v>29</v>
      </c>
      <c r="N2" s="24" t="s">
        <v>30</v>
      </c>
      <c r="O2" s="35" t="s">
        <v>31</v>
      </c>
      <c r="P2" s="35"/>
      <c r="Q2" s="35"/>
      <c r="R2" s="35"/>
      <c r="S2" s="35" t="s">
        <v>32</v>
      </c>
      <c r="T2" s="35" t="s">
        <v>33</v>
      </c>
      <c r="U2" s="35"/>
    </row>
    <row r="3" spans="1:22" ht="150.75" customHeight="1" x14ac:dyDescent="0.2">
      <c r="A3" s="21">
        <v>4998</v>
      </c>
      <c r="B3" s="21" t="s">
        <v>34</v>
      </c>
      <c r="C3" s="22" t="s">
        <v>35</v>
      </c>
      <c r="D3" s="23">
        <v>3536364</v>
      </c>
      <c r="E3" s="47" t="s">
        <v>24</v>
      </c>
      <c r="F3" s="21" t="s">
        <v>37</v>
      </c>
      <c r="G3" s="21">
        <v>0</v>
      </c>
      <c r="H3" s="43" t="s">
        <v>38</v>
      </c>
      <c r="I3" s="21" t="s">
        <v>39</v>
      </c>
      <c r="J3" s="21" t="s">
        <v>27</v>
      </c>
      <c r="K3" s="21"/>
      <c r="L3" s="34" t="s">
        <v>28</v>
      </c>
      <c r="M3" s="35"/>
      <c r="N3" s="24" t="s">
        <v>30</v>
      </c>
      <c r="O3" s="35" t="s">
        <v>31</v>
      </c>
      <c r="P3" s="35"/>
      <c r="Q3" s="35"/>
      <c r="R3" s="35" t="s">
        <v>31</v>
      </c>
      <c r="S3" s="35" t="s">
        <v>32</v>
      </c>
      <c r="T3" s="35" t="s">
        <v>33</v>
      </c>
      <c r="U3" s="35"/>
    </row>
    <row r="4" spans="1:22" ht="64" x14ac:dyDescent="0.2">
      <c r="A4" s="21">
        <v>130275</v>
      </c>
      <c r="B4" s="21" t="s">
        <v>40</v>
      </c>
      <c r="C4" s="21" t="s">
        <v>41</v>
      </c>
      <c r="D4" s="23">
        <v>1103288</v>
      </c>
      <c r="E4" s="21" t="s">
        <v>36</v>
      </c>
      <c r="F4" s="21" t="s">
        <v>42</v>
      </c>
      <c r="G4" s="21">
        <v>0</v>
      </c>
      <c r="H4" s="21">
        <v>1.3</v>
      </c>
      <c r="I4" s="21" t="s">
        <v>43</v>
      </c>
      <c r="J4" s="21" t="s">
        <v>44</v>
      </c>
      <c r="K4" s="21"/>
      <c r="L4" s="34" t="s">
        <v>45</v>
      </c>
      <c r="M4" s="35"/>
      <c r="N4" s="24" t="s">
        <v>30</v>
      </c>
      <c r="O4" s="35"/>
      <c r="P4" s="35"/>
      <c r="Q4" s="35"/>
      <c r="R4" s="35"/>
      <c r="S4" s="35" t="s">
        <v>32</v>
      </c>
      <c r="T4" s="35"/>
      <c r="U4" s="35"/>
    </row>
    <row r="5" spans="1:22" ht="64" x14ac:dyDescent="0.2">
      <c r="A5" s="26">
        <v>130610</v>
      </c>
      <c r="B5" s="26" t="s">
        <v>46</v>
      </c>
      <c r="C5" s="26" t="s">
        <v>47</v>
      </c>
      <c r="D5" s="27">
        <v>1500000</v>
      </c>
      <c r="E5" s="26" t="s">
        <v>36</v>
      </c>
      <c r="F5" s="26" t="s">
        <v>42</v>
      </c>
      <c r="G5" s="26">
        <v>0</v>
      </c>
      <c r="H5" s="26">
        <v>1.5</v>
      </c>
      <c r="I5" s="26" t="s">
        <v>43</v>
      </c>
      <c r="J5" s="26" t="s">
        <v>48</v>
      </c>
      <c r="K5" s="26"/>
      <c r="L5" s="36" t="s">
        <v>45</v>
      </c>
      <c r="M5" s="37"/>
      <c r="N5" s="28" t="s">
        <v>30</v>
      </c>
      <c r="O5" s="37"/>
      <c r="P5" s="37"/>
      <c r="Q5" s="37"/>
      <c r="R5" s="37"/>
      <c r="S5" s="37" t="s">
        <v>32</v>
      </c>
      <c r="T5" s="37"/>
      <c r="U5" s="37"/>
    </row>
    <row r="6" spans="1:22" ht="64" x14ac:dyDescent="0.2">
      <c r="A6" s="38" t="s">
        <v>49</v>
      </c>
      <c r="B6" s="38" t="s">
        <v>50</v>
      </c>
      <c r="C6" s="39"/>
      <c r="D6" s="40">
        <v>2653370</v>
      </c>
      <c r="E6" s="35"/>
      <c r="F6" s="35"/>
      <c r="G6" s="35"/>
      <c r="H6" s="35"/>
      <c r="I6" s="35"/>
      <c r="J6" s="35"/>
      <c r="K6" s="35"/>
      <c r="L6" s="35"/>
      <c r="M6" s="35"/>
      <c r="N6" s="35"/>
      <c r="O6" s="35"/>
      <c r="P6" s="35"/>
      <c r="Q6" s="35"/>
      <c r="R6" s="35"/>
      <c r="S6" s="35"/>
      <c r="T6" s="35"/>
      <c r="U6" s="35"/>
    </row>
    <row r="7" spans="1:22" ht="32" x14ac:dyDescent="0.2">
      <c r="A7" s="41">
        <v>1000659</v>
      </c>
      <c r="B7" s="41" t="s">
        <v>51</v>
      </c>
      <c r="C7" s="39"/>
      <c r="D7" s="42">
        <v>1600000</v>
      </c>
      <c r="E7" s="35"/>
      <c r="F7" s="35"/>
      <c r="G7" s="35"/>
      <c r="H7" s="35"/>
      <c r="I7" s="35"/>
      <c r="J7" s="35"/>
      <c r="K7" s="35"/>
      <c r="L7" s="35"/>
      <c r="M7" s="35"/>
      <c r="N7" s="35"/>
      <c r="O7" s="35"/>
      <c r="P7" s="35"/>
      <c r="Q7" s="35"/>
      <c r="R7" s="35"/>
      <c r="S7" s="35"/>
      <c r="T7" s="35"/>
      <c r="U7" s="35"/>
    </row>
  </sheetData>
  <dataValidations count="9">
    <dataValidation type="list" allowBlank="1" showInputMessage="1" showErrorMessage="1" sqref="Q2:Q5" xr:uid="{4C404F46-55E6-4985-97C2-88373632DBD1}">
      <formula1>"NDC Support, National Strategy, Legal Framework,Incentives and Support, Government Capacity-Building, Carbon Pricing and Monitoring, Financing Model, Business Model"</formula1>
    </dataValidation>
    <dataValidation type="list" allowBlank="1" showInputMessage="1" showErrorMessage="1" sqref="P2:P5" xr:uid="{0273737B-76EB-40B0-B50B-F77C4B8B64B6}">
      <formula1>"AMP, PUDC, Solar4Health, Action Opportunities, Italy UNDP Energy Partnership"</formula1>
    </dataValidation>
    <dataValidation type="list" allowBlank="1" showInputMessage="1" showErrorMessage="1" sqref="N2:N5" xr:uid="{3549482A-FE82-4124-A7A8-DD038FDC6A0B}">
      <formula1>"Accelerating just energy transition, Close the gap on energy access, Scale up energy finance"</formula1>
    </dataValidation>
    <dataValidation type="list" allowBlank="1" showInputMessage="1" showErrorMessage="1" sqref="O2:O5" xr:uid="{40C99FF5-ECAD-4417-87DD-345E8CA0A353}">
      <formula1>"Electricity Access, Energy Efficiency, Clean Cooking, Renewable Energy, Overall"</formula1>
    </dataValidation>
    <dataValidation type="list" allowBlank="1" showInputMessage="1" showErrorMessage="1" sqref="L2:L5" xr:uid="{2D476903-3B83-49F9-8E94-67F9DB79F480}">
      <formula1>"Non-VF, VF"</formula1>
    </dataValidation>
    <dataValidation type="list" allowBlank="1" showInputMessage="1" showErrorMessage="1" sqref="M2:M5" xr:uid="{CC680F3F-D462-4216-813B-F403D98CDDA2}">
      <formula1>"Finance, Gender, Efficiency, Just, Health"</formula1>
    </dataValidation>
    <dataValidation type="list" allowBlank="1" showInputMessage="1" showErrorMessage="1" sqref="T2:T5" xr:uid="{45466C40-9A72-46E0-AD63-5707E038C5CD}">
      <formula1>"National, Regional, City, Community"</formula1>
    </dataValidation>
    <dataValidation type="list" allowBlank="1" showInputMessage="1" showErrorMessage="1" sqref="S2:S5" xr:uid="{395B817C-5356-4D89-A0B1-F2F7B1D6873D}">
      <formula1>"Solar, Wind, Bioenergy, Hydro, Geothermal, Waste, Other, Unknown"</formula1>
    </dataValidation>
    <dataValidation type="list" allowBlank="1" showInputMessage="1" showErrorMessage="1" sqref="R2:R5" xr:uid="{46869B41-24DD-4092-B90D-89427FBD8744}">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FFFA2218-4C94-4720-AABA-85586434CB9E}"/>
    <hyperlink ref="C3" r:id="rId2" xr:uid="{B8449B8B-7D94-4D0A-B9E4-E2FEDAE4C7DF}"/>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C45F2D97-A3FF-4720-965C-1A24CEA71124}">
          <x14:formula1>
            <xm:f>'Beneficiary Categories'!$A$2:$A$16</xm:f>
          </x14:formula1>
          <xm:sqref>E6:E7</xm:sqref>
        </x14:dataValidation>
        <x14:dataValidation type="list" allowBlank="1" showInputMessage="1" showErrorMessage="1" xr:uid="{C5738672-2C59-4B11-A268-4155B14971E0}">
          <x14:formula1>
            <xm:f>'Beneficiary Categories'!$A$2:$A$22</xm:f>
          </x14:formula1>
          <xm:sqref>E2 E4:E5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7E6C-085A-4626-810E-BBC149DCB5D4}">
  <dimension ref="A1:S7"/>
  <sheetViews>
    <sheetView topLeftCell="C2" workbookViewId="0">
      <selection activeCell="G5" sqref="G5"/>
    </sheetView>
  </sheetViews>
  <sheetFormatPr baseColWidth="10" defaultColWidth="8.83203125" defaultRowHeight="15" x14ac:dyDescent="0.2"/>
  <cols>
    <col min="2" max="2" width="35.5" customWidth="1"/>
    <col min="3" max="3" width="20.6640625" customWidth="1"/>
    <col min="4" max="4" width="11" customWidth="1"/>
    <col min="5" max="6" width="20.6640625" customWidth="1"/>
    <col min="7" max="8" width="12.6640625" customWidth="1"/>
    <col min="9" max="9" width="32.6640625" customWidth="1"/>
    <col min="10" max="12" width="31.5" customWidth="1"/>
    <col min="13" max="13" width="58.1640625" customWidth="1"/>
  </cols>
  <sheetData>
    <row r="1" spans="1:19" x14ac:dyDescent="0.2">
      <c r="A1" s="10" t="s">
        <v>0</v>
      </c>
      <c r="B1" s="10" t="s">
        <v>1</v>
      </c>
      <c r="C1" s="10" t="s">
        <v>2</v>
      </c>
      <c r="D1" s="10" t="s">
        <v>3</v>
      </c>
      <c r="E1" s="10" t="s">
        <v>4</v>
      </c>
      <c r="F1" s="10" t="s">
        <v>5</v>
      </c>
      <c r="G1" s="10" t="s">
        <v>6</v>
      </c>
      <c r="H1" s="10" t="s">
        <v>7</v>
      </c>
      <c r="I1" s="10" t="s">
        <v>8</v>
      </c>
      <c r="J1" s="11" t="s">
        <v>9</v>
      </c>
      <c r="K1" s="11" t="s">
        <v>10</v>
      </c>
      <c r="L1" s="11" t="s">
        <v>52</v>
      </c>
      <c r="M1" s="11" t="s">
        <v>53</v>
      </c>
      <c r="O1" s="2" t="s">
        <v>13</v>
      </c>
      <c r="P1" s="2" t="s">
        <v>14</v>
      </c>
      <c r="Q1" s="2" t="s">
        <v>15</v>
      </c>
      <c r="R1" s="2" t="s">
        <v>16</v>
      </c>
      <c r="S1" s="2" t="s">
        <v>17</v>
      </c>
    </row>
    <row r="2" spans="1:19" ht="192" customHeight="1" x14ac:dyDescent="0.2">
      <c r="A2" s="12">
        <v>6249</v>
      </c>
      <c r="B2" s="12" t="s">
        <v>22</v>
      </c>
      <c r="C2" s="12" t="s">
        <v>54</v>
      </c>
      <c r="D2" s="13">
        <v>6212694</v>
      </c>
      <c r="E2" s="14" t="s">
        <v>36</v>
      </c>
      <c r="F2" s="15" t="s">
        <v>42</v>
      </c>
      <c r="G2" s="16" t="s">
        <v>55</v>
      </c>
      <c r="H2" s="14">
        <v>1</v>
      </c>
      <c r="I2" s="17" t="s">
        <v>26</v>
      </c>
      <c r="J2" s="12" t="s">
        <v>27</v>
      </c>
      <c r="K2" s="12"/>
      <c r="L2" s="12" t="s">
        <v>28</v>
      </c>
      <c r="M2" s="15" t="s">
        <v>56</v>
      </c>
      <c r="O2" t="s">
        <v>57</v>
      </c>
      <c r="P2" t="s">
        <v>58</v>
      </c>
    </row>
    <row r="3" spans="1:19" ht="144" x14ac:dyDescent="0.2">
      <c r="A3" s="12">
        <v>4998</v>
      </c>
      <c r="B3" s="12" t="s">
        <v>34</v>
      </c>
      <c r="C3" s="12" t="s">
        <v>54</v>
      </c>
      <c r="D3" s="13">
        <v>3536364</v>
      </c>
      <c r="E3" s="14" t="s">
        <v>36</v>
      </c>
      <c r="F3" s="15" t="s">
        <v>42</v>
      </c>
      <c r="G3" s="16" t="s">
        <v>55</v>
      </c>
      <c r="H3" s="14">
        <v>18</v>
      </c>
      <c r="I3" s="17" t="s">
        <v>39</v>
      </c>
      <c r="J3" s="12" t="s">
        <v>27</v>
      </c>
      <c r="K3" s="12"/>
      <c r="L3" s="12" t="s">
        <v>28</v>
      </c>
      <c r="M3" s="18"/>
      <c r="O3" t="s">
        <v>57</v>
      </c>
      <c r="P3" t="s">
        <v>58</v>
      </c>
    </row>
    <row r="4" spans="1:19" ht="96" x14ac:dyDescent="0.2">
      <c r="A4" s="12">
        <v>130275</v>
      </c>
      <c r="B4" s="12" t="s">
        <v>40</v>
      </c>
      <c r="C4" s="12" t="s">
        <v>41</v>
      </c>
      <c r="D4" s="13">
        <v>1103288</v>
      </c>
      <c r="E4" s="12" t="s">
        <v>36</v>
      </c>
      <c r="F4" s="15" t="s">
        <v>42</v>
      </c>
      <c r="G4" s="16" t="s">
        <v>55</v>
      </c>
      <c r="H4" s="12">
        <v>1.3</v>
      </c>
      <c r="I4" s="15" t="s">
        <v>43</v>
      </c>
      <c r="J4" s="12" t="s">
        <v>44</v>
      </c>
      <c r="K4" s="12"/>
      <c r="L4" s="12" t="s">
        <v>45</v>
      </c>
      <c r="M4" s="18"/>
      <c r="O4" t="s">
        <v>57</v>
      </c>
      <c r="P4" t="s">
        <v>58</v>
      </c>
    </row>
    <row r="5" spans="1:19" ht="96" x14ac:dyDescent="0.2">
      <c r="A5" s="12">
        <v>130610</v>
      </c>
      <c r="B5" s="12" t="s">
        <v>46</v>
      </c>
      <c r="C5" s="12" t="s">
        <v>47</v>
      </c>
      <c r="D5" s="13">
        <v>1500000</v>
      </c>
      <c r="E5" s="12" t="s">
        <v>36</v>
      </c>
      <c r="F5" s="15" t="s">
        <v>42</v>
      </c>
      <c r="G5" s="16" t="s">
        <v>55</v>
      </c>
      <c r="H5" s="12">
        <v>1.5</v>
      </c>
      <c r="I5" s="15" t="s">
        <v>43</v>
      </c>
      <c r="J5" s="12" t="s">
        <v>48</v>
      </c>
      <c r="K5" s="12"/>
      <c r="L5" s="12" t="s">
        <v>45</v>
      </c>
      <c r="M5" s="18"/>
      <c r="O5" t="s">
        <v>57</v>
      </c>
      <c r="P5" t="s">
        <v>58</v>
      </c>
    </row>
    <row r="6" spans="1:19" x14ac:dyDescent="0.2">
      <c r="A6" s="4"/>
      <c r="B6" s="4"/>
      <c r="C6" s="4"/>
      <c r="D6" s="4"/>
      <c r="E6" s="4"/>
      <c r="F6" s="4"/>
    </row>
    <row r="7" spans="1:19" x14ac:dyDescent="0.2">
      <c r="B7" s="9"/>
    </row>
  </sheetData>
  <dataValidations count="5">
    <dataValidation type="list" allowBlank="1" showInputMessage="1" showErrorMessage="1" sqref="O2:O5" xr:uid="{A912A123-346C-452C-B27F-937501123ED2}">
      <formula1>"Accelerating just energy transition, Close the gap on energy access, Scale up energy finance"</formula1>
    </dataValidation>
    <dataValidation type="list" allowBlank="1" showInputMessage="1" showErrorMessage="1" sqref="P2:P5" xr:uid="{4F6B8468-D479-4BBC-80D1-BC38D554F4D8}">
      <formula1>"Electricity Access, Energy Efficiency, Clean Cooking, Renewable Energy"</formula1>
    </dataValidation>
    <dataValidation type="list" allowBlank="1" showInputMessage="1" showErrorMessage="1" sqref="Q2:Q5" xr:uid="{FE843F30-DB4E-4981-852C-24ABE0EE44B3}">
      <formula1>"AMP, PUDC, Solar4Health, Action Opportunities, Italy UNDP Energy Partnership"</formula1>
    </dataValidation>
    <dataValidation type="list" allowBlank="1" showInputMessage="1" showErrorMessage="1" sqref="R2:R5" xr:uid="{56E11453-CC64-4270-BBBB-6AACC413C194}">
      <formula1>"NDC Support, National Strategy, Legal Framework,Incentives and Support, Government Capacity-Building, Carbon Pricing and Monitoring, Financing Model, Business Model"</formula1>
    </dataValidation>
    <dataValidation type="list" allowBlank="1" showInputMessage="1" showErrorMessage="1" sqref="S2:S5" xr:uid="{4309E899-C238-40A8-90BB-6781B820B3A2}">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BA09A2D-3FC1-4AD2-8748-AF53871F216D}">
          <x14:formula1>
            <xm:f>'Beneficiary Categories'!$A$2:$A$16</xm:f>
          </x14:formula1>
          <xm:sqref>E2:E7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
  <sheetViews>
    <sheetView topLeftCell="H4" workbookViewId="0">
      <selection activeCell="H4" sqref="H4"/>
    </sheetView>
  </sheetViews>
  <sheetFormatPr baseColWidth="10" defaultColWidth="8.83203125" defaultRowHeight="15" x14ac:dyDescent="0.2"/>
  <cols>
    <col min="2" max="2" width="35.5" customWidth="1"/>
    <col min="3" max="3" width="20.6640625" customWidth="1"/>
    <col min="4" max="4" width="11" customWidth="1"/>
    <col min="5" max="6" width="20.6640625" customWidth="1"/>
    <col min="7" max="8" width="12.6640625" customWidth="1"/>
    <col min="9" max="9" width="32.6640625" customWidth="1"/>
    <col min="10" max="10" width="31.5" customWidth="1"/>
    <col min="11" max="11" width="50.5" customWidth="1"/>
  </cols>
  <sheetData>
    <row r="1" spans="1:11" x14ac:dyDescent="0.2">
      <c r="A1" s="1" t="s">
        <v>0</v>
      </c>
      <c r="B1" s="1" t="s">
        <v>1</v>
      </c>
      <c r="C1" s="1" t="s">
        <v>2</v>
      </c>
      <c r="D1" s="1" t="s">
        <v>3</v>
      </c>
      <c r="E1" s="1" t="s">
        <v>4</v>
      </c>
      <c r="F1" s="1" t="s">
        <v>5</v>
      </c>
      <c r="G1" s="1" t="s">
        <v>6</v>
      </c>
      <c r="H1" s="1" t="s">
        <v>7</v>
      </c>
      <c r="I1" s="1" t="s">
        <v>8</v>
      </c>
      <c r="J1" s="2" t="s">
        <v>9</v>
      </c>
      <c r="K1" s="2" t="s">
        <v>53</v>
      </c>
    </row>
    <row r="2" spans="1:11" ht="409.6" x14ac:dyDescent="0.2">
      <c r="A2" s="4">
        <v>6249</v>
      </c>
      <c r="B2" s="4" t="s">
        <v>22</v>
      </c>
      <c r="C2" s="4" t="s">
        <v>54</v>
      </c>
      <c r="D2" s="5">
        <v>6212694</v>
      </c>
      <c r="E2" s="6" t="s">
        <v>36</v>
      </c>
      <c r="F2" s="7" t="s">
        <v>59</v>
      </c>
      <c r="G2" s="3" t="s">
        <v>55</v>
      </c>
      <c r="H2" s="6">
        <v>1</v>
      </c>
      <c r="I2" s="8" t="s">
        <v>26</v>
      </c>
      <c r="J2" s="4" t="s">
        <v>27</v>
      </c>
      <c r="K2" s="7" t="s">
        <v>60</v>
      </c>
    </row>
    <row r="3" spans="1:11" ht="144" x14ac:dyDescent="0.2">
      <c r="A3" s="4">
        <v>4998</v>
      </c>
      <c r="B3" s="4" t="s">
        <v>34</v>
      </c>
      <c r="C3" s="4" t="s">
        <v>54</v>
      </c>
      <c r="D3" s="5">
        <v>3536364</v>
      </c>
      <c r="E3" s="6" t="s">
        <v>36</v>
      </c>
      <c r="F3" s="7" t="s">
        <v>59</v>
      </c>
      <c r="G3" s="3" t="s">
        <v>55</v>
      </c>
      <c r="H3" s="6">
        <v>18</v>
      </c>
      <c r="I3" s="8" t="s">
        <v>39</v>
      </c>
      <c r="J3" s="4" t="s">
        <v>27</v>
      </c>
    </row>
    <row r="4" spans="1:11" ht="96" x14ac:dyDescent="0.2">
      <c r="A4" s="4">
        <v>130275</v>
      </c>
      <c r="B4" s="4" t="s">
        <v>40</v>
      </c>
      <c r="C4" s="4" t="s">
        <v>41</v>
      </c>
      <c r="D4" s="5">
        <v>1103288</v>
      </c>
      <c r="E4" s="4" t="s">
        <v>36</v>
      </c>
      <c r="F4" s="7" t="s">
        <v>59</v>
      </c>
      <c r="G4" s="3" t="s">
        <v>55</v>
      </c>
      <c r="H4" s="4">
        <v>1.3</v>
      </c>
      <c r="I4" s="7" t="s">
        <v>43</v>
      </c>
      <c r="J4" s="4" t="s">
        <v>44</v>
      </c>
    </row>
    <row r="5" spans="1:11" ht="96" x14ac:dyDescent="0.2">
      <c r="A5" s="4">
        <v>130610</v>
      </c>
      <c r="B5" s="4" t="s">
        <v>46</v>
      </c>
      <c r="C5" s="4" t="s">
        <v>47</v>
      </c>
      <c r="D5" s="5">
        <v>1500000</v>
      </c>
      <c r="E5" s="4" t="s">
        <v>36</v>
      </c>
      <c r="F5" s="7" t="s">
        <v>59</v>
      </c>
      <c r="G5" s="3" t="s">
        <v>55</v>
      </c>
      <c r="H5" s="4">
        <v>1.5</v>
      </c>
      <c r="I5" s="7" t="s">
        <v>43</v>
      </c>
      <c r="J5" s="4" t="s">
        <v>48</v>
      </c>
    </row>
    <row r="6" spans="1:11" x14ac:dyDescent="0.2">
      <c r="A6" s="4"/>
      <c r="B6" s="4"/>
      <c r="C6" s="4"/>
      <c r="D6" s="4"/>
      <c r="E6" s="4"/>
      <c r="F6" s="4"/>
    </row>
    <row r="7" spans="1:11" x14ac:dyDescent="0.2">
      <c r="B7" s="9"/>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election activeCell="A13" sqref="A13"/>
    </sheetView>
  </sheetViews>
  <sheetFormatPr baseColWidth="10" defaultColWidth="8.83203125" defaultRowHeight="15" customHeight="1" x14ac:dyDescent="0.2"/>
  <cols>
    <col min="1" max="2" width="52.6640625" customWidth="1"/>
  </cols>
  <sheetData>
    <row r="1" spans="1:2" ht="16" x14ac:dyDescent="0.2">
      <c r="A1" s="19" t="s">
        <v>4</v>
      </c>
      <c r="B1" s="19" t="s">
        <v>5</v>
      </c>
    </row>
    <row r="2" spans="1:2" ht="32" x14ac:dyDescent="0.2">
      <c r="A2" s="44" t="s">
        <v>24</v>
      </c>
      <c r="B2" s="20" t="s">
        <v>61</v>
      </c>
    </row>
    <row r="3" spans="1:2" ht="16" x14ac:dyDescent="0.2">
      <c r="A3" s="44" t="s">
        <v>36</v>
      </c>
      <c r="B3" s="20" t="s">
        <v>62</v>
      </c>
    </row>
    <row r="4" spans="1:2" ht="32" x14ac:dyDescent="0.2">
      <c r="A4" s="44" t="s">
        <v>63</v>
      </c>
      <c r="B4" s="20" t="s">
        <v>64</v>
      </c>
    </row>
    <row r="5" spans="1:2" ht="32" x14ac:dyDescent="0.2">
      <c r="A5" s="44" t="s">
        <v>65</v>
      </c>
      <c r="B5" s="20" t="s">
        <v>66</v>
      </c>
    </row>
    <row r="6" spans="1:2" ht="96" x14ac:dyDescent="0.2">
      <c r="A6" s="44" t="s">
        <v>67</v>
      </c>
      <c r="B6" s="20" t="s">
        <v>68</v>
      </c>
    </row>
    <row r="7" spans="1:2" ht="48" x14ac:dyDescent="0.2">
      <c r="A7" s="44" t="s">
        <v>69</v>
      </c>
      <c r="B7" s="20" t="s">
        <v>70</v>
      </c>
    </row>
    <row r="8" spans="1:2" ht="32" x14ac:dyDescent="0.2">
      <c r="A8" s="44" t="s">
        <v>71</v>
      </c>
      <c r="B8" s="20" t="s">
        <v>72</v>
      </c>
    </row>
    <row r="9" spans="1:2" ht="32" x14ac:dyDescent="0.2">
      <c r="A9" s="44" t="s">
        <v>73</v>
      </c>
      <c r="B9" s="20" t="s">
        <v>74</v>
      </c>
    </row>
    <row r="10" spans="1:2" ht="23.25" customHeight="1" x14ac:dyDescent="0.2">
      <c r="A10" s="44" t="s">
        <v>75</v>
      </c>
      <c r="B10" s="45" t="s">
        <v>76</v>
      </c>
    </row>
    <row r="11" spans="1:2" ht="26.25" customHeight="1" x14ac:dyDescent="0.2">
      <c r="A11" s="44" t="s">
        <v>77</v>
      </c>
      <c r="B11" s="45" t="s">
        <v>78</v>
      </c>
    </row>
    <row r="12" spans="1:2" ht="48" x14ac:dyDescent="0.2">
      <c r="A12" s="44" t="s">
        <v>79</v>
      </c>
      <c r="B12" s="20" t="s">
        <v>80</v>
      </c>
    </row>
    <row r="13" spans="1:2" ht="17.25" customHeight="1" x14ac:dyDescent="0.2">
      <c r="A13" s="44" t="s">
        <v>81</v>
      </c>
      <c r="B13" s="45" t="s">
        <v>82</v>
      </c>
    </row>
    <row r="14" spans="1:2" ht="16.5" customHeight="1" x14ac:dyDescent="0.2">
      <c r="A14" s="44" t="s">
        <v>83</v>
      </c>
      <c r="B14" s="45" t="s">
        <v>84</v>
      </c>
    </row>
    <row r="15" spans="1:2" ht="28.5" customHeight="1" x14ac:dyDescent="0.2">
      <c r="A15" s="44" t="s">
        <v>85</v>
      </c>
      <c r="B15" s="45" t="s">
        <v>86</v>
      </c>
    </row>
    <row r="16" spans="1:2" ht="28.5" customHeight="1" x14ac:dyDescent="0.2">
      <c r="A16" s="44" t="s">
        <v>87</v>
      </c>
      <c r="B16" s="45" t="s">
        <v>88</v>
      </c>
    </row>
    <row r="17" spans="1:2" ht="32" x14ac:dyDescent="0.2">
      <c r="A17" s="44" t="s">
        <v>89</v>
      </c>
      <c r="B17" s="20" t="s">
        <v>90</v>
      </c>
    </row>
    <row r="18" spans="1:2" ht="32" x14ac:dyDescent="0.2">
      <c r="A18" s="44" t="s">
        <v>91</v>
      </c>
      <c r="B18" s="45" t="s">
        <v>92</v>
      </c>
    </row>
    <row r="19" spans="1:2" ht="64" x14ac:dyDescent="0.2">
      <c r="A19" s="44" t="s">
        <v>93</v>
      </c>
      <c r="B19" s="45" t="s">
        <v>94</v>
      </c>
    </row>
    <row r="20" spans="1:2" ht="16" x14ac:dyDescent="0.2">
      <c r="A20" s="44" t="s">
        <v>95</v>
      </c>
      <c r="B20" s="45" t="s">
        <v>96</v>
      </c>
    </row>
    <row r="21" spans="1:2" ht="32" x14ac:dyDescent="0.2">
      <c r="A21" s="44" t="s">
        <v>19</v>
      </c>
      <c r="B21" s="46" t="s">
        <v>97</v>
      </c>
    </row>
    <row r="22" spans="1:2" ht="16" x14ac:dyDescent="0.2">
      <c r="A22" s="44" t="s">
        <v>98</v>
      </c>
      <c r="B22" s="45" t="s">
        <v>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9" ma:contentTypeDescription="Create a new document." ma:contentTypeScope="" ma:versionID="2f2730339429c0b8052a07257e70ff76">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fe4d4c93f61cf6f34f7f371336feb375"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16DE85A9-0EC5-4049-9AA8-BBFCAF6070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0239d0-7d3a-4257-bb40-a2a3b1409bb2"/>
    <ds:schemaRef ds:uri="fb9e4d32-074f-4c04-81ef-e811753df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CD5EC3C-3617-47F0-ACAC-D4750BF6D08C}">
  <ds:schemaRefs>
    <ds:schemaRef ds:uri="http://schemas.microsoft.com/sharepoint/v3/contenttype/forms"/>
  </ds:schemaRefs>
</ds:datastoreItem>
</file>

<file path=customXml/itemProps3.xml><?xml version="1.0" encoding="utf-8"?>
<ds:datastoreItem xmlns:ds="http://schemas.openxmlformats.org/officeDocument/2006/customXml" ds:itemID="{E9B7122A-5D01-4BEA-85B8-2FA311C18782}">
  <ds:schemaRefs>
    <ds:schemaRef ds:uri="http://schemas.microsoft.com/office/2006/metadata/properties"/>
    <ds:schemaRef ds:uri="http://schemas.microsoft.com/office/infopath/2007/PartnerControls"/>
    <ds:schemaRef ds:uri="720239d0-7d3a-4257-bb40-a2a3b1409bb2"/>
    <ds:schemaRef ds:uri="fb9e4d32-074f-4c04-81ef-e811753dfd59"/>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Projects (3)</vt:lpstr>
      <vt:lpstr>Projects (2)</vt:lpstr>
      <vt:lpstr>Projects</vt:lpstr>
      <vt:lpstr>Beneficiary 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Bayoumi</dc:creator>
  <cp:keywords/>
  <dc:description/>
  <cp:lastModifiedBy>UNDP SEH</cp:lastModifiedBy>
  <cp:revision/>
  <dcterms:created xsi:type="dcterms:W3CDTF">2023-05-05T09:33:41Z</dcterms:created>
  <dcterms:modified xsi:type="dcterms:W3CDTF">2026-01-19T20:58:21Z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