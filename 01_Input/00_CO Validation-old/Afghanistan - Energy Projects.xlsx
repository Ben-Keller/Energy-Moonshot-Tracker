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525" documentId="11_F15850ED0455DC3797A53417E9CD7CB278855C13" xr6:coauthVersionLast="47" xr6:coauthVersionMax="47" xr10:uidLastSave="{7D926498-A605-43FE-8742-7F612DB49A7C}"/>
  <bookViews>
    <workbookView minimized="1" xWindow="7575" yWindow="-15780" windowWidth="15375" windowHeight="7785"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4" l="1"/>
  <c r="K4" i="3"/>
  <c r="K4" i="1"/>
</calcChain>
</file>

<file path=xl/sharedStrings.xml><?xml version="1.0" encoding="utf-8"?>
<sst xmlns="http://schemas.openxmlformats.org/spreadsheetml/2006/main" count="301" uniqueCount="137">
  <si>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</si>
  <si>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</si>
  <si>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</si>
  <si>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</si>
  <si>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</si>
  <si>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</si>
  <si>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</si>
  <si>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</si>
  <si>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</si>
  <si>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</si>
  <si>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</si>
  <si>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</si>
  <si>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</si>
  <si>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</si>
  <si>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</si>
  <si>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</si>
  <si>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</si>
  <si>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</si>
  <si>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</si>
  <si>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</si>
  <si>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</si>
  <si>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</si>
  <si>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Rural Energy Market Transform (AREMTI)</t>
  </si>
  <si>
    <t>https://open.undp.org/projects/00132059</t>
  </si>
  <si>
    <t>Energy (MW added)</t>
  </si>
  <si>
    <t>Renewable energy capacity installed</t>
  </si>
  <si>
    <t>Absent RE mini-grids for energy access in the selected areas</t>
  </si>
  <si>
    <r>
      <rPr>
        <sz val="11"/>
        <color rgb="FF000000"/>
        <rFont val="Calibri"/>
      </rPr>
      <t xml:space="preserve">Project is on hold by GCF due to the change of regime in the country. </t>
    </r>
    <r>
      <rPr>
        <sz val="11"/>
        <color rgb="FFFF0000"/>
        <rFont val="Calibri"/>
      </rPr>
      <t>As of 2021, the project had ended due to uncertain reasons and did not complete its duration as per the ProDoc.</t>
    </r>
  </si>
  <si>
    <t>GCF (including 17,198,843) , UNDP, Ministry of Rural Rehabilitation and
Development (MRRD)</t>
  </si>
  <si>
    <t>VF</t>
  </si>
  <si>
    <t>Close the gap on energy access</t>
  </si>
  <si>
    <t>Solar</t>
  </si>
  <si>
    <t>yes</t>
  </si>
  <si>
    <t xml:space="preserve"> Sustainable Energy Services for Education and Health in Afghanistan (SESEHA)</t>
  </si>
  <si>
    <t>https://open.undp.org/projects/00147445</t>
  </si>
  <si>
    <t>Health Services</t>
  </si>
  <si>
    <t>Number of people, who benefitted from services from clean, affordable and sustainable energy (disaggregated by sex)</t>
  </si>
  <si>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</si>
  <si>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</si>
  <si>
    <t>BMZ (Federal Ministry for Economic Cooperation and Development) through KFW (German Development Bank)</t>
  </si>
  <si>
    <t>Non-VF</t>
  </si>
  <si>
    <t>Health</t>
  </si>
  <si>
    <t>Accelerating just energy transition</t>
  </si>
  <si>
    <t>ABADEI 2.0</t>
  </si>
  <si>
    <t> </t>
  </si>
  <si>
    <t>Electricity Access</t>
  </si>
  <si>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</si>
  <si>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</si>
  <si>
    <t>Government of Japan</t>
  </si>
  <si>
    <t>ABADEI 1.0 (PIP)</t>
  </si>
  <si>
    <t>https://open.undp.org/projects/00138844</t>
  </si>
  <si>
    <t>Number of individuals who gained access to clean and affordable energy  (disaggregated by sex)</t>
  </si>
  <si>
    <t>11000 HH</t>
  </si>
  <si>
    <t>Government of Japan, UNDP</t>
  </si>
  <si>
    <t>Clean Cooking</t>
  </si>
  <si>
    <t>10000 HH</t>
  </si>
  <si>
    <t xml:space="preserve">Strengthening Community Safety Well-being and Humanitarian Security in Afghanistan </t>
  </si>
  <si>
    <t>Medium Enterprises</t>
  </si>
  <si>
    <t>Solarization of production facilities of 60 selected SMEs</t>
  </si>
  <si>
    <t>Afghanistan Sustainable Energy for Rural Development (ASERD)</t>
  </si>
  <si>
    <t>Number of households with access to energy, disaggregated by female headed households</t>
  </si>
  <si>
    <t>40000 HH</t>
  </si>
  <si>
    <t>200000 HH</t>
  </si>
  <si>
    <r>
      <rPr>
        <sz val="11"/>
        <color rgb="FF000000"/>
        <rFont val="Calibri"/>
      </rPr>
      <t xml:space="preserve">ASERD project was operationally completed in 2020. The beneficiaries continue to be served through this project and has increased since the commissioning of the minigrid.  </t>
    </r>
    <r>
      <rPr>
        <sz val="11"/>
        <color rgb="FFFF0000"/>
        <rFont val="Calibri"/>
      </rPr>
      <t>Provide access to 1,608,000 households with energy, including female-headed households, through the Afghanistan Sustainable Energy for Rural Development (ASERD) project. The project has ended in of 2022</t>
    </r>
  </si>
  <si>
    <t>Republic of Korea, UNDP, Canada, Spain</t>
  </si>
  <si>
    <t>Community-based Agriculture and Development Project</t>
  </si>
  <si>
    <t>https://open.undp.org/projects/00122244</t>
  </si>
  <si>
    <t>Energy Transition</t>
  </si>
  <si>
    <t xml:space="preserve">Number of farmers who benefited from the provision of solar dryers
Number of production companies supported through the installation of solar energy systems
</t>
  </si>
  <si>
    <t>A total of 1,551 farmers across various regions benefited from the provision of solar dryers, enabling them to employ improved drying technologies. Additionally, nine production companies (seven male-owned and two female-owned) were supported in adopting green energy solutions through the installation of 783 kW of solar energy systems tailored to their production needs. Furthermore, 171 greenhouses were rehabilitated and upgraded to utilize solar technology, with the solar systems collectively generating 85 kW of power.</t>
  </si>
  <si>
    <t>Us Int'L Narcotics &amp; Law Enfmnt Affairs</t>
  </si>
  <si>
    <t>NON-VF</t>
  </si>
  <si>
    <t>Category</t>
  </si>
  <si>
    <t>US$21,398,843</t>
  </si>
  <si>
    <t>Project is on hold by GCF due to the change of regime in the country</t>
  </si>
  <si>
    <t>GCF(including US$17,198,843) , UNDP, Ministry of Rural Rehabilitation and
Development (MRRD)</t>
  </si>
  <si>
    <t>Renewable Energy</t>
  </si>
  <si>
    <t>US$60,110,220</t>
  </si>
  <si>
    <t>BMZ(Federal Ministry for Economic Cooperation and Development) through KFW (German Development Bank)</t>
  </si>
  <si>
    <t>h</t>
  </si>
  <si>
    <t>US$8,726,624</t>
  </si>
  <si>
    <t>Health Services; Education Services</t>
  </si>
  <si>
    <t>Total number of beneficiaries : 1,188,687 (Female: 414,661)
Energy Kits: 6,446 (Health facilities: 37 ;
Education Facility: 52; Community members: 6357)
Energy system installed: 687
(Health Facility: 202; Educational Institutions (Including religious) : 483; Community: 2)</t>
  </si>
  <si>
    <t xml:space="preserve"> US$12,895,159 </t>
  </si>
  <si>
    <t xml:space="preserve">Electricity Access </t>
  </si>
  <si>
    <t>11,000 households</t>
  </si>
  <si>
    <t>10,000 HH</t>
  </si>
  <si>
    <t xml:space="preserve"> US$1,253,880 </t>
  </si>
  <si>
    <t xml:space="preserve"> US$12,846,044 </t>
  </si>
  <si>
    <t>40,000 households</t>
  </si>
  <si>
    <t>200,000 households</t>
  </si>
  <si>
    <t xml:space="preserve">ASERD project was operationally completed in 2020. The beneficiaries continue to be served through this project and has increased since the commissioning of the minigrid. </t>
  </si>
  <si>
    <t xml:space="preserve">US$21,398,843 (including US$17,198,843 from GCF) </t>
  </si>
  <si>
    <t>2.6 MW solar mini-grids</t>
  </si>
  <si>
    <t>GCF, UNDP, Ministry of Rural Rehabilitation and
Development (MRRD)</t>
  </si>
  <si>
    <t xml:space="preserve">US$60,110,220 (Total contribution for 66 months from 1 Januray 2023 to 30 June 2028 ) </t>
  </si>
  <si>
    <t xml:space="preserve">Phase I: Target number of public facilities – approx. 792 ; Health facilities – 92 and Education facilities – 700 
~ tentative/likely reach of 0.5 - 1 million people for both sectors (~ at least 0.5 million women ) </t>
  </si>
  <si>
    <t xml:space="preserve">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
  </si>
  <si>
    <t xml:space="preserve">US$8,726,624 (Total for 2023 year) </t>
  </si>
  <si>
    <t xml:space="preserve"> 
 1000 (Target 2023)
150,000 (Target 2023)
</t>
  </si>
  <si>
    <t>Baseline is ABADEI-1.0 achievement until 31 March 2023</t>
  </si>
  <si>
    <t>10 PV System: 11,000 household
cooking devices: 10,000 HHs</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</si>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</sst>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sz val="11"/>
      <color rgb="FF000000"/>
      <name val="Calibri"/>
      <family val="2"/>
    </font>
    <font>
      <sz val="11"/>
      <name val="Calibri"/>
      <family val="2"/>
    </font>
    <font>
      <u/>
      <sz val="11"/>
      <color theme="10"/>
      <name val="Calibri"/>
      <family val="2"/>
      <scheme val="minor"/>
    </font>
    <font>
      <b/>
      <sz val="11"/>
      <color theme="1"/>
      <name val="Calibri"/>
      <scheme val="minor"/>
    </font>
    <font>
      <sz val="11"/>
      <color rgb="FF000000"/>
      <name val="Calibri"/>
      <scheme val="minor"/>
    </font>
    <font>
      <sz val="11"/>
      <color rgb="FF000000"/>
      <name val="Calibri"/>
    </font>
    <font>
      <sz val="11"/>
      <color rgb="FFFF0000"/>
      <name val="Calibri"/>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62">
    <xf numFmtId="0" fontId="0" fillId="0" borderId="0" xfId="0"/>
    <xf numFmtId="0" fontId="2" fillId="0" borderId="1" xfId="0" applyFont="1" applyBorder="1" applyAlignment="1">
      <alignment horizontal="center" vertical="top"/>
    </xf>
    <xf numFmtId="0" fontId="2" fillId="0" borderId="2" xfId="0" applyFont="1" applyBorder="1"/>
    <xf numFmtId="0" fontId="3" fillId="0" borderId="1" xfId="0" applyFont="1" applyBorder="1" applyAlignment="1">
      <alignment vertical="center" wrapText="1"/>
    </xf>
    <xf numFmtId="0" fontId="3" fillId="0" borderId="3" xfId="0" applyFont="1" applyBorder="1" applyAlignment="1">
      <alignment vertical="center" wrapText="1"/>
    </xf>
    <xf numFmtId="0" fontId="0" fillId="0" borderId="0" xfId="0" applyAlignment="1">
      <alignment vertical="center"/>
    </xf>
    <xf numFmtId="0" fontId="4" fillId="0" borderId="1" xfId="0" applyFont="1" applyBorder="1" applyAlignment="1">
      <alignment vertical="center" wrapText="1"/>
    </xf>
    <xf numFmtId="0" fontId="3" fillId="0" borderId="0" xfId="0" applyFont="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vertical="center"/>
    </xf>
    <xf numFmtId="0" fontId="4" fillId="0" borderId="5" xfId="0" applyFont="1" applyBorder="1" applyAlignment="1">
      <alignment vertical="center" wrapText="1"/>
    </xf>
    <xf numFmtId="0" fontId="3" fillId="0" borderId="3" xfId="0" applyFont="1" applyBorder="1" applyAlignment="1">
      <alignment vertical="center"/>
    </xf>
    <xf numFmtId="0" fontId="2" fillId="2" borderId="2" xfId="0" applyFont="1" applyFill="1" applyBorder="1"/>
    <xf numFmtId="0" fontId="2" fillId="2" borderId="1" xfId="0" applyFont="1" applyFill="1" applyBorder="1" applyAlignment="1">
      <alignment horizontal="center" vertical="top"/>
    </xf>
    <xf numFmtId="0" fontId="2" fillId="0" borderId="0" xfId="0" applyFont="1"/>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5" fillId="0" borderId="3" xfId="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0" borderId="8" xfId="0" applyBorder="1" applyAlignment="1">
      <alignment horizontal="center" vertical="center"/>
    </xf>
    <xf numFmtId="0" fontId="3" fillId="0" borderId="0" xfId="0" applyFont="1" applyAlignment="1">
      <alignment horizontal="center" vertical="center" wrapText="1"/>
    </xf>
    <xf numFmtId="0" fontId="4" fillId="0" borderId="1" xfId="0" applyFont="1" applyBorder="1" applyAlignment="1">
      <alignment horizontal="center" vertical="center" wrapText="1"/>
    </xf>
    <xf numFmtId="9" fontId="0" fillId="0" borderId="8" xfId="0" applyNumberForma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4" fillId="0" borderId="5" xfId="0" applyFont="1" applyBorder="1" applyAlignment="1">
      <alignment horizontal="center" vertical="center" wrapText="1"/>
    </xf>
    <xf numFmtId="0" fontId="3" fillId="0" borderId="10" xfId="0" applyFont="1" applyBorder="1" applyAlignment="1">
      <alignment horizontal="center" vertical="center" wrapText="1"/>
    </xf>
    <xf numFmtId="10" fontId="0" fillId="0" borderId="8" xfId="0" applyNumberFormat="1" applyBorder="1" applyAlignment="1">
      <alignment horizontal="center" vertical="center"/>
    </xf>
    <xf numFmtId="0" fontId="3" fillId="0" borderId="11" xfId="0" applyFont="1" applyBorder="1" applyAlignment="1">
      <alignment horizontal="center" vertical="center" wrapText="1"/>
    </xf>
    <xf numFmtId="0" fontId="3" fillId="0" borderId="3"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3" fillId="0" borderId="15" xfId="0" applyFont="1" applyBorder="1" applyAlignment="1">
      <alignment horizontal="center" vertical="center" wrapText="1"/>
    </xf>
    <xf numFmtId="0" fontId="2" fillId="0" borderId="6" xfId="0" applyFont="1" applyBorder="1" applyAlignment="1">
      <alignment horizontal="center" vertical="top"/>
    </xf>
    <xf numFmtId="0" fontId="2" fillId="0" borderId="2" xfId="0" applyFont="1" applyBorder="1" applyAlignment="1">
      <alignment horizontal="center"/>
    </xf>
    <xf numFmtId="0" fontId="2" fillId="0" borderId="8" xfId="0" applyFont="1" applyBorder="1" applyAlignment="1">
      <alignment horizontal="center"/>
    </xf>
    <xf numFmtId="0" fontId="2" fillId="0" borderId="14" xfId="0" applyFont="1" applyBorder="1" applyAlignment="1">
      <alignment horizontal="center"/>
    </xf>
    <xf numFmtId="0" fontId="3" fillId="0" borderId="7" xfId="0" applyFont="1" applyBorder="1" applyAlignment="1">
      <alignment horizontal="center" vertical="center" wrapText="1"/>
    </xf>
    <xf numFmtId="0" fontId="5" fillId="0" borderId="15" xfId="1" applyBorder="1" applyAlignment="1">
      <alignment horizontal="center" vertical="center"/>
    </xf>
    <xf numFmtId="0" fontId="3" fillId="0" borderId="15" xfId="0" applyFont="1" applyBorder="1" applyAlignment="1">
      <alignment horizontal="center" vertical="center"/>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6" xfId="0" applyFont="1" applyBorder="1" applyAlignment="1">
      <alignment horizontal="center" vertical="center"/>
    </xf>
    <xf numFmtId="0" fontId="3" fillId="0" borderId="13" xfId="0" applyFont="1" applyBorder="1" applyAlignment="1">
      <alignment horizontal="center" vertical="center"/>
    </xf>
    <xf numFmtId="0" fontId="6" fillId="0" borderId="8" xfId="0" applyFont="1" applyBorder="1" applyAlignment="1">
      <alignment horizontal="center" vertical="top" wrapText="1"/>
    </xf>
    <xf numFmtId="0" fontId="7" fillId="0" borderId="8" xfId="0" applyFont="1" applyBorder="1" applyAlignment="1">
      <alignment wrapText="1"/>
    </xf>
    <xf numFmtId="0" fontId="2" fillId="0" borderId="8" xfId="0" applyFont="1" applyBorder="1"/>
    <xf numFmtId="0" fontId="0" fillId="0" borderId="8" xfId="0" applyBorder="1" applyAlignment="1">
      <alignment vertical="center"/>
    </xf>
    <xf numFmtId="0" fontId="2" fillId="0" borderId="12" xfId="0" applyFont="1" applyBorder="1" applyAlignment="1">
      <alignment horizontal="center"/>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5" fillId="0" borderId="0" xfId="1" applyAlignment="1">
      <alignment horizontal="center" vertical="center" wrapText="1"/>
    </xf>
    <xf numFmtId="0" fontId="0" fillId="0" borderId="0" xfId="0" applyAlignment="1">
      <alignment horizontal="left" vertical="center" wrapText="1"/>
    </xf>
    <xf numFmtId="0" fontId="1" fillId="0" borderId="8" xfId="0" applyFont="1" applyBorder="1" applyAlignment="1">
      <alignment horizontal="left" vertical="center" wrapText="1"/>
    </xf>
    <xf numFmtId="0" fontId="1" fillId="3" borderId="8" xfId="0" applyFont="1" applyFill="1" applyBorder="1" applyAlignment="1">
      <alignment wrapText="1"/>
    </xf>
    <xf numFmtId="0" fontId="1" fillId="0" borderId="8" xfId="0" applyFont="1" applyBorder="1" applyAlignment="1">
      <alignment wrapText="1"/>
    </xf>
    <xf numFmtId="0" fontId="1" fillId="0" borderId="8"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138844" TargetMode="External"/><Relationship Id="rId2" Type="http://schemas.openxmlformats.org/officeDocument/2006/relationships/hyperlink" Target="https://open.undp.org/projects/00147445" TargetMode="External"/><Relationship Id="rId1" Type="http://schemas.openxmlformats.org/officeDocument/2006/relationships/hyperlink" Target="https://open.undp.org/projects/00132059" TargetMode="External"/><Relationship Id="rId4" Type="http://schemas.openxmlformats.org/officeDocument/2006/relationships/hyperlink" Target="https://open.undp.org/projects/001222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48C11-585E-45FB-A282-B510B4253AB6}">
  <dimension ref="A1:V9"/>
  <sheetViews>
    <sheetView showGridLines="0" tabSelected="1" workbookViewId="0">
      <pane xSplit="3" ySplit="1" topLeftCell="D3" activePane="bottomRight" state="frozen"/>
      <selection pane="bottomRight" activeCell="D4" sqref="D4"/>
      <selection pane="bottomLeft"/>
      <selection pane="topRight"/>
    </sheetView>
  </sheetViews>
  <sheetFormatPr defaultRowHeight="15"/>
  <cols>
    <col min="2" max="2" width="34.28515625" customWidth="1"/>
    <col min="3" max="3" width="20.7109375" customWidth="1"/>
    <col min="4" max="4" width="13.42578125" bestFit="1" customWidth="1"/>
    <col min="5" max="5" width="20.7109375" customWidth="1"/>
    <col min="6" max="6" width="45.42578125" customWidth="1"/>
    <col min="7" max="7" width="44.140625" customWidth="1"/>
    <col min="8" max="8" width="36.85546875" customWidth="1"/>
    <col min="9" max="9" width="50.28515625" customWidth="1"/>
    <col min="10" max="10" width="32.85546875" customWidth="1"/>
    <col min="11" max="11" width="17.42578125" customWidth="1"/>
    <col min="12" max="12" width="12.85546875" bestFit="1" customWidth="1"/>
    <col min="13" max="13" width="17.42578125" customWidth="1"/>
    <col min="14" max="15" width="19"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2">
      <c r="A1" s="1" t="s">
        <v>0</v>
      </c>
      <c r="B1" s="1" t="s">
        <v>1</v>
      </c>
      <c r="C1" s="1" t="s">
        <v>2</v>
      </c>
      <c r="D1" s="1" t="s">
        <v>3</v>
      </c>
      <c r="E1" s="1" t="s">
        <v>4</v>
      </c>
      <c r="F1" s="37" t="s">
        <v>5</v>
      </c>
      <c r="G1" s="1" t="s">
        <v>6</v>
      </c>
      <c r="H1" s="1" t="s">
        <v>7</v>
      </c>
      <c r="I1" s="1" t="s">
        <v>8</v>
      </c>
      <c r="J1" s="38" t="s">
        <v>9</v>
      </c>
      <c r="K1" s="39" t="s">
        <v>10</v>
      </c>
      <c r="L1" s="39" t="s">
        <v>11</v>
      </c>
      <c r="M1" s="40" t="s">
        <v>12</v>
      </c>
      <c r="N1" s="39" t="s">
        <v>13</v>
      </c>
      <c r="O1" s="39" t="s">
        <v>14</v>
      </c>
      <c r="P1" s="39" t="s">
        <v>15</v>
      </c>
      <c r="Q1" s="39" t="s">
        <v>16</v>
      </c>
      <c r="R1" s="52" t="s">
        <v>17</v>
      </c>
      <c r="S1" s="50" t="s">
        <v>18</v>
      </c>
      <c r="T1" s="52" t="s">
        <v>19</v>
      </c>
      <c r="U1" s="50" t="s">
        <v>20</v>
      </c>
      <c r="V1" t="s">
        <v>21</v>
      </c>
    </row>
    <row r="2" spans="1:22" s="5" customFormat="1" ht="60.75">
      <c r="A2" s="16">
        <v>132059</v>
      </c>
      <c r="B2" s="17" t="s">
        <v>22</v>
      </c>
      <c r="C2" s="18" t="s">
        <v>23</v>
      </c>
      <c r="D2" s="17">
        <v>21398843</v>
      </c>
      <c r="E2" s="21" t="s">
        <v>24</v>
      </c>
      <c r="F2" s="19" t="s">
        <v>25</v>
      </c>
      <c r="G2" s="17" t="s">
        <v>26</v>
      </c>
      <c r="H2" s="17">
        <v>2.6</v>
      </c>
      <c r="I2" s="53" t="s">
        <v>27</v>
      </c>
      <c r="J2" s="20" t="s">
        <v>28</v>
      </c>
      <c r="K2" s="21"/>
      <c r="L2" s="33" t="s">
        <v>29</v>
      </c>
      <c r="M2" s="21"/>
      <c r="N2" s="34" t="s">
        <v>30</v>
      </c>
      <c r="O2" s="21"/>
      <c r="P2" s="21"/>
      <c r="Q2" s="21"/>
      <c r="R2" s="21"/>
      <c r="S2" s="51" t="s">
        <v>31</v>
      </c>
      <c r="T2" s="33"/>
      <c r="U2" s="51"/>
      <c r="V2" s="5" t="s">
        <v>32</v>
      </c>
    </row>
    <row r="3" spans="1:22" s="5" customFormat="1" ht="229.5">
      <c r="A3" s="16">
        <v>147445</v>
      </c>
      <c r="B3" s="17" t="s">
        <v>33</v>
      </c>
      <c r="C3" s="18" t="s">
        <v>34</v>
      </c>
      <c r="D3" s="17">
        <v>40860000</v>
      </c>
      <c r="E3" s="21" t="s">
        <v>35</v>
      </c>
      <c r="F3" s="22" t="s">
        <v>36</v>
      </c>
      <c r="G3" s="23" t="s">
        <v>37</v>
      </c>
      <c r="H3" s="22">
        <v>1000000</v>
      </c>
      <c r="I3" s="16" t="s">
        <v>38</v>
      </c>
      <c r="J3" s="20" t="s">
        <v>39</v>
      </c>
      <c r="K3" s="24">
        <v>0.5</v>
      </c>
      <c r="L3" s="33" t="s">
        <v>40</v>
      </c>
      <c r="M3" s="21" t="s">
        <v>41</v>
      </c>
      <c r="N3" s="35" t="s">
        <v>42</v>
      </c>
      <c r="O3" s="21"/>
      <c r="P3" s="21"/>
      <c r="Q3" s="21"/>
      <c r="R3" s="21"/>
      <c r="S3" s="51"/>
      <c r="T3" s="33"/>
      <c r="U3" s="51"/>
      <c r="V3" s="5" t="s">
        <v>32</v>
      </c>
    </row>
    <row r="4" spans="1:22" s="5" customFormat="1" ht="259.5">
      <c r="A4" s="25">
        <v>1000372</v>
      </c>
      <c r="B4" s="26" t="s">
        <v>43</v>
      </c>
      <c r="C4" s="27" t="s">
        <v>44</v>
      </c>
      <c r="D4" s="28">
        <v>8726624</v>
      </c>
      <c r="E4" s="21" t="s">
        <v>45</v>
      </c>
      <c r="F4" s="17" t="s">
        <v>46</v>
      </c>
      <c r="G4" s="26"/>
      <c r="H4" s="17">
        <v>1188687</v>
      </c>
      <c r="I4" s="36" t="s">
        <v>47</v>
      </c>
      <c r="J4" s="29" t="s">
        <v>48</v>
      </c>
      <c r="K4" s="30">
        <f>414661/1188687</f>
        <v>0.34883951788822459</v>
      </c>
      <c r="L4" s="33" t="s">
        <v>40</v>
      </c>
      <c r="M4" s="21" t="s">
        <v>41</v>
      </c>
      <c r="N4" s="35" t="s">
        <v>42</v>
      </c>
      <c r="O4" s="21"/>
      <c r="P4" s="21"/>
      <c r="Q4" s="21"/>
      <c r="R4" s="21"/>
      <c r="S4" s="51" t="s">
        <v>31</v>
      </c>
      <c r="T4" s="33"/>
      <c r="U4" s="51"/>
      <c r="V4" s="5" t="s">
        <v>32</v>
      </c>
    </row>
    <row r="5" spans="1:22" s="5" customFormat="1" ht="30.75">
      <c r="A5" s="41">
        <v>138844</v>
      </c>
      <c r="B5" s="36" t="s">
        <v>49</v>
      </c>
      <c r="C5" s="42" t="s">
        <v>50</v>
      </c>
      <c r="D5" s="43">
        <v>12895159</v>
      </c>
      <c r="E5" s="21" t="s">
        <v>45</v>
      </c>
      <c r="F5" s="26" t="s">
        <v>51</v>
      </c>
      <c r="G5" s="27">
        <v>0</v>
      </c>
      <c r="H5" s="29" t="s">
        <v>52</v>
      </c>
      <c r="I5" s="19"/>
      <c r="J5" s="29" t="s">
        <v>53</v>
      </c>
      <c r="K5" s="21"/>
      <c r="L5" s="33" t="s">
        <v>40</v>
      </c>
      <c r="M5" s="21"/>
      <c r="N5" s="35" t="s">
        <v>42</v>
      </c>
      <c r="O5" s="21"/>
      <c r="P5" s="21"/>
      <c r="Q5" s="21"/>
      <c r="R5" s="21"/>
      <c r="S5" s="51" t="s">
        <v>31</v>
      </c>
      <c r="T5" s="33"/>
      <c r="U5" s="51"/>
      <c r="V5" s="5" t="s">
        <v>32</v>
      </c>
    </row>
    <row r="6" spans="1:22" s="5" customFormat="1" ht="30.75">
      <c r="A6" s="44"/>
      <c r="B6" s="45"/>
      <c r="C6" s="46"/>
      <c r="D6" s="47"/>
      <c r="E6" s="21" t="s">
        <v>54</v>
      </c>
      <c r="F6" s="26" t="s">
        <v>51</v>
      </c>
      <c r="G6" s="27">
        <v>0</v>
      </c>
      <c r="H6" s="26" t="s">
        <v>55</v>
      </c>
      <c r="I6" s="22"/>
      <c r="J6" s="31" t="s">
        <v>53</v>
      </c>
      <c r="K6" s="21"/>
      <c r="L6" s="33" t="s">
        <v>40</v>
      </c>
      <c r="M6" s="21"/>
      <c r="N6" s="35" t="s">
        <v>42</v>
      </c>
      <c r="O6" s="21"/>
      <c r="P6" s="21"/>
      <c r="Q6" s="21"/>
      <c r="R6" s="21"/>
      <c r="S6" s="51"/>
      <c r="T6" s="33"/>
      <c r="U6" s="51"/>
    </row>
    <row r="7" spans="1:22" s="5" customFormat="1" ht="45.75">
      <c r="A7" s="25">
        <v>143651</v>
      </c>
      <c r="B7" s="26" t="s">
        <v>56</v>
      </c>
      <c r="C7" s="27" t="s">
        <v>44</v>
      </c>
      <c r="D7" s="27">
        <v>1253880</v>
      </c>
      <c r="E7" s="21" t="s">
        <v>57</v>
      </c>
      <c r="F7" s="26" t="s">
        <v>58</v>
      </c>
      <c r="G7" s="27">
        <v>0</v>
      </c>
      <c r="H7" s="27">
        <v>60</v>
      </c>
      <c r="I7" s="32" t="s">
        <v>44</v>
      </c>
      <c r="J7" s="29" t="s">
        <v>48</v>
      </c>
      <c r="K7" s="21"/>
      <c r="L7" s="33" t="s">
        <v>40</v>
      </c>
      <c r="M7" s="21"/>
      <c r="N7" s="35" t="s">
        <v>42</v>
      </c>
      <c r="O7" s="21"/>
      <c r="P7" s="21"/>
      <c r="Q7" s="21"/>
      <c r="R7" s="21"/>
      <c r="S7" s="51"/>
      <c r="T7" s="33"/>
      <c r="U7" s="51"/>
      <c r="V7" s="5" t="s">
        <v>32</v>
      </c>
    </row>
    <row r="8" spans="1:22" s="5" customFormat="1" ht="121.5">
      <c r="A8" s="25">
        <v>88841</v>
      </c>
      <c r="B8" s="26" t="s">
        <v>59</v>
      </c>
      <c r="C8" s="26" t="s">
        <v>44</v>
      </c>
      <c r="D8" s="26">
        <v>12846044</v>
      </c>
      <c r="E8" s="21" t="s">
        <v>45</v>
      </c>
      <c r="F8" s="26" t="s">
        <v>60</v>
      </c>
      <c r="G8" s="26" t="s">
        <v>61</v>
      </c>
      <c r="H8" s="26" t="s">
        <v>62</v>
      </c>
      <c r="I8" s="54" t="s">
        <v>63</v>
      </c>
      <c r="J8" s="29" t="s">
        <v>64</v>
      </c>
      <c r="K8" s="21"/>
      <c r="L8" s="33" t="s">
        <v>40</v>
      </c>
      <c r="M8" s="21"/>
      <c r="N8" s="35" t="s">
        <v>42</v>
      </c>
      <c r="O8" s="21"/>
      <c r="P8" s="21"/>
      <c r="Q8" s="21"/>
      <c r="R8" s="21"/>
      <c r="S8" s="51" t="s">
        <v>31</v>
      </c>
      <c r="T8" s="33"/>
      <c r="U8" s="51"/>
      <c r="V8" s="5" t="s">
        <v>32</v>
      </c>
    </row>
    <row r="9" spans="1:22" s="55" customFormat="1" ht="65.25" customHeight="1">
      <c r="A9" s="55">
        <v>122244</v>
      </c>
      <c r="B9" s="55" t="s">
        <v>65</v>
      </c>
      <c r="C9" s="56" t="s">
        <v>66</v>
      </c>
      <c r="D9" s="55">
        <v>30892000</v>
      </c>
      <c r="E9" s="55" t="s">
        <v>67</v>
      </c>
      <c r="F9" s="55" t="s">
        <v>68</v>
      </c>
      <c r="G9" s="55">
        <v>0</v>
      </c>
      <c r="H9" s="55">
        <v>1551</v>
      </c>
      <c r="I9" s="55" t="s">
        <v>69</v>
      </c>
      <c r="J9" s="55" t="s">
        <v>70</v>
      </c>
      <c r="L9" s="55" t="s">
        <v>71</v>
      </c>
      <c r="V9" s="57" t="s">
        <v>32</v>
      </c>
    </row>
  </sheetData>
  <dataValidations count="9">
    <dataValidation type="list" allowBlank="1" showInputMessage="1" showErrorMessage="1" sqref="Q2:Q8" xr:uid="{29873F1D-B532-42B2-9DAB-2A15FCFB5A42}">
      <formula1>"NDC Support, National Strategy, Legal Framework,Incentives and Support, Government Capacity-Building, Carbon Pricing and Monitoring, Financing Model, Business Model"</formula1>
    </dataValidation>
    <dataValidation type="list" allowBlank="1" showInputMessage="1" showErrorMessage="1" sqref="P2:P8" xr:uid="{13618977-53EA-4311-9C6D-51F8C3C1C68B}">
      <formula1>"AMP, PUDC, Solar4Health, Action Opportunities, Italy UNDP Energy Partnership"</formula1>
    </dataValidation>
    <dataValidation type="list" allowBlank="1" showInputMessage="1" showErrorMessage="1" sqref="N2:N8" xr:uid="{0FDF284A-DBCE-4AEE-94BF-BAB2513830E6}">
      <formula1>"Accelerating just energy transition, Close the gap on energy access, Scale up energy finance"</formula1>
    </dataValidation>
    <dataValidation type="list" allowBlank="1" showInputMessage="1" showErrorMessage="1" sqref="O2:O8" xr:uid="{9053B9D4-4EF1-444E-8B26-777293BABD8E}">
      <formula1>"Electricity Access, Energy Efficiency, Clean Cooking, Renewable Energy, Overall"</formula1>
    </dataValidation>
    <dataValidation type="list" allowBlank="1" showInputMessage="1" showErrorMessage="1" sqref="T2:T8" xr:uid="{2C1642AC-EA25-4126-8CD0-9B781B07C615}">
      <formula1>"National, Regional, City, Community"</formula1>
    </dataValidation>
    <dataValidation type="list" allowBlank="1" showInputMessage="1" showErrorMessage="1" sqref="M2:M8" xr:uid="{A46AAF85-7D24-44AF-905B-0DFC8D9BA122}">
      <formula1>"Finance, Gender, Efficiency, Just, Health"</formula1>
    </dataValidation>
    <dataValidation type="list" allowBlank="1" showInputMessage="1" showErrorMessage="1" sqref="L2:L8" xr:uid="{0263D686-F7B8-4069-A2DA-7077A594CEBA}">
      <formula1>"Non-VF, VF"</formula1>
    </dataValidation>
    <dataValidation type="list" allowBlank="1" showInputMessage="1" showErrorMessage="1" sqref="S2:S8" xr:uid="{5445013B-A1F2-465F-8135-05645E95E0C2}">
      <formula1>"Solar, Wind, Bioenergy, Hydro, Geothermal, Waste, Other, Unknown"</formula1>
    </dataValidation>
    <dataValidation type="list" allowBlank="1" showInputMessage="1" showErrorMessage="1" sqref="R2:R8" xr:uid="{292A6FCC-702F-4B2A-AA55-83224500E73F}">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F8E4AF3E-3875-449F-AE46-045B99B3C0F4}"/>
    <hyperlink ref="C3" r:id="rId2" xr:uid="{F4ADE16B-21DF-474B-A783-E640CF4F7836}"/>
    <hyperlink ref="C5" r:id="rId3" xr:uid="{1D5C3B35-1BED-40FB-B553-082F4DAAB98A}"/>
    <hyperlink ref="C9" r:id="rId4" xr:uid="{F0F67EBB-6906-4E7D-922A-BACEE09275B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F11084-96A1-4E9C-922C-4902F4C82D20}">
          <x14:formula1>
            <xm:f>'Beneficiary Categories'!$A$2:$A$22</xm:f>
          </x14:formula1>
          <xm:sqref>E2:E8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73D3-3271-4419-96A4-87621AB83DF7}">
  <dimension ref="A1:R8"/>
  <sheetViews>
    <sheetView topLeftCell="C1" workbookViewId="0">
      <selection activeCell="E2" sqref="E2"/>
    </sheetView>
  </sheetViews>
  <sheetFormatPr defaultRowHeight="15"/>
  <cols>
    <col min="2" max="2" width="34.28515625" customWidth="1"/>
    <col min="3" max="3" width="20.7109375" customWidth="1"/>
    <col min="4" max="4" width="26.140625" customWidth="1"/>
    <col min="5" max="5" width="20.7109375" customWidth="1"/>
    <col min="6" max="6" width="45.42578125" customWidth="1"/>
    <col min="7" max="7" width="44.140625" customWidth="1"/>
    <col min="8" max="8" width="24" customWidth="1"/>
    <col min="9" max="9" width="50.28515625" customWidth="1"/>
    <col min="10" max="10" width="32.85546875" customWidth="1"/>
    <col min="11" max="11" width="17.42578125" customWidth="1"/>
    <col min="12" max="12" width="12" customWidth="1"/>
    <col min="13" max="13" width="17.42578125" customWidth="1"/>
    <col min="14" max="15" width="19" customWidth="1"/>
  </cols>
  <sheetData>
    <row r="1" spans="1:18">
      <c r="A1" s="14" t="s">
        <v>0</v>
      </c>
      <c r="B1" s="1" t="s">
        <v>1</v>
      </c>
      <c r="C1" s="1" t="s">
        <v>2</v>
      </c>
      <c r="D1" s="14" t="s">
        <v>3</v>
      </c>
      <c r="E1" s="14" t="s">
        <v>4</v>
      </c>
      <c r="F1" s="1" t="s">
        <v>5</v>
      </c>
      <c r="G1" s="14" t="s">
        <v>6</v>
      </c>
      <c r="H1" s="14" t="s">
        <v>7</v>
      </c>
      <c r="I1" s="1" t="s">
        <v>8</v>
      </c>
      <c r="J1" s="13" t="s">
        <v>9</v>
      </c>
      <c r="K1" s="13" t="s">
        <v>10</v>
      </c>
      <c r="L1" s="13" t="s">
        <v>72</v>
      </c>
      <c r="M1" s="15" t="s">
        <v>12</v>
      </c>
      <c r="N1" s="15" t="s">
        <v>13</v>
      </c>
      <c r="O1" s="15" t="s">
        <v>14</v>
      </c>
      <c r="P1" s="15" t="s">
        <v>15</v>
      </c>
      <c r="Q1" s="15" t="s">
        <v>16</v>
      </c>
      <c r="R1" s="15" t="s">
        <v>17</v>
      </c>
    </row>
    <row r="2" spans="1:18" s="5" customFormat="1" ht="60.75">
      <c r="A2" s="3">
        <v>132059</v>
      </c>
      <c r="B2" s="4" t="s">
        <v>22</v>
      </c>
      <c r="C2" s="4"/>
      <c r="D2" s="4" t="s">
        <v>73</v>
      </c>
      <c r="E2" t="s">
        <v>24</v>
      </c>
      <c r="F2" s="4" t="s">
        <v>25</v>
      </c>
      <c r="G2" s="4" t="s">
        <v>26</v>
      </c>
      <c r="H2" s="4">
        <v>2.6</v>
      </c>
      <c r="I2" s="4" t="s">
        <v>74</v>
      </c>
      <c r="J2" s="4" t="s">
        <v>75</v>
      </c>
      <c r="L2" s="5" t="s">
        <v>40</v>
      </c>
      <c r="N2" s="5" t="s">
        <v>30</v>
      </c>
      <c r="O2" s="5" t="s">
        <v>76</v>
      </c>
    </row>
    <row r="3" spans="1:18" s="5" customFormat="1" ht="229.5">
      <c r="A3" s="3">
        <v>147445</v>
      </c>
      <c r="B3" s="4" t="s">
        <v>33</v>
      </c>
      <c r="C3" s="4" t="s">
        <v>44</v>
      </c>
      <c r="D3" s="4" t="s">
        <v>77</v>
      </c>
      <c r="E3" s="4" t="s">
        <v>35</v>
      </c>
      <c r="F3" s="7" t="s">
        <v>36</v>
      </c>
      <c r="G3" s="6" t="s">
        <v>37</v>
      </c>
      <c r="H3" s="7">
        <v>1000000</v>
      </c>
      <c r="I3" s="3" t="s">
        <v>38</v>
      </c>
      <c r="J3" s="4" t="s">
        <v>78</v>
      </c>
      <c r="K3" s="5">
        <v>50</v>
      </c>
      <c r="L3" s="5" t="s">
        <v>40</v>
      </c>
      <c r="M3" s="5" t="s">
        <v>79</v>
      </c>
      <c r="N3" s="5" t="s">
        <v>42</v>
      </c>
      <c r="O3" s="5" t="s">
        <v>45</v>
      </c>
    </row>
    <row r="4" spans="1:18" s="5" customFormat="1" ht="259.5">
      <c r="A4" s="8">
        <v>1000372</v>
      </c>
      <c r="B4" s="9" t="s">
        <v>43</v>
      </c>
      <c r="C4" s="10" t="s">
        <v>44</v>
      </c>
      <c r="D4" s="11" t="s">
        <v>80</v>
      </c>
      <c r="E4" s="9" t="s">
        <v>81</v>
      </c>
      <c r="F4" s="4" t="s">
        <v>46</v>
      </c>
      <c r="G4" s="9" t="s">
        <v>82</v>
      </c>
      <c r="H4" s="4">
        <v>1188687</v>
      </c>
      <c r="I4" s="9" t="s">
        <v>47</v>
      </c>
      <c r="J4" s="9" t="s">
        <v>48</v>
      </c>
      <c r="K4" s="5">
        <f>414661/1188687</f>
        <v>0.34883951788822459</v>
      </c>
      <c r="L4" s="5" t="s">
        <v>40</v>
      </c>
      <c r="M4" s="5" t="s">
        <v>79</v>
      </c>
      <c r="N4" s="5" t="s">
        <v>42</v>
      </c>
      <c r="O4" s="5" t="s">
        <v>45</v>
      </c>
    </row>
    <row r="5" spans="1:18" s="5" customFormat="1" ht="30.75">
      <c r="A5" s="8">
        <v>138844</v>
      </c>
      <c r="B5" s="9" t="s">
        <v>49</v>
      </c>
      <c r="C5" s="10" t="s">
        <v>44</v>
      </c>
      <c r="D5" s="10" t="s">
        <v>83</v>
      </c>
      <c r="E5" s="10" t="s">
        <v>84</v>
      </c>
      <c r="F5" s="9" t="s">
        <v>51</v>
      </c>
      <c r="G5" s="10">
        <v>0</v>
      </c>
      <c r="H5" s="9" t="s">
        <v>85</v>
      </c>
      <c r="I5" s="7"/>
      <c r="J5" s="8" t="s">
        <v>53</v>
      </c>
      <c r="L5" s="5" t="s">
        <v>40</v>
      </c>
      <c r="N5" s="5" t="s">
        <v>42</v>
      </c>
      <c r="O5" s="5" t="s">
        <v>45</v>
      </c>
    </row>
    <row r="6" spans="1:18" s="5" customFormat="1" ht="30.75">
      <c r="A6" s="8"/>
      <c r="B6" s="9"/>
      <c r="C6" s="10"/>
      <c r="D6" s="10"/>
      <c r="E6" s="10" t="s">
        <v>54</v>
      </c>
      <c r="F6" s="9" t="s">
        <v>51</v>
      </c>
      <c r="G6" s="10">
        <v>0</v>
      </c>
      <c r="H6" s="9" t="s">
        <v>86</v>
      </c>
      <c r="I6" s="7"/>
      <c r="J6" s="8" t="s">
        <v>53</v>
      </c>
      <c r="L6" s="5" t="s">
        <v>40</v>
      </c>
      <c r="N6" s="5" t="s">
        <v>42</v>
      </c>
      <c r="O6" s="5" t="s">
        <v>54</v>
      </c>
    </row>
    <row r="7" spans="1:18" s="5" customFormat="1" ht="45.75">
      <c r="A7" s="8">
        <v>143651</v>
      </c>
      <c r="B7" s="9" t="s">
        <v>56</v>
      </c>
      <c r="C7" s="10" t="s">
        <v>44</v>
      </c>
      <c r="D7" s="10" t="s">
        <v>87</v>
      </c>
      <c r="E7" s="10" t="s">
        <v>57</v>
      </c>
      <c r="F7" s="9" t="s">
        <v>58</v>
      </c>
      <c r="G7" s="10">
        <v>0</v>
      </c>
      <c r="H7" s="10">
        <v>60</v>
      </c>
      <c r="I7" s="12" t="s">
        <v>44</v>
      </c>
      <c r="J7" s="9" t="s">
        <v>48</v>
      </c>
      <c r="L7" s="5" t="s">
        <v>40</v>
      </c>
      <c r="N7" s="5" t="s">
        <v>30</v>
      </c>
      <c r="O7" s="5" t="s">
        <v>76</v>
      </c>
    </row>
    <row r="8" spans="1:18" s="5" customFormat="1" ht="60.75">
      <c r="A8" s="8">
        <v>88841</v>
      </c>
      <c r="B8" s="9" t="s">
        <v>59</v>
      </c>
      <c r="C8" s="9" t="s">
        <v>44</v>
      </c>
      <c r="D8" s="9" t="s">
        <v>88</v>
      </c>
      <c r="E8" s="9" t="s">
        <v>45</v>
      </c>
      <c r="F8" s="9" t="s">
        <v>60</v>
      </c>
      <c r="G8" s="9" t="s">
        <v>89</v>
      </c>
      <c r="H8" s="9" t="s">
        <v>90</v>
      </c>
      <c r="I8" s="3" t="s">
        <v>91</v>
      </c>
      <c r="J8" s="9" t="s">
        <v>64</v>
      </c>
      <c r="L8" s="5" t="s">
        <v>40</v>
      </c>
      <c r="N8" s="5" t="s">
        <v>42</v>
      </c>
      <c r="O8" s="5" t="s">
        <v>54</v>
      </c>
    </row>
  </sheetData>
  <dataValidations count="5">
    <dataValidation type="list" allowBlank="1" showInputMessage="1" showErrorMessage="1" sqref="N2:N8" xr:uid="{5F8BD2FA-CBB4-4263-AF2C-B0C1FAA9C75E}">
      <formula1>"Accelerating just energy transition, Close the gap on energy access, Scale up energy finance"</formula1>
    </dataValidation>
    <dataValidation type="list" allowBlank="1" showInputMessage="1" showErrorMessage="1" sqref="O2:O8" xr:uid="{D1287795-5792-4336-80FE-50551B993BBF}">
      <formula1>"Electricity Access, Energy Efficiency, Clean Cooking, Renewable Energy"</formula1>
    </dataValidation>
    <dataValidation type="list" allowBlank="1" showInputMessage="1" showErrorMessage="1" sqref="P2:P8" xr:uid="{60D63F7D-6537-4316-AA42-F3DAB076E7FE}">
      <formula1>"AMP, PUDC, Solar4Health, Action Opportunities, Italy UNDP Energy Partnership"</formula1>
    </dataValidation>
    <dataValidation type="list" allowBlank="1" showInputMessage="1" showErrorMessage="1" sqref="Q2:Q8" xr:uid="{D584422E-4088-459D-86EF-D3CC5743B10A}">
      <formula1>"NDC Support, National Strategy, Legal Framework,Incentives and Support, Government Capacity-Building, Carbon Pricing and Monitoring, Financing Model, Business Model"</formula1>
    </dataValidation>
    <dataValidation type="list" allowBlank="1" showInputMessage="1" showErrorMessage="1" sqref="R2:R8" xr:uid="{2CE3D138-4D57-4991-84C3-06E5BB11B8B1}">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workbookViewId="0">
      <selection activeCell="E1" sqref="E1"/>
    </sheetView>
  </sheetViews>
  <sheetFormatPr defaultRowHeight="15"/>
  <cols>
    <col min="2" max="2" width="34.28515625" customWidth="1"/>
    <col min="3" max="3" width="20.7109375" customWidth="1"/>
    <col min="4" max="4" width="26.140625" customWidth="1"/>
    <col min="5" max="5" width="20.7109375" customWidth="1"/>
    <col min="6" max="6" width="45.42578125" customWidth="1"/>
    <col min="7" max="7" width="47" customWidth="1"/>
    <col min="8" max="8" width="36.85546875" customWidth="1"/>
    <col min="9" max="9" width="50.28515625" customWidth="1"/>
    <col min="10" max="10" width="32.85546875" customWidth="1"/>
    <col min="11" max="11" width="17.42578125" customWidth="1"/>
    <col min="12" max="12" width="12" customWidth="1"/>
  </cols>
  <sheetData>
    <row r="1" spans="1:12">
      <c r="A1" s="1" t="s">
        <v>0</v>
      </c>
      <c r="B1" s="1" t="s">
        <v>1</v>
      </c>
      <c r="C1" s="1" t="s">
        <v>2</v>
      </c>
      <c r="D1" s="1" t="s">
        <v>3</v>
      </c>
      <c r="E1" s="1" t="s">
        <v>4</v>
      </c>
      <c r="F1" s="1" t="s">
        <v>5</v>
      </c>
      <c r="G1" s="1" t="s">
        <v>6</v>
      </c>
      <c r="H1" s="1" t="s">
        <v>7</v>
      </c>
      <c r="I1" s="1" t="s">
        <v>8</v>
      </c>
      <c r="J1" s="2" t="s">
        <v>9</v>
      </c>
      <c r="K1" s="2" t="s">
        <v>10</v>
      </c>
      <c r="L1" s="2" t="s">
        <v>72</v>
      </c>
    </row>
    <row r="2" spans="1:12" s="5" customFormat="1" ht="45">
      <c r="A2" s="3">
        <v>132059</v>
      </c>
      <c r="B2" s="4" t="s">
        <v>22</v>
      </c>
      <c r="C2" s="4"/>
      <c r="D2" s="4" t="s">
        <v>92</v>
      </c>
      <c r="E2" s="4" t="s">
        <v>45</v>
      </c>
      <c r="F2" s="4" t="s">
        <v>25</v>
      </c>
      <c r="G2" s="4" t="s">
        <v>26</v>
      </c>
      <c r="H2" s="4" t="s">
        <v>93</v>
      </c>
      <c r="I2" s="4" t="s">
        <v>74</v>
      </c>
      <c r="J2" s="4" t="s">
        <v>94</v>
      </c>
      <c r="L2" s="5" t="s">
        <v>40</v>
      </c>
    </row>
    <row r="3" spans="1:12" s="5" customFormat="1" ht="105">
      <c r="A3" s="3">
        <v>147445</v>
      </c>
      <c r="B3" s="4" t="s">
        <v>33</v>
      </c>
      <c r="C3" s="4" t="s">
        <v>44</v>
      </c>
      <c r="D3" s="4" t="s">
        <v>95</v>
      </c>
      <c r="E3" s="4" t="s">
        <v>45</v>
      </c>
      <c r="F3" s="7" t="s">
        <v>36</v>
      </c>
      <c r="G3" s="6" t="s">
        <v>37</v>
      </c>
      <c r="H3" s="7" t="s">
        <v>96</v>
      </c>
      <c r="I3" s="3" t="s">
        <v>97</v>
      </c>
      <c r="J3" s="4" t="s">
        <v>78</v>
      </c>
      <c r="L3" s="5" t="s">
        <v>40</v>
      </c>
    </row>
    <row r="4" spans="1:12" s="5" customFormat="1" ht="210">
      <c r="A4" s="8">
        <v>1000372</v>
      </c>
      <c r="B4" s="9" t="s">
        <v>43</v>
      </c>
      <c r="C4" s="10" t="s">
        <v>44</v>
      </c>
      <c r="D4" s="11" t="s">
        <v>98</v>
      </c>
      <c r="E4" s="9" t="s">
        <v>45</v>
      </c>
      <c r="F4" s="4" t="s">
        <v>46</v>
      </c>
      <c r="G4" s="9" t="s">
        <v>82</v>
      </c>
      <c r="H4" s="4" t="s">
        <v>99</v>
      </c>
      <c r="I4" s="9" t="s">
        <v>100</v>
      </c>
      <c r="J4" s="9" t="s">
        <v>48</v>
      </c>
      <c r="K4" s="5">
        <f>414661/1188687</f>
        <v>0.34883951788822459</v>
      </c>
      <c r="L4" s="5" t="s">
        <v>40</v>
      </c>
    </row>
    <row r="5" spans="1:12" s="5" customFormat="1" ht="45">
      <c r="A5" s="8">
        <v>138844</v>
      </c>
      <c r="B5" s="9" t="s">
        <v>49</v>
      </c>
      <c r="C5" s="10" t="s">
        <v>44</v>
      </c>
      <c r="D5" s="10" t="s">
        <v>83</v>
      </c>
      <c r="E5" s="10" t="s">
        <v>84</v>
      </c>
      <c r="F5" s="9" t="s">
        <v>51</v>
      </c>
      <c r="G5" s="10">
        <v>0</v>
      </c>
      <c r="H5" s="9" t="s">
        <v>101</v>
      </c>
      <c r="I5" s="7"/>
      <c r="J5" s="8" t="s">
        <v>53</v>
      </c>
      <c r="L5" s="5" t="s">
        <v>40</v>
      </c>
    </row>
    <row r="6" spans="1:12" s="5" customFormat="1" ht="45">
      <c r="A6" s="8">
        <v>143651</v>
      </c>
      <c r="B6" s="9" t="s">
        <v>56</v>
      </c>
      <c r="C6" s="10" t="s">
        <v>44</v>
      </c>
      <c r="D6" s="10" t="s">
        <v>87</v>
      </c>
      <c r="E6" s="10" t="s">
        <v>84</v>
      </c>
      <c r="F6" s="9" t="s">
        <v>58</v>
      </c>
      <c r="G6" s="10">
        <v>0</v>
      </c>
      <c r="H6" s="10">
        <v>60</v>
      </c>
      <c r="I6" s="12" t="s">
        <v>44</v>
      </c>
      <c r="J6" s="9" t="s">
        <v>48</v>
      </c>
      <c r="L6" s="5" t="s">
        <v>40</v>
      </c>
    </row>
    <row r="7" spans="1:12" s="5" customFormat="1" ht="60">
      <c r="A7" s="8">
        <v>88841</v>
      </c>
      <c r="B7" s="9" t="s">
        <v>59</v>
      </c>
      <c r="C7" s="9" t="s">
        <v>44</v>
      </c>
      <c r="D7" s="9" t="s">
        <v>88</v>
      </c>
      <c r="E7" s="9" t="s">
        <v>45</v>
      </c>
      <c r="F7" s="9" t="s">
        <v>60</v>
      </c>
      <c r="G7" s="9" t="s">
        <v>89</v>
      </c>
      <c r="H7" s="9" t="s">
        <v>90</v>
      </c>
      <c r="I7" s="3" t="s">
        <v>91</v>
      </c>
      <c r="J7" s="9" t="s">
        <v>64</v>
      </c>
      <c r="L7" s="5"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4" sqref="B4"/>
    </sheetView>
  </sheetViews>
  <sheetFormatPr defaultRowHeight="60.75" customHeight="1"/>
  <cols>
    <col min="1" max="1" width="35.5703125" bestFit="1" customWidth="1"/>
    <col min="2" max="2" width="98.85546875" bestFit="1" customWidth="1"/>
  </cols>
  <sheetData>
    <row r="1" spans="1:2" ht="15">
      <c r="A1" s="48" t="s">
        <v>4</v>
      </c>
      <c r="B1" s="48" t="s">
        <v>5</v>
      </c>
    </row>
    <row r="2" spans="1:2" ht="30.75">
      <c r="A2" s="58" t="s">
        <v>45</v>
      </c>
      <c r="B2" s="49" t="s">
        <v>102</v>
      </c>
    </row>
    <row r="3" spans="1:2" ht="15">
      <c r="A3" s="58" t="s">
        <v>24</v>
      </c>
      <c r="B3" s="49" t="s">
        <v>103</v>
      </c>
    </row>
    <row r="4" spans="1:2" ht="30.75">
      <c r="A4" s="58" t="s">
        <v>54</v>
      </c>
      <c r="B4" s="49" t="s">
        <v>104</v>
      </c>
    </row>
    <row r="5" spans="1:2" ht="15">
      <c r="A5" s="58" t="s">
        <v>105</v>
      </c>
      <c r="B5" s="49" t="s">
        <v>106</v>
      </c>
    </row>
    <row r="6" spans="1:2" ht="45.75">
      <c r="A6" s="58" t="s">
        <v>107</v>
      </c>
      <c r="B6" s="49" t="s">
        <v>108</v>
      </c>
    </row>
    <row r="7" spans="1:2" ht="30.75">
      <c r="A7" s="58" t="s">
        <v>35</v>
      </c>
      <c r="B7" s="49" t="s">
        <v>109</v>
      </c>
    </row>
    <row r="8" spans="1:2" ht="30.75">
      <c r="A8" s="58" t="s">
        <v>110</v>
      </c>
      <c r="B8" s="49" t="s">
        <v>111</v>
      </c>
    </row>
    <row r="9" spans="1:2" ht="30.75">
      <c r="A9" s="58" t="s">
        <v>112</v>
      </c>
      <c r="B9" s="49" t="s">
        <v>113</v>
      </c>
    </row>
    <row r="10" spans="1:2" ht="15">
      <c r="A10" s="58" t="s">
        <v>114</v>
      </c>
      <c r="B10" s="59"/>
    </row>
    <row r="11" spans="1:2" ht="15">
      <c r="A11" s="58" t="s">
        <v>115</v>
      </c>
      <c r="B11" s="60" t="s">
        <v>116</v>
      </c>
    </row>
    <row r="12" spans="1:2" ht="30.75">
      <c r="A12" s="58" t="s">
        <v>117</v>
      </c>
      <c r="B12" s="49" t="s">
        <v>118</v>
      </c>
    </row>
    <row r="13" spans="1:2" ht="15">
      <c r="A13" s="58" t="s">
        <v>119</v>
      </c>
      <c r="B13" s="60" t="s">
        <v>120</v>
      </c>
    </row>
    <row r="14" spans="1:2" ht="15">
      <c r="A14" s="58" t="s">
        <v>121</v>
      </c>
      <c r="B14" s="60" t="s">
        <v>122</v>
      </c>
    </row>
    <row r="15" spans="1:2" ht="15">
      <c r="A15" s="58" t="s">
        <v>57</v>
      </c>
      <c r="B15" s="60" t="s">
        <v>123</v>
      </c>
    </row>
    <row r="16" spans="1:2" ht="15">
      <c r="A16" s="58" t="s">
        <v>124</v>
      </c>
      <c r="B16" s="60" t="s">
        <v>125</v>
      </c>
    </row>
    <row r="17" spans="1:2" ht="15">
      <c r="A17" s="58" t="s">
        <v>126</v>
      </c>
      <c r="B17" s="49" t="s">
        <v>127</v>
      </c>
    </row>
    <row r="18" spans="1:2" ht="15">
      <c r="A18" s="58" t="s">
        <v>128</v>
      </c>
      <c r="B18" s="60" t="s">
        <v>129</v>
      </c>
    </row>
    <row r="19" spans="1:2" ht="45.75">
      <c r="A19" s="58" t="s">
        <v>130</v>
      </c>
      <c r="B19" s="60" t="s">
        <v>131</v>
      </c>
    </row>
    <row r="20" spans="1:2" ht="15">
      <c r="A20" s="58" t="s">
        <v>132</v>
      </c>
      <c r="B20" s="60" t="s">
        <v>133</v>
      </c>
    </row>
    <row r="21" spans="1:2" ht="30.75">
      <c r="A21" s="58" t="s">
        <v>19</v>
      </c>
      <c r="B21" s="61" t="s">
        <v>134</v>
      </c>
    </row>
    <row r="22" spans="1:2" ht="15">
      <c r="A22" s="58" t="s">
        <v>135</v>
      </c>
      <c r="B22" s="60" t="s">
        <v>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F18726-1C41-43DC-A8D8-F701A2D25711}"/>
</file>

<file path=customXml/itemProps2.xml><?xml version="1.0" encoding="utf-8"?>
<ds:datastoreItem xmlns:ds="http://schemas.openxmlformats.org/officeDocument/2006/customXml" ds:itemID="{E370EEFA-763F-46E4-A8EB-13455592D94A}"/>
</file>

<file path=customXml/itemProps3.xml><?xml version="1.0" encoding="utf-8"?>
<ds:datastoreItem xmlns:ds="http://schemas.openxmlformats.org/officeDocument/2006/customXml" ds:itemID="{2515C72A-9C02-46AF-A4B9-D8CA5C77DC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2026-01-14T19:33:14Z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