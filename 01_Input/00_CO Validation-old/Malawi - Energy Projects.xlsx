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347" documentId="11_C6A8EC944518ADD515B964CEBC08252D554BC346" xr6:coauthVersionLast="47" xr6:coauthVersionMax="47" xr10:uidLastSave="{8F7E8156-C252-48CF-BC52-2350E85AF575}"/>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<sst xmlns="http://schemas.openxmlformats.org/spreadsheetml/2006/main" count="246" uniqueCount="112">
  <si>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</si>
  <si>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</si>
  <si>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</si>
  <si>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</si>
  <si>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</si>
  <si>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</si>
  <si>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</si>
  <si>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</si>
  <si>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</si>
  <si>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</si>
  <si>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</si>
  <si>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</si>
  <si>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</si>
  <si>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</si>
  <si>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</si>
  <si>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</si>
  <si>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</si>
  <si>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</si>
  <si>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</si>
  <si>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</si>
  <si>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</si>
  <si>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Access to Clean and Renewable Energy</t>
  </si>
  <si>
    <t>http://open.undp.org/projects/00126170</t>
  </si>
  <si>
    <t>Energy (MW added)</t>
  </si>
  <si>
    <t>Cumulative Installed capacity of clean energy mini-grids (MW) in project area</t>
  </si>
  <si>
    <t>3 minigrids; 385kW  (2019)</t>
  </si>
  <si>
    <t>UNDP</t>
  </si>
  <si>
    <t>Non-VF</t>
  </si>
  <si>
    <t>Close the gap on energy access</t>
  </si>
  <si>
    <t>Some Sources</t>
  </si>
  <si>
    <t>Renewable Energy</t>
  </si>
  <si>
    <t>Electricity Access</t>
  </si>
  <si>
    <t>Number of Households connected to the mini grids in the project areas</t>
  </si>
  <si>
    <t>1250 HH</t>
  </si>
  <si>
    <t>2200 HH</t>
  </si>
  <si>
    <t>2200 Housoldes in three different project sites. 4.5 as average of people per Houselds</t>
  </si>
  <si>
    <t>Accelerating just energy transition</t>
  </si>
  <si>
    <t>Number of Productive Users connected to the mini-grids in the project areas</t>
  </si>
  <si>
    <t xml:space="preserve">Productive Users may include health care, agricultural mechanization, educational and business/industrial activities. Productive use  of energy are income generating activities that are directly positively affected by the use of electric energy from the mini grid. </t>
  </si>
  <si>
    <t>Education Services</t>
  </si>
  <si>
    <t>Number of beneficiaries per school</t>
  </si>
  <si>
    <t xml:space="preserve"> 5 Schools with an estimated number of 2000 benificiaries per school.</t>
  </si>
  <si>
    <t>Health Services</t>
  </si>
  <si>
    <t>6 Health centres benefiting an estimate of 35000 individuals per centre.</t>
  </si>
  <si>
    <t>h</t>
  </si>
  <si>
    <t xml:space="preserve">National Energy Policy Revision, Malawi Renewable Energy Strategy, Mini Grid Regulatory Framework.  Support Malawi Bureau of Standarsd with Renewable energy testing equipment. </t>
  </si>
  <si>
    <t>National Strategy</t>
  </si>
  <si>
    <t>National</t>
  </si>
  <si>
    <t>Tier 1</t>
  </si>
  <si>
    <t>GEF Africa Minigrids Program</t>
  </si>
  <si>
    <t>PIMS+</t>
  </si>
  <si>
    <t>GHG Emissions Reduction</t>
  </si>
  <si>
    <t>Greenhouse gas emissions mitigated tCO2</t>
  </si>
  <si>
    <t>1068 metric tons of carbon dioxide equivalent (Units of measure: metric tons of CO2e)</t>
  </si>
  <si>
    <t>GEF</t>
  </si>
  <si>
    <t>VF</t>
  </si>
  <si>
    <t xml:space="preserve">Number of direct beneficiaries disaggregated by gender (and customer segment) as co-benefit of GEF investment </t>
  </si>
  <si>
    <t>Solar</t>
  </si>
  <si>
    <t>AMP</t>
  </si>
  <si>
    <t>Number of direct primary jobs created in the minigrid sector, disaggregated by gender, for minigrid development, operation and productive use</t>
  </si>
  <si>
    <t>Category</t>
  </si>
  <si>
    <t>Comments</t>
  </si>
  <si>
    <t>to the CO: What is a "Productive User"?</t>
  </si>
  <si>
    <t>to the CO: Please estimate number of beneficiaries.</t>
  </si>
  <si>
    <t xml:space="preserve">Greenhouse gas emissions mitigated </t>
  </si>
  <si>
    <t>to the CO: Please provide a unit</t>
  </si>
  <si>
    <t>Entrepreneurship Training</t>
  </si>
  <si>
    <t>Cumulative Installed capacity of clean energy mini-grids (kW) in project area</t>
  </si>
  <si>
    <t>385kW  (2019)</t>
  </si>
  <si>
    <t>2025kW</t>
  </si>
  <si>
    <t>3 minigrids</t>
  </si>
  <si>
    <t>1,250 HH</t>
  </si>
  <si>
    <t>Proportion of females in PUEHs cooperatives formed within the project areas</t>
  </si>
  <si>
    <t xml:space="preserve"> 5 Schools and 6 Health centres</t>
  </si>
  <si>
    <t>Other</t>
  </si>
  <si>
    <t>763 (of which 389 are women)</t>
  </si>
  <si>
    <t>Small Enterprises</t>
  </si>
  <si>
    <t>10 additional of which 5 are women</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</si>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</sst>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0"/>
      <color rgb="FFFF0000"/>
      <name val="Helvetica Neue"/>
      <charset val="1"/>
    </font>
    <font>
      <sz val="11"/>
      <color rgb="FFFF0000"/>
      <name val="Calibri"/>
      <family val="2"/>
      <scheme val="minor"/>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79">
    <xf numFmtId="0" fontId="0" fillId="0" borderId="0" xfId="0"/>
    <xf numFmtId="0" fontId="2" fillId="0" borderId="1" xfId="0" applyFont="1" applyBorder="1" applyAlignment="1">
      <alignment horizontal="center" vertical="top"/>
    </xf>
    <xf numFmtId="0" fontId="0" fillId="2" borderId="0" xfId="0" applyFill="1"/>
    <xf numFmtId="0" fontId="2" fillId="0" borderId="0" xfId="0" applyFont="1"/>
    <xf numFmtId="0" fontId="0" fillId="2" borderId="0" xfId="0" applyFill="1" applyAlignment="1">
      <alignment wrapText="1"/>
    </xf>
    <xf numFmtId="0" fontId="2" fillId="0" borderId="1" xfId="0" applyFont="1" applyBorder="1" applyAlignment="1">
      <alignment horizontal="center" vertical="center"/>
    </xf>
    <xf numFmtId="0" fontId="0" fillId="2" borderId="0" xfId="0" applyFill="1" applyAlignment="1">
      <alignment vertical="center"/>
    </xf>
    <xf numFmtId="9" fontId="0" fillId="2" borderId="0" xfId="0" applyNumberFormat="1" applyFill="1" applyAlignment="1">
      <alignment vertical="center"/>
    </xf>
    <xf numFmtId="0" fontId="0" fillId="0" borderId="0" xfId="0" applyAlignment="1">
      <alignment vertical="center"/>
    </xf>
    <xf numFmtId="3" fontId="0" fillId="2" borderId="0" xfId="0" applyNumberFormat="1" applyFill="1" applyAlignment="1">
      <alignment vertical="center"/>
    </xf>
    <xf numFmtId="0" fontId="0" fillId="2" borderId="0" xfId="0" applyFill="1" applyAlignment="1">
      <alignment vertical="center" wrapText="1"/>
    </xf>
    <xf numFmtId="0" fontId="2" fillId="0" borderId="3" xfId="0" applyFont="1" applyBorder="1"/>
    <xf numFmtId="0" fontId="2" fillId="0" borderId="3" xfId="0" applyFont="1" applyBorder="1" applyAlignment="1">
      <alignment horizontal="center" vertical="top"/>
    </xf>
    <xf numFmtId="0" fontId="2" fillId="0" borderId="3" xfId="0" applyFont="1" applyBorder="1" applyAlignment="1">
      <alignment horizontal="center" vertical="center"/>
    </xf>
    <xf numFmtId="0" fontId="0" fillId="2" borderId="3" xfId="0" applyFill="1" applyBorder="1" applyAlignment="1">
      <alignment vertical="center"/>
    </xf>
    <xf numFmtId="0" fontId="0" fillId="2" borderId="3" xfId="0" applyFill="1" applyBorder="1" applyAlignment="1">
      <alignment wrapText="1"/>
    </xf>
    <xf numFmtId="0" fontId="0" fillId="2" borderId="3" xfId="0" applyFill="1" applyBorder="1" applyAlignment="1">
      <alignment vertical="center" wrapText="1"/>
    </xf>
    <xf numFmtId="0" fontId="0" fillId="0" borderId="3" xfId="0" applyBorder="1"/>
    <xf numFmtId="0" fontId="0" fillId="2" borderId="3" xfId="0" applyFill="1" applyBorder="1"/>
    <xf numFmtId="3" fontId="0" fillId="2" borderId="3" xfId="0" applyNumberFormat="1" applyFill="1" applyBorder="1" applyAlignment="1">
      <alignment vertical="center"/>
    </xf>
    <xf numFmtId="0" fontId="4" fillId="0" borderId="0" xfId="0" applyFont="1" applyAlignment="1">
      <alignment vertical="center"/>
    </xf>
    <xf numFmtId="9" fontId="0" fillId="0" borderId="3" xfId="0" applyNumberFormat="1" applyBorder="1"/>
    <xf numFmtId="0" fontId="5" fillId="0" borderId="3" xfId="0" applyFont="1" applyBorder="1"/>
    <xf numFmtId="0" fontId="0" fillId="3" borderId="3" xfId="0" applyFill="1" applyBorder="1"/>
    <xf numFmtId="0" fontId="0" fillId="3" borderId="3" xfId="0" applyFill="1" applyBorder="1" applyAlignment="1">
      <alignment wrapText="1"/>
    </xf>
    <xf numFmtId="0" fontId="0" fillId="3" borderId="3" xfId="0" applyFill="1" applyBorder="1" applyAlignment="1">
      <alignment vertical="center"/>
    </xf>
    <xf numFmtId="3" fontId="0" fillId="3" borderId="3" xfId="0" applyNumberFormat="1" applyFill="1" applyBorder="1" applyAlignment="1">
      <alignment vertical="center"/>
    </xf>
    <xf numFmtId="0" fontId="0" fillId="3" borderId="3" xfId="0" applyFill="1"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3" fillId="0" borderId="0" xfId="1" applyBorder="1" applyAlignment="1" applyProtection="1">
      <alignment vertical="center"/>
    </xf>
    <xf numFmtId="0" fontId="3" fillId="0" borderId="4" xfId="1" applyBorder="1" applyAlignment="1" applyProtection="1">
      <alignment vertical="center"/>
    </xf>
    <xf numFmtId="0" fontId="0" fillId="0" borderId="8" xfId="0" applyBorder="1" applyAlignment="1">
      <alignment vertical="center"/>
    </xf>
    <xf numFmtId="0" fontId="0" fillId="0" borderId="9" xfId="0" applyBorder="1" applyAlignment="1">
      <alignment vertical="center"/>
    </xf>
    <xf numFmtId="0" fontId="0" fillId="0" borderId="11"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0" xfId="0" applyBorder="1" applyAlignment="1">
      <alignment vertical="center"/>
    </xf>
    <xf numFmtId="0" fontId="0" fillId="0" borderId="15" xfId="0" applyBorder="1" applyAlignment="1">
      <alignment vertical="center"/>
    </xf>
    <xf numFmtId="0" fontId="0" fillId="0" borderId="12" xfId="0" applyBorder="1" applyAlignment="1">
      <alignment vertical="center"/>
    </xf>
    <xf numFmtId="0" fontId="3" fillId="0" borderId="9" xfId="1" applyBorder="1" applyAlignment="1" applyProtection="1">
      <alignment vertical="center"/>
    </xf>
    <xf numFmtId="0" fontId="3" fillId="0" borderId="14" xfId="1" applyBorder="1" applyAlignment="1" applyProtection="1">
      <alignment vertical="center"/>
    </xf>
    <xf numFmtId="0" fontId="0" fillId="2" borderId="7" xfId="0" applyFill="1" applyBorder="1"/>
    <xf numFmtId="0" fontId="0" fillId="3" borderId="7" xfId="0" applyFill="1" applyBorder="1"/>
    <xf numFmtId="0" fontId="0" fillId="2" borderId="16" xfId="0" applyFill="1" applyBorder="1" applyAlignment="1">
      <alignment vertical="center" wrapText="1"/>
    </xf>
    <xf numFmtId="0" fontId="0" fillId="0" borderId="7" xfId="0" applyBorder="1"/>
    <xf numFmtId="0" fontId="2" fillId="0" borderId="4" xfId="0" applyFont="1" applyBorder="1"/>
    <xf numFmtId="0" fontId="0" fillId="0" borderId="17" xfId="0" applyBorder="1"/>
    <xf numFmtId="0" fontId="2" fillId="0" borderId="16" xfId="0" applyFont="1" applyBorder="1" applyAlignment="1">
      <alignment horizontal="center" vertical="center"/>
    </xf>
    <xf numFmtId="0" fontId="2" fillId="0" borderId="4" xfId="0" applyFont="1" applyBorder="1" applyAlignment="1">
      <alignment horizontal="center" vertical="top"/>
    </xf>
    <xf numFmtId="0" fontId="3" fillId="0" borderId="8" xfId="1" applyBorder="1" applyAlignment="1" applyProtection="1">
      <alignment vertical="center"/>
    </xf>
    <xf numFmtId="0" fontId="3" fillId="0" borderId="11" xfId="1" applyBorder="1" applyAlignment="1" applyProtection="1">
      <alignment vertical="center"/>
    </xf>
    <xf numFmtId="0" fontId="0" fillId="0" borderId="7" xfId="0" applyBorder="1" applyAlignment="1">
      <alignment vertical="center"/>
    </xf>
    <xf numFmtId="0" fontId="0" fillId="0" borderId="3" xfId="0" applyBorder="1" applyAlignment="1">
      <alignment wrapText="1"/>
    </xf>
    <xf numFmtId="0" fontId="0" fillId="0" borderId="16" xfId="0" applyBorder="1" applyAlignment="1">
      <alignment vertical="center" wrapText="1"/>
    </xf>
    <xf numFmtId="3" fontId="0" fillId="0" borderId="3" xfId="0" applyNumberFormat="1" applyBorder="1" applyAlignment="1">
      <alignment vertical="center"/>
    </xf>
    <xf numFmtId="0" fontId="0" fillId="0" borderId="7" xfId="0" applyBorder="1" applyAlignment="1">
      <alignment wrapText="1"/>
    </xf>
    <xf numFmtId="0" fontId="0" fillId="0" borderId="3" xfId="0" applyBorder="1" applyAlignment="1">
      <alignment vertical="center" wrapText="1"/>
    </xf>
    <xf numFmtId="0" fontId="0" fillId="0" borderId="16" xfId="0" applyBorder="1" applyAlignment="1">
      <alignment vertical="center"/>
    </xf>
    <xf numFmtId="0" fontId="0" fillId="0" borderId="3" xfId="0" applyBorder="1" applyAlignment="1">
      <alignment horizontal="center" vertical="center"/>
    </xf>
    <xf numFmtId="0" fontId="6" fillId="0" borderId="3" xfId="0" applyFont="1" applyBorder="1" applyAlignment="1">
      <alignment horizontal="center" vertical="top" wrapText="1"/>
    </xf>
    <xf numFmtId="0" fontId="7"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0" fillId="0" borderId="16" xfId="0"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3" fillId="0" borderId="2" xfId="1" applyBorder="1" applyAlignment="1" applyProtection="1">
      <alignment horizontal="center" vertical="center"/>
    </xf>
    <xf numFmtId="0" fontId="3" fillId="0" borderId="0" xfId="1" applyAlignment="1" applyProtection="1">
      <alignment horizontal="center"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617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617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61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9A023-B048-49F4-9582-01C93B7893F0}">
  <dimension ref="A1:AD10"/>
  <sheetViews>
    <sheetView topLeftCell="J5" workbookViewId="0">
      <selection activeCell="S9" sqref="S9"/>
    </sheetView>
  </sheetViews>
  <sheetFormatPr defaultRowHeight="15"/>
  <cols>
    <col min="2" max="2" width="35.85546875" bestFit="1" customWidth="1"/>
    <col min="3" max="3" width="38.42578125" bestFit="1" customWidth="1"/>
    <col min="5" max="5" width="24.42578125" bestFit="1" customWidth="1"/>
    <col min="6" max="6" width="20.7109375" customWidth="1"/>
    <col min="7" max="8" width="12.7109375" style="8" customWidth="1"/>
    <col min="9" max="9" width="32.7109375" style="8" customWidth="1"/>
    <col min="12" max="12" width="12.85546875" bestFit="1" customWidth="1"/>
    <col min="14" max="14" width="23.5703125" customWidth="1"/>
    <col min="15" max="16" width="17.28515625" customWidth="1"/>
    <col min="17" max="17" width="16.5703125" bestFit="1" customWidth="1"/>
    <col min="18" max="18" width="18.140625" bestFit="1" customWidth="1"/>
    <col min="19" max="19" width="13.42578125" bestFit="1" customWidth="1"/>
    <col min="20" max="20" width="30.28515625" bestFit="1" customWidth="1"/>
    <col min="21" max="21" width="16.7109375" bestFit="1" customWidth="1"/>
  </cols>
  <sheetData>
    <row r="1" spans="1:30">
      <c r="A1" s="51" t="s">
        <v>0</v>
      </c>
      <c r="B1" s="51" t="s">
        <v>1</v>
      </c>
      <c r="C1" s="51" t="s">
        <v>2</v>
      </c>
      <c r="D1" s="51" t="s">
        <v>3</v>
      </c>
      <c r="E1" s="12" t="s">
        <v>4</v>
      </c>
      <c r="F1" s="12" t="s">
        <v>5</v>
      </c>
      <c r="G1" s="13" t="s">
        <v>6</v>
      </c>
      <c r="H1" s="13" t="s">
        <v>7</v>
      </c>
      <c r="I1" s="50" t="s">
        <v>8</v>
      </c>
      <c r="J1" s="11" t="s">
        <v>9</v>
      </c>
      <c r="K1" s="11" t="s">
        <v>10</v>
      </c>
      <c r="L1" s="64" t="s">
        <v>11</v>
      </c>
      <c r="M1" s="65" t="s">
        <v>12</v>
      </c>
      <c r="N1" s="64" t="s">
        <v>13</v>
      </c>
      <c r="O1" s="64" t="s">
        <v>14</v>
      </c>
      <c r="P1" s="65" t="s">
        <v>15</v>
      </c>
      <c r="Q1" s="65" t="s">
        <v>16</v>
      </c>
      <c r="R1" s="66" t="s">
        <v>17</v>
      </c>
      <c r="S1" s="48" t="s">
        <v>18</v>
      </c>
      <c r="T1" s="66" t="s">
        <v>19</v>
      </c>
      <c r="U1" s="48" t="s">
        <v>20</v>
      </c>
    </row>
    <row r="2" spans="1:30" ht="60.75">
      <c r="A2" s="34">
        <v>126170</v>
      </c>
      <c r="B2" s="34" t="s">
        <v>21</v>
      </c>
      <c r="C2" s="52" t="s">
        <v>22</v>
      </c>
      <c r="D2" s="29">
        <v>3379000</v>
      </c>
      <c r="E2" s="54" t="s">
        <v>23</v>
      </c>
      <c r="F2" s="55" t="s">
        <v>24</v>
      </c>
      <c r="G2" s="28">
        <v>0.38500000000000001</v>
      </c>
      <c r="H2" s="28">
        <v>2.0249999999999999</v>
      </c>
      <c r="I2" s="56" t="s">
        <v>25</v>
      </c>
      <c r="J2" s="28" t="s">
        <v>26</v>
      </c>
      <c r="K2" s="17"/>
      <c r="L2" s="67" t="s">
        <v>27</v>
      </c>
      <c r="M2" s="61"/>
      <c r="N2" s="68" t="s">
        <v>28</v>
      </c>
      <c r="O2" s="61"/>
      <c r="P2" s="61"/>
      <c r="Q2" s="61"/>
      <c r="R2" s="61"/>
      <c r="S2" s="28" t="s">
        <v>29</v>
      </c>
      <c r="T2" s="61"/>
      <c r="U2" s="28"/>
      <c r="W2" s="28" t="s">
        <v>27</v>
      </c>
      <c r="X2" s="17"/>
      <c r="Y2" s="17" t="s">
        <v>28</v>
      </c>
      <c r="Z2" s="17" t="s">
        <v>30</v>
      </c>
      <c r="AA2" s="61"/>
      <c r="AB2" s="17"/>
      <c r="AC2" s="17"/>
      <c r="AD2" s="17"/>
    </row>
    <row r="3" spans="1:30" ht="60.75">
      <c r="A3" s="36"/>
      <c r="B3" s="36"/>
      <c r="C3" s="53"/>
      <c r="D3" s="30"/>
      <c r="E3" s="47" t="s">
        <v>31</v>
      </c>
      <c r="F3" s="55" t="s">
        <v>32</v>
      </c>
      <c r="G3" s="28" t="s">
        <v>33</v>
      </c>
      <c r="H3" s="57" t="s">
        <v>34</v>
      </c>
      <c r="I3" s="56" t="s">
        <v>35</v>
      </c>
      <c r="J3" s="28"/>
      <c r="K3" s="17"/>
      <c r="L3" s="67" t="s">
        <v>27</v>
      </c>
      <c r="M3" s="61"/>
      <c r="N3" s="68" t="s">
        <v>28</v>
      </c>
      <c r="O3" s="61"/>
      <c r="P3" s="61"/>
      <c r="Q3" s="61"/>
      <c r="R3" s="61"/>
      <c r="S3" s="28" t="s">
        <v>29</v>
      </c>
      <c r="T3" s="61"/>
      <c r="U3" s="28"/>
      <c r="W3" s="28"/>
      <c r="X3" s="17"/>
      <c r="Y3" s="17" t="s">
        <v>36</v>
      </c>
      <c r="Z3" s="17" t="s">
        <v>31</v>
      </c>
      <c r="AA3" s="61"/>
      <c r="AB3" s="17"/>
      <c r="AC3" s="17"/>
      <c r="AD3" s="17"/>
    </row>
    <row r="4" spans="1:30" ht="121.5">
      <c r="A4" s="36"/>
      <c r="B4" s="36"/>
      <c r="C4" s="53"/>
      <c r="D4" s="30"/>
      <c r="E4" s="47" t="s">
        <v>31</v>
      </c>
      <c r="F4" s="55" t="s">
        <v>37</v>
      </c>
      <c r="G4" s="28">
        <v>0</v>
      </c>
      <c r="H4" s="57">
        <v>15</v>
      </c>
      <c r="I4" s="56" t="s">
        <v>38</v>
      </c>
      <c r="J4" s="28"/>
      <c r="K4" s="17"/>
      <c r="L4" s="67" t="s">
        <v>27</v>
      </c>
      <c r="M4" s="61"/>
      <c r="N4" s="68" t="s">
        <v>28</v>
      </c>
      <c r="O4" s="61"/>
      <c r="P4" s="61"/>
      <c r="Q4" s="61"/>
      <c r="R4" s="61"/>
      <c r="S4" s="28" t="s">
        <v>29</v>
      </c>
      <c r="T4" s="61"/>
      <c r="U4" s="28"/>
      <c r="W4" s="28"/>
      <c r="X4" s="17"/>
      <c r="Y4" s="17" t="s">
        <v>36</v>
      </c>
      <c r="Z4" s="17" t="s">
        <v>31</v>
      </c>
      <c r="AA4" s="61"/>
      <c r="AB4" s="17"/>
      <c r="AC4" s="17"/>
      <c r="AD4" s="17"/>
    </row>
    <row r="5" spans="1:30" ht="45.75">
      <c r="A5" s="36"/>
      <c r="B5" s="36"/>
      <c r="C5" s="53"/>
      <c r="D5" s="30"/>
      <c r="E5" s="47" t="s">
        <v>39</v>
      </c>
      <c r="F5" s="55" t="s">
        <v>40</v>
      </c>
      <c r="G5" s="28"/>
      <c r="H5" s="57">
        <v>10000</v>
      </c>
      <c r="I5" s="56" t="s">
        <v>41</v>
      </c>
      <c r="J5" s="28"/>
      <c r="K5" s="17"/>
      <c r="L5" s="67" t="s">
        <v>27</v>
      </c>
      <c r="M5" s="61"/>
      <c r="N5" s="68" t="s">
        <v>28</v>
      </c>
      <c r="O5" s="61"/>
      <c r="P5" s="61"/>
      <c r="Q5" s="61"/>
      <c r="R5" s="61"/>
      <c r="S5" s="28"/>
      <c r="T5" s="61"/>
      <c r="U5" s="28"/>
      <c r="W5" s="28"/>
      <c r="X5" s="17"/>
      <c r="Y5" s="17"/>
      <c r="Z5" s="17"/>
      <c r="AA5" s="61"/>
      <c r="AB5" s="17"/>
      <c r="AC5" s="17"/>
      <c r="AD5" s="17"/>
    </row>
    <row r="6" spans="1:30" ht="45.75">
      <c r="A6" s="36"/>
      <c r="B6" s="36"/>
      <c r="C6" s="53"/>
      <c r="D6" s="30"/>
      <c r="E6" s="47" t="s">
        <v>42</v>
      </c>
      <c r="F6" s="17"/>
      <c r="G6" s="28"/>
      <c r="H6" s="28">
        <v>210000</v>
      </c>
      <c r="I6" s="56" t="s">
        <v>43</v>
      </c>
      <c r="J6" s="28"/>
      <c r="K6" s="17"/>
      <c r="L6" s="67" t="s">
        <v>27</v>
      </c>
      <c r="M6" s="61"/>
      <c r="N6" s="68" t="s">
        <v>28</v>
      </c>
      <c r="O6" s="61"/>
      <c r="P6" s="61"/>
      <c r="Q6" s="61"/>
      <c r="R6" s="61"/>
      <c r="S6" s="28"/>
      <c r="T6" s="61"/>
      <c r="U6" s="28"/>
      <c r="W6" s="28"/>
      <c r="X6" s="17" t="s">
        <v>44</v>
      </c>
      <c r="Y6" s="17"/>
      <c r="Z6" s="17"/>
      <c r="AA6" s="61"/>
      <c r="AB6" s="17"/>
      <c r="AC6" s="17"/>
      <c r="AD6" s="17"/>
    </row>
    <row r="7" spans="1:30" ht="91.5">
      <c r="A7" s="36"/>
      <c r="B7" s="36"/>
      <c r="C7" s="53"/>
      <c r="D7" s="30"/>
      <c r="E7" s="58" t="s">
        <v>19</v>
      </c>
      <c r="F7" s="17"/>
      <c r="G7" s="28"/>
      <c r="H7" s="28"/>
      <c r="I7" s="56" t="s">
        <v>45</v>
      </c>
      <c r="J7" s="28"/>
      <c r="K7" s="17"/>
      <c r="L7" s="67" t="s">
        <v>27</v>
      </c>
      <c r="M7" s="61"/>
      <c r="N7" s="68" t="s">
        <v>28</v>
      </c>
      <c r="O7" s="61" t="s">
        <v>30</v>
      </c>
      <c r="P7" s="61"/>
      <c r="Q7" s="61" t="s">
        <v>46</v>
      </c>
      <c r="R7" s="61" t="s">
        <v>30</v>
      </c>
      <c r="S7" s="28"/>
      <c r="T7" s="61" t="s">
        <v>47</v>
      </c>
      <c r="U7" s="28"/>
      <c r="W7" s="28"/>
      <c r="X7" s="17"/>
      <c r="Y7" s="17" t="s">
        <v>28</v>
      </c>
      <c r="Z7" s="17" t="s">
        <v>31</v>
      </c>
      <c r="AA7" s="61" t="s">
        <v>48</v>
      </c>
      <c r="AB7" s="17"/>
      <c r="AC7" s="17" t="s">
        <v>46</v>
      </c>
      <c r="AD7" s="17" t="s">
        <v>31</v>
      </c>
    </row>
    <row r="8" spans="1:30" ht="45.75">
      <c r="A8" s="34">
        <v>6512</v>
      </c>
      <c r="B8" s="34" t="s">
        <v>49</v>
      </c>
      <c r="C8" s="34" t="s">
        <v>50</v>
      </c>
      <c r="D8" s="29">
        <v>396125</v>
      </c>
      <c r="E8" s="55" t="s">
        <v>51</v>
      </c>
      <c r="F8" s="55" t="s">
        <v>52</v>
      </c>
      <c r="G8" s="28">
        <v>0</v>
      </c>
      <c r="H8" s="28">
        <v>1068</v>
      </c>
      <c r="I8" s="56" t="s">
        <v>53</v>
      </c>
      <c r="J8" s="28" t="s">
        <v>54</v>
      </c>
      <c r="K8" s="17"/>
      <c r="L8" s="67" t="s">
        <v>55</v>
      </c>
      <c r="M8" s="61"/>
      <c r="N8" s="68" t="s">
        <v>28</v>
      </c>
      <c r="O8" s="61"/>
      <c r="P8" s="61"/>
      <c r="Q8" s="61"/>
      <c r="R8" s="61"/>
      <c r="S8" s="28"/>
      <c r="T8" s="61"/>
      <c r="U8" s="28"/>
      <c r="W8" s="28" t="s">
        <v>55</v>
      </c>
      <c r="X8" s="17"/>
      <c r="Y8" s="17"/>
      <c r="Z8" s="17"/>
      <c r="AA8" s="61"/>
      <c r="AB8" s="17"/>
      <c r="AC8" s="17"/>
      <c r="AD8" s="17"/>
    </row>
    <row r="9" spans="1:30" ht="91.5">
      <c r="A9" s="36"/>
      <c r="B9" s="36"/>
      <c r="C9" s="36"/>
      <c r="D9" s="30"/>
      <c r="E9" s="47" t="s">
        <v>31</v>
      </c>
      <c r="F9" s="55" t="s">
        <v>56</v>
      </c>
      <c r="G9" s="28">
        <v>0</v>
      </c>
      <c r="H9" s="59">
        <v>763</v>
      </c>
      <c r="I9" s="60"/>
      <c r="J9" s="28"/>
      <c r="K9" s="21">
        <v>0.51</v>
      </c>
      <c r="L9" s="67" t="s">
        <v>55</v>
      </c>
      <c r="M9" s="61"/>
      <c r="N9" s="68" t="s">
        <v>28</v>
      </c>
      <c r="O9" s="61"/>
      <c r="P9" s="61"/>
      <c r="Q9" s="61"/>
      <c r="R9" s="61"/>
      <c r="S9" s="28" t="s">
        <v>57</v>
      </c>
      <c r="T9" s="61"/>
      <c r="U9" s="28"/>
      <c r="W9" s="28"/>
      <c r="X9" s="17"/>
      <c r="Y9" s="17" t="s">
        <v>36</v>
      </c>
      <c r="Z9" s="17" t="s">
        <v>31</v>
      </c>
      <c r="AA9" s="61"/>
      <c r="AB9" s="17" t="s">
        <v>58</v>
      </c>
      <c r="AC9" s="17"/>
      <c r="AD9" s="17"/>
    </row>
    <row r="10" spans="1:30" ht="121.5">
      <c r="A10" s="37"/>
      <c r="B10" s="37"/>
      <c r="C10" s="37"/>
      <c r="D10" s="31"/>
      <c r="E10" s="47"/>
      <c r="F10" s="55" t="s">
        <v>59</v>
      </c>
      <c r="G10" s="28">
        <v>0</v>
      </c>
      <c r="H10" s="59">
        <v>10</v>
      </c>
      <c r="I10" s="60"/>
      <c r="J10" s="28"/>
      <c r="K10" s="21">
        <v>0.5</v>
      </c>
      <c r="L10" s="67" t="s">
        <v>55</v>
      </c>
      <c r="M10" s="61"/>
      <c r="N10" s="68" t="s">
        <v>28</v>
      </c>
      <c r="O10" s="61"/>
      <c r="P10" s="61"/>
      <c r="Q10" s="61"/>
      <c r="R10" s="61"/>
      <c r="S10" s="28"/>
      <c r="T10" s="61"/>
      <c r="U10" s="28"/>
      <c r="W10" s="28"/>
      <c r="X10" s="17"/>
      <c r="Y10" s="17"/>
      <c r="Z10" s="17"/>
      <c r="AA10" s="61"/>
      <c r="AB10" s="17"/>
      <c r="AC10" s="17"/>
      <c r="AD10" s="17"/>
    </row>
  </sheetData>
  <dataValidations count="12">
    <dataValidation type="list" allowBlank="1" showInputMessage="1" showErrorMessage="1" sqref="AD2:AD10" xr:uid="{1DB0AA4D-CBBA-44D8-AD35-7342A5D3B9CF}">
      <formula1>"Electricity Access, Energy Efficiency, Renewable EnergyEnergy Infrastructure,   Transport, Digital &amp; Data, Clean Cooking, Decarbonization, Hydrogen, Off-Grid, On-Grid"</formula1>
    </dataValidation>
    <dataValidation type="list" allowBlank="1" showInputMessage="1" showErrorMessage="1" sqref="AC2:AC10 Q2:Q10" xr:uid="{E97B0389-3AF6-40D4-BC49-D5186492B71A}">
      <formula1>"NDC Support, National Strategy, Legal Framework,Incentives and Support, Government Capacity-Building, Carbon Pricing and Monitoring, Financing Model, Business Model"</formula1>
    </dataValidation>
    <dataValidation type="list" allowBlank="1" showInputMessage="1" showErrorMessage="1" sqref="AB2:AB10 P2:P10" xr:uid="{392664DC-689F-41E1-85CC-96C83EAE60BC}">
      <formula1>"AMP, PUDC, Solar4Health, Action Opportunities, Italy UNDP Energy Partnership"</formula1>
    </dataValidation>
    <dataValidation type="list" allowBlank="1" showInputMessage="1" showErrorMessage="1" sqref="Z2:Z10" xr:uid="{8374C05E-1525-4873-9A06-3AE5524DE3A7}">
      <formula1>"Electricity Access, Energy Efficiency, Clean Cooking, Renewable Energy"</formula1>
    </dataValidation>
    <dataValidation type="list" allowBlank="1" showInputMessage="1" showErrorMessage="1" sqref="Y2:Y10 N2:N10" xr:uid="{5A2C10B5-470E-44E1-BCE9-3C87679054E9}">
      <formula1>"Accelerating just energy transition, Close the gap on energy access, Scale up energy finance"</formula1>
    </dataValidation>
    <dataValidation type="list" allowBlank="1" showInputMessage="1" showErrorMessage="1" sqref="AA2:AA10" xr:uid="{2F0F5D83-2EF1-4188-974F-BEFDA7D38B95}">
      <formula1>"Tier 1, Tier 2, Tier 3"</formula1>
    </dataValidation>
    <dataValidation type="list" allowBlank="1" showInputMessage="1" showErrorMessage="1" sqref="O2:O10" xr:uid="{7A102955-E264-449F-BD40-31074D3A7655}">
      <formula1>"Electricity Access, Energy Efficiency, Clean Cooking, Renewable Energy, Overall"</formula1>
    </dataValidation>
    <dataValidation type="list" allowBlank="1" showInputMessage="1" showErrorMessage="1" sqref="L2:L10" xr:uid="{4994380B-B874-4DFE-BAE1-DBB06CC051C1}">
      <formula1>"Non-VF, VF"</formula1>
    </dataValidation>
    <dataValidation type="list" allowBlank="1" showInputMessage="1" showErrorMessage="1" sqref="M2:M10" xr:uid="{6BDFF326-A64E-4F4D-A0B7-F1F7EAE183E1}">
      <formula1>"Finance, Gender, Efficiency, Just, Health"</formula1>
    </dataValidation>
    <dataValidation type="list" allowBlank="1" showInputMessage="1" showErrorMessage="1" sqref="T2:T10" xr:uid="{EDDFB37E-5406-4E83-8551-F0EF38E2E243}">
      <formula1>"National, Regional, City, Community"</formula1>
    </dataValidation>
    <dataValidation type="list" allowBlank="1" showInputMessage="1" showErrorMessage="1" sqref="R2:R10" xr:uid="{6FADF0C5-D5E6-43B8-9CFA-674C327D138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0" xr:uid="{26DB0040-0879-4CC5-ADA2-B5DAC8F0E15E}">
      <formula1>"Solar, Wind, Bioenergy, Hydro, Geothermal, Waste, Some Sources, Other, Unknown"</formula1>
    </dataValidation>
  </dataValidations>
  <hyperlinks>
    <hyperlink ref="C2" r:id="rId1" xr:uid="{FFFE7B0F-6152-4701-88FF-0ACA222DDD9C}"/>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4548D78-E679-4819-85D6-B2B540EFA652}">
          <x14:formula1>
            <xm:f>'Beneficiary Categories'!$A$2:$A$16</xm:f>
          </x14:formula1>
          <xm:sqref>E11:E12</xm:sqref>
        </x14:dataValidation>
        <x14:dataValidation type="list" allowBlank="1" showInputMessage="1" showErrorMessage="1" xr:uid="{6C497994-DFFA-4334-BEF0-62A92A4D5165}">
          <x14:formula1>
            <xm:f>'Beneficiary Categories'!$A$2:$A$22</xm:f>
          </x14:formula1>
          <xm:sqref>E2:E10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88ACF-2375-409F-A507-0BECF9435A62}">
  <dimension ref="A1:S10"/>
  <sheetViews>
    <sheetView workbookViewId="0"/>
  </sheetViews>
  <sheetFormatPr defaultRowHeight="15"/>
  <cols>
    <col min="2" max="2" width="35.85546875" bestFit="1" customWidth="1"/>
    <col min="3" max="3" width="20.7109375" customWidth="1"/>
    <col min="5" max="6" width="20.7109375" customWidth="1"/>
    <col min="7" max="8" width="12.7109375" style="8" customWidth="1"/>
    <col min="9" max="9" width="32.7109375" style="8" customWidth="1"/>
    <col min="13" max="13" width="46.5703125" customWidth="1"/>
  </cols>
  <sheetData>
    <row r="1" spans="1:19">
      <c r="A1" s="12" t="s">
        <v>0</v>
      </c>
      <c r="B1" s="12" t="s">
        <v>1</v>
      </c>
      <c r="C1" s="12" t="s">
        <v>2</v>
      </c>
      <c r="D1" s="12" t="s">
        <v>3</v>
      </c>
      <c r="E1" s="12" t="s">
        <v>4</v>
      </c>
      <c r="F1" s="12" t="s">
        <v>5</v>
      </c>
      <c r="G1" s="13" t="s">
        <v>6</v>
      </c>
      <c r="H1" s="13" t="s">
        <v>7</v>
      </c>
      <c r="I1" s="13" t="s">
        <v>8</v>
      </c>
      <c r="J1" s="48" t="s">
        <v>9</v>
      </c>
      <c r="K1" s="11" t="s">
        <v>10</v>
      </c>
      <c r="L1" s="48" t="s">
        <v>60</v>
      </c>
      <c r="M1" s="11" t="s">
        <v>61</v>
      </c>
      <c r="N1" s="3" t="s">
        <v>12</v>
      </c>
      <c r="O1" s="3" t="s">
        <v>13</v>
      </c>
      <c r="P1" s="3" t="s">
        <v>14</v>
      </c>
      <c r="Q1" s="3" t="s">
        <v>15</v>
      </c>
      <c r="R1" s="3" t="s">
        <v>16</v>
      </c>
      <c r="S1" s="3" t="s">
        <v>17</v>
      </c>
    </row>
    <row r="2" spans="1:19" ht="60.75">
      <c r="A2" s="29">
        <v>126170</v>
      </c>
      <c r="B2" s="29" t="s">
        <v>21</v>
      </c>
      <c r="C2" s="33" t="s">
        <v>22</v>
      </c>
      <c r="D2" s="29">
        <v>3379000</v>
      </c>
      <c r="E2" s="14" t="s">
        <v>23</v>
      </c>
      <c r="F2" s="15" t="s">
        <v>24</v>
      </c>
      <c r="G2" s="14">
        <v>0.38500000000000001</v>
      </c>
      <c r="H2" s="14">
        <v>2.0249999999999999</v>
      </c>
      <c r="I2" s="46" t="s">
        <v>25</v>
      </c>
      <c r="J2" s="28" t="s">
        <v>26</v>
      </c>
      <c r="K2" s="49"/>
      <c r="L2" s="28" t="s">
        <v>27</v>
      </c>
      <c r="M2" s="47"/>
      <c r="O2" t="s">
        <v>28</v>
      </c>
      <c r="P2" t="s">
        <v>30</v>
      </c>
    </row>
    <row r="3" spans="1:19" ht="60.75">
      <c r="A3" s="34"/>
      <c r="B3" s="35"/>
      <c r="C3" s="42"/>
      <c r="D3" s="39"/>
      <c r="E3" s="44" t="s">
        <v>31</v>
      </c>
      <c r="F3" s="15" t="s">
        <v>32</v>
      </c>
      <c r="G3" s="14" t="s">
        <v>33</v>
      </c>
      <c r="H3" s="19" t="s">
        <v>34</v>
      </c>
      <c r="I3" s="16" t="s">
        <v>35</v>
      </c>
      <c r="J3" s="30"/>
      <c r="K3" s="17"/>
      <c r="L3" s="30"/>
      <c r="M3" s="17"/>
      <c r="O3" t="s">
        <v>36</v>
      </c>
      <c r="P3" t="s">
        <v>31</v>
      </c>
    </row>
    <row r="4" spans="1:19" ht="121.5">
      <c r="A4" s="36"/>
      <c r="B4" s="8"/>
      <c r="C4" s="32"/>
      <c r="D4" s="41"/>
      <c r="E4" s="45" t="s">
        <v>31</v>
      </c>
      <c r="F4" s="24" t="s">
        <v>37</v>
      </c>
      <c r="G4" s="25">
        <v>0</v>
      </c>
      <c r="H4" s="26">
        <v>15</v>
      </c>
      <c r="I4" s="27" t="s">
        <v>38</v>
      </c>
      <c r="J4" s="30"/>
      <c r="K4" s="17"/>
      <c r="L4" s="30"/>
      <c r="M4" s="22" t="s">
        <v>62</v>
      </c>
      <c r="O4" t="s">
        <v>36</v>
      </c>
      <c r="P4" t="s">
        <v>31</v>
      </c>
    </row>
    <row r="5" spans="1:19" ht="45.75">
      <c r="A5" s="36"/>
      <c r="B5" s="8"/>
      <c r="C5" s="32"/>
      <c r="D5" s="41"/>
      <c r="E5" s="45" t="s">
        <v>39</v>
      </c>
      <c r="F5" s="24" t="s">
        <v>40</v>
      </c>
      <c r="G5" s="25"/>
      <c r="H5" s="26">
        <v>10000</v>
      </c>
      <c r="I5" s="27" t="s">
        <v>41</v>
      </c>
      <c r="J5" s="30"/>
      <c r="K5" s="17"/>
      <c r="L5" s="30"/>
      <c r="M5" s="20" t="s">
        <v>63</v>
      </c>
    </row>
    <row r="6" spans="1:19" ht="45.75">
      <c r="A6" s="36"/>
      <c r="B6" s="8"/>
      <c r="C6" s="32"/>
      <c r="D6" s="41"/>
      <c r="E6" s="45" t="s">
        <v>42</v>
      </c>
      <c r="F6" s="23"/>
      <c r="G6" s="25"/>
      <c r="H6" s="25">
        <v>210000</v>
      </c>
      <c r="I6" s="27" t="s">
        <v>43</v>
      </c>
      <c r="J6" s="30"/>
      <c r="K6" s="17"/>
      <c r="L6" s="30"/>
      <c r="M6" s="20" t="s">
        <v>63</v>
      </c>
    </row>
    <row r="7" spans="1:19" ht="91.5">
      <c r="A7" s="37"/>
      <c r="B7" s="38"/>
      <c r="C7" s="43"/>
      <c r="D7" s="40"/>
      <c r="E7" s="44" t="s">
        <v>19</v>
      </c>
      <c r="F7" s="18"/>
      <c r="G7" s="14"/>
      <c r="H7" s="14"/>
      <c r="I7" s="16" t="s">
        <v>45</v>
      </c>
      <c r="J7" s="31"/>
      <c r="K7" s="17"/>
      <c r="L7" s="31"/>
      <c r="M7" s="17"/>
      <c r="O7" t="s">
        <v>28</v>
      </c>
      <c r="P7" t="s">
        <v>31</v>
      </c>
      <c r="R7" t="s">
        <v>46</v>
      </c>
      <c r="S7" t="s">
        <v>31</v>
      </c>
    </row>
    <row r="8" spans="1:19" ht="45.75">
      <c r="A8" s="30">
        <v>6512</v>
      </c>
      <c r="B8" s="30" t="s">
        <v>49</v>
      </c>
      <c r="C8" s="30" t="s">
        <v>50</v>
      </c>
      <c r="D8" s="30">
        <v>396125</v>
      </c>
      <c r="E8" s="23" t="s">
        <v>51</v>
      </c>
      <c r="F8" s="24" t="s">
        <v>64</v>
      </c>
      <c r="G8" s="25">
        <v>0</v>
      </c>
      <c r="H8" s="25">
        <v>1068</v>
      </c>
      <c r="I8" s="27" t="s">
        <v>53</v>
      </c>
      <c r="J8" s="69" t="s">
        <v>54</v>
      </c>
      <c r="K8" s="17"/>
      <c r="L8" s="69" t="s">
        <v>55</v>
      </c>
      <c r="M8" s="20" t="s">
        <v>65</v>
      </c>
    </row>
    <row r="9" spans="1:19" ht="91.5">
      <c r="A9" s="34"/>
      <c r="B9" s="35"/>
      <c r="C9" s="35"/>
      <c r="D9" s="39"/>
      <c r="E9" s="44" t="s">
        <v>31</v>
      </c>
      <c r="F9" s="15" t="s">
        <v>56</v>
      </c>
      <c r="G9" s="14">
        <v>0</v>
      </c>
      <c r="H9" s="16">
        <v>763</v>
      </c>
      <c r="I9" s="14"/>
      <c r="J9" s="70"/>
      <c r="K9" s="21">
        <v>0.51</v>
      </c>
      <c r="L9" s="70"/>
      <c r="M9" s="17"/>
      <c r="O9" t="s">
        <v>36</v>
      </c>
      <c r="P9" t="s">
        <v>31</v>
      </c>
      <c r="Q9" t="s">
        <v>58</v>
      </c>
    </row>
    <row r="10" spans="1:19" ht="121.5">
      <c r="A10" s="37"/>
      <c r="B10" s="38"/>
      <c r="C10" s="38"/>
      <c r="D10" s="40"/>
      <c r="E10" s="44" t="s">
        <v>66</v>
      </c>
      <c r="F10" s="15" t="s">
        <v>59</v>
      </c>
      <c r="G10" s="14">
        <v>0</v>
      </c>
      <c r="H10" s="16">
        <v>10</v>
      </c>
      <c r="I10" s="14"/>
      <c r="J10" s="71"/>
      <c r="K10" s="21">
        <v>0.5</v>
      </c>
      <c r="L10" s="71"/>
      <c r="M10" s="17"/>
    </row>
  </sheetData>
  <mergeCells count="2">
    <mergeCell ref="J8:J10"/>
    <mergeCell ref="L8:L10"/>
  </mergeCells>
  <dataValidations count="6">
    <dataValidation allowBlank="1" showInputMessage="1" showErrorMessage="1" sqref="E8" xr:uid="{C8E436A2-2FB2-4DD9-BEAC-FE1001A3A10B}"/>
    <dataValidation type="list" allowBlank="1" showInputMessage="1" showErrorMessage="1" sqref="O2:O10" xr:uid="{9487F4F9-04E6-4DB9-A5DF-6FCBF3EC5656}">
      <formula1>"Accelerating just energy transition, Close the gap on energy access, Scale up energy finance"</formula1>
    </dataValidation>
    <dataValidation type="list" allowBlank="1" showInputMessage="1" showErrorMessage="1" sqref="P2:P10" xr:uid="{66618B99-4EE0-4E69-AE8A-9C5FD603ED2D}">
      <formula1>"Electricity Access, Energy Efficiency, Clean Cooking, Renewable Energy"</formula1>
    </dataValidation>
    <dataValidation type="list" allowBlank="1" showInputMessage="1" showErrorMessage="1" sqref="Q2:Q10" xr:uid="{8ADB0C1D-CB58-4955-BF5F-C3B5A81AD645}">
      <formula1>"AMP, PUDC, Solar4Health, Action Opportunities, Italy UNDP Energy Partnership"</formula1>
    </dataValidation>
    <dataValidation type="list" allowBlank="1" showInputMessage="1" showErrorMessage="1" sqref="R2:R10" xr:uid="{01259E2B-B32D-482E-974F-9E94C13662C6}">
      <formula1>"NDC Support, National Strategy, Legal Framework,Incentives and Support, Government Capacity-Building, Carbon Pricing and Monitoring, Financing Model, Business Model"</formula1>
    </dataValidation>
    <dataValidation type="list" allowBlank="1" showInputMessage="1" showErrorMessage="1" sqref="S2:S10" xr:uid="{0F7CB945-AE5D-496A-B806-CD16FED901D6}">
      <formula1>"Electricity Access, Energy Efficiency, Renewable EnergyEnergy Infrastructure,   Transport, Digital &amp; Data, Clean Cooking, Decarbonization, Hydrogen, Off-Grid, On-Grid"</formula1>
    </dataValidation>
  </dataValidations>
  <hyperlinks>
    <hyperlink ref="C2" r:id="rId1" xr:uid="{73F9B0E4-E09A-4B40-B20B-6B08280C7F7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41345E3-3489-4A34-B59B-C6F5AD8A153E}">
          <x14:formula1>
            <xm:f>'Beneficiary Categories'!$A$2:$A$16</xm:f>
          </x14:formula1>
          <xm:sqref>E9:E12 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opLeftCell="E2" workbookViewId="0">
      <selection activeCell="E2" sqref="E2"/>
    </sheetView>
  </sheetViews>
  <sheetFormatPr defaultRowHeight="15"/>
  <cols>
    <col min="2" max="2" width="35.85546875" bestFit="1" customWidth="1"/>
    <col min="3" max="3" width="20.7109375" customWidth="1"/>
    <col min="5" max="6" width="20.7109375" customWidth="1"/>
    <col min="7" max="8" width="12.7109375" style="8" customWidth="1"/>
    <col min="9" max="9" width="32.7109375" style="8" customWidth="1"/>
  </cols>
  <sheetData>
    <row r="1" spans="1:10">
      <c r="A1" s="1" t="s">
        <v>0</v>
      </c>
      <c r="B1" s="1" t="s">
        <v>1</v>
      </c>
      <c r="C1" s="1" t="s">
        <v>2</v>
      </c>
      <c r="D1" s="1" t="s">
        <v>3</v>
      </c>
      <c r="E1" s="1" t="s">
        <v>4</v>
      </c>
      <c r="F1" s="1" t="s">
        <v>5</v>
      </c>
      <c r="G1" s="5" t="s">
        <v>6</v>
      </c>
      <c r="H1" s="5" t="s">
        <v>7</v>
      </c>
      <c r="I1" s="5" t="s">
        <v>8</v>
      </c>
      <c r="J1" s="3" t="s">
        <v>9</v>
      </c>
    </row>
    <row r="2" spans="1:10" ht="60.75">
      <c r="A2" s="72">
        <v>126170</v>
      </c>
      <c r="B2" s="72" t="s">
        <v>21</v>
      </c>
      <c r="C2" s="74" t="s">
        <v>22</v>
      </c>
      <c r="D2" s="72">
        <v>3379000</v>
      </c>
      <c r="E2" s="6" t="s">
        <v>31</v>
      </c>
      <c r="F2" s="4" t="s">
        <v>67</v>
      </c>
      <c r="G2" s="6" t="s">
        <v>68</v>
      </c>
      <c r="H2" s="6" t="s">
        <v>69</v>
      </c>
      <c r="I2" s="10" t="s">
        <v>70</v>
      </c>
    </row>
    <row r="3" spans="1:10" ht="60.75">
      <c r="A3" s="73"/>
      <c r="B3" s="73"/>
      <c r="C3" s="75"/>
      <c r="D3" s="73"/>
      <c r="E3" s="2"/>
      <c r="F3" s="4" t="s">
        <v>32</v>
      </c>
      <c r="G3" s="6" t="s">
        <v>71</v>
      </c>
      <c r="H3" s="9">
        <v>10000</v>
      </c>
      <c r="I3" s="10" t="s">
        <v>35</v>
      </c>
    </row>
    <row r="4" spans="1:10" ht="60.75">
      <c r="A4" s="73"/>
      <c r="B4" s="73"/>
      <c r="C4" s="75"/>
      <c r="D4" s="73"/>
      <c r="E4" s="2"/>
      <c r="F4" s="4" t="s">
        <v>37</v>
      </c>
      <c r="G4" s="6">
        <v>0</v>
      </c>
      <c r="H4" s="9">
        <v>15</v>
      </c>
      <c r="I4" s="10"/>
    </row>
    <row r="5" spans="1:10" ht="60.75">
      <c r="A5" s="73"/>
      <c r="B5" s="73"/>
      <c r="C5" s="75"/>
      <c r="D5" s="73"/>
      <c r="E5" s="2"/>
      <c r="F5" s="4" t="s">
        <v>72</v>
      </c>
      <c r="G5" s="7">
        <v>0</v>
      </c>
      <c r="H5" s="9">
        <v>0.5</v>
      </c>
      <c r="I5" s="10"/>
    </row>
    <row r="6" spans="1:10">
      <c r="A6" s="73"/>
      <c r="B6" s="73"/>
      <c r="C6" s="75"/>
      <c r="D6" s="73"/>
      <c r="E6" s="2" t="s">
        <v>39</v>
      </c>
      <c r="F6" s="2"/>
      <c r="G6" s="6"/>
      <c r="H6" s="6"/>
      <c r="I6" s="10" t="s">
        <v>73</v>
      </c>
    </row>
    <row r="7" spans="1:10" ht="91.5">
      <c r="A7" s="73"/>
      <c r="B7" s="73"/>
      <c r="C7" s="75"/>
      <c r="D7" s="73"/>
      <c r="E7" s="2" t="s">
        <v>19</v>
      </c>
      <c r="F7" s="2"/>
      <c r="G7" s="6"/>
      <c r="H7" s="6"/>
      <c r="I7" s="10" t="s">
        <v>45</v>
      </c>
    </row>
    <row r="8" spans="1:10" ht="30.75">
      <c r="A8">
        <v>6512</v>
      </c>
      <c r="B8" t="s">
        <v>49</v>
      </c>
      <c r="C8" t="s">
        <v>50</v>
      </c>
      <c r="D8">
        <v>396125</v>
      </c>
      <c r="E8" s="2" t="s">
        <v>74</v>
      </c>
      <c r="F8" s="4" t="s">
        <v>64</v>
      </c>
      <c r="G8" s="6">
        <v>0</v>
      </c>
      <c r="H8" s="6">
        <v>1068</v>
      </c>
      <c r="I8" s="6"/>
      <c r="J8" t="s">
        <v>54</v>
      </c>
    </row>
    <row r="9" spans="1:10" ht="91.5">
      <c r="E9" s="2" t="s">
        <v>31</v>
      </c>
      <c r="F9" s="4" t="s">
        <v>56</v>
      </c>
      <c r="G9" s="6">
        <v>0</v>
      </c>
      <c r="H9" s="10" t="s">
        <v>75</v>
      </c>
      <c r="I9" s="6"/>
      <c r="J9" t="s">
        <v>54</v>
      </c>
    </row>
    <row r="10" spans="1:10" ht="121.5">
      <c r="E10" s="2" t="s">
        <v>76</v>
      </c>
      <c r="F10" s="4" t="s">
        <v>59</v>
      </c>
      <c r="G10" s="6">
        <v>0</v>
      </c>
      <c r="H10" s="10" t="s">
        <v>77</v>
      </c>
      <c r="I10" s="6"/>
      <c r="J10" t="s">
        <v>54</v>
      </c>
    </row>
  </sheetData>
  <mergeCells count="4">
    <mergeCell ref="A2:A7"/>
    <mergeCell ref="B2:B7"/>
    <mergeCell ref="C2:C7"/>
    <mergeCell ref="D2:D7"/>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62" t="s">
        <v>4</v>
      </c>
      <c r="B1" s="62" t="s">
        <v>5</v>
      </c>
    </row>
    <row r="2" spans="1:2" ht="45.75">
      <c r="A2" s="76" t="s">
        <v>31</v>
      </c>
      <c r="B2" s="63" t="s">
        <v>78</v>
      </c>
    </row>
    <row r="3" spans="1:2">
      <c r="A3" s="76" t="s">
        <v>23</v>
      </c>
      <c r="B3" s="63" t="s">
        <v>79</v>
      </c>
    </row>
    <row r="4" spans="1:2" ht="30.75">
      <c r="A4" s="76" t="s">
        <v>80</v>
      </c>
      <c r="B4" s="63" t="s">
        <v>81</v>
      </c>
    </row>
    <row r="5" spans="1:2" ht="30.75">
      <c r="A5" s="76" t="s">
        <v>82</v>
      </c>
      <c r="B5" s="63" t="s">
        <v>83</v>
      </c>
    </row>
    <row r="6" spans="1:2" ht="91.5">
      <c r="A6" s="76" t="s">
        <v>84</v>
      </c>
      <c r="B6" s="63" t="s">
        <v>85</v>
      </c>
    </row>
    <row r="7" spans="1:2" ht="45.75">
      <c r="A7" s="76" t="s">
        <v>42</v>
      </c>
      <c r="B7" s="63" t="s">
        <v>86</v>
      </c>
    </row>
    <row r="8" spans="1:2" ht="45.75">
      <c r="A8" s="76" t="s">
        <v>87</v>
      </c>
      <c r="B8" s="63" t="s">
        <v>88</v>
      </c>
    </row>
    <row r="9" spans="1:2" ht="45.75">
      <c r="A9" s="76" t="s">
        <v>39</v>
      </c>
      <c r="B9" s="63" t="s">
        <v>89</v>
      </c>
    </row>
    <row r="10" spans="1:2" ht="30.75">
      <c r="A10" s="76" t="s">
        <v>90</v>
      </c>
      <c r="B10" s="77" t="s">
        <v>91</v>
      </c>
    </row>
    <row r="11" spans="1:2" ht="30.75">
      <c r="A11" s="76" t="s">
        <v>92</v>
      </c>
      <c r="B11" s="77" t="s">
        <v>93</v>
      </c>
    </row>
    <row r="12" spans="1:2" ht="45.75">
      <c r="A12" s="76" t="s">
        <v>94</v>
      </c>
      <c r="B12" s="63" t="s">
        <v>95</v>
      </c>
    </row>
    <row r="13" spans="1:2" ht="30.75">
      <c r="A13" s="76" t="s">
        <v>96</v>
      </c>
      <c r="B13" s="77" t="s">
        <v>97</v>
      </c>
    </row>
    <row r="14" spans="1:2">
      <c r="A14" s="76" t="s">
        <v>98</v>
      </c>
      <c r="B14" s="77" t="s">
        <v>99</v>
      </c>
    </row>
    <row r="15" spans="1:2" ht="30.75">
      <c r="A15" s="76" t="s">
        <v>100</v>
      </c>
      <c r="B15" s="77" t="s">
        <v>101</v>
      </c>
    </row>
    <row r="16" spans="1:2" ht="30.75">
      <c r="A16" s="76" t="s">
        <v>76</v>
      </c>
      <c r="B16" s="77" t="s">
        <v>102</v>
      </c>
    </row>
    <row r="17" spans="1:2" ht="30.75">
      <c r="A17" s="76" t="s">
        <v>103</v>
      </c>
      <c r="B17" s="63" t="s">
        <v>104</v>
      </c>
    </row>
    <row r="18" spans="1:2" ht="30.75">
      <c r="A18" s="76" t="s">
        <v>66</v>
      </c>
      <c r="B18" s="77" t="s">
        <v>105</v>
      </c>
    </row>
    <row r="19" spans="1:2" ht="76.5">
      <c r="A19" s="76" t="s">
        <v>106</v>
      </c>
      <c r="B19" s="77" t="s">
        <v>107</v>
      </c>
    </row>
    <row r="20" spans="1:2" ht="30.75">
      <c r="A20" s="76" t="s">
        <v>108</v>
      </c>
      <c r="B20" s="77" t="s">
        <v>109</v>
      </c>
    </row>
    <row r="21" spans="1:2" ht="45.75">
      <c r="A21" s="76" t="s">
        <v>19</v>
      </c>
      <c r="B21" s="78" t="s">
        <v>110</v>
      </c>
    </row>
    <row r="22" spans="1:2" ht="30.75">
      <c r="A22" s="76" t="s">
        <v>74</v>
      </c>
      <c r="B22" s="77"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Challa Getachew</DisplayName>
        <AccountId>1900</AccountId>
        <AccountType/>
      </UserInfo>
      <UserInfo>
        <DisplayName>Shigeki Komatsubara</DisplayName>
        <AccountId>1901</AccountId>
        <AccountType/>
      </UserInfo>
      <UserInfo>
        <DisplayName>Azhar Malik</DisplayName>
        <AccountId>1902</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Benjamin Keller</DisplayName>
        <AccountId>1227</AccountId>
        <AccountType/>
      </UserInfo>
      <UserInfo>
        <DisplayName>Stefano Pistolese</DisplayName>
        <AccountId>772</AccountId>
        <AccountType/>
      </UserInfo>
      <UserInfo>
        <DisplayName>Shamiso Kacelenga</DisplayName>
        <AccountId>1415</AccountId>
        <AccountType/>
      </UserInfo>
      <UserInfo>
        <DisplayName>Mathangeni Ngwira</DisplayName>
        <AccountId>1509</AccountId>
        <AccountType/>
      </UserInfo>
      <UserInfo>
        <DisplayName>Rabi Narayan Gaudo</DisplayName>
        <AccountId>1866</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1D03AA-E64C-4937-8935-3E5E4B79F456}"/>
</file>

<file path=customXml/itemProps2.xml><?xml version="1.0" encoding="utf-8"?>
<ds:datastoreItem xmlns:ds="http://schemas.openxmlformats.org/officeDocument/2006/customXml" ds:itemID="{25D463AB-E769-4980-9F51-330E7AD99674}"/>
</file>

<file path=customXml/itemProps3.xml><?xml version="1.0" encoding="utf-8"?>
<ds:datastoreItem xmlns:ds="http://schemas.openxmlformats.org/officeDocument/2006/customXml" ds:itemID="{71CAE28C-887D-495B-B6ED-22C18DE9F2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2024-10-29T16:30:58Z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