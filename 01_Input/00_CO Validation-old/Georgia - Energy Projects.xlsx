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xr:revisionPtr revIDLastSave="521" documentId="11_96DCA9944B7C8DF83CA06904C0FC12E3A92B5F9A" xr6:coauthVersionLast="47" xr6:coauthVersionMax="47" xr10:uidLastSave="{9555139E-0F18-43B3-B836-543B1B397486}"/>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<sst xmlns="http://schemas.openxmlformats.org/spreadsheetml/2006/main" count="217" uniqueCount="115">
  <si>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</si>
  <si>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</si>
  <si>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</si>
  <si>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</si>
  <si>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</si>
  <si>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</si>
  <si>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</si>
  <si>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</si>
  <si>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</si>
  <si>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</si>
  <si>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</si>
  <si>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</si>
  <si>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</si>
  <si>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</si>
  <si>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</si>
  <si>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</si>
  <si>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</si>
  <si>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</si>
  <si>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</si>
  <si>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</si>
  <si>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</si>
  <si>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JP Food/Energy Resilience</t>
  </si>
  <si>
    <t>http://open.undp.org/projects/00145011</t>
  </si>
  <si>
    <t xml:space="preserve">Adapted analytical tools 
Dashboard for food and energy security analysis (with focus on women and vulnerable population) and forecasting  
</t>
  </si>
  <si>
    <t>Non-VF</t>
  </si>
  <si>
    <t>Close the gap on energy access</t>
  </si>
  <si>
    <t>Renewable Energy</t>
  </si>
  <si>
    <t>National Strategy</t>
  </si>
  <si>
    <t>Digital &amp; Data</t>
  </si>
  <si>
    <t>National</t>
  </si>
  <si>
    <t>Renewable Energy for Sustainable Forest Management and Community Resilience in Machakhela Protected Areas</t>
  </si>
  <si>
    <t>https://www.undp.org/georgia/projects/machakhela-forest-management</t>
  </si>
  <si>
    <t>Water Services</t>
  </si>
  <si>
    <r>
      <t xml:space="preserve">Number of Machakhela Protected Landscape residents with access to the solar heated water during the warm months of the year </t>
    </r>
    <r>
      <rPr>
        <i/>
        <sz val="10"/>
        <color rgb="FF000000"/>
        <rFont val="Times New Roman"/>
      </rPr>
      <t>(disaggregated by: male, female, youth (15- 24))</t>
    </r>
  </si>
  <si>
    <t>With 200 new solar water heaters installed, the total number of water heaters 210 in the Machakhela Protected Landscape (MPL) reaches at least 210 (including baseline). 1,050 MPL residents with access to the solar heatedwater during the warm months of the year</t>
  </si>
  <si>
    <t>Energy (MW added)</t>
  </si>
  <si>
    <t>Number of on-grid solar power systems installed in the MPL</t>
  </si>
  <si>
    <t>70 on-grid solar power systems installed in the MPL (2.8kw each)</t>
  </si>
  <si>
    <t>Other Energy Services</t>
  </si>
  <si>
    <r>
      <t xml:space="preserve">Number of people benefiting from the on-grid solar systems with reduced electricity bill during the warm months of the year </t>
    </r>
    <r>
      <rPr>
        <i/>
        <sz val="10"/>
        <color rgb="FF000000"/>
        <rFont val="Times New Roman"/>
      </rPr>
      <t>(disaggregated by: male, female, youth (15-24))</t>
    </r>
  </si>
  <si>
    <t>at least 300 individuals benefiting from the on-grid_x000D_solar systems with reduced electricity bill</t>
  </si>
  <si>
    <t>Feasibility of other alternatives (e.g. Biomass_x000D_production) assessed in the valley and/or adjacent_x000D_areas including technical, environmental, financial_x000D_management and market feasibilities</t>
  </si>
  <si>
    <t>Feasibility of other alternatives (e.g. Biomass_x000D_production) assessed in the valley and/or adjacent areas</t>
  </si>
  <si>
    <t>Financing Model</t>
  </si>
  <si>
    <t>Community</t>
  </si>
  <si>
    <t>Capacity Building Training</t>
  </si>
  <si>
    <r>
      <t xml:space="preserve">Number of people involved in the awareness raising activities on alternative clean energy (e.g., biomass) production and utilization. </t>
    </r>
    <r>
      <rPr>
        <i/>
        <sz val="10"/>
        <color rgb="FF000000"/>
        <rFont val="Times New Roman"/>
      </rPr>
      <t>(Disaggregated by: male, female, youth (15-24))</t>
    </r>
  </si>
  <si>
    <t>At least 1500, including beneficiaries of Activities 1 and 2</t>
  </si>
  <si>
    <t>101419</t>
  </si>
  <si>
    <t>Improving Rural Development in Georgia (ENPARD 3)</t>
  </si>
  <si>
    <t>https://www.undp.org/georgia/projects/enpard-3</t>
  </si>
  <si>
    <t>Increase Number of Households in targeted rural areas receiving direct incentives to improve energy efficiency and other climate-related benefits with support from the project</t>
  </si>
  <si>
    <t>543 HH</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</si>
  <si>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</si>
  <si>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European Union, Georgia</t>
  </si>
  <si>
    <t>141162</t>
  </si>
  <si>
    <t xml:space="preserve">Support to sustainable and climate-friendly forest management practices in Georgia  </t>
  </si>
  <si>
    <t>https://www.undp.org/georgia/projects/sustainable-forest-management</t>
  </si>
  <si>
    <t>Clean Cooking</t>
  </si>
  <si>
    <t xml:space="preserve">Public awareness campaign on the importance of SFM, BSY and energy efficiency is conducted in Mtskheta municipality ;                                  # of socially vulnerable households equipped with energy-efficient equipment/technologies and trained in the usage                  </t>
  </si>
  <si>
    <t>50 HH</t>
  </si>
  <si>
    <t>Yes                             At least 50 socially vulnerable households of Mtskheta Municipality are equiped with EE stoves and trained in the usage</t>
  </si>
  <si>
    <t>Category</t>
  </si>
  <si>
    <t>Covered by other indicators</t>
  </si>
  <si>
    <t>70 on-grid solar power systems installed in the MPL</t>
  </si>
  <si>
    <t>Capacity Training</t>
  </si>
  <si>
    <t>00101419</t>
  </si>
  <si>
    <t>00141162</t>
  </si>
  <si>
    <t>926 659</t>
  </si>
  <si>
    <t>Number of solar water heaters installed in the Machakhela Protected Landscape (MPL)</t>
  </si>
  <si>
    <r>
      <t xml:space="preserve">With </t>
    </r>
    <r>
      <rPr>
        <b/>
        <sz val="10"/>
        <color rgb="FF000000"/>
        <rFont val="Times New Roman"/>
      </rPr>
      <t xml:space="preserve">200 </t>
    </r>
    <r>
      <rPr>
        <sz val="10"/>
        <color rgb="FF000000"/>
        <rFont val="Times New Roman"/>
      </rPr>
      <t xml:space="preserve">new solar water heaters installed, the total number of water heaters 210 in the Machakhela Protected Landscape (MPL) reaches at least </t>
    </r>
    <r>
      <rPr>
        <b/>
        <sz val="10"/>
        <color rgb="FF000000"/>
        <rFont val="Times New Roman"/>
      </rPr>
      <t>210 (including baseline)</t>
    </r>
  </si>
  <si>
    <t>1,050 MPL residents with access to the solar heated_x000D_water during the warm months of the year</t>
  </si>
  <si>
    <t>No</t>
  </si>
  <si>
    <t xml:space="preserve">Yes </t>
  </si>
  <si>
    <t>*00101419</t>
  </si>
  <si>
    <t>Electricity Access Energy (MW added)</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</si>
  <si>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5430 rural households installed various EE/RE technologies such as Solar Water Heaters, Solar Panels, and thermal insulation of the houses.</t>
  </si>
  <si>
    <t xml:space="preserve">*00141162 </t>
  </si>
  <si>
    <t>Education Services; Other Energy services</t>
  </si>
  <si>
    <t>Electricity Access</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</si>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</sst>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theme="1"/>
      <name val="Times New Roman"/>
    </font>
    <font>
      <sz val="10"/>
      <color theme="1"/>
      <name val="Times New Roman"/>
    </font>
    <font>
      <sz val="10"/>
      <color rgb="FF000000"/>
      <name val="Times New Roman"/>
    </font>
    <font>
      <b/>
      <sz val="10"/>
      <color rgb="FF000000"/>
      <name val="Times New Roman"/>
    </font>
    <font>
      <i/>
      <sz val="10"/>
      <color rgb="FF000000"/>
      <name val="Times New Roman"/>
    </font>
    <font>
      <sz val="11"/>
      <color rgb="FF000000"/>
      <name val="Calibri"/>
      <family val="2"/>
      <charset val="1"/>
    </font>
    <font>
      <sz val="11"/>
      <color rgb="FF000000"/>
      <name val="Calibri"/>
      <charset val="1"/>
    </font>
    <font>
      <sz val="11"/>
      <color theme="1"/>
      <name val="Calibri"/>
    </font>
    <font>
      <sz val="11"/>
      <color rgb="FF000000"/>
      <name val="Calibri"/>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auto="1"/>
      </left>
      <right style="medium">
        <color rgb="FF000000"/>
      </right>
      <top style="medium">
        <color rgb="FF000000"/>
      </top>
      <bottom style="thin">
        <color auto="1"/>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114">
    <xf numFmtId="0" fontId="0" fillId="0" borderId="0" xfId="0"/>
    <xf numFmtId="0" fontId="2" fillId="0" borderId="1" xfId="0" applyFont="1" applyBorder="1" applyAlignment="1">
      <alignment horizontal="center" vertical="top"/>
    </xf>
    <xf numFmtId="0" fontId="0" fillId="2" borderId="0" xfId="0" applyFill="1"/>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5" fillId="3" borderId="4" xfId="0" applyFont="1" applyFill="1" applyBorder="1" applyAlignment="1">
      <alignment vertical="center" wrapText="1"/>
    </xf>
    <xf numFmtId="0" fontId="5" fillId="3" borderId="6" xfId="0" applyFont="1" applyFill="1" applyBorder="1" applyAlignment="1">
      <alignment horizontal="left" vertical="center" wrapText="1"/>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wrapText="1"/>
    </xf>
    <xf numFmtId="0" fontId="0" fillId="0" borderId="0" xfId="0" applyAlignment="1">
      <alignment vertical="top"/>
    </xf>
    <xf numFmtId="0" fontId="3" fillId="0" borderId="0" xfId="1" applyAlignment="1" applyProtection="1">
      <alignment vertical="top"/>
    </xf>
    <xf numFmtId="0" fontId="6"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6" fillId="3" borderId="13" xfId="0" applyFont="1" applyFill="1" applyBorder="1" applyAlignment="1">
      <alignment vertical="center" wrapText="1"/>
    </xf>
    <xf numFmtId="0" fontId="4" fillId="3" borderId="12" xfId="0" applyFont="1" applyFill="1" applyBorder="1" applyAlignment="1">
      <alignment horizontal="center" vertical="center" wrapText="1"/>
    </xf>
    <xf numFmtId="0" fontId="5" fillId="3" borderId="14" xfId="0" applyFont="1" applyFill="1"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3" fontId="0" fillId="0" borderId="2" xfId="0" applyNumberFormat="1" applyBorder="1" applyAlignment="1">
      <alignment horizontal="center" vertical="center"/>
    </xf>
    <xf numFmtId="0" fontId="3" fillId="0" borderId="2" xfId="1" applyBorder="1" applyAlignment="1" applyProtection="1">
      <alignment vertical="center" wrapText="1"/>
    </xf>
    <xf numFmtId="0" fontId="10"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2" fillId="0" borderId="0" xfId="0" applyFont="1" applyAlignment="1">
      <alignment wrapText="1"/>
    </xf>
    <xf numFmtId="0" fontId="0" fillId="3" borderId="2" xfId="0" applyFill="1" applyBorder="1" applyAlignment="1">
      <alignment vertical="top"/>
    </xf>
    <xf numFmtId="0" fontId="2" fillId="0" borderId="0" xfId="0" applyFont="1"/>
    <xf numFmtId="0" fontId="2" fillId="0" borderId="2" xfId="0" applyFont="1" applyBorder="1"/>
    <xf numFmtId="0" fontId="2" fillId="0" borderId="2" xfId="0" applyFont="1" applyBorder="1" applyAlignment="1">
      <alignment horizontal="center" vertical="top"/>
    </xf>
    <xf numFmtId="0" fontId="0" fillId="0" borderId="2" xfId="0" applyBorder="1" applyAlignment="1">
      <alignment vertical="top"/>
    </xf>
    <xf numFmtId="0" fontId="3" fillId="0" borderId="2" xfId="1" applyBorder="1" applyAlignment="1" applyProtection="1">
      <alignment vertical="top"/>
    </xf>
    <xf numFmtId="0" fontId="0" fillId="2" borderId="2" xfId="0" applyFill="1" applyBorder="1"/>
    <xf numFmtId="0" fontId="0" fillId="0" borderId="2" xfId="0" applyBorder="1"/>
    <xf numFmtId="0" fontId="6" fillId="3" borderId="2" xfId="0" applyFont="1" applyFill="1" applyBorder="1" applyAlignment="1">
      <alignment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12" fillId="0" borderId="2" xfId="0" applyFont="1" applyBorder="1" applyAlignment="1">
      <alignment wrapText="1"/>
    </xf>
    <xf numFmtId="0" fontId="0" fillId="0" borderId="2" xfId="0" applyBorder="1" applyAlignment="1">
      <alignment vertical="center"/>
    </xf>
    <xf numFmtId="49" fontId="0" fillId="0" borderId="2" xfId="0" applyNumberFormat="1" applyBorder="1" applyAlignment="1">
      <alignment horizontal="center" vertical="center"/>
    </xf>
    <xf numFmtId="0" fontId="0" fillId="4" borderId="0" xfId="0" applyFill="1"/>
    <xf numFmtId="0" fontId="2" fillId="0" borderId="12" xfId="0" applyFont="1" applyBorder="1" applyAlignment="1">
      <alignment horizontal="center" vertical="top"/>
    </xf>
    <xf numFmtId="0" fontId="2" fillId="0" borderId="12" xfId="0" applyFont="1" applyBorder="1"/>
    <xf numFmtId="0" fontId="2" fillId="0" borderId="12" xfId="0" applyFont="1" applyBorder="1" applyAlignment="1">
      <alignment wrapText="1"/>
    </xf>
    <xf numFmtId="0" fontId="0" fillId="0" borderId="12" xfId="0" applyBorder="1" applyAlignment="1">
      <alignment horizontal="center" vertical="top"/>
    </xf>
    <xf numFmtId="0" fontId="0" fillId="0" borderId="15" xfId="0" applyBorder="1" applyAlignment="1">
      <alignment horizontal="center" vertical="top"/>
    </xf>
    <xf numFmtId="0" fontId="0" fillId="0" borderId="16" xfId="0" applyBorder="1" applyAlignment="1">
      <alignment horizontal="center" vertical="top"/>
    </xf>
    <xf numFmtId="49" fontId="0" fillId="0" borderId="12" xfId="0" applyNumberFormat="1"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left" vertical="top" wrapText="1"/>
    </xf>
    <xf numFmtId="3" fontId="0" fillId="0" borderId="12" xfId="0" applyNumberFormat="1" applyBorder="1" applyAlignment="1">
      <alignment vertical="top"/>
    </xf>
    <xf numFmtId="0" fontId="0" fillId="0" borderId="12" xfId="0" applyBorder="1" applyAlignment="1">
      <alignment horizontal="center" vertical="center" wrapText="1"/>
    </xf>
    <xf numFmtId="0" fontId="3" fillId="0" borderId="12" xfId="1" applyFill="1" applyBorder="1" applyAlignment="1" applyProtection="1">
      <alignment vertical="top" wrapText="1"/>
    </xf>
    <xf numFmtId="0" fontId="6" fillId="0" borderId="2" xfId="0" applyFont="1" applyBorder="1" applyAlignment="1">
      <alignment vertical="center" wrapText="1"/>
    </xf>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0" fillId="0" borderId="15" xfId="0" applyBorder="1" applyAlignment="1">
      <alignment horizontal="left" vertical="top" wrapText="1"/>
    </xf>
    <xf numFmtId="0" fontId="3" fillId="0" borderId="15" xfId="1" applyFill="1" applyBorder="1" applyAlignment="1" applyProtection="1">
      <alignment vertical="top" wrapText="1"/>
    </xf>
    <xf numFmtId="3" fontId="0" fillId="0" borderId="15" xfId="0" applyNumberFormat="1" applyBorder="1" applyAlignment="1">
      <alignment vertical="top"/>
    </xf>
    <xf numFmtId="0" fontId="5" fillId="0" borderId="2" xfId="0" applyFont="1" applyBorder="1" applyAlignment="1">
      <alignment vertical="center" wrapText="1"/>
    </xf>
    <xf numFmtId="0" fontId="0" fillId="0" borderId="16" xfId="0" applyBorder="1" applyAlignment="1">
      <alignment horizontal="left" vertical="top" wrapText="1"/>
    </xf>
    <xf numFmtId="0" fontId="3" fillId="0" borderId="16" xfId="1" applyFill="1" applyBorder="1" applyAlignment="1" applyProtection="1">
      <alignment vertical="top" wrapText="1"/>
    </xf>
    <xf numFmtId="3" fontId="0" fillId="0" borderId="16" xfId="0" applyNumberFormat="1" applyBorder="1" applyAlignment="1">
      <alignment vertical="top"/>
    </xf>
    <xf numFmtId="0" fontId="3" fillId="0" borderId="12" xfId="1" applyFill="1" applyBorder="1" applyAlignment="1" applyProtection="1">
      <alignment horizontal="center" vertical="center" wrapText="1"/>
    </xf>
    <xf numFmtId="3" fontId="0" fillId="0" borderId="12" xfId="0" applyNumberFormat="1" applyBorder="1" applyAlignment="1">
      <alignment horizontal="center" vertical="center"/>
    </xf>
    <xf numFmtId="0" fontId="9" fillId="0" borderId="12" xfId="0" applyFont="1" applyBorder="1" applyAlignment="1">
      <alignment horizontal="center" vertical="center" wrapText="1"/>
    </xf>
    <xf numFmtId="0" fontId="0" fillId="0" borderId="12" xfId="0" applyBorder="1" applyAlignment="1">
      <alignment horizontal="center"/>
    </xf>
    <xf numFmtId="0" fontId="13" fillId="0" borderId="2" xfId="0" applyFont="1" applyBorder="1" applyAlignment="1">
      <alignment horizontal="center" vertical="top" wrapText="1"/>
    </xf>
    <xf numFmtId="0" fontId="14" fillId="0" borderId="2" xfId="0" applyFont="1" applyBorder="1" applyAlignment="1">
      <alignment wrapText="1"/>
    </xf>
    <xf numFmtId="0" fontId="2" fillId="0" borderId="2" xfId="0" applyFont="1" applyBorder="1" applyAlignment="1">
      <alignment horizontal="center"/>
    </xf>
    <xf numFmtId="0" fontId="2" fillId="0" borderId="12" xfId="0" applyFont="1" applyBorder="1" applyAlignment="1">
      <alignment horizontal="center"/>
    </xf>
    <xf numFmtId="0" fontId="2" fillId="0" borderId="17" xfId="0" applyFont="1" applyBorder="1" applyAlignment="1">
      <alignment horizontal="center"/>
    </xf>
    <xf numFmtId="0" fontId="0" fillId="0" borderId="18"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wrapText="1"/>
    </xf>
    <xf numFmtId="0" fontId="3" fillId="0" borderId="2" xfId="1" applyFill="1" applyBorder="1" applyAlignment="1" applyProtection="1">
      <alignment vertical="top"/>
    </xf>
    <xf numFmtId="0" fontId="0" fillId="0" borderId="2" xfId="0" applyBorder="1" applyAlignment="1">
      <alignment horizontal="center" vertical="top"/>
    </xf>
    <xf numFmtId="0" fontId="0" fillId="0" borderId="2" xfId="0" applyBorder="1" applyAlignment="1">
      <alignment horizontal="left" vertical="top" wrapText="1"/>
    </xf>
    <xf numFmtId="0" fontId="3" fillId="0" borderId="2" xfId="1" applyBorder="1" applyAlignment="1" applyProtection="1">
      <alignment vertical="top" wrapText="1"/>
    </xf>
    <xf numFmtId="3" fontId="0" fillId="0" borderId="2" xfId="0" applyNumberFormat="1" applyBorder="1" applyAlignment="1">
      <alignment vertical="top"/>
    </xf>
    <xf numFmtId="49" fontId="0" fillId="0" borderId="2" xfId="0" applyNumberFormat="1" applyBorder="1" applyAlignment="1">
      <alignment horizontal="center" vertical="center"/>
    </xf>
    <xf numFmtId="0" fontId="0" fillId="4" borderId="2" xfId="0" applyFill="1" applyBorder="1" applyAlignment="1">
      <alignment horizontal="center" vertical="center" wrapText="1"/>
    </xf>
    <xf numFmtId="0" fontId="3" fillId="4" borderId="2" xfId="1" applyFill="1" applyBorder="1" applyAlignment="1" applyProtection="1">
      <alignment horizontal="center" vertical="center" wrapText="1"/>
    </xf>
    <xf numFmtId="3" fontId="0" fillId="4" borderId="2" xfId="0" applyNumberFormat="1" applyFill="1" applyBorder="1" applyAlignment="1">
      <alignment horizontal="center" vertical="center"/>
    </xf>
    <xf numFmtId="0" fontId="0" fillId="4" borderId="2" xfId="0" applyFill="1" applyBorder="1" applyAlignment="1">
      <alignment horizontal="center" vertical="center"/>
    </xf>
    <xf numFmtId="0" fontId="9" fillId="4" borderId="2" xfId="0" applyFont="1" applyFill="1" applyBorder="1" applyAlignment="1">
      <alignment horizontal="center" vertical="center" wrapText="1"/>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4" borderId="12" xfId="0" applyFill="1" applyBorder="1" applyAlignment="1">
      <alignment horizontal="center" vertical="center"/>
    </xf>
    <xf numFmtId="0" fontId="0" fillId="4" borderId="15" xfId="0" applyFill="1" applyBorder="1" applyAlignment="1">
      <alignment horizontal="center" vertical="center"/>
    </xf>
    <xf numFmtId="0" fontId="0" fillId="4" borderId="16" xfId="0" applyFill="1" applyBorder="1" applyAlignment="1">
      <alignment horizontal="center" vertical="center"/>
    </xf>
    <xf numFmtId="0" fontId="0" fillId="4" borderId="12" xfId="0" applyFill="1" applyBorder="1" applyAlignment="1">
      <alignment horizontal="center"/>
    </xf>
    <xf numFmtId="0" fontId="0" fillId="4" borderId="15" xfId="0" applyFill="1" applyBorder="1" applyAlignment="1">
      <alignment horizontal="center"/>
    </xf>
    <xf numFmtId="0" fontId="0" fillId="4" borderId="16" xfId="0" applyFill="1" applyBorder="1" applyAlignment="1">
      <alignment horizontal="center"/>
    </xf>
    <xf numFmtId="0" fontId="0" fillId="0" borderId="7" xfId="0" applyBorder="1" applyAlignment="1">
      <alignment horizontal="center" vertical="top"/>
    </xf>
    <xf numFmtId="0" fontId="0" fillId="0" borderId="8" xfId="0" applyBorder="1" applyAlignment="1">
      <alignment horizontal="center" vertical="top"/>
    </xf>
    <xf numFmtId="0" fontId="0" fillId="0" borderId="11" xfId="0" applyBorder="1" applyAlignment="1">
      <alignment horizontal="center" vertical="top"/>
    </xf>
    <xf numFmtId="0" fontId="0" fillId="0" borderId="3" xfId="0" applyBorder="1" applyAlignment="1">
      <alignment horizontal="left" vertical="top" wrapText="1"/>
    </xf>
    <xf numFmtId="0" fontId="0" fillId="0" borderId="12" xfId="0" applyBorder="1" applyAlignment="1">
      <alignment horizontal="left" vertical="top" wrapText="1"/>
    </xf>
    <xf numFmtId="0" fontId="3" fillId="0" borderId="3" xfId="1" applyBorder="1" applyAlignment="1" applyProtection="1">
      <alignment vertical="top" wrapText="1"/>
    </xf>
    <xf numFmtId="0" fontId="3" fillId="0" borderId="12" xfId="1" applyBorder="1" applyAlignment="1" applyProtection="1">
      <alignment vertical="top" wrapText="1"/>
    </xf>
    <xf numFmtId="3" fontId="0" fillId="0" borderId="3" xfId="0" applyNumberFormat="1" applyBorder="1" applyAlignment="1">
      <alignment vertical="top"/>
    </xf>
    <xf numFmtId="3" fontId="0" fillId="0" borderId="12" xfId="0" applyNumberFormat="1" applyBorder="1" applyAlignment="1">
      <alignment vertical="top"/>
    </xf>
    <xf numFmtId="0" fontId="0" fillId="3" borderId="3" xfId="0" applyFill="1" applyBorder="1" applyAlignment="1">
      <alignment vertical="top"/>
    </xf>
    <xf numFmtId="0" fontId="0" fillId="3" borderId="2" xfId="0" applyFill="1" applyBorder="1" applyAlignment="1">
      <alignment vertical="top"/>
    </xf>
    <xf numFmtId="0" fontId="0" fillId="3" borderId="12" xfId="0" applyFill="1" applyBorder="1" applyAlignment="1">
      <alignment vertical="top"/>
    </xf>
    <xf numFmtId="0" fontId="0" fillId="0" borderId="2" xfId="0" applyBorder="1" applyAlignment="1">
      <alignment horizontal="center" vertical="center" wrapText="1"/>
    </xf>
    <xf numFmtId="0" fontId="0" fillId="0" borderId="12" xfId="0" applyBorder="1" applyAlignment="1">
      <alignment horizontal="center" vertical="center" wrapText="1"/>
    </xf>
    <xf numFmtId="0" fontId="0" fillId="0" borderId="2" xfId="0" applyBorder="1" applyAlignment="1">
      <alignment horizontal="center" vertical="center"/>
    </xf>
    <xf numFmtId="0" fontId="3" fillId="0" borderId="2" xfId="1" applyBorder="1" applyAlignment="1" applyProtection="1">
      <alignment horizontal="center" vertical="center" wrapText="1"/>
    </xf>
    <xf numFmtId="0" fontId="3" fillId="0" borderId="12" xfId="1" applyBorder="1" applyAlignment="1" applyProtection="1">
      <alignment horizontal="center" vertical="center" wrapText="1"/>
    </xf>
    <xf numFmtId="3" fontId="0" fillId="0" borderId="2" xfId="0" applyNumberFormat="1" applyBorder="1" applyAlignment="1">
      <alignment horizontal="center" vertical="center"/>
    </xf>
    <xf numFmtId="0" fontId="9"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ndp.org/georgia/projects/enpard-3" TargetMode="External"/><Relationship Id="rId2" Type="http://schemas.openxmlformats.org/officeDocument/2006/relationships/hyperlink" Target="https://www.undp.org/georgia/projects/machakhela-forest-management" TargetMode="External"/><Relationship Id="rId1" Type="http://schemas.openxmlformats.org/officeDocument/2006/relationships/hyperlink" Target="http://open.undp.org/projects/00145011" TargetMode="External"/><Relationship Id="rId4" Type="http://schemas.openxmlformats.org/officeDocument/2006/relationships/hyperlink" Target="https://www.undp.org/georgia/projects/sustainable-forest-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undp.org/georgia/projects/enpard-3" TargetMode="External"/><Relationship Id="rId2" Type="http://schemas.openxmlformats.org/officeDocument/2006/relationships/hyperlink" Target="https://www.undp.org/georgia/projects/machakhela-forest-management" TargetMode="External"/><Relationship Id="rId1" Type="http://schemas.openxmlformats.org/officeDocument/2006/relationships/hyperlink" Target="http://open.undp.org/projects/00145011" TargetMode="External"/><Relationship Id="rId4" Type="http://schemas.openxmlformats.org/officeDocument/2006/relationships/hyperlink" Target="https://www.undp.org/georgia/projects/sustainable-forest-managemen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undp.org/georgia/projects/enpard-3" TargetMode="External"/><Relationship Id="rId2" Type="http://schemas.openxmlformats.org/officeDocument/2006/relationships/hyperlink" Target="https://www.undp.org/georgia/projects/machakhela-forest-management" TargetMode="External"/><Relationship Id="rId1" Type="http://schemas.openxmlformats.org/officeDocument/2006/relationships/hyperlink" Target="http://open.undp.org/projects/00145011" TargetMode="External"/><Relationship Id="rId4" Type="http://schemas.openxmlformats.org/officeDocument/2006/relationships/hyperlink" Target="https://www.undp.org/georgia/projects/sustainable-forest-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13D11-4323-4385-A404-DE86791C8393}">
  <dimension ref="A1:U9"/>
  <sheetViews>
    <sheetView tabSelected="1" workbookViewId="0">
      <pane xSplit="1" ySplit="1" topLeftCell="B2" activePane="bottomRight" state="frozen"/>
      <selection pane="bottomRight" activeCell="B2" sqref="B2"/>
      <selection pane="bottomLeft"/>
      <selection pane="topRight"/>
    </sheetView>
  </sheetViews>
  <sheetFormatPr defaultRowHeight="15"/>
  <cols>
    <col min="1" max="1" width="10.28515625" customWidth="1"/>
    <col min="2" max="2" width="21.28515625" customWidth="1"/>
    <col min="3" max="3" width="20.7109375" customWidth="1"/>
    <col min="4" max="4" width="9.85546875" bestFit="1" customWidth="1"/>
    <col min="5" max="5" width="29.5703125" bestFit="1" customWidth="1"/>
    <col min="6" max="6" width="29" customWidth="1"/>
    <col min="7" max="7" width="12.7109375" customWidth="1"/>
    <col min="8" max="8" width="17.42578125" customWidth="1"/>
    <col min="9" max="9" width="32.7109375" customWidth="1"/>
    <col min="10" max="10" width="16.28515625" customWidth="1"/>
    <col min="12" max="12" width="12.85546875" bestFit="1" customWidth="1"/>
    <col min="13" max="13" width="10.7109375" customWidth="1"/>
    <col min="14" max="14" width="14.42578125" bestFit="1" customWidth="1"/>
    <col min="15" max="15" width="17.5703125" bestFit="1" customWidth="1"/>
    <col min="16" max="16" width="10.1406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s>
  <sheetData>
    <row r="1" spans="1:21" ht="45.75">
      <c r="A1" s="38" t="s">
        <v>0</v>
      </c>
      <c r="B1" s="38" t="s">
        <v>1</v>
      </c>
      <c r="C1" s="38" t="s">
        <v>2</v>
      </c>
      <c r="D1" s="38" t="s">
        <v>3</v>
      </c>
      <c r="E1" s="38" t="s">
        <v>4</v>
      </c>
      <c r="F1" s="38" t="s">
        <v>5</v>
      </c>
      <c r="G1" s="38" t="s">
        <v>6</v>
      </c>
      <c r="H1" s="38" t="s">
        <v>7</v>
      </c>
      <c r="I1" s="38" t="s">
        <v>8</v>
      </c>
      <c r="J1" s="39" t="s">
        <v>9</v>
      </c>
      <c r="K1" s="40" t="s">
        <v>10</v>
      </c>
      <c r="L1" s="66" t="s">
        <v>11</v>
      </c>
      <c r="M1" s="67" t="s">
        <v>12</v>
      </c>
      <c r="N1" s="66" t="s">
        <v>13</v>
      </c>
      <c r="O1" s="66" t="s">
        <v>14</v>
      </c>
      <c r="P1" s="67" t="s">
        <v>15</v>
      </c>
      <c r="Q1" s="67" t="s">
        <v>16</v>
      </c>
      <c r="R1" s="68" t="s">
        <v>17</v>
      </c>
      <c r="S1" s="39" t="s">
        <v>18</v>
      </c>
      <c r="T1" s="68" t="s">
        <v>19</v>
      </c>
      <c r="U1" s="39" t="s">
        <v>20</v>
      </c>
    </row>
    <row r="2" spans="1:21" ht="106.5">
      <c r="A2" s="27">
        <v>145011</v>
      </c>
      <c r="B2" s="27" t="s">
        <v>21</v>
      </c>
      <c r="C2" s="72" t="s">
        <v>22</v>
      </c>
      <c r="D2" s="27">
        <v>99070</v>
      </c>
      <c r="E2" s="27" t="s">
        <v>19</v>
      </c>
      <c r="F2" s="71"/>
      <c r="G2" s="30"/>
      <c r="H2" s="30"/>
      <c r="I2" s="71" t="s">
        <v>23</v>
      </c>
      <c r="J2" s="30"/>
      <c r="K2" s="30"/>
      <c r="L2" s="69" t="s">
        <v>24</v>
      </c>
      <c r="M2" s="17"/>
      <c r="N2" s="70" t="s">
        <v>25</v>
      </c>
      <c r="O2" s="17" t="s">
        <v>26</v>
      </c>
      <c r="P2" s="17"/>
      <c r="Q2" s="17" t="s">
        <v>27</v>
      </c>
      <c r="R2" s="17" t="s">
        <v>28</v>
      </c>
      <c r="S2" s="35"/>
      <c r="T2" s="17" t="s">
        <v>29</v>
      </c>
      <c r="U2" s="35"/>
    </row>
    <row r="3" spans="1:21" ht="100.5" customHeight="1">
      <c r="A3" s="41">
        <v>1000347</v>
      </c>
      <c r="B3" s="46" t="s">
        <v>30</v>
      </c>
      <c r="C3" s="49" t="s">
        <v>31</v>
      </c>
      <c r="D3" s="47">
        <v>450000</v>
      </c>
      <c r="E3" s="27" t="s">
        <v>32</v>
      </c>
      <c r="F3" s="50" t="s">
        <v>33</v>
      </c>
      <c r="G3" s="51">
        <v>50</v>
      </c>
      <c r="H3" s="51">
        <v>1050</v>
      </c>
      <c r="I3" s="52" t="s">
        <v>34</v>
      </c>
      <c r="J3" s="30"/>
      <c r="K3" s="30"/>
      <c r="L3" s="69" t="s">
        <v>24</v>
      </c>
      <c r="M3" s="17"/>
      <c r="N3" s="70" t="s">
        <v>25</v>
      </c>
      <c r="O3" s="17"/>
      <c r="P3" s="17"/>
      <c r="Q3" s="17"/>
      <c r="R3" s="17"/>
      <c r="S3" s="35"/>
      <c r="T3" s="17"/>
      <c r="U3" s="35"/>
    </row>
    <row r="4" spans="1:21" ht="45.75">
      <c r="A4" s="42"/>
      <c r="B4" s="53"/>
      <c r="C4" s="54"/>
      <c r="D4" s="55"/>
      <c r="E4" s="27" t="s">
        <v>35</v>
      </c>
      <c r="F4" s="50" t="s">
        <v>36</v>
      </c>
      <c r="G4" s="51">
        <v>0</v>
      </c>
      <c r="H4" s="51">
        <v>0.19600000000000001</v>
      </c>
      <c r="I4" s="56" t="s">
        <v>37</v>
      </c>
      <c r="J4" s="30"/>
      <c r="K4" s="30"/>
      <c r="L4" s="69" t="s">
        <v>24</v>
      </c>
      <c r="M4" s="17"/>
      <c r="N4" s="70" t="s">
        <v>25</v>
      </c>
      <c r="O4" s="17"/>
      <c r="P4" s="17"/>
      <c r="Q4" s="17"/>
      <c r="R4" s="17"/>
      <c r="S4" s="35"/>
      <c r="T4" s="17"/>
      <c r="U4" s="35"/>
    </row>
    <row r="5" spans="1:21" ht="78.75" customHeight="1">
      <c r="A5" s="42"/>
      <c r="B5" s="53"/>
      <c r="C5" s="54"/>
      <c r="D5" s="55"/>
      <c r="E5" s="27" t="s">
        <v>38</v>
      </c>
      <c r="F5" s="50" t="s">
        <v>39</v>
      </c>
      <c r="G5" s="51">
        <v>0</v>
      </c>
      <c r="H5" s="51">
        <v>300</v>
      </c>
      <c r="I5" s="56" t="s">
        <v>40</v>
      </c>
      <c r="J5" s="30"/>
      <c r="K5" s="30"/>
      <c r="L5" s="69" t="s">
        <v>24</v>
      </c>
      <c r="M5" s="17"/>
      <c r="N5" s="70" t="s">
        <v>25</v>
      </c>
      <c r="O5" s="17"/>
      <c r="P5" s="17"/>
      <c r="Q5" s="17"/>
      <c r="R5" s="17"/>
      <c r="S5" s="35"/>
      <c r="T5" s="17"/>
      <c r="U5" s="35"/>
    </row>
    <row r="6" spans="1:21" ht="84.75" customHeight="1">
      <c r="A6" s="42"/>
      <c r="B6" s="53"/>
      <c r="C6" s="54"/>
      <c r="D6" s="55"/>
      <c r="E6" s="27" t="s">
        <v>19</v>
      </c>
      <c r="F6" s="52" t="s">
        <v>41</v>
      </c>
      <c r="G6" s="51">
        <v>0</v>
      </c>
      <c r="H6" s="51"/>
      <c r="I6" s="56" t="s">
        <v>42</v>
      </c>
      <c r="J6" s="30"/>
      <c r="K6" s="30"/>
      <c r="L6" s="69" t="s">
        <v>24</v>
      </c>
      <c r="M6" s="17"/>
      <c r="N6" s="70" t="s">
        <v>25</v>
      </c>
      <c r="O6" s="17" t="s">
        <v>26</v>
      </c>
      <c r="P6" s="17"/>
      <c r="Q6" s="17" t="s">
        <v>43</v>
      </c>
      <c r="R6" s="17" t="s">
        <v>26</v>
      </c>
      <c r="S6" s="35"/>
      <c r="T6" s="17" t="s">
        <v>44</v>
      </c>
      <c r="U6" s="35">
        <v>3000</v>
      </c>
    </row>
    <row r="7" spans="1:21" ht="90.75" customHeight="1">
      <c r="A7" s="43"/>
      <c r="B7" s="57"/>
      <c r="C7" s="58"/>
      <c r="D7" s="59"/>
      <c r="E7" s="27" t="s">
        <v>45</v>
      </c>
      <c r="F7" s="50" t="s">
        <v>46</v>
      </c>
      <c r="G7" s="51">
        <v>0</v>
      </c>
      <c r="H7" s="51">
        <v>1500</v>
      </c>
      <c r="I7" s="56" t="s">
        <v>47</v>
      </c>
      <c r="J7" s="30"/>
      <c r="K7" s="30"/>
      <c r="L7" s="69" t="s">
        <v>24</v>
      </c>
      <c r="M7" s="17"/>
      <c r="N7" s="70" t="s">
        <v>25</v>
      </c>
      <c r="O7" s="17"/>
      <c r="P7" s="17"/>
      <c r="Q7" s="17"/>
      <c r="R7" s="17"/>
      <c r="S7" s="35"/>
      <c r="T7" s="17"/>
      <c r="U7" s="35"/>
    </row>
    <row r="8" spans="1:21" ht="229.5">
      <c r="A8" s="44" t="s">
        <v>48</v>
      </c>
      <c r="B8" s="48" t="s">
        <v>49</v>
      </c>
      <c r="C8" s="60" t="s">
        <v>50</v>
      </c>
      <c r="D8" s="61">
        <v>2000000</v>
      </c>
      <c r="E8" s="62" t="s">
        <v>32</v>
      </c>
      <c r="F8" s="48" t="s">
        <v>51</v>
      </c>
      <c r="G8" s="48">
        <v>0</v>
      </c>
      <c r="H8" s="48" t="s">
        <v>52</v>
      </c>
      <c r="I8" s="48" t="s">
        <v>53</v>
      </c>
      <c r="J8" s="45" t="s">
        <v>54</v>
      </c>
      <c r="K8" s="63"/>
      <c r="L8" s="69" t="s">
        <v>24</v>
      </c>
      <c r="M8" s="17"/>
      <c r="N8" s="70" t="s">
        <v>25</v>
      </c>
      <c r="O8" s="17"/>
      <c r="P8" s="17"/>
      <c r="Q8" s="17"/>
      <c r="R8" s="17"/>
      <c r="S8" s="35"/>
      <c r="T8" s="17"/>
      <c r="U8" s="35"/>
    </row>
    <row r="9" spans="1:21" ht="207" customHeight="1">
      <c r="A9" s="36" t="s">
        <v>55</v>
      </c>
      <c r="B9" s="16" t="s">
        <v>56</v>
      </c>
      <c r="C9" s="19" t="s">
        <v>57</v>
      </c>
      <c r="D9" s="18">
        <v>926659</v>
      </c>
      <c r="E9" s="20" t="s">
        <v>58</v>
      </c>
      <c r="F9" s="34" t="s">
        <v>59</v>
      </c>
      <c r="G9" s="21">
        <v>0</v>
      </c>
      <c r="H9" s="21" t="s">
        <v>60</v>
      </c>
      <c r="I9" s="21" t="s">
        <v>61</v>
      </c>
      <c r="J9" s="35"/>
      <c r="K9" s="30"/>
      <c r="L9" s="69" t="s">
        <v>24</v>
      </c>
      <c r="M9" s="17"/>
      <c r="N9" s="70" t="s">
        <v>25</v>
      </c>
      <c r="O9" s="17"/>
      <c r="P9" s="17"/>
      <c r="Q9" s="17"/>
      <c r="R9" s="17"/>
      <c r="S9" s="35"/>
      <c r="T9" s="17"/>
      <c r="U9" s="35"/>
    </row>
  </sheetData>
  <dataValidations count="9">
    <dataValidation type="list" allowBlank="1" showInputMessage="1" showErrorMessage="1" sqref="Q2:Q9" xr:uid="{326C6830-0C1F-4A20-A0F9-FBF63F68CF39}">
      <formula1>"NDC Support, National Strategy, Legal Framework,Incentives and Support, Government Capacity-Building, Carbon Pricing and Monitoring, Financing Model, Business Model"</formula1>
    </dataValidation>
    <dataValidation type="list" allowBlank="1" showInputMessage="1" showErrorMessage="1" sqref="N2:N9" xr:uid="{14D1E0C8-1CB1-4C92-A74D-150D20266EC4}">
      <formula1>"Accelerating just energy transition, Close the gap on energy access, Scale up energy finance"</formula1>
    </dataValidation>
    <dataValidation type="list" allowBlank="1" showInputMessage="1" showErrorMessage="1" sqref="O2:O9" xr:uid="{3F7F5E4B-9528-49C6-A8BF-B2B6CA6EAAEE}">
      <formula1>"Electricity Access, Energy Efficiency, Clean Cooking, Renewable Energy, Overall"</formula1>
    </dataValidation>
    <dataValidation type="list" allowBlank="1" showInputMessage="1" showErrorMessage="1" sqref="L2:L9" xr:uid="{2F4A0FA1-30C8-4332-8C84-3AC02965C3B0}">
      <formula1>"Non-VF, VF"</formula1>
    </dataValidation>
    <dataValidation type="list" allowBlank="1" showInputMessage="1" showErrorMessage="1" sqref="M2:M9" xr:uid="{BDA1E004-E19D-4EBD-BE2D-F4F19FF4558F}">
      <formula1>"Finance, Gender, Efficiency, Just, Health"</formula1>
    </dataValidation>
    <dataValidation type="list" allowBlank="1" showInputMessage="1" showErrorMessage="1" sqref="T2:T9" xr:uid="{250F7C99-073A-47DB-B6FF-2AB6C5E91593}">
      <formula1>"National, Regional, City, Community"</formula1>
    </dataValidation>
    <dataValidation type="list" allowBlank="1" showInputMessage="1" showErrorMessage="1" sqref="P2:P9" xr:uid="{E64E2BAC-DBB8-44DA-AF08-1F4034C98373}">
      <formula1>"AMP, PUDC, Solar4Health, Action Opportunities, Italy UNDP Energy Partnership"</formula1>
    </dataValidation>
    <dataValidation type="list" allowBlank="1" showInputMessage="1" showErrorMessage="1" sqref="S2:S9" xr:uid="{9CE7C562-133E-4CEB-B968-46E03CCA3E1E}">
      <formula1>"Solar, Wind, Bioenergy, Hydro, Geothermal, Waste, Some Sources, Other, Unknown"</formula1>
    </dataValidation>
    <dataValidation type="list" allowBlank="1" showInputMessage="1" showErrorMessage="1" sqref="R2:R9" xr:uid="{CFE50563-3C34-41C8-AA4F-AE0FA0D3B811}">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93AF3893-D7BF-4B3C-A727-FA983C9F8165}"/>
    <hyperlink ref="C3" r:id="rId2" xr:uid="{7C4472F9-7C19-4187-9AD3-0410350E7050}"/>
    <hyperlink ref="C8" r:id="rId3" xr:uid="{6220AF51-AE10-4A23-BE50-018BCA5886D5}"/>
    <hyperlink ref="C9" r:id="rId4" xr:uid="{98E212B9-4BDF-4925-84C3-21E17E65E41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A606AC-CED7-485E-9F90-A7A3D9D824A2}">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9FBA-D1C0-4061-BA77-8DE7E28E9564}">
  <dimension ref="A1:AT13"/>
  <sheetViews>
    <sheetView workbookViewId="0">
      <selection activeCell="A3" sqref="A3:A7"/>
    </sheetView>
  </sheetViews>
  <sheetFormatPr defaultRowHeight="15"/>
  <cols>
    <col min="1" max="1" width="10.28515625" customWidth="1"/>
    <col min="2" max="2" width="21.28515625" customWidth="1"/>
    <col min="3" max="3" width="20.7109375" customWidth="1"/>
    <col min="4" max="4" width="9.85546875" bestFit="1" customWidth="1"/>
    <col min="5" max="5" width="20.7109375" customWidth="1"/>
    <col min="6" max="6" width="29" customWidth="1"/>
    <col min="7" max="7" width="12.7109375" customWidth="1"/>
    <col min="8" max="8" width="17.42578125" customWidth="1"/>
    <col min="9" max="9" width="32.7109375" customWidth="1"/>
  </cols>
  <sheetData>
    <row r="1" spans="1:46">
      <c r="A1" s="26" t="s">
        <v>0</v>
      </c>
      <c r="B1" s="26" t="s">
        <v>1</v>
      </c>
      <c r="C1" s="26" t="s">
        <v>2</v>
      </c>
      <c r="D1" s="26" t="s">
        <v>3</v>
      </c>
      <c r="E1" s="26" t="s">
        <v>4</v>
      </c>
      <c r="F1" s="26" t="s">
        <v>5</v>
      </c>
      <c r="G1" s="26" t="s">
        <v>6</v>
      </c>
      <c r="H1" s="26" t="s">
        <v>7</v>
      </c>
      <c r="I1" s="26" t="s">
        <v>8</v>
      </c>
      <c r="J1" s="25" t="s">
        <v>9</v>
      </c>
      <c r="K1" s="25" t="s">
        <v>10</v>
      </c>
      <c r="L1" s="25" t="s">
        <v>62</v>
      </c>
    </row>
    <row r="2" spans="1:46" ht="24" customHeight="1">
      <c r="A2" s="27">
        <v>145011</v>
      </c>
      <c r="B2" s="27" t="s">
        <v>21</v>
      </c>
      <c r="C2" s="28" t="s">
        <v>22</v>
      </c>
      <c r="D2" s="27">
        <v>99070</v>
      </c>
      <c r="E2" s="29"/>
      <c r="F2" s="29"/>
      <c r="G2" s="29"/>
      <c r="H2" s="29"/>
      <c r="I2" s="29"/>
      <c r="J2" s="30"/>
      <c r="K2" s="30"/>
      <c r="L2" s="35" t="s">
        <v>24</v>
      </c>
    </row>
    <row r="3" spans="1:46" ht="66" customHeight="1">
      <c r="A3" s="73">
        <v>1000347</v>
      </c>
      <c r="B3" s="74" t="s">
        <v>30</v>
      </c>
      <c r="C3" s="75" t="s">
        <v>31</v>
      </c>
      <c r="D3" s="76">
        <v>450000</v>
      </c>
      <c r="E3" s="23" t="s">
        <v>32</v>
      </c>
      <c r="F3" s="31" t="s">
        <v>33</v>
      </c>
      <c r="G3" s="8">
        <v>50</v>
      </c>
      <c r="H3" s="8">
        <v>1050</v>
      </c>
      <c r="I3" s="32" t="s">
        <v>34</v>
      </c>
      <c r="J3" s="30"/>
      <c r="K3" s="30"/>
      <c r="L3" s="83" t="s">
        <v>24</v>
      </c>
    </row>
    <row r="4" spans="1:46" ht="38.25" customHeight="1">
      <c r="A4" s="73"/>
      <c r="B4" s="74"/>
      <c r="C4" s="75"/>
      <c r="D4" s="76"/>
      <c r="E4" s="23" t="s">
        <v>35</v>
      </c>
      <c r="F4" s="31" t="s">
        <v>36</v>
      </c>
      <c r="G4" s="8"/>
      <c r="H4" s="8" t="s">
        <v>63</v>
      </c>
      <c r="I4" s="33" t="s">
        <v>64</v>
      </c>
      <c r="J4" s="30"/>
      <c r="K4" s="30"/>
      <c r="L4" s="84"/>
    </row>
    <row r="5" spans="1:46" ht="78.75" customHeight="1">
      <c r="A5" s="73"/>
      <c r="B5" s="74"/>
      <c r="C5" s="75"/>
      <c r="D5" s="76"/>
      <c r="E5" s="23" t="s">
        <v>38</v>
      </c>
      <c r="F5" s="31" t="s">
        <v>39</v>
      </c>
      <c r="G5" s="8">
        <v>0</v>
      </c>
      <c r="H5" s="8">
        <v>300</v>
      </c>
      <c r="I5" s="33" t="s">
        <v>40</v>
      </c>
      <c r="J5" s="30"/>
      <c r="K5" s="30"/>
      <c r="L5" s="84"/>
    </row>
    <row r="6" spans="1:46" ht="84.75" customHeight="1">
      <c r="A6" s="73"/>
      <c r="B6" s="74"/>
      <c r="C6" s="75"/>
      <c r="D6" s="76"/>
      <c r="E6" s="23" t="s">
        <v>19</v>
      </c>
      <c r="F6" s="32" t="s">
        <v>41</v>
      </c>
      <c r="G6" s="8">
        <v>0</v>
      </c>
      <c r="H6" s="8"/>
      <c r="I6" s="33" t="s">
        <v>42</v>
      </c>
      <c r="J6" s="30"/>
      <c r="K6" s="30"/>
      <c r="L6" s="84"/>
    </row>
    <row r="7" spans="1:46" ht="90.75" customHeight="1">
      <c r="A7" s="73"/>
      <c r="B7" s="74"/>
      <c r="C7" s="75"/>
      <c r="D7" s="76"/>
      <c r="E7" s="23" t="s">
        <v>65</v>
      </c>
      <c r="F7" s="31" t="s">
        <v>46</v>
      </c>
      <c r="G7" s="8">
        <v>0</v>
      </c>
      <c r="H7" s="8">
        <v>1500</v>
      </c>
      <c r="I7" s="33" t="s">
        <v>47</v>
      </c>
      <c r="J7" s="30"/>
      <c r="K7" s="30"/>
      <c r="L7" s="85"/>
    </row>
    <row r="8" spans="1:46">
      <c r="A8" s="77" t="s">
        <v>66</v>
      </c>
      <c r="B8" s="78" t="s">
        <v>49</v>
      </c>
      <c r="C8" s="79" t="s">
        <v>50</v>
      </c>
      <c r="D8" s="80">
        <v>2000000</v>
      </c>
      <c r="E8" s="82" t="s">
        <v>32</v>
      </c>
      <c r="F8" s="78" t="s">
        <v>51</v>
      </c>
      <c r="G8" s="78">
        <v>0</v>
      </c>
      <c r="H8" s="78">
        <v>400</v>
      </c>
      <c r="I8" s="78" t="s">
        <v>53</v>
      </c>
      <c r="J8" s="86"/>
      <c r="K8" s="89"/>
      <c r="L8" s="89" t="s">
        <v>24</v>
      </c>
    </row>
    <row r="9" spans="1:46">
      <c r="A9" s="77"/>
      <c r="B9" s="78"/>
      <c r="C9" s="79"/>
      <c r="D9" s="81"/>
      <c r="E9" s="78"/>
      <c r="F9" s="78"/>
      <c r="G9" s="78"/>
      <c r="H9" s="78"/>
      <c r="I9" s="78"/>
      <c r="J9" s="87"/>
      <c r="K9" s="90"/>
      <c r="L9" s="90"/>
    </row>
    <row r="10" spans="1:46">
      <c r="A10" s="77"/>
      <c r="B10" s="78"/>
      <c r="C10" s="79"/>
      <c r="D10" s="81"/>
      <c r="E10" s="78"/>
      <c r="F10" s="78"/>
      <c r="G10" s="78"/>
      <c r="H10" s="78"/>
      <c r="I10" s="78"/>
      <c r="J10" s="87"/>
      <c r="K10" s="90"/>
      <c r="L10" s="90"/>
    </row>
    <row r="11" spans="1:46">
      <c r="A11" s="77"/>
      <c r="B11" s="78"/>
      <c r="C11" s="79"/>
      <c r="D11" s="81"/>
      <c r="E11" s="78"/>
      <c r="F11" s="78"/>
      <c r="G11" s="78"/>
      <c r="H11" s="78"/>
      <c r="I11" s="78"/>
      <c r="J11" s="87"/>
      <c r="K11" s="90"/>
      <c r="L11" s="90"/>
    </row>
    <row r="12" spans="1:46" s="37" customFormat="1" ht="169.5" customHeight="1">
      <c r="A12" s="77"/>
      <c r="B12" s="78"/>
      <c r="C12" s="79"/>
      <c r="D12" s="81"/>
      <c r="E12" s="78"/>
      <c r="F12" s="78"/>
      <c r="G12" s="78"/>
      <c r="H12" s="78"/>
      <c r="I12" s="78"/>
      <c r="J12" s="88"/>
      <c r="K12" s="91"/>
      <c r="L12" s="91"/>
      <c r="M12"/>
      <c r="N12"/>
      <c r="O12"/>
      <c r="P12"/>
      <c r="Q12"/>
      <c r="R12"/>
      <c r="S12"/>
      <c r="T12"/>
      <c r="U12"/>
      <c r="V12"/>
      <c r="W12"/>
      <c r="X12"/>
      <c r="Y12"/>
      <c r="Z12"/>
      <c r="AA12"/>
      <c r="AB12"/>
      <c r="AC12"/>
      <c r="AD12"/>
      <c r="AE12"/>
      <c r="AF12"/>
      <c r="AG12"/>
      <c r="AH12"/>
      <c r="AI12"/>
      <c r="AJ12"/>
      <c r="AK12"/>
      <c r="AL12"/>
      <c r="AM12"/>
      <c r="AN12"/>
      <c r="AO12"/>
      <c r="AP12"/>
      <c r="AQ12"/>
      <c r="AR12"/>
      <c r="AS12"/>
      <c r="AT12"/>
    </row>
    <row r="13" spans="1:46" ht="207" customHeight="1">
      <c r="A13" s="36" t="s">
        <v>67</v>
      </c>
      <c r="B13" s="16" t="s">
        <v>56</v>
      </c>
      <c r="C13" s="19" t="s">
        <v>57</v>
      </c>
      <c r="D13" s="18" t="s">
        <v>68</v>
      </c>
      <c r="E13" s="20" t="s">
        <v>58</v>
      </c>
      <c r="F13" s="34" t="s">
        <v>59</v>
      </c>
      <c r="G13" s="21">
        <v>0</v>
      </c>
      <c r="H13" s="21">
        <v>50</v>
      </c>
      <c r="I13" s="21" t="s">
        <v>61</v>
      </c>
      <c r="J13" s="35"/>
      <c r="K13" s="30"/>
      <c r="L13" s="30" t="s">
        <v>24</v>
      </c>
    </row>
  </sheetData>
  <mergeCells count="17">
    <mergeCell ref="E8:E12"/>
    <mergeCell ref="L3:L7"/>
    <mergeCell ref="F8:F12"/>
    <mergeCell ref="G8:G12"/>
    <mergeCell ref="H8:H12"/>
    <mergeCell ref="I8:I12"/>
    <mergeCell ref="J8:J12"/>
    <mergeCell ref="K8:K12"/>
    <mergeCell ref="L8:L12"/>
    <mergeCell ref="A3:A7"/>
    <mergeCell ref="B3:B7"/>
    <mergeCell ref="C3:C7"/>
    <mergeCell ref="D3:D7"/>
    <mergeCell ref="A8:A12"/>
    <mergeCell ref="B8:B12"/>
    <mergeCell ref="C8:C12"/>
    <mergeCell ref="D8:D12"/>
  </mergeCells>
  <hyperlinks>
    <hyperlink ref="C2" r:id="rId1" xr:uid="{F083568D-3160-451B-BC98-5D06DE95C647}"/>
    <hyperlink ref="C3" r:id="rId2" xr:uid="{8CBC55B9-EC43-41E2-9CD3-9D1795853649}"/>
    <hyperlink ref="C8:C12" r:id="rId3" display="https://www.undp.org/georgia/projects/enpard-3" xr:uid="{3DE0AD9C-8AC8-4E17-B84E-550E555EB5B8}"/>
    <hyperlink ref="C13" r:id="rId4" xr:uid="{079FB004-EECA-4A29-BB62-BA5D35CE878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A8E329A-A5F3-447D-8638-AF9EE6602F38}">
          <x14:formula1>
            <xm:f>'Beneficiary Categories'!$A$2:$A$16</xm:f>
          </x14:formula1>
          <xm:sqref>E2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opLeftCell="K4" workbookViewId="0">
      <selection activeCell="K4" sqref="K4"/>
    </sheetView>
  </sheetViews>
  <sheetFormatPr defaultRowHeight="15"/>
  <cols>
    <col min="1" max="1" width="10.28515625" customWidth="1"/>
    <col min="2" max="2" width="21.28515625" customWidth="1"/>
    <col min="3" max="3" width="20.7109375" customWidth="1"/>
    <col min="4" max="4" width="9.85546875" bestFit="1" customWidth="1"/>
    <col min="5" max="5" width="20.7109375" customWidth="1"/>
    <col min="6" max="6" width="29" customWidth="1"/>
    <col min="7" max="7" width="12.7109375" customWidth="1"/>
    <col min="8" max="8" width="17.42578125" customWidth="1"/>
    <col min="9" max="9" width="32.7109375" customWidth="1"/>
  </cols>
  <sheetData>
    <row r="1" spans="1:10">
      <c r="A1" s="1" t="s">
        <v>0</v>
      </c>
      <c r="B1" s="1" t="s">
        <v>1</v>
      </c>
      <c r="C1" s="1" t="s">
        <v>2</v>
      </c>
      <c r="D1" s="1" t="s">
        <v>3</v>
      </c>
      <c r="E1" s="1" t="s">
        <v>4</v>
      </c>
      <c r="F1" s="1" t="s">
        <v>5</v>
      </c>
      <c r="G1" s="1" t="s">
        <v>6</v>
      </c>
      <c r="H1" s="1" t="s">
        <v>7</v>
      </c>
      <c r="I1" s="1" t="s">
        <v>8</v>
      </c>
      <c r="J1" s="24" t="s">
        <v>9</v>
      </c>
    </row>
    <row r="2" spans="1:10" ht="24" customHeight="1">
      <c r="A2" s="9">
        <v>145011</v>
      </c>
      <c r="B2" s="9" t="s">
        <v>21</v>
      </c>
      <c r="C2" s="10" t="s">
        <v>22</v>
      </c>
      <c r="D2" s="9">
        <v>99070</v>
      </c>
      <c r="E2" s="2"/>
      <c r="F2" s="2"/>
      <c r="G2" s="2"/>
      <c r="H2" s="2"/>
      <c r="I2" s="2"/>
    </row>
    <row r="3" spans="1:10" ht="66" customHeight="1">
      <c r="A3" s="92">
        <v>1000347</v>
      </c>
      <c r="B3" s="95" t="s">
        <v>30</v>
      </c>
      <c r="C3" s="97" t="s">
        <v>31</v>
      </c>
      <c r="D3" s="99">
        <v>450000</v>
      </c>
      <c r="E3" s="101" t="s">
        <v>35</v>
      </c>
      <c r="F3" s="3" t="s">
        <v>69</v>
      </c>
      <c r="G3" s="7">
        <v>10</v>
      </c>
      <c r="H3" s="7">
        <v>200</v>
      </c>
      <c r="I3" s="11" t="s">
        <v>70</v>
      </c>
    </row>
    <row r="4" spans="1:10" ht="72.75">
      <c r="A4" s="93"/>
      <c r="B4" s="74"/>
      <c r="C4" s="75"/>
      <c r="D4" s="76"/>
      <c r="E4" s="102"/>
      <c r="F4" s="4" t="s">
        <v>33</v>
      </c>
      <c r="G4" s="8">
        <v>50</v>
      </c>
      <c r="H4" s="8">
        <v>1050</v>
      </c>
      <c r="I4" s="12" t="s">
        <v>71</v>
      </c>
    </row>
    <row r="5" spans="1:10" ht="35.25" customHeight="1">
      <c r="A5" s="93"/>
      <c r="B5" s="74"/>
      <c r="C5" s="75"/>
      <c r="D5" s="76"/>
      <c r="E5" s="102"/>
      <c r="F5" s="4" t="s">
        <v>36</v>
      </c>
      <c r="G5" s="8">
        <v>0</v>
      </c>
      <c r="H5" s="8">
        <v>70</v>
      </c>
      <c r="I5" s="5" t="s">
        <v>64</v>
      </c>
    </row>
    <row r="6" spans="1:10" ht="78.75" customHeight="1">
      <c r="A6" s="93"/>
      <c r="B6" s="74"/>
      <c r="C6" s="75"/>
      <c r="D6" s="76"/>
      <c r="E6" s="102"/>
      <c r="F6" s="4" t="s">
        <v>39</v>
      </c>
      <c r="G6" s="8">
        <v>0</v>
      </c>
      <c r="H6" s="8">
        <v>300</v>
      </c>
      <c r="I6" s="5" t="s">
        <v>40</v>
      </c>
    </row>
    <row r="7" spans="1:10" ht="84.75" customHeight="1">
      <c r="A7" s="93"/>
      <c r="B7" s="74"/>
      <c r="C7" s="75"/>
      <c r="D7" s="76"/>
      <c r="E7" s="102"/>
      <c r="F7" s="6" t="s">
        <v>41</v>
      </c>
      <c r="G7" s="8" t="s">
        <v>72</v>
      </c>
      <c r="H7" s="8" t="s">
        <v>73</v>
      </c>
      <c r="I7" s="5" t="s">
        <v>42</v>
      </c>
    </row>
    <row r="8" spans="1:10" ht="90.75" customHeight="1">
      <c r="A8" s="94"/>
      <c r="B8" s="96"/>
      <c r="C8" s="98"/>
      <c r="D8" s="100"/>
      <c r="E8" s="103"/>
      <c r="F8" s="13" t="s">
        <v>46</v>
      </c>
      <c r="G8" s="14">
        <v>0</v>
      </c>
      <c r="H8" s="14">
        <v>1500</v>
      </c>
      <c r="I8" s="15" t="s">
        <v>47</v>
      </c>
    </row>
    <row r="9" spans="1:10">
      <c r="A9" s="106" t="s">
        <v>74</v>
      </c>
      <c r="B9" s="104" t="s">
        <v>49</v>
      </c>
      <c r="C9" s="107" t="s">
        <v>50</v>
      </c>
      <c r="D9" s="109">
        <v>2000000</v>
      </c>
      <c r="E9" s="110" t="s">
        <v>75</v>
      </c>
      <c r="F9" s="104" t="s">
        <v>51</v>
      </c>
      <c r="G9" s="104">
        <v>0</v>
      </c>
      <c r="H9" s="104">
        <v>400</v>
      </c>
      <c r="I9" s="104" t="s">
        <v>76</v>
      </c>
    </row>
    <row r="10" spans="1:10">
      <c r="A10" s="106"/>
      <c r="B10" s="104"/>
      <c r="C10" s="107"/>
      <c r="D10" s="106"/>
      <c r="E10" s="104"/>
      <c r="F10" s="104"/>
      <c r="G10" s="104"/>
      <c r="H10" s="104"/>
      <c r="I10" s="104"/>
    </row>
    <row r="11" spans="1:10">
      <c r="A11" s="106"/>
      <c r="B11" s="104"/>
      <c r="C11" s="107"/>
      <c r="D11" s="106"/>
      <c r="E11" s="104"/>
      <c r="F11" s="104"/>
      <c r="G11" s="104"/>
      <c r="H11" s="104"/>
      <c r="I11" s="104"/>
    </row>
    <row r="12" spans="1:10">
      <c r="A12" s="106"/>
      <c r="B12" s="104"/>
      <c r="C12" s="107"/>
      <c r="D12" s="106"/>
      <c r="E12" s="104"/>
      <c r="F12" s="104"/>
      <c r="G12" s="104"/>
      <c r="H12" s="104"/>
      <c r="I12" s="104"/>
    </row>
    <row r="13" spans="1:10" ht="169.5" customHeight="1">
      <c r="A13" s="83"/>
      <c r="B13" s="105"/>
      <c r="C13" s="108"/>
      <c r="D13" s="83"/>
      <c r="E13" s="105"/>
      <c r="F13" s="105"/>
      <c r="G13" s="105"/>
      <c r="H13" s="105"/>
      <c r="I13" s="105"/>
    </row>
    <row r="14" spans="1:10" ht="207" customHeight="1">
      <c r="A14" s="17" t="s">
        <v>77</v>
      </c>
      <c r="B14" s="16" t="s">
        <v>56</v>
      </c>
      <c r="C14" s="19" t="s">
        <v>57</v>
      </c>
      <c r="D14" s="18" t="s">
        <v>68</v>
      </c>
      <c r="E14" s="20" t="s">
        <v>78</v>
      </c>
      <c r="F14" s="22" t="s">
        <v>59</v>
      </c>
      <c r="G14" s="21" t="s">
        <v>72</v>
      </c>
      <c r="H14" s="21">
        <v>50</v>
      </c>
      <c r="I14" s="21" t="s">
        <v>61</v>
      </c>
    </row>
  </sheetData>
  <mergeCells count="14">
    <mergeCell ref="I9:I13"/>
    <mergeCell ref="F9:F13"/>
    <mergeCell ref="A9:A13"/>
    <mergeCell ref="G9:G13"/>
    <mergeCell ref="H9:H13"/>
    <mergeCell ref="B9:B13"/>
    <mergeCell ref="C9:C13"/>
    <mergeCell ref="D9:D13"/>
    <mergeCell ref="E9:E13"/>
    <mergeCell ref="A3:A8"/>
    <mergeCell ref="B3:B8"/>
    <mergeCell ref="C3:C8"/>
    <mergeCell ref="D3:D8"/>
    <mergeCell ref="E3:E8"/>
  </mergeCells>
  <hyperlinks>
    <hyperlink ref="C2" r:id="rId1" xr:uid="{00000000-0004-0000-0000-000000000000}"/>
    <hyperlink ref="C3" r:id="rId2" xr:uid="{CD52699C-B208-44DE-9E55-5073408B8622}"/>
    <hyperlink ref="C9:C13" r:id="rId3" display="https://www.undp.org/georgia/projects/enpard-3" xr:uid="{C7BE0D6B-DEFE-4196-8DA3-A3968D4D504B}"/>
    <hyperlink ref="C14" r:id="rId4" xr:uid="{C2E29EF4-CEE4-4F01-BEA5-2602483DA3B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ols>
    <col min="1" max="2" width="52.7109375" customWidth="1"/>
  </cols>
  <sheetData>
    <row r="1" spans="1:2">
      <c r="A1" s="64" t="s">
        <v>4</v>
      </c>
      <c r="B1" s="64" t="s">
        <v>5</v>
      </c>
    </row>
    <row r="2" spans="1:2" ht="45.75">
      <c r="A2" s="111" t="s">
        <v>79</v>
      </c>
      <c r="B2" s="65" t="s">
        <v>80</v>
      </c>
    </row>
    <row r="3" spans="1:2">
      <c r="A3" s="111" t="s">
        <v>35</v>
      </c>
      <c r="B3" s="65" t="s">
        <v>81</v>
      </c>
    </row>
    <row r="4" spans="1:2" ht="30.75">
      <c r="A4" s="111" t="s">
        <v>58</v>
      </c>
      <c r="B4" s="65" t="s">
        <v>82</v>
      </c>
    </row>
    <row r="5" spans="1:2" ht="30.75">
      <c r="A5" s="111" t="s">
        <v>83</v>
      </c>
      <c r="B5" s="65" t="s">
        <v>84</v>
      </c>
    </row>
    <row r="6" spans="1:2" ht="91.5">
      <c r="A6" s="111" t="s">
        <v>85</v>
      </c>
      <c r="B6" s="65" t="s">
        <v>86</v>
      </c>
    </row>
    <row r="7" spans="1:2" ht="45.75">
      <c r="A7" s="111" t="s">
        <v>87</v>
      </c>
      <c r="B7" s="65" t="s">
        <v>88</v>
      </c>
    </row>
    <row r="8" spans="1:2" ht="45.75">
      <c r="A8" s="111" t="s">
        <v>32</v>
      </c>
      <c r="B8" s="65" t="s">
        <v>89</v>
      </c>
    </row>
    <row r="9" spans="1:2" ht="45.75">
      <c r="A9" s="111" t="s">
        <v>90</v>
      </c>
      <c r="B9" s="65" t="s">
        <v>91</v>
      </c>
    </row>
    <row r="10" spans="1:2" ht="30.75">
      <c r="A10" s="111" t="s">
        <v>92</v>
      </c>
      <c r="B10" s="112" t="s">
        <v>93</v>
      </c>
    </row>
    <row r="11" spans="1:2" ht="30.75">
      <c r="A11" s="111" t="s">
        <v>94</v>
      </c>
      <c r="B11" s="112" t="s">
        <v>95</v>
      </c>
    </row>
    <row r="12" spans="1:2" ht="45.75">
      <c r="A12" s="111" t="s">
        <v>96</v>
      </c>
      <c r="B12" s="65" t="s">
        <v>97</v>
      </c>
    </row>
    <row r="13" spans="1:2" ht="30.75">
      <c r="A13" s="111" t="s">
        <v>38</v>
      </c>
      <c r="B13" s="112" t="s">
        <v>98</v>
      </c>
    </row>
    <row r="14" spans="1:2">
      <c r="A14" s="111" t="s">
        <v>99</v>
      </c>
      <c r="B14" s="112" t="s">
        <v>100</v>
      </c>
    </row>
    <row r="15" spans="1:2" ht="30.75">
      <c r="A15" s="111" t="s">
        <v>101</v>
      </c>
      <c r="B15" s="112" t="s">
        <v>102</v>
      </c>
    </row>
    <row r="16" spans="1:2" ht="30.75">
      <c r="A16" s="111" t="s">
        <v>103</v>
      </c>
      <c r="B16" s="112" t="s">
        <v>104</v>
      </c>
    </row>
    <row r="17" spans="1:2" ht="30.75">
      <c r="A17" s="111" t="s">
        <v>45</v>
      </c>
      <c r="B17" s="65" t="s">
        <v>105</v>
      </c>
    </row>
    <row r="18" spans="1:2" ht="30.75">
      <c r="A18" s="111" t="s">
        <v>106</v>
      </c>
      <c r="B18" s="112" t="s">
        <v>107</v>
      </c>
    </row>
    <row r="19" spans="1:2" ht="76.5">
      <c r="A19" s="111" t="s">
        <v>108</v>
      </c>
      <c r="B19" s="112" t="s">
        <v>109</v>
      </c>
    </row>
    <row r="20" spans="1:2" ht="30.75">
      <c r="A20" s="111" t="s">
        <v>110</v>
      </c>
      <c r="B20" s="112" t="s">
        <v>111</v>
      </c>
    </row>
    <row r="21" spans="1:2" ht="45.75">
      <c r="A21" s="111" t="s">
        <v>19</v>
      </c>
      <c r="B21" s="113" t="s">
        <v>112</v>
      </c>
    </row>
    <row r="22" spans="1:2" ht="30.75">
      <c r="A22" s="111" t="s">
        <v>113</v>
      </c>
      <c r="B22" s="112"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A9E7B7-546E-484B-85A4-3821C95354BD}"/>
</file>

<file path=customXml/itemProps2.xml><?xml version="1.0" encoding="utf-8"?>
<ds:datastoreItem xmlns:ds="http://schemas.openxmlformats.org/officeDocument/2006/customXml" ds:itemID="{10D4F767-6D43-4390-BAB1-24FFF1EDB554}"/>
</file>

<file path=customXml/itemProps3.xml><?xml version="1.0" encoding="utf-8"?>
<ds:datastoreItem xmlns:ds="http://schemas.openxmlformats.org/officeDocument/2006/customXml" ds:itemID="{6BF98F86-3001-4CC3-AC4B-99C3998819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2024-11-19T15:36:22Z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