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528" documentId="11_6A2C6EB666106EDC3B71E986BCBC267D10A82215" xr6:coauthVersionLast="47" xr6:coauthVersionMax="47" xr10:uidLastSave="{27A6C663-FB6B-4FA6-B310-626FE8B99BD3}"/>
  <bookViews>
    <workbookView xWindow="28680" yWindow="-120" windowWidth="29040" windowHeight="1599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<sst xmlns="http://schemas.openxmlformats.org/spreadsheetml/2006/main" count="256" uniqueCount="124">
  <si>
    <t>Project ID</t>
  </si>
  <si>
    <t>Title</t>
  </si>
  <si>
    <t>Link</t>
  </si>
  <si>
    <t>Budget</t>
  </si>
  <si>
    <t>Beneficiary Category</t>
  </si>
  <si>
    <t>Indicator</t>
  </si>
  <si>
    <t>Baseline</t>
  </si>
  <si>
    <t>Target</t>
  </si>
  <si>
    <t>Notes</t>
  </si>
  <si>
    <t>Donors</t>
  </si>
  <si>
    <t>Gender (% female)</t>
  </si>
  <si>
    <t>VF or Non-VF</t>
  </si>
  <si>
    <t>Tag</t>
  </si>
  <si>
    <t xml:space="preserve">  </t>
  </si>
  <si>
    <t>RISE Taxonomy</t>
  </si>
  <si>
    <t>Flagship</t>
  </si>
  <si>
    <t>Indirect Category</t>
  </si>
  <si>
    <t>Indirect Taxonomy</t>
  </si>
  <si>
    <t>Technology</t>
  </si>
  <si>
    <t>Policy or Regulatory Framework</t>
  </si>
  <si>
    <t>Policy Population</t>
  </si>
  <si>
    <t>The ACCESS project</t>
  </si>
  <si>
    <t>http://open.undp.org/projects/00126532</t>
  </si>
  <si>
    <t>Energy Infrastructure Services</t>
  </si>
  <si>
    <t xml:space="preserve">Number of rural HH accessed to solar lightings </t>
  </si>
  <si>
    <t>1000 HH</t>
  </si>
  <si>
    <t xml:space="preserve">The total number of households (HH) who benefited from this project is 1,000, comprising 2,511 females and 2,530 males. Additionally, 1,712 students benefited from the solar lamps.
1,000 HH gained access to solar lighting.
</t>
  </si>
  <si>
    <t>KOICA</t>
  </si>
  <si>
    <t>Non-VF</t>
  </si>
  <si>
    <t>Efficiency</t>
  </si>
  <si>
    <t>Close the gap on energy access</t>
  </si>
  <si>
    <t>Renewable Energy</t>
  </si>
  <si>
    <t>Action Opportunities</t>
  </si>
  <si>
    <t>NDC Support</t>
  </si>
  <si>
    <t>Electricity Access</t>
  </si>
  <si>
    <t>Solar</t>
  </si>
  <si>
    <t>Community</t>
  </si>
  <si>
    <t>Capacity Building Training</t>
  </si>
  <si>
    <t xml:space="preserve">Number of local operators for maintancence </t>
  </si>
  <si>
    <t>30 local operators trained on managing solar water pump systems, including 7 female operators.</t>
  </si>
  <si>
    <t>Water Services</t>
  </si>
  <si>
    <t>Number of HH accessed to water services powered by solar pump</t>
  </si>
  <si>
    <t>Solar Water Pump System: 773 Households or 4,321 individuals (2,148 females and 2,173 males) benefited from this water system.
- 773 HH gained access to clean water through Solar Water Pump System.</t>
  </si>
  <si>
    <t>Accelerating just energy transition</t>
  </si>
  <si>
    <t>3E4Women</t>
  </si>
  <si>
    <t>http://open.undp.org/projects/00145070</t>
  </si>
  <si>
    <t>Small Enterprises</t>
  </si>
  <si>
    <t>Number of women-owned enterprises with renewable energy system installed</t>
  </si>
  <si>
    <t>Joint SDG Fund</t>
  </si>
  <si>
    <t>Scale up energy finance</t>
  </si>
  <si>
    <t>Overall</t>
  </si>
  <si>
    <t>Financing Model</t>
  </si>
  <si>
    <t xml:space="preserve">Green Transformation </t>
  </si>
  <si>
    <t>https://www.undp.org/timor-leste/projects/green-transformation-project</t>
  </si>
  <si>
    <t>Number of people benefited from solar lights and improved cooking stoves</t>
  </si>
  <si>
    <t xml:space="preserve"> A total of 5,000 individuals (1,000 HH, with an average of 5 people per household) benefited from solar lights and improved cooking stoves.
1000 lightings and improved cooking stoves</t>
  </si>
  <si>
    <t>Japan</t>
  </si>
  <si>
    <t>Just</t>
  </si>
  <si>
    <t>Health Services</t>
  </si>
  <si>
    <t xml:space="preserve">Number of people who benefited from solarized health facilities </t>
  </si>
  <si>
    <t xml:space="preserve">
 Solarized the National Warehouse for Medicines and Medical Equipment (INFPM) and 2 community health posts, providing solar electricity access to an estimated 750,000 people in Timor-Leste.
</t>
  </si>
  <si>
    <t>Health</t>
  </si>
  <si>
    <t>National</t>
  </si>
  <si>
    <t>Education Services</t>
  </si>
  <si>
    <t xml:space="preserve">Number of people who benefited from solarization of ICT labs in 15 public secondary/vocation schools </t>
  </si>
  <si>
    <t xml:space="preserve">
Solarized ICT labs in 15 public secondary/vocational schools, benefiting an estimated 9,000 students.</t>
  </si>
  <si>
    <t>Category</t>
  </si>
  <si>
    <t xml:space="preserve">Comments </t>
  </si>
  <si>
    <t>SEH Taxonomy</t>
  </si>
  <si>
    <t>Number of rural HH accessed to solar lightings</t>
  </si>
  <si>
    <t>Total number of people benefitted from this project is 5,341 people (female: 2,511 and male: 2,830). In addition number of students benefitted from the project (1,712 people)</t>
  </si>
  <si>
    <t>593 HH</t>
  </si>
  <si>
    <t>Based on the Feasbility Study in 2021, when completed, the solar water will benefit 593 households (or 2,715 people)</t>
  </si>
  <si>
    <t>Energy Efficiency</t>
  </si>
  <si>
    <t>100 women-owned enterprises were provieded with electricity access through renewable energy fund</t>
  </si>
  <si>
    <t>Clean Cooking</t>
  </si>
  <si>
    <t>Target beneficiaries benefiting from solar lights and improved cooking stoves</t>
  </si>
  <si>
    <t>10600 HH</t>
  </si>
  <si>
    <t>Target beneficiaries benefiting from solar lights and improved cooking stoves is 10,600 people
1000 lightings and improved cooking stoves</t>
  </si>
  <si>
    <t>Solarization of national warehouse for medicines and medical equipment (SAMES) and 2 community health centers. Estimated beneficiaries</t>
  </si>
  <si>
    <t>Number of health facilities accessed to solar electricity 
Solarization of national warehouse for medicines and medical equipment (SAMES) and 2 community health centers. Estimated beneficiaries (650,000 people)</t>
  </si>
  <si>
    <t>Solarization of ICT labs in 15 public secondary/vocation schools with estimated beneficiaries (18,060 people)</t>
  </si>
  <si>
    <t xml:space="preserve">Solarization of ICT labs in 15 public secondary/vocation schools with estimated beneficiaries (18,060 people) 
3 ICT schools solarized  </t>
  </si>
  <si>
    <t>Can you provide information on this project?  Please note that the target number should reflect an estimate of the number of beneficiaries reached by the project. Details can be explained in the note</t>
  </si>
  <si>
    <t>As per their need</t>
  </si>
  <si>
    <t xml:space="preserve">Number of rural HH accessed to solar lightings and improved cooking stoves </t>
  </si>
  <si>
    <t>Target beneficiaries benefiting from solar lights and improved cooking stoves is 10,600 people</t>
  </si>
  <si>
    <t xml:space="preserve">Number of health facilities accessed to solar electricity </t>
  </si>
  <si>
    <t>Solarization of national warehouse for medicines and medical equipment (SAMES) and 2 community health centers. Estimated beneficiaries (650,000 people)</t>
  </si>
  <si>
    <t>Number of ICT schools solarized</t>
  </si>
  <si>
    <t xml:space="preserve">Solarization of ICT labs in 15 public secondary/vocation schools with estimated beneficiaries (18,060 people) </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</si>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</sst>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3" formatCode="_(* #,##0.00_);_(* \(#,##0.00\);_(* &quot;-&quot;??_);_(@_)"/>
    <numFmt numFmtId="164" formatCode="_(* #,##0_);_(* \(#,##0\);_(*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1F4E78"/>
      <name val="Calibri"/>
      <family val="2"/>
      <scheme val="minor"/>
    </font>
    <font>
      <sz val="11"/>
      <color rgb="FF000000"/>
      <name val="Calibri"/>
      <charset val="1"/>
    </font>
    <font>
      <sz val="10"/>
      <color rgb="FFFF0000"/>
      <name val="Helvetica Neue"/>
      <charset val="1"/>
    </font>
    <font>
      <b/>
      <sz val="11"/>
      <color theme="1"/>
      <name val="Calibri"/>
      <scheme val="minor"/>
    </font>
    <font>
      <sz val="11"/>
      <color rgb="FF000000"/>
      <name val="Calibri"/>
      <scheme val="minor"/>
    </font>
    <font>
      <u/>
      <sz val="11"/>
      <color theme="10"/>
      <name val="Calibri"/>
    </font>
    <font>
      <sz val="11"/>
      <color rgb="FF00000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13">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applyAlignment="1">
      <alignment wrapText="1"/>
    </xf>
    <xf numFmtId="0" fontId="0" fillId="0" borderId="0" xfId="0" applyAlignment="1">
      <alignment wrapText="1"/>
    </xf>
    <xf numFmtId="0" fontId="2" fillId="0" borderId="2" xfId="0" applyFont="1" applyBorder="1"/>
    <xf numFmtId="164" fontId="2" fillId="0" borderId="1" xfId="0" applyNumberFormat="1" applyFont="1" applyBorder="1" applyAlignment="1">
      <alignment horizontal="center" vertical="top"/>
    </xf>
    <xf numFmtId="164" fontId="0" fillId="0" borderId="0" xfId="0" applyNumberFormat="1" applyAlignment="1">
      <alignment wrapText="1"/>
    </xf>
    <xf numFmtId="164" fontId="0" fillId="0" borderId="0" xfId="0" applyNumberFormat="1"/>
    <xf numFmtId="0" fontId="2" fillId="0" borderId="2" xfId="0" applyFont="1" applyBorder="1" applyAlignment="1">
      <alignment wrapText="1"/>
    </xf>
    <xf numFmtId="0" fontId="4" fillId="0" borderId="2" xfId="0" applyFont="1" applyBorder="1" applyAlignment="1">
      <alignment wrapText="1"/>
    </xf>
    <xf numFmtId="0" fontId="5" fillId="0" borderId="0" xfId="0" applyFont="1" applyAlignment="1">
      <alignment wrapText="1"/>
    </xf>
    <xf numFmtId="164" fontId="2" fillId="0" borderId="3" xfId="0" applyNumberFormat="1" applyFont="1" applyBorder="1" applyAlignment="1">
      <alignment horizontal="center" vertical="top"/>
    </xf>
    <xf numFmtId="164" fontId="0" fillId="2" borderId="0" xfId="0" applyNumberFormat="1" applyFill="1" applyAlignment="1">
      <alignment wrapText="1"/>
    </xf>
    <xf numFmtId="0" fontId="0" fillId="0" borderId="0" xfId="0" applyAlignment="1">
      <alignment vertical="center"/>
    </xf>
    <xf numFmtId="0" fontId="3" fillId="0" borderId="0" xfId="1" applyAlignment="1" applyProtection="1">
      <alignment vertical="center" wrapText="1"/>
    </xf>
    <xf numFmtId="164" fontId="0" fillId="0" borderId="2" xfId="0" applyNumberFormat="1" applyBorder="1" applyAlignment="1">
      <alignment wrapText="1"/>
    </xf>
    <xf numFmtId="0" fontId="0" fillId="2" borderId="2" xfId="0" applyFill="1" applyBorder="1" applyAlignment="1">
      <alignment wrapText="1"/>
    </xf>
    <xf numFmtId="164" fontId="0" fillId="2" borderId="2" xfId="0" applyNumberFormat="1" applyFill="1" applyBorder="1" applyAlignment="1">
      <alignment wrapText="1"/>
    </xf>
    <xf numFmtId="0" fontId="0" fillId="0" borderId="2" xfId="0" applyBorder="1" applyAlignment="1">
      <alignment wrapText="1"/>
    </xf>
    <xf numFmtId="9" fontId="0" fillId="0" borderId="2" xfId="0" applyNumberFormat="1" applyBorder="1" applyAlignment="1">
      <alignment wrapText="1"/>
    </xf>
    <xf numFmtId="0" fontId="0" fillId="0" borderId="2" xfId="0" applyBorder="1" applyAlignment="1">
      <alignment horizontal="center" vertical="center" wrapText="1"/>
    </xf>
    <xf numFmtId="9" fontId="0" fillId="0" borderId="2" xfId="0" applyNumberFormat="1" applyBorder="1" applyAlignment="1">
      <alignment vertical="center" wrapText="1"/>
    </xf>
    <xf numFmtId="0" fontId="6" fillId="0" borderId="2" xfId="0" applyFont="1" applyBorder="1" applyAlignment="1">
      <alignment vertical="center" wrapText="1"/>
    </xf>
    <xf numFmtId="0" fontId="5" fillId="0" borderId="2" xfId="0" applyFont="1" applyBorder="1" applyAlignment="1">
      <alignment wrapText="1"/>
    </xf>
    <xf numFmtId="0" fontId="5" fillId="0" borderId="2" xfId="0" applyFont="1" applyBorder="1" applyAlignment="1">
      <alignment horizontal="left" wrapText="1"/>
    </xf>
    <xf numFmtId="0" fontId="2" fillId="0" borderId="2" xfId="0" applyFont="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2" xfId="0" applyFont="1" applyBorder="1" applyAlignment="1">
      <alignment vertical="center" wrapText="1"/>
    </xf>
    <xf numFmtId="0" fontId="0" fillId="0" borderId="5" xfId="0" applyBorder="1" applyAlignment="1">
      <alignment wrapText="1"/>
    </xf>
    <xf numFmtId="0" fontId="0" fillId="0" borderId="6" xfId="0" applyBorder="1" applyAlignment="1">
      <alignment horizontal="center" vertical="center" wrapText="1"/>
    </xf>
    <xf numFmtId="0" fontId="0" fillId="0" borderId="7" xfId="0" applyBorder="1" applyAlignment="1">
      <alignment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164" fontId="0" fillId="0" borderId="6" xfId="0" applyNumberFormat="1" applyBorder="1" applyAlignment="1">
      <alignment wrapText="1"/>
    </xf>
    <xf numFmtId="0" fontId="2" fillId="0" borderId="7"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3" fillId="0" borderId="7" xfId="1" applyBorder="1" applyAlignment="1" applyProtection="1">
      <alignment horizontal="center" vertical="center" wrapText="1"/>
    </xf>
    <xf numFmtId="0" fontId="3" fillId="0" borderId="9" xfId="1" applyBorder="1" applyAlignment="1" applyProtection="1">
      <alignment horizontal="center" vertical="center" wrapText="1"/>
    </xf>
    <xf numFmtId="0" fontId="3" fillId="0" borderId="8" xfId="1" applyFill="1" applyBorder="1" applyAlignment="1" applyProtection="1">
      <alignment vertical="center" wrapText="1"/>
    </xf>
    <xf numFmtId="0" fontId="0" fillId="0" borderId="10" xfId="0" applyBorder="1" applyAlignment="1">
      <alignment vertical="center" wrapText="1"/>
    </xf>
    <xf numFmtId="0" fontId="0" fillId="0" borderId="12" xfId="0" applyBorder="1" applyAlignment="1">
      <alignment vertical="center" wrapText="1"/>
    </xf>
    <xf numFmtId="0" fontId="0" fillId="0" borderId="11" xfId="0" applyBorder="1" applyAlignment="1">
      <alignment vertical="center" wrapText="1"/>
    </xf>
    <xf numFmtId="0" fontId="7" fillId="0" borderId="2" xfId="0" applyFont="1" applyBorder="1" applyAlignment="1">
      <alignment horizontal="center" vertical="top" wrapText="1"/>
    </xf>
    <xf numFmtId="0" fontId="8" fillId="0" borderId="2" xfId="0" applyFont="1" applyBorder="1" applyAlignment="1">
      <alignment wrapText="1"/>
    </xf>
    <xf numFmtId="0" fontId="0" fillId="0" borderId="5" xfId="0" applyBorder="1" applyAlignment="1">
      <alignment horizontal="center" vertical="top"/>
    </xf>
    <xf numFmtId="0" fontId="2" fillId="0" borderId="7" xfId="0" applyFont="1" applyBorder="1" applyAlignment="1">
      <alignment horizontal="center" vertical="top" wrapText="1"/>
    </xf>
    <xf numFmtId="164" fontId="2" fillId="0" borderId="2" xfId="0" applyNumberFormat="1" applyFont="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0" borderId="7" xfId="0" applyFont="1" applyBorder="1" applyAlignment="1">
      <alignment horizontal="center" vertical="top"/>
    </xf>
    <xf numFmtId="0" fontId="2" fillId="0" borderId="10" xfId="0" applyFont="1" applyBorder="1" applyAlignment="1">
      <alignment horizontal="center" vertical="top"/>
    </xf>
    <xf numFmtId="0" fontId="2" fillId="0" borderId="7" xfId="0" applyFont="1" applyBorder="1" applyAlignment="1">
      <alignment vertical="top"/>
    </xf>
    <xf numFmtId="0" fontId="0" fillId="0" borderId="0" xfId="0" applyAlignment="1">
      <alignment vertical="top"/>
    </xf>
    <xf numFmtId="0" fontId="0" fillId="0" borderId="2" xfId="0" applyBorder="1" applyAlignment="1">
      <alignment vertical="top" wrapText="1"/>
    </xf>
    <xf numFmtId="9" fontId="0" fillId="0" borderId="2" xfId="0" applyNumberFormat="1" applyBorder="1" applyAlignment="1">
      <alignment vertical="top" wrapText="1"/>
    </xf>
    <xf numFmtId="0" fontId="0" fillId="0" borderId="2" xfId="0" applyBorder="1" applyAlignment="1">
      <alignment horizontal="center" vertical="top"/>
    </xf>
    <xf numFmtId="0" fontId="0" fillId="0" borderId="6" xfId="0" applyBorder="1" applyAlignment="1">
      <alignment horizontal="center" vertical="top" wrapText="1"/>
    </xf>
    <xf numFmtId="0" fontId="0" fillId="0" borderId="2" xfId="0" applyBorder="1" applyAlignment="1">
      <alignment vertical="top"/>
    </xf>
    <xf numFmtId="0" fontId="0" fillId="0" borderId="0" xfId="0" applyAlignment="1">
      <alignment vertical="top" wrapText="1"/>
    </xf>
    <xf numFmtId="164" fontId="0" fillId="0" borderId="2" xfId="0" applyNumberFormat="1" applyBorder="1" applyAlignment="1">
      <alignment vertical="top" wrapText="1"/>
    </xf>
    <xf numFmtId="0" fontId="0" fillId="0" borderId="7" xfId="0" applyBorder="1" applyAlignment="1">
      <alignment vertical="top" wrapText="1"/>
    </xf>
    <xf numFmtId="0" fontId="5" fillId="0" borderId="2" xfId="0" applyFont="1" applyBorder="1" applyAlignment="1">
      <alignment vertical="top" wrapText="1"/>
    </xf>
    <xf numFmtId="0" fontId="0" fillId="0" borderId="5" xfId="0" applyBorder="1" applyAlignment="1">
      <alignment vertical="top" wrapText="1"/>
    </xf>
    <xf numFmtId="0" fontId="5" fillId="0" borderId="2" xfId="0" applyFont="1" applyBorder="1" applyAlignment="1">
      <alignment horizontal="left" vertical="top" wrapText="1"/>
    </xf>
    <xf numFmtId="164" fontId="0" fillId="0" borderId="0" xfId="0" applyNumberFormat="1" applyAlignment="1">
      <alignment vertical="top"/>
    </xf>
    <xf numFmtId="43" fontId="2" fillId="0" borderId="2" xfId="0" applyNumberFormat="1" applyFont="1" applyBorder="1" applyAlignment="1">
      <alignment horizontal="center" vertical="top" wrapText="1"/>
    </xf>
    <xf numFmtId="43" fontId="0" fillId="0" borderId="6" xfId="0" applyNumberFormat="1" applyBorder="1" applyAlignment="1">
      <alignment vertical="top" wrapText="1"/>
    </xf>
    <xf numFmtId="43" fontId="0" fillId="0" borderId="2" xfId="0" applyNumberFormat="1" applyBorder="1" applyAlignment="1">
      <alignment vertical="top" wrapText="1"/>
    </xf>
    <xf numFmtId="43" fontId="0" fillId="0" borderId="0" xfId="0" applyNumberFormat="1" applyAlignment="1">
      <alignment vertical="top"/>
    </xf>
    <xf numFmtId="0" fontId="0" fillId="3" borderId="5" xfId="0" applyFill="1" applyBorder="1" applyAlignment="1">
      <alignment vertical="top" wrapText="1"/>
    </xf>
    <xf numFmtId="3" fontId="5" fillId="0" borderId="0" xfId="0" applyNumberFormat="1" applyFont="1" applyAlignment="1">
      <alignment vertical="top"/>
    </xf>
    <xf numFmtId="0" fontId="8" fillId="0" borderId="2" xfId="0" quotePrefix="1" applyFont="1" applyBorder="1" applyAlignment="1">
      <alignment vertical="top" wrapText="1"/>
    </xf>
    <xf numFmtId="0" fontId="0" fillId="0" borderId="7" xfId="0" applyBorder="1" applyAlignment="1">
      <alignment horizontal="center" vertical="top" wrapText="1"/>
    </xf>
    <xf numFmtId="0" fontId="3" fillId="0" borderId="7" xfId="1" applyFill="1" applyBorder="1" applyAlignment="1" applyProtection="1">
      <alignment horizontal="left" vertical="top" wrapText="1"/>
    </xf>
    <xf numFmtId="0" fontId="9" fillId="0" borderId="7" xfId="1" applyFont="1" applyBorder="1" applyAlignment="1" applyProtection="1">
      <alignment horizontal="left" vertical="top" wrapText="1"/>
    </xf>
    <xf numFmtId="0" fontId="10" fillId="0" borderId="2" xfId="0" applyFont="1" applyBorder="1" applyAlignment="1">
      <alignment vertical="top" wrapText="1"/>
    </xf>
    <xf numFmtId="9" fontId="0" fillId="0" borderId="6" xfId="0" applyNumberFormat="1" applyBorder="1" applyAlignment="1">
      <alignment horizontal="center" vertical="top" wrapText="1"/>
    </xf>
    <xf numFmtId="9" fontId="10" fillId="0" borderId="2" xfId="0" applyNumberFormat="1" applyFont="1" applyBorder="1" applyAlignment="1">
      <alignment vertical="top" wrapText="1"/>
    </xf>
    <xf numFmtId="0" fontId="8" fillId="0" borderId="5" xfId="0" applyFont="1" applyBorder="1" applyAlignment="1">
      <alignment vertical="top" wrapText="1"/>
    </xf>
    <xf numFmtId="6" fontId="10" fillId="0" borderId="2" xfId="0" applyNumberFormat="1" applyFont="1" applyBorder="1" applyAlignment="1">
      <alignment horizontal="center" vertical="top" wrapText="1"/>
    </xf>
    <xf numFmtId="164" fontId="10" fillId="0" borderId="2" xfId="0" applyNumberFormat="1" applyFont="1" applyBorder="1" applyAlignment="1">
      <alignment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6" fontId="0" fillId="0" borderId="7" xfId="0" applyNumberFormat="1" applyBorder="1" applyAlignment="1">
      <alignment horizontal="center" vertical="top" wrapText="1"/>
    </xf>
    <xf numFmtId="6" fontId="0" fillId="0" borderId="8" xfId="0" applyNumberFormat="1" applyBorder="1" applyAlignment="1">
      <alignment horizontal="center" vertical="top" wrapText="1"/>
    </xf>
    <xf numFmtId="6" fontId="0" fillId="0" borderId="9" xfId="0" applyNumberFormat="1" applyBorder="1" applyAlignment="1">
      <alignment horizontal="center" vertical="top" wrapText="1"/>
    </xf>
    <xf numFmtId="0" fontId="3" fillId="0" borderId="7" xfId="1" applyBorder="1" applyAlignment="1" applyProtection="1">
      <alignment horizontal="center" vertical="top" wrapText="1"/>
    </xf>
    <xf numFmtId="0" fontId="3" fillId="0" borderId="8" xfId="1" applyBorder="1" applyAlignment="1" applyProtection="1">
      <alignment horizontal="center" vertical="top" wrapText="1"/>
    </xf>
    <xf numFmtId="0" fontId="3" fillId="0" borderId="9" xfId="1" applyBorder="1" applyAlignment="1" applyProtection="1">
      <alignment horizontal="center" vertical="top" wrapText="1"/>
    </xf>
    <xf numFmtId="0" fontId="3" fillId="0" borderId="7" xfId="1" applyBorder="1" applyAlignment="1" applyProtection="1">
      <alignment horizontal="left" vertical="top" wrapText="1"/>
    </xf>
    <xf numFmtId="0" fontId="3" fillId="0" borderId="8" xfId="1" applyBorder="1" applyAlignment="1" applyProtection="1">
      <alignment horizontal="left" vertical="top" wrapText="1"/>
    </xf>
    <xf numFmtId="0" fontId="3" fillId="0" borderId="9" xfId="1" applyBorder="1" applyAlignment="1" applyProtection="1">
      <alignment horizontal="left" vertical="top" wrapText="1"/>
    </xf>
    <xf numFmtId="6" fontId="0" fillId="0" borderId="7" xfId="0" applyNumberFormat="1" applyBorder="1" applyAlignment="1">
      <alignment horizontal="center" vertical="center" wrapText="1"/>
    </xf>
    <xf numFmtId="6" fontId="0" fillId="0" borderId="8" xfId="0" applyNumberFormat="1" applyBorder="1" applyAlignment="1">
      <alignment horizontal="center" vertical="center" wrapText="1"/>
    </xf>
    <xf numFmtId="6" fontId="0" fillId="0" borderId="9" xfId="0" applyNumberFormat="1" applyBorder="1" applyAlignment="1">
      <alignment horizontal="center" vertical="center" wrapText="1"/>
    </xf>
    <xf numFmtId="0" fontId="9" fillId="0" borderId="7" xfId="1" applyFont="1" applyBorder="1" applyAlignment="1" applyProtection="1">
      <alignment horizontal="left" vertical="top" wrapText="1"/>
    </xf>
    <xf numFmtId="0" fontId="9" fillId="0" borderId="8" xfId="1" applyFont="1" applyBorder="1" applyAlignment="1" applyProtection="1">
      <alignment horizontal="left" vertical="top" wrapText="1"/>
    </xf>
    <xf numFmtId="0" fontId="9" fillId="0" borderId="9" xfId="1" applyFont="1" applyBorder="1" applyAlignment="1" applyProtection="1">
      <alignment horizontal="left" vertical="top" wrapText="1"/>
    </xf>
    <xf numFmtId="0" fontId="9" fillId="0" borderId="7" xfId="1" applyFont="1" applyBorder="1" applyAlignment="1" applyProtection="1">
      <alignment horizontal="center" vertical="top" wrapText="1"/>
    </xf>
    <xf numFmtId="0" fontId="9" fillId="0" borderId="8" xfId="1" applyFont="1" applyBorder="1" applyAlignment="1" applyProtection="1">
      <alignment horizontal="center" vertical="top" wrapText="1"/>
    </xf>
    <xf numFmtId="0" fontId="9" fillId="0" borderId="9" xfId="1" applyFont="1" applyBorder="1" applyAlignment="1" applyProtection="1">
      <alignment horizontal="center"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4" xfId="0" applyBorder="1" applyAlignment="1">
      <alignment horizontal="center" vertical="center"/>
    </xf>
    <xf numFmtId="0" fontId="3" fillId="0" borderId="4" xfId="1" applyBorder="1" applyAlignment="1" applyProtection="1">
      <alignment horizontal="center" vertical="center" wrapText="1"/>
    </xf>
    <xf numFmtId="0" fontId="3" fillId="0" borderId="0" xfId="1" applyAlignment="1" applyProtection="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undp.org/timor-leste/projects/green-transformation-project" TargetMode="External"/><Relationship Id="rId2" Type="http://schemas.openxmlformats.org/officeDocument/2006/relationships/hyperlink" Target="http://open.undp.org/projects/00126532" TargetMode="External"/><Relationship Id="rId1" Type="http://schemas.openxmlformats.org/officeDocument/2006/relationships/hyperlink" Target="http://open.undp.org/projects/00145070"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26532" TargetMode="External"/><Relationship Id="rId1" Type="http://schemas.openxmlformats.org/officeDocument/2006/relationships/hyperlink" Target="http://open.undp.org/projects/00145070"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open.undp.org/projects/00126532" TargetMode="External"/><Relationship Id="rId1" Type="http://schemas.openxmlformats.org/officeDocument/2006/relationships/hyperlink" Target="http://open.undp.org/projects/001450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79CD-277A-444C-9A31-93368D511EC2}">
  <dimension ref="A1:AO11"/>
  <sheetViews>
    <sheetView tabSelected="1" workbookViewId="0">
      <pane ySplit="1" topLeftCell="E19" activePane="bottomLeft" state="frozen"/>
      <selection pane="bottomLeft" activeCell="I7" sqref="I7"/>
    </sheetView>
  </sheetViews>
  <sheetFormatPr defaultColWidth="9.140625" defaultRowHeight="14.45"/>
  <cols>
    <col min="1" max="1" width="9.140625" style="55"/>
    <col min="2" max="3" width="20.7109375" style="55" customWidth="1"/>
    <col min="4" max="4" width="15.42578125" style="71" customWidth="1"/>
    <col min="5" max="6" width="20.7109375" style="55" customWidth="1"/>
    <col min="7" max="8" width="12.7109375" style="67" customWidth="1"/>
    <col min="9" max="9" width="65.5703125" style="55" customWidth="1"/>
    <col min="10" max="10" width="9.140625" style="55"/>
    <col min="11" max="11" width="12.28515625" style="55" customWidth="1"/>
    <col min="12" max="12" width="12.85546875" style="55" bestFit="1" customWidth="1"/>
    <col min="13" max="13" width="11.7109375" style="61" customWidth="1"/>
    <col min="14" max="14" width="14.42578125" style="55" bestFit="1" customWidth="1"/>
    <col min="15" max="15" width="18.140625" style="55" customWidth="1"/>
    <col min="16" max="16" width="24.7109375" style="55" customWidth="1"/>
    <col min="17" max="17" width="16.5703125" style="55" bestFit="1" customWidth="1"/>
    <col min="18" max="18" width="18.140625" style="55" bestFit="1" customWidth="1"/>
    <col min="19" max="19" width="11.85546875" style="55" customWidth="1"/>
    <col min="20" max="20" width="30.28515625" style="55" bestFit="1" customWidth="1"/>
    <col min="21" max="21" width="16.7109375" style="55" bestFit="1" customWidth="1"/>
    <col min="22" max="16384" width="9.140625" style="55"/>
  </cols>
  <sheetData>
    <row r="1" spans="1:41" ht="47.25" customHeight="1">
      <c r="A1" s="48" t="s">
        <v>0</v>
      </c>
      <c r="B1" s="48" t="s">
        <v>1</v>
      </c>
      <c r="C1" s="48" t="s">
        <v>2</v>
      </c>
      <c r="D1" s="68" t="s">
        <v>3</v>
      </c>
      <c r="E1" s="50" t="s">
        <v>4</v>
      </c>
      <c r="F1" s="50" t="s">
        <v>5</v>
      </c>
      <c r="G1" s="49" t="s">
        <v>6</v>
      </c>
      <c r="H1" s="49" t="s">
        <v>7</v>
      </c>
      <c r="I1" s="50" t="s">
        <v>8</v>
      </c>
      <c r="J1" s="51" t="s">
        <v>9</v>
      </c>
      <c r="K1" s="51" t="s">
        <v>10</v>
      </c>
      <c r="L1" s="2" t="s">
        <v>11</v>
      </c>
      <c r="M1" s="52" t="s">
        <v>12</v>
      </c>
      <c r="N1" s="2" t="s">
        <v>13</v>
      </c>
      <c r="O1" s="2" t="s">
        <v>14</v>
      </c>
      <c r="P1" s="52" t="s">
        <v>15</v>
      </c>
      <c r="Q1" s="52" t="s">
        <v>16</v>
      </c>
      <c r="R1" s="53" t="s">
        <v>17</v>
      </c>
      <c r="S1" s="54" t="s">
        <v>18</v>
      </c>
      <c r="T1" s="53" t="s">
        <v>19</v>
      </c>
      <c r="U1" s="54" t="s">
        <v>20</v>
      </c>
    </row>
    <row r="2" spans="1:41" s="61" customFormat="1" ht="84" customHeight="1">
      <c r="A2" s="84">
        <v>126532</v>
      </c>
      <c r="B2" s="84" t="s">
        <v>21</v>
      </c>
      <c r="C2" s="90" t="s">
        <v>22</v>
      </c>
      <c r="D2" s="87">
        <v>2970297</v>
      </c>
      <c r="E2" s="56" t="s">
        <v>23</v>
      </c>
      <c r="F2" s="56" t="s">
        <v>24</v>
      </c>
      <c r="G2" s="62"/>
      <c r="H2" s="73" t="s">
        <v>25</v>
      </c>
      <c r="I2" s="74" t="s">
        <v>26</v>
      </c>
      <c r="J2" s="56" t="s">
        <v>27</v>
      </c>
      <c r="K2" s="80">
        <v>0.5</v>
      </c>
      <c r="L2" s="47" t="s">
        <v>28</v>
      </c>
      <c r="M2" s="58" t="s">
        <v>29</v>
      </c>
      <c r="N2" s="59" t="s">
        <v>30</v>
      </c>
      <c r="O2" s="58" t="s">
        <v>31</v>
      </c>
      <c r="P2" s="58" t="s">
        <v>32</v>
      </c>
      <c r="Q2" s="58" t="s">
        <v>33</v>
      </c>
      <c r="R2" s="58" t="s">
        <v>34</v>
      </c>
      <c r="S2" s="60" t="s">
        <v>35</v>
      </c>
      <c r="T2" s="58" t="s">
        <v>36</v>
      </c>
      <c r="U2" s="48"/>
      <c r="V2" s="48"/>
      <c r="W2" s="48"/>
      <c r="X2" s="68"/>
      <c r="Y2" s="50"/>
      <c r="Z2" s="50"/>
      <c r="AA2" s="49"/>
      <c r="AB2" s="49"/>
      <c r="AC2" s="50"/>
      <c r="AD2" s="51"/>
      <c r="AE2" s="51"/>
      <c r="AF2" s="2"/>
      <c r="AG2" s="52"/>
      <c r="AH2" s="2"/>
      <c r="AI2" s="2"/>
      <c r="AJ2" s="52"/>
      <c r="AK2" s="52"/>
      <c r="AL2" s="53"/>
      <c r="AM2" s="54"/>
      <c r="AN2" s="53"/>
      <c r="AO2" s="54"/>
    </row>
    <row r="3" spans="1:41" s="61" customFormat="1" ht="33.75" customHeight="1">
      <c r="A3" s="85"/>
      <c r="B3" s="85"/>
      <c r="C3" s="91"/>
      <c r="D3" s="88"/>
      <c r="E3" s="56" t="s">
        <v>37</v>
      </c>
      <c r="F3" s="56" t="s">
        <v>38</v>
      </c>
      <c r="G3" s="62"/>
      <c r="H3" s="62">
        <v>30</v>
      </c>
      <c r="I3" s="56" t="s">
        <v>39</v>
      </c>
      <c r="J3" s="56" t="s">
        <v>27</v>
      </c>
      <c r="K3" s="57"/>
      <c r="L3" s="47" t="s">
        <v>28</v>
      </c>
      <c r="M3" s="58" t="s">
        <v>29</v>
      </c>
      <c r="N3" s="59" t="s">
        <v>30</v>
      </c>
      <c r="O3" s="58" t="s">
        <v>31</v>
      </c>
      <c r="P3" s="58" t="s">
        <v>32</v>
      </c>
      <c r="Q3" s="58"/>
      <c r="R3" s="58" t="s">
        <v>31</v>
      </c>
      <c r="S3" s="60" t="s">
        <v>35</v>
      </c>
      <c r="T3" s="58" t="s">
        <v>36</v>
      </c>
      <c r="U3" s="84"/>
      <c r="V3" s="84"/>
      <c r="W3" s="102"/>
      <c r="X3" s="87"/>
      <c r="Y3" s="56"/>
      <c r="Z3" s="56"/>
      <c r="AA3" s="62"/>
      <c r="AB3" s="73"/>
      <c r="AC3" s="78"/>
      <c r="AD3" s="56"/>
      <c r="AE3" s="57"/>
      <c r="AF3" s="47"/>
      <c r="AG3" s="58"/>
      <c r="AH3" s="59"/>
      <c r="AI3" s="58"/>
      <c r="AJ3" s="58"/>
      <c r="AK3" s="58"/>
      <c r="AL3" s="58"/>
      <c r="AM3" s="60"/>
      <c r="AN3" s="58"/>
      <c r="AO3" s="60"/>
    </row>
    <row r="4" spans="1:41" s="61" customFormat="1" ht="60.75">
      <c r="A4" s="86"/>
      <c r="B4" s="86"/>
      <c r="C4" s="92"/>
      <c r="D4" s="89"/>
      <c r="E4" s="56" t="s">
        <v>40</v>
      </c>
      <c r="F4" s="56" t="s">
        <v>41</v>
      </c>
      <c r="G4" s="62"/>
      <c r="H4" s="73">
        <v>4321</v>
      </c>
      <c r="I4" s="56" t="s">
        <v>42</v>
      </c>
      <c r="J4" s="56" t="s">
        <v>27</v>
      </c>
      <c r="K4" s="80">
        <v>0.5</v>
      </c>
      <c r="L4" s="47" t="s">
        <v>28</v>
      </c>
      <c r="M4" s="58" t="s">
        <v>29</v>
      </c>
      <c r="N4" s="59" t="s">
        <v>30</v>
      </c>
      <c r="O4" s="58"/>
      <c r="P4" s="58" t="s">
        <v>32</v>
      </c>
      <c r="Q4" s="58"/>
      <c r="R4" s="58" t="s">
        <v>31</v>
      </c>
      <c r="S4" s="60" t="s">
        <v>35</v>
      </c>
      <c r="T4" s="58" t="s">
        <v>36</v>
      </c>
      <c r="U4" s="85"/>
      <c r="V4" s="85"/>
      <c r="W4" s="103"/>
      <c r="X4" s="88" t="s">
        <v>43</v>
      </c>
      <c r="Y4" s="56"/>
      <c r="Z4" s="56"/>
      <c r="AA4" s="62"/>
      <c r="AB4" s="62"/>
      <c r="AC4" s="56"/>
      <c r="AD4" s="56"/>
      <c r="AE4" s="57"/>
      <c r="AF4" s="47"/>
      <c r="AG4" s="58"/>
      <c r="AH4" s="59"/>
      <c r="AI4" s="58"/>
      <c r="AJ4" s="58"/>
      <c r="AK4" s="58"/>
      <c r="AL4" s="58"/>
      <c r="AM4" s="60"/>
      <c r="AN4" s="58"/>
      <c r="AO4" s="60"/>
    </row>
    <row r="5" spans="1:41" s="61" customFormat="1" ht="78" customHeight="1">
      <c r="A5" s="75">
        <v>145070</v>
      </c>
      <c r="B5" s="75" t="s">
        <v>44</v>
      </c>
      <c r="C5" s="76" t="s">
        <v>45</v>
      </c>
      <c r="D5" s="82">
        <v>280000</v>
      </c>
      <c r="E5" s="56" t="s">
        <v>46</v>
      </c>
      <c r="F5" s="56" t="s">
        <v>47</v>
      </c>
      <c r="G5" s="83"/>
      <c r="H5" s="83">
        <v>100</v>
      </c>
      <c r="I5" s="56"/>
      <c r="J5" s="63" t="s">
        <v>48</v>
      </c>
      <c r="K5" s="57">
        <v>1</v>
      </c>
      <c r="L5" s="47" t="s">
        <v>28</v>
      </c>
      <c r="M5" s="58" t="s">
        <v>29</v>
      </c>
      <c r="N5" s="59" t="s">
        <v>49</v>
      </c>
      <c r="O5" s="58" t="s">
        <v>50</v>
      </c>
      <c r="P5" s="58"/>
      <c r="Q5" s="58" t="s">
        <v>51</v>
      </c>
      <c r="R5" s="58" t="s">
        <v>31</v>
      </c>
      <c r="S5" s="60" t="s">
        <v>35</v>
      </c>
      <c r="T5" s="58" t="s">
        <v>36</v>
      </c>
      <c r="U5" s="86"/>
      <c r="V5" s="86"/>
      <c r="W5" s="104"/>
      <c r="X5" s="89"/>
      <c r="Y5" s="56"/>
      <c r="Z5" s="56"/>
      <c r="AA5" s="62"/>
      <c r="AB5" s="73"/>
      <c r="AC5" s="56"/>
      <c r="AD5" s="56"/>
      <c r="AE5" s="57"/>
      <c r="AF5" s="47"/>
      <c r="AG5" s="58"/>
      <c r="AH5" s="59"/>
      <c r="AI5" s="58"/>
      <c r="AJ5" s="58"/>
      <c r="AK5" s="58"/>
      <c r="AL5" s="58"/>
      <c r="AM5" s="60"/>
      <c r="AN5" s="58"/>
      <c r="AO5" s="60"/>
    </row>
    <row r="6" spans="1:41" s="61" customFormat="1" ht="60.75">
      <c r="A6" s="84">
        <v>1000417</v>
      </c>
      <c r="B6" s="84" t="s">
        <v>52</v>
      </c>
      <c r="C6" s="93" t="s">
        <v>53</v>
      </c>
      <c r="D6" s="96">
        <v>5781240</v>
      </c>
      <c r="E6" s="56" t="s">
        <v>34</v>
      </c>
      <c r="F6" s="64" t="s">
        <v>54</v>
      </c>
      <c r="G6" s="62"/>
      <c r="H6" s="62">
        <v>5000</v>
      </c>
      <c r="I6" s="65" t="s">
        <v>55</v>
      </c>
      <c r="J6" s="84" t="s">
        <v>56</v>
      </c>
      <c r="K6" s="79">
        <v>0.4</v>
      </c>
      <c r="L6" s="47" t="s">
        <v>28</v>
      </c>
      <c r="M6" s="58" t="s">
        <v>57</v>
      </c>
      <c r="N6" s="59" t="s">
        <v>30</v>
      </c>
      <c r="O6" s="58" t="s">
        <v>31</v>
      </c>
      <c r="P6" s="58"/>
      <c r="Q6" s="58" t="s">
        <v>33</v>
      </c>
      <c r="R6" s="58" t="s">
        <v>31</v>
      </c>
      <c r="S6" s="60" t="s">
        <v>35</v>
      </c>
      <c r="T6" s="58" t="s">
        <v>36</v>
      </c>
      <c r="U6" s="75"/>
      <c r="V6" s="75"/>
      <c r="W6" s="77"/>
      <c r="X6" s="70"/>
      <c r="Y6" s="56"/>
      <c r="Z6" s="56"/>
      <c r="AA6" s="62"/>
      <c r="AB6" s="62"/>
      <c r="AC6" s="56"/>
      <c r="AD6" s="63"/>
      <c r="AE6" s="57"/>
      <c r="AF6" s="47"/>
      <c r="AG6" s="58"/>
      <c r="AH6" s="59"/>
      <c r="AI6" s="58"/>
      <c r="AJ6" s="58"/>
      <c r="AK6" s="58"/>
      <c r="AL6" s="58"/>
      <c r="AM6" s="60"/>
      <c r="AN6" s="58"/>
      <c r="AO6" s="60"/>
    </row>
    <row r="7" spans="1:41" s="61" customFormat="1" ht="76.5">
      <c r="A7" s="85"/>
      <c r="B7" s="85"/>
      <c r="C7" s="94"/>
      <c r="D7" s="97"/>
      <c r="E7" s="56" t="s">
        <v>58</v>
      </c>
      <c r="F7" s="64" t="s">
        <v>59</v>
      </c>
      <c r="G7" s="62"/>
      <c r="H7" s="70">
        <v>750000</v>
      </c>
      <c r="I7" s="81" t="s">
        <v>60</v>
      </c>
      <c r="J7" s="85"/>
      <c r="K7" s="79">
        <v>0.4</v>
      </c>
      <c r="L7" s="47" t="s">
        <v>28</v>
      </c>
      <c r="M7" s="58" t="s">
        <v>61</v>
      </c>
      <c r="N7" s="59" t="s">
        <v>43</v>
      </c>
      <c r="O7" s="58" t="s">
        <v>31</v>
      </c>
      <c r="P7" s="58"/>
      <c r="Q7" s="58" t="s">
        <v>33</v>
      </c>
      <c r="R7" s="58" t="s">
        <v>31</v>
      </c>
      <c r="S7" s="60" t="s">
        <v>35</v>
      </c>
      <c r="T7" s="58" t="s">
        <v>62</v>
      </c>
      <c r="U7" s="84" t="s">
        <v>13</v>
      </c>
      <c r="V7" s="84"/>
      <c r="W7" s="99"/>
      <c r="X7" s="69"/>
      <c r="Y7" s="56"/>
      <c r="Z7" s="64"/>
      <c r="AA7" s="62"/>
      <c r="AB7" s="62"/>
      <c r="AC7" s="65"/>
      <c r="AD7" s="84"/>
      <c r="AE7" s="59"/>
      <c r="AF7" s="47"/>
      <c r="AG7" s="58"/>
      <c r="AH7" s="59"/>
      <c r="AI7" s="58"/>
      <c r="AJ7" s="58"/>
      <c r="AK7" s="58"/>
      <c r="AL7" s="58"/>
      <c r="AM7" s="60"/>
      <c r="AN7" s="58"/>
      <c r="AO7" s="60"/>
    </row>
    <row r="8" spans="1:41" s="61" customFormat="1" ht="91.5">
      <c r="A8" s="86"/>
      <c r="B8" s="86"/>
      <c r="C8" s="95"/>
      <c r="D8" s="98"/>
      <c r="E8" s="56" t="s">
        <v>63</v>
      </c>
      <c r="F8" s="66" t="s">
        <v>64</v>
      </c>
      <c r="G8" s="62"/>
      <c r="H8" s="70">
        <v>9000</v>
      </c>
      <c r="I8" s="65" t="s">
        <v>65</v>
      </c>
      <c r="J8" s="86"/>
      <c r="K8" s="79">
        <v>0.4</v>
      </c>
      <c r="L8" s="47" t="s">
        <v>28</v>
      </c>
      <c r="M8" s="58" t="s">
        <v>57</v>
      </c>
      <c r="N8" s="59" t="s">
        <v>43</v>
      </c>
      <c r="O8" s="58" t="s">
        <v>31</v>
      </c>
      <c r="P8" s="58"/>
      <c r="Q8" s="58" t="s">
        <v>33</v>
      </c>
      <c r="R8" s="58" t="s">
        <v>31</v>
      </c>
      <c r="S8" s="60" t="s">
        <v>35</v>
      </c>
      <c r="T8" s="58" t="s">
        <v>62</v>
      </c>
      <c r="U8" s="85"/>
      <c r="V8" s="85"/>
      <c r="W8" s="100"/>
      <c r="X8" s="69"/>
      <c r="Y8" s="56"/>
      <c r="Z8" s="64"/>
      <c r="AA8" s="62"/>
      <c r="AB8" s="70"/>
      <c r="AC8" s="65"/>
      <c r="AD8" s="85"/>
      <c r="AE8" s="59"/>
      <c r="AF8" s="47"/>
      <c r="AG8" s="58"/>
      <c r="AH8" s="59"/>
      <c r="AI8" s="58"/>
      <c r="AJ8" s="58"/>
      <c r="AK8" s="58"/>
      <c r="AL8" s="58"/>
      <c r="AM8" s="60"/>
      <c r="AN8" s="58"/>
      <c r="AO8" s="60"/>
    </row>
    <row r="9" spans="1:41" ht="15">
      <c r="U9" s="86"/>
      <c r="V9" s="86"/>
      <c r="W9" s="101"/>
      <c r="X9" s="69"/>
      <c r="Y9" s="56"/>
      <c r="Z9" s="66"/>
      <c r="AA9" s="62"/>
      <c r="AB9" s="70"/>
      <c r="AC9" s="72"/>
      <c r="AD9" s="86"/>
      <c r="AE9" s="59"/>
      <c r="AF9" s="47"/>
      <c r="AG9" s="58"/>
      <c r="AH9" s="59"/>
      <c r="AI9" s="58"/>
      <c r="AJ9" s="58"/>
      <c r="AK9" s="58"/>
      <c r="AL9" s="58"/>
      <c r="AM9" s="60"/>
      <c r="AN9" s="58"/>
      <c r="AO9" s="60"/>
    </row>
    <row r="10" spans="1:41" ht="15">
      <c r="X10" s="71"/>
      <c r="AA10" s="67"/>
      <c r="AB10" s="67"/>
      <c r="AG10" s="61"/>
    </row>
    <row r="11" spans="1:41" ht="15">
      <c r="X11" s="71"/>
      <c r="AA11" s="67"/>
      <c r="AB11" s="67"/>
      <c r="AG11" s="61"/>
    </row>
  </sheetData>
  <mergeCells count="17">
    <mergeCell ref="AD7:AD9"/>
    <mergeCell ref="W7:W9"/>
    <mergeCell ref="V7:V9"/>
    <mergeCell ref="U7:U9"/>
    <mergeCell ref="X3:X5"/>
    <mergeCell ref="W3:W5"/>
    <mergeCell ref="V3:V5"/>
    <mergeCell ref="U3:U5"/>
    <mergeCell ref="J6:J8"/>
    <mergeCell ref="D2:D4"/>
    <mergeCell ref="B2:B4"/>
    <mergeCell ref="A2:A4"/>
    <mergeCell ref="C2:C4"/>
    <mergeCell ref="C6:C8"/>
    <mergeCell ref="B6:B8"/>
    <mergeCell ref="A6:A8"/>
    <mergeCell ref="D6:D8"/>
  </mergeCells>
  <dataValidations count="10">
    <dataValidation type="list" allowBlank="1" showInputMessage="1" showErrorMessage="1" sqref="Q2:Q8" xr:uid="{7A5099D1-2ED5-43E4-AD13-261638184DF9}">
      <formula1>"NDC Support, National Strategy, Legal Framework,Incentives and Support, Government Capacity-Building, Carbon Pricing and Monitoring, Financing Model, Business Model"</formula1>
    </dataValidation>
    <dataValidation type="list" allowBlank="1" showInputMessage="1" showErrorMessage="1" sqref="P2:P8" xr:uid="{1B26F938-4EBD-46CC-831A-597505A8B9BC}">
      <formula1>"AMP, PUDC, Solar4Health, Action Opportunities, Italy UNDP Energy Partnership"</formula1>
    </dataValidation>
    <dataValidation type="list" allowBlank="1" showInputMessage="1" showErrorMessage="1" sqref="Y2:Y8" xr:uid="{5BEEAE34-0BCA-4954-A953-F33D3CEC6CD0}">
      <formula1>"Electricity Access, Energy Efficiency, Clean Cooking, Renewable Energy"</formula1>
    </dataValidation>
    <dataValidation type="list" allowBlank="1" showInputMessage="1" showErrorMessage="1" sqref="N2:N8 X2:X8" xr:uid="{E8931478-6827-48AC-B5DC-292C1313AC0D}">
      <formula1>"Accelerating just energy transition, Close the gap on energy access, Scale up energy finance"</formula1>
    </dataValidation>
    <dataValidation type="list" allowBlank="1" showInputMessage="1" showErrorMessage="1" sqref="O2:O8" xr:uid="{BECE492C-710C-49E8-9E3C-10BDCAD51DB5}">
      <formula1>"Electricity Access, Energy Efficiency, Clean Cooking, Renewable Energy, Overall"</formula1>
    </dataValidation>
    <dataValidation type="list" allowBlank="1" showInputMessage="1" showErrorMessage="1" sqref="M2:M8" xr:uid="{03EC0A59-33AD-4A38-A59F-5790EAF0FE95}">
      <formula1>"Finance, Gender, Efficiency, Just, Health"</formula1>
    </dataValidation>
    <dataValidation type="list" allowBlank="1" showInputMessage="1" showErrorMessage="1" sqref="T2:T8" xr:uid="{E80C4C84-0BAE-4A42-B940-7C66CD6D2919}">
      <formula1>"National, Regional, City, Community"</formula1>
    </dataValidation>
    <dataValidation type="list" allowBlank="1" showInputMessage="1" showErrorMessage="1" sqref="L2:L8" xr:uid="{62EDF95F-C0FC-4DE6-AE3F-F2141A9A12CD}">
      <formula1>"Non-VF, VF"</formula1>
    </dataValidation>
    <dataValidation type="list" allowBlank="1" showInputMessage="1" showErrorMessage="1" sqref="R2:R8" xr:uid="{5D645D24-9CBD-4A5E-8BAB-AE797F3CDCC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8" xr:uid="{D9460CF6-46EF-49D0-9567-3BA1F1DCC2EA}">
      <formula1>"Solar, Wind, Bioenergy, Hydro, Geothermal, Waste, Some Sources, Other, Unknown"</formula1>
    </dataValidation>
  </dataValidations>
  <hyperlinks>
    <hyperlink ref="C5" r:id="rId1" xr:uid="{779FF747-E687-4012-AE8E-69AFE9D31B33}"/>
    <hyperlink ref="C2" r:id="rId2" xr:uid="{33F8B1CB-D415-4A02-B636-DAE94AE482E9}"/>
    <hyperlink ref="C6" r:id="rId3" xr:uid="{7AC2F46B-FDB9-476B-A50F-9CD4067D20F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1CF943B-2F7C-4B2D-B1D7-BC5BF3B5A006}">
          <x14:formula1>
            <xm:f>'Beneficiary Categories'!$A$2:$A$16</xm:f>
          </x14:formula1>
          <xm:sqref>E9</xm:sqref>
        </x14:dataValidation>
        <x14:dataValidation type="list" allowBlank="1" showInputMessage="1" showErrorMessage="1" xr:uid="{4067C5F9-0F49-483B-A43E-91951C4F55C6}">
          <x14:formula1>
            <xm:f>'Beneficiary Categories'!$A$2:$A$22</xm:f>
          </x14:formula1>
          <xm:sqref>E2:E8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FFFD-BF9A-4603-B1BD-9865A24B4529}">
  <dimension ref="A1:S7"/>
  <sheetViews>
    <sheetView workbookViewId="0">
      <pane ySplit="1" topLeftCell="A5" activePane="bottomLeft" state="frozen"/>
      <selection pane="bottomLeft" activeCell="A5" sqref="A5"/>
    </sheetView>
  </sheetViews>
  <sheetFormatPr defaultRowHeight="14.45"/>
  <cols>
    <col min="2" max="3" width="20.7109375" customWidth="1"/>
    <col min="4" max="4" width="12.7109375" style="8" customWidth="1"/>
    <col min="5" max="6" width="20.7109375" customWidth="1"/>
    <col min="7" max="8" width="12.7109375" style="8" customWidth="1"/>
    <col min="9" max="9" width="65.5703125" customWidth="1"/>
    <col min="11" max="11" width="12.28515625" customWidth="1"/>
    <col min="13" max="13" width="62" style="4" customWidth="1"/>
    <col min="15" max="15" width="11.5703125" customWidth="1"/>
    <col min="16" max="16" width="10.85546875" customWidth="1"/>
    <col min="18" max="18" width="11.85546875" customWidth="1"/>
    <col min="19" max="19" width="15.42578125" customWidth="1"/>
  </cols>
  <sheetData>
    <row r="1" spans="1:19" ht="47.25" customHeight="1">
      <c r="A1" s="36" t="s">
        <v>0</v>
      </c>
      <c r="B1" s="36" t="s">
        <v>1</v>
      </c>
      <c r="C1" s="36" t="s">
        <v>2</v>
      </c>
      <c r="D1" s="27" t="s">
        <v>3</v>
      </c>
      <c r="E1" s="26" t="s">
        <v>4</v>
      </c>
      <c r="F1" s="26" t="s">
        <v>5</v>
      </c>
      <c r="G1" s="27" t="s">
        <v>6</v>
      </c>
      <c r="H1" s="27" t="s">
        <v>7</v>
      </c>
      <c r="I1" s="26" t="s">
        <v>8</v>
      </c>
      <c r="J1" s="28" t="s">
        <v>9</v>
      </c>
      <c r="K1" s="28" t="s">
        <v>10</v>
      </c>
      <c r="L1" s="28" t="s">
        <v>66</v>
      </c>
      <c r="M1" s="28" t="s">
        <v>67</v>
      </c>
      <c r="N1" s="28" t="s">
        <v>12</v>
      </c>
      <c r="O1" s="28" t="s">
        <v>68</v>
      </c>
      <c r="P1" s="28" t="s">
        <v>14</v>
      </c>
      <c r="Q1" s="28" t="s">
        <v>15</v>
      </c>
      <c r="R1" s="28" t="s">
        <v>16</v>
      </c>
      <c r="S1" s="28" t="s">
        <v>17</v>
      </c>
    </row>
    <row r="2" spans="1:19" s="4" customFormat="1" ht="43.5">
      <c r="A2" s="37">
        <v>126532</v>
      </c>
      <c r="B2" s="37" t="s">
        <v>21</v>
      </c>
      <c r="C2" s="39" t="s">
        <v>22</v>
      </c>
      <c r="D2" s="35">
        <v>2700742</v>
      </c>
      <c r="E2" s="17" t="s">
        <v>34</v>
      </c>
      <c r="F2" s="17" t="s">
        <v>69</v>
      </c>
      <c r="G2" s="18">
        <v>0</v>
      </c>
      <c r="H2" s="18" t="s">
        <v>25</v>
      </c>
      <c r="I2" s="17" t="s">
        <v>70</v>
      </c>
      <c r="J2" s="19" t="s">
        <v>27</v>
      </c>
      <c r="K2" s="22">
        <v>0.47</v>
      </c>
      <c r="L2" s="19"/>
      <c r="M2" s="10"/>
      <c r="N2" s="19"/>
      <c r="O2" s="19" t="s">
        <v>43</v>
      </c>
      <c r="P2" s="19" t="s">
        <v>34</v>
      </c>
      <c r="Q2" s="19"/>
      <c r="R2" s="19"/>
      <c r="S2" s="19"/>
    </row>
    <row r="3" spans="1:19" s="4" customFormat="1" ht="57.95">
      <c r="A3" s="38"/>
      <c r="B3" s="38"/>
      <c r="C3" s="40"/>
      <c r="D3" s="35"/>
      <c r="E3" s="17" t="s">
        <v>40</v>
      </c>
      <c r="F3" s="17" t="s">
        <v>41</v>
      </c>
      <c r="G3" s="18"/>
      <c r="H3" s="18" t="s">
        <v>71</v>
      </c>
      <c r="I3" s="17" t="s">
        <v>72</v>
      </c>
      <c r="J3" s="19" t="s">
        <v>27</v>
      </c>
      <c r="K3" s="19"/>
      <c r="L3" s="19"/>
      <c r="M3" s="10"/>
      <c r="N3" s="19"/>
      <c r="O3" s="19" t="s">
        <v>43</v>
      </c>
      <c r="P3" s="19" t="s">
        <v>73</v>
      </c>
      <c r="Q3" s="19"/>
      <c r="R3" s="19"/>
      <c r="S3" s="19"/>
    </row>
    <row r="4" spans="1:19" s="4" customFormat="1" ht="78" customHeight="1">
      <c r="A4" s="33">
        <v>145070</v>
      </c>
      <c r="B4" s="33" t="s">
        <v>44</v>
      </c>
      <c r="C4" s="41" t="s">
        <v>45</v>
      </c>
      <c r="D4" s="16">
        <v>129875</v>
      </c>
      <c r="E4" s="19" t="s">
        <v>46</v>
      </c>
      <c r="F4" s="19" t="s">
        <v>47</v>
      </c>
      <c r="G4" s="16">
        <v>0</v>
      </c>
      <c r="H4" s="16">
        <v>100</v>
      </c>
      <c r="I4" s="19" t="s">
        <v>74</v>
      </c>
      <c r="J4" s="31" t="s">
        <v>48</v>
      </c>
      <c r="K4" s="20">
        <v>1</v>
      </c>
      <c r="L4" s="19"/>
      <c r="M4" s="23"/>
      <c r="N4" s="19"/>
      <c r="O4" s="19"/>
      <c r="P4" s="19"/>
      <c r="Q4" s="19"/>
      <c r="R4" s="19"/>
      <c r="S4" s="19"/>
    </row>
    <row r="5" spans="1:19" s="4" customFormat="1" ht="30" customHeight="1">
      <c r="A5" s="42">
        <v>1000417</v>
      </c>
      <c r="B5" s="42" t="s">
        <v>52</v>
      </c>
      <c r="C5" s="32"/>
      <c r="D5" s="35">
        <v>700000</v>
      </c>
      <c r="E5" s="19" t="s">
        <v>75</v>
      </c>
      <c r="F5" s="24" t="s">
        <v>76</v>
      </c>
      <c r="G5" s="16">
        <v>0</v>
      </c>
      <c r="H5" s="16" t="s">
        <v>77</v>
      </c>
      <c r="I5" s="29" t="s">
        <v>78</v>
      </c>
      <c r="J5" s="32" t="s">
        <v>56</v>
      </c>
      <c r="K5" s="30"/>
      <c r="L5" s="21"/>
      <c r="M5" s="19"/>
      <c r="N5" s="19"/>
      <c r="O5" s="19" t="s">
        <v>43</v>
      </c>
      <c r="P5" s="19" t="s">
        <v>75</v>
      </c>
      <c r="Q5" s="19"/>
      <c r="R5" s="19"/>
      <c r="S5" s="19"/>
    </row>
    <row r="6" spans="1:19" s="4" customFormat="1" ht="101.45">
      <c r="A6" s="43"/>
      <c r="B6" s="43"/>
      <c r="C6" s="33"/>
      <c r="D6" s="35">
        <v>1000000</v>
      </c>
      <c r="E6" s="19" t="s">
        <v>58</v>
      </c>
      <c r="F6" s="24" t="s">
        <v>79</v>
      </c>
      <c r="G6" s="16">
        <v>0</v>
      </c>
      <c r="H6" s="19">
        <v>650000</v>
      </c>
      <c r="I6" s="29" t="s">
        <v>80</v>
      </c>
      <c r="J6" s="33"/>
      <c r="K6" s="30"/>
      <c r="L6" s="21"/>
      <c r="M6" s="19"/>
      <c r="N6" s="19"/>
      <c r="O6" s="19" t="s">
        <v>43</v>
      </c>
      <c r="P6" s="19" t="s">
        <v>31</v>
      </c>
      <c r="Q6" s="19"/>
      <c r="R6" s="19"/>
      <c r="S6" s="19"/>
    </row>
    <row r="7" spans="1:19" s="4" customFormat="1" ht="87">
      <c r="A7" s="44"/>
      <c r="B7" s="44"/>
      <c r="C7" s="34"/>
      <c r="D7" s="35">
        <v>2000000</v>
      </c>
      <c r="E7" s="19" t="s">
        <v>63</v>
      </c>
      <c r="F7" s="25" t="s">
        <v>81</v>
      </c>
      <c r="G7" s="16"/>
      <c r="H7" s="19">
        <v>18060</v>
      </c>
      <c r="I7" s="29" t="s">
        <v>82</v>
      </c>
      <c r="J7" s="34"/>
      <c r="K7" s="30"/>
      <c r="L7" s="21"/>
      <c r="M7" s="19"/>
      <c r="N7" s="19"/>
      <c r="O7" s="19" t="s">
        <v>43</v>
      </c>
      <c r="P7" s="19" t="s">
        <v>31</v>
      </c>
      <c r="Q7" s="19"/>
      <c r="R7" s="19"/>
      <c r="S7" s="19"/>
    </row>
  </sheetData>
  <dataValidations count="5">
    <dataValidation type="list" allowBlank="1" showInputMessage="1" showErrorMessage="1" sqref="O2:O7" xr:uid="{80A1F553-AA62-46AA-A6C1-B14FB0EE8EC4}">
      <formula1>"Accelerating just energy transition, Close the gap on energy access, Scale up energy finance"</formula1>
    </dataValidation>
    <dataValidation type="list" allowBlank="1" showInputMessage="1" showErrorMessage="1" sqref="P2:P7" xr:uid="{9DE16DD4-9757-4049-A9D4-59F17B5D5B22}">
      <formula1>"Electricity Access, Energy Efficiency, Clean Cooking, Renewable Energy"</formula1>
    </dataValidation>
    <dataValidation type="list" allowBlank="1" showInputMessage="1" showErrorMessage="1" sqref="Q2:Q7" xr:uid="{6EC5D850-49ED-43DC-BACB-682020F4B144}">
      <formula1>"AMP, PUDC, Solar4Health, Action Opportunities, Italy UNDP Energy Partnership"</formula1>
    </dataValidation>
    <dataValidation type="list" allowBlank="1" showInputMessage="1" showErrorMessage="1" sqref="R2:R7" xr:uid="{19DF6764-4CAD-43A1-830A-BBCC35AC4904}">
      <formula1>"NDC Support, National Strategy, Legal Framework,Incentives and Support, Government Capacity-Building, Carbon Pricing and Monitoring, Financing Model, Business Model"</formula1>
    </dataValidation>
    <dataValidation type="list" allowBlank="1" showInputMessage="1" showErrorMessage="1" sqref="S2:S7" xr:uid="{BA05DEB7-4B38-4BB8-8C49-6362FFA2BC16}">
      <formula1>"Electricity Access, Energy Efficiency, Renewable EnergyEnergy Infrastructure,   Transport, Digital &amp; Data, Clean Cooking, Decarbonization, Hydrogen, Off-Grid, On-Grid"</formula1>
    </dataValidation>
  </dataValidations>
  <hyperlinks>
    <hyperlink ref="C4" r:id="rId1" xr:uid="{FFF8544E-32E0-42F2-863A-A07050621006}"/>
    <hyperlink ref="C2" r:id="rId2" xr:uid="{66D61770-0E9F-4E4C-8383-F67E82A61E9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A4B507B-7600-43C0-8070-011EA46FA396}">
          <x14:formula1>
            <xm:f>'Beneficiary Categories'!$A$2:$A$16</xm:f>
          </x14:formula1>
          <xm:sqref>E2:E8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workbookViewId="0">
      <pane ySplit="1" topLeftCell="G6" activePane="bottomLeft" state="frozen"/>
      <selection pane="bottomLeft" activeCell="G6" sqref="G6"/>
    </sheetView>
  </sheetViews>
  <sheetFormatPr defaultRowHeight="14.45"/>
  <cols>
    <col min="2" max="3" width="20.7109375" customWidth="1"/>
    <col min="4" max="4" width="12.7109375" style="8" customWidth="1"/>
    <col min="5" max="6" width="20.7109375" customWidth="1"/>
    <col min="7" max="8" width="12.7109375" style="8" customWidth="1"/>
    <col min="9" max="9" width="32.7109375" customWidth="1"/>
    <col min="11" max="11" width="62" style="4" customWidth="1"/>
  </cols>
  <sheetData>
    <row r="1" spans="1:11">
      <c r="A1" s="1" t="s">
        <v>0</v>
      </c>
      <c r="B1" s="1" t="s">
        <v>1</v>
      </c>
      <c r="C1" s="1" t="s">
        <v>2</v>
      </c>
      <c r="D1" s="6" t="s">
        <v>3</v>
      </c>
      <c r="E1" s="1" t="s">
        <v>4</v>
      </c>
      <c r="F1" s="1" t="s">
        <v>5</v>
      </c>
      <c r="G1" s="6" t="s">
        <v>6</v>
      </c>
      <c r="H1" s="12" t="s">
        <v>7</v>
      </c>
      <c r="I1" s="2" t="s">
        <v>8</v>
      </c>
      <c r="J1" s="5" t="s">
        <v>9</v>
      </c>
      <c r="K1" s="9" t="s">
        <v>67</v>
      </c>
    </row>
    <row r="2" spans="1:11" ht="87">
      <c r="A2" s="107">
        <v>126532</v>
      </c>
      <c r="B2" s="107" t="s">
        <v>21</v>
      </c>
      <c r="C2" s="108" t="s">
        <v>22</v>
      </c>
      <c r="D2" s="7">
        <v>2700742</v>
      </c>
      <c r="E2" s="3" t="s">
        <v>34</v>
      </c>
      <c r="F2" s="3" t="s">
        <v>69</v>
      </c>
      <c r="G2" s="13">
        <v>0</v>
      </c>
      <c r="H2" s="13">
        <v>1000</v>
      </c>
      <c r="I2" s="3" t="s">
        <v>70</v>
      </c>
      <c r="J2" t="s">
        <v>27</v>
      </c>
      <c r="K2" s="10" t="s">
        <v>83</v>
      </c>
    </row>
    <row r="3" spans="1:11" ht="57.95">
      <c r="A3" s="105"/>
      <c r="B3" s="105"/>
      <c r="C3" s="109"/>
      <c r="D3" s="7">
        <v>2700742</v>
      </c>
      <c r="E3" s="3" t="s">
        <v>40</v>
      </c>
      <c r="F3" s="3" t="s">
        <v>41</v>
      </c>
      <c r="G3" s="13"/>
      <c r="H3" s="13">
        <v>600</v>
      </c>
      <c r="I3" s="3" t="s">
        <v>72</v>
      </c>
      <c r="J3" t="s">
        <v>27</v>
      </c>
      <c r="K3" s="10" t="s">
        <v>83</v>
      </c>
    </row>
    <row r="4" spans="1:11" ht="51" customHeight="1">
      <c r="A4" s="14">
        <v>145070</v>
      </c>
      <c r="B4" s="14" t="s">
        <v>44</v>
      </c>
      <c r="C4" s="15" t="s">
        <v>45</v>
      </c>
      <c r="D4" s="7">
        <v>129875</v>
      </c>
      <c r="E4" s="3" t="s">
        <v>34</v>
      </c>
      <c r="F4" s="3" t="s">
        <v>47</v>
      </c>
      <c r="G4" s="13">
        <v>0</v>
      </c>
      <c r="H4" s="13" t="s">
        <v>84</v>
      </c>
      <c r="I4" s="3" t="s">
        <v>74</v>
      </c>
      <c r="J4" s="4" t="s">
        <v>48</v>
      </c>
      <c r="K4" s="10" t="s">
        <v>83</v>
      </c>
    </row>
    <row r="5" spans="1:11" ht="30" customHeight="1">
      <c r="A5" s="105">
        <v>1000417</v>
      </c>
      <c r="B5" s="106" t="s">
        <v>52</v>
      </c>
      <c r="C5" s="106"/>
      <c r="D5" s="7">
        <v>700000</v>
      </c>
      <c r="E5" s="4" t="s">
        <v>34</v>
      </c>
      <c r="F5" s="11" t="s">
        <v>85</v>
      </c>
      <c r="G5" s="7">
        <v>0</v>
      </c>
      <c r="H5" s="7">
        <v>1000</v>
      </c>
      <c r="I5" s="4" t="s">
        <v>86</v>
      </c>
      <c r="J5" s="105" t="s">
        <v>56</v>
      </c>
    </row>
    <row r="6" spans="1:11" ht="72.599999999999994">
      <c r="A6" s="105"/>
      <c r="B6" s="106"/>
      <c r="C6" s="106"/>
      <c r="D6" s="7">
        <v>1000000</v>
      </c>
      <c r="E6" s="4" t="s">
        <v>58</v>
      </c>
      <c r="F6" s="4" t="s">
        <v>87</v>
      </c>
      <c r="G6" s="7">
        <v>0</v>
      </c>
      <c r="H6" s="7">
        <v>3</v>
      </c>
      <c r="I6" s="4" t="s">
        <v>88</v>
      </c>
      <c r="J6" s="105"/>
    </row>
    <row r="7" spans="1:11" ht="57.95">
      <c r="A7" s="105"/>
      <c r="B7" s="106"/>
      <c r="C7" s="106"/>
      <c r="D7" s="8">
        <v>2000000</v>
      </c>
      <c r="E7" t="s">
        <v>63</v>
      </c>
      <c r="F7" s="4" t="s">
        <v>89</v>
      </c>
      <c r="G7" s="8">
        <v>3</v>
      </c>
      <c r="H7" s="8">
        <v>15</v>
      </c>
      <c r="I7" s="4" t="s">
        <v>90</v>
      </c>
      <c r="J7" s="105"/>
    </row>
  </sheetData>
  <mergeCells count="7">
    <mergeCell ref="J5:J7"/>
    <mergeCell ref="B5:B7"/>
    <mergeCell ref="C5:C7"/>
    <mergeCell ref="A5:A7"/>
    <mergeCell ref="A2:A3"/>
    <mergeCell ref="B2:B3"/>
    <mergeCell ref="C2:C3"/>
  </mergeCells>
  <hyperlinks>
    <hyperlink ref="C4" r:id="rId1" xr:uid="{00000000-0004-0000-0000-000001000000}"/>
    <hyperlink ref="C2" r:id="rId2" xr:uid="{3ACD86D6-331C-4463-B5AA-8F275A9D402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4" workbookViewId="0">
      <selection activeCell="B8" sqref="B8"/>
    </sheetView>
  </sheetViews>
  <sheetFormatPr defaultRowHeight="14.45"/>
  <cols>
    <col min="1" max="2" width="52.7109375" customWidth="1"/>
  </cols>
  <sheetData>
    <row r="1" spans="1:2">
      <c r="A1" s="45" t="s">
        <v>4</v>
      </c>
      <c r="B1" s="45" t="s">
        <v>5</v>
      </c>
    </row>
    <row r="2" spans="1:2" ht="43.5">
      <c r="A2" s="110" t="s">
        <v>34</v>
      </c>
      <c r="B2" s="46" t="s">
        <v>91</v>
      </c>
    </row>
    <row r="3" spans="1:2">
      <c r="A3" s="110" t="s">
        <v>92</v>
      </c>
      <c r="B3" s="46" t="s">
        <v>93</v>
      </c>
    </row>
    <row r="4" spans="1:2" ht="29.1">
      <c r="A4" s="110" t="s">
        <v>75</v>
      </c>
      <c r="B4" s="46" t="s">
        <v>94</v>
      </c>
    </row>
    <row r="5" spans="1:2" ht="29.1">
      <c r="A5" s="110" t="s">
        <v>95</v>
      </c>
      <c r="B5" s="46" t="s">
        <v>96</v>
      </c>
    </row>
    <row r="6" spans="1:2" ht="87">
      <c r="A6" s="110" t="s">
        <v>97</v>
      </c>
      <c r="B6" s="46" t="s">
        <v>98</v>
      </c>
    </row>
    <row r="7" spans="1:2" ht="43.5">
      <c r="A7" s="110" t="s">
        <v>58</v>
      </c>
      <c r="B7" s="46" t="s">
        <v>99</v>
      </c>
    </row>
    <row r="8" spans="1:2" ht="43.5">
      <c r="A8" s="110" t="s">
        <v>40</v>
      </c>
      <c r="B8" s="46" t="s">
        <v>100</v>
      </c>
    </row>
    <row r="9" spans="1:2" ht="43.5">
      <c r="A9" s="110" t="s">
        <v>63</v>
      </c>
      <c r="B9" s="46" t="s">
        <v>101</v>
      </c>
    </row>
    <row r="10" spans="1:2" ht="29.1">
      <c r="A10" s="110" t="s">
        <v>102</v>
      </c>
      <c r="B10" s="111" t="s">
        <v>103</v>
      </c>
    </row>
    <row r="11" spans="1:2" ht="29.1">
      <c r="A11" s="110" t="s">
        <v>104</v>
      </c>
      <c r="B11" s="111" t="s">
        <v>105</v>
      </c>
    </row>
    <row r="12" spans="1:2" ht="43.5">
      <c r="A12" s="110" t="s">
        <v>23</v>
      </c>
      <c r="B12" s="46" t="s">
        <v>106</v>
      </c>
    </row>
    <row r="13" spans="1:2" ht="29.1">
      <c r="A13" s="110" t="s">
        <v>107</v>
      </c>
      <c r="B13" s="111" t="s">
        <v>108</v>
      </c>
    </row>
    <row r="14" spans="1:2">
      <c r="A14" s="110" t="s">
        <v>109</v>
      </c>
      <c r="B14" s="111" t="s">
        <v>110</v>
      </c>
    </row>
    <row r="15" spans="1:2" ht="29.1">
      <c r="A15" s="110" t="s">
        <v>111</v>
      </c>
      <c r="B15" s="111" t="s">
        <v>112</v>
      </c>
    </row>
    <row r="16" spans="1:2" ht="29.1">
      <c r="A16" s="110" t="s">
        <v>46</v>
      </c>
      <c r="B16" s="111" t="s">
        <v>113</v>
      </c>
    </row>
    <row r="17" spans="1:2" ht="29.1">
      <c r="A17" s="110" t="s">
        <v>37</v>
      </c>
      <c r="B17" s="46" t="s">
        <v>114</v>
      </c>
    </row>
    <row r="18" spans="1:2" ht="29.1">
      <c r="A18" s="110" t="s">
        <v>115</v>
      </c>
      <c r="B18" s="111" t="s">
        <v>116</v>
      </c>
    </row>
    <row r="19" spans="1:2" ht="72.599999999999994">
      <c r="A19" s="110" t="s">
        <v>117</v>
      </c>
      <c r="B19" s="111" t="s">
        <v>118</v>
      </c>
    </row>
    <row r="20" spans="1:2" ht="29.1">
      <c r="A20" s="110" t="s">
        <v>119</v>
      </c>
      <c r="B20" s="111" t="s">
        <v>120</v>
      </c>
    </row>
    <row r="21" spans="1:2" ht="43.5">
      <c r="A21" s="110" t="s">
        <v>19</v>
      </c>
      <c r="B21" s="112" t="s">
        <v>121</v>
      </c>
    </row>
    <row r="22" spans="1:2" ht="29.1">
      <c r="A22" s="110" t="s">
        <v>122</v>
      </c>
      <c r="B22" s="111" t="s">
        <v>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980070-F43E-4A4D-AE3A-45EBDF1E7F16}"/>
</file>

<file path=customXml/itemProps2.xml><?xml version="1.0" encoding="utf-8"?>
<ds:datastoreItem xmlns:ds="http://schemas.openxmlformats.org/officeDocument/2006/customXml" ds:itemID="{BAC7373F-A1ED-4B1E-9E5D-C1BB32FDC35F}"/>
</file>

<file path=customXml/itemProps3.xml><?xml version="1.0" encoding="utf-8"?>
<ds:datastoreItem xmlns:ds="http://schemas.openxmlformats.org/officeDocument/2006/customXml" ds:itemID="{84E41ADD-8945-43E3-A344-2BC56A5A4F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