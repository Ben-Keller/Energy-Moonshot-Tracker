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86" documentId="8_{6A671246-EDD2-4A8C-BCC0-84A494FC8939}" xr6:coauthVersionLast="47" xr6:coauthVersionMax="47" xr10:uidLastSave="{08DDD41F-19E7-4D53-BD81-34C0F2CB6178}"/>
  <bookViews>
    <workbookView xWindow="30" yWindow="20" windowWidth="19170" windowHeight="10060" activeTab="2"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<sst xmlns="http://schemas.openxmlformats.org/spreadsheetml/2006/main" count="148" uniqueCount="86">
  <si>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</si>
  <si>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</si>
  <si>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</si>
  <si>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</si>
  <si>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</si>
  <si>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</si>
  <si>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</si>
  <si>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</si>
  <si>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</si>
  <si>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</si>
  <si>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</si>
  <si>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</si>
  <si>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</si>
  <si>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</si>
  <si>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</si>
  <si>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</si>
  <si>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</si>
  <si>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</si>
  <si>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Access vs Transition</t>
  </si>
  <si>
    <t>Technology</t>
  </si>
  <si>
    <t>Policy or Regulatory Framework</t>
  </si>
  <si>
    <t>Policy Population</t>
  </si>
  <si>
    <t>Improved Access to Electricity for Peri-Urban, Urban, and Rural Areas in sub-zobas of Adi-keih, Senafe, Mai- ‘aini and Tsoronna through installation of 2x6 MVA, 66/15 KV Substation in Adi Keih town</t>
  </si>
  <si>
    <t>US$ 2,921,160</t>
  </si>
  <si>
    <t>Electricity Access</t>
  </si>
  <si>
    <t xml:space="preserve">"1.1.1 Number of females/women and girls with access to modern electricity/cleaner energy. 
1.1.2 Number of males/men and boys with access to modern electricity.
1.1.3 Number of female -headed households with access to modern electricity.
1.1.4 Number of male headed households with access to modern electricity.
1.1.5 Number of schools/education institutions with access to modern electricity/cleaner enrgy
1.1.5.1 Kinder Garden
1.1.5.2 Elementary
1.1.5.3 Junior
1.1.5.4 Secondary
1.5.4 University College
2.1.1 Number of women established /operating home-based income generating activities.
2.1.2 Number of women with increased incomes        
2.2.1: Number of women enabled/established /operating small-scale businesses with increased incomes
3.1.1 Number of well-trained and capable staff operating/managing the commissioned 2x6 MVA, 66/15 KV distribution substation
3.2.1 Fully functional and well-maintained distribution substation in Adikeih town
127,500
122,500
17,857
33,163
39
79
32
10
1
1,786
1,786
893
5
1
</t>
  </si>
  <si>
    <t>CORE I</t>
  </si>
  <si>
    <t>Non-VF</t>
  </si>
  <si>
    <t>Efficiency</t>
  </si>
  <si>
    <t>Close the gap on energy access</t>
  </si>
  <si>
    <t>National Strategy</t>
  </si>
  <si>
    <t>Energy Efficiency</t>
  </si>
  <si>
    <t>Energy Access</t>
  </si>
  <si>
    <t>Other</t>
  </si>
  <si>
    <t>National</t>
  </si>
  <si>
    <t>Education Services</t>
  </si>
  <si>
    <t>Average school size of 230 students used for estimate</t>
  </si>
  <si>
    <t>12 MW Solar PV hybrid mini-grid systems in Tesseney, Barentu and Kerkebet (4MW each), Eritrea</t>
  </si>
  <si>
    <t>US$ 25,236,842</t>
  </si>
  <si>
    <t>Energy (MW added)</t>
  </si>
  <si>
    <t>The project is still at approval stage for submission to the AfDB Board</t>
  </si>
  <si>
    <t>AFDB &amp; CORE</t>
  </si>
  <si>
    <t>VF</t>
  </si>
  <si>
    <t>Accelerating just energy transition</t>
  </si>
  <si>
    <t>Renewable EnergyEnergy Infrastructure</t>
  </si>
  <si>
    <t>Solar</t>
  </si>
  <si>
    <t xml:space="preserve">1.1.1 Number of females/women and girls with access to modern electricity/cleaner energy. 
1.1.2 Number of males/men and boys with access to modern electricity.
1.1.3 Number of female -headed households with access to modern electricity.
1.1.4 Number of male headed households with access to modern electricity.
1.1.5 Number of schools/education institutions with access to modern electricity/cleaner enrgy
1.1.5.1 Kinder Garden
1.1.5.2 Elementary
1.1.5.3 Junior
1.1.5.4 Secondary
1.5.4 University College
2.1.1 Number of women established /operating home-based income generating activities.
2.1.2 Number of women with increased incomes        
2.2.1: Number of women enabled/established /operating small-scale businesses with increased incomes
3.1.1 Number of well-trained and capable staff operating/managing the commissioned 2x6 MVA, 66/15 KV distribution substation
3.2.1 Fully functional and well-maintained distribution substation in Adikeih town
</t>
  </si>
  <si>
    <t xml:space="preserve">127,500
122,500
17,857
33,163
39
79
32
10
1
1,786
1,786
893
5
1
</t>
  </si>
  <si>
    <t>12 MW</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</si>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</sst>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sz val="11"/>
      <color theme="1"/>
      <name val="Calibri"/>
      <family val="2"/>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rgb="FFFFE699"/>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alignment vertical="top"/>
      <protection locked="0"/>
    </xf>
  </cellStyleXfs>
  <cellXfs count="43">
    <xf numFmtId="0" fontId="0" fillId="0" borderId="0" xfId="0"/>
    <xf numFmtId="0" fontId="2"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center"/>
    </xf>
    <xf numFmtId="43" fontId="0" fillId="0" borderId="0" xfId="0" applyNumberFormat="1" applyAlignment="1">
      <alignment vertical="top"/>
    </xf>
    <xf numFmtId="43" fontId="0" fillId="0" borderId="0" xfId="0" applyNumberFormat="1"/>
    <xf numFmtId="0" fontId="0" fillId="2" borderId="0" xfId="0" applyFill="1"/>
    <xf numFmtId="0" fontId="0" fillId="3" borderId="0" xfId="0" applyFill="1"/>
    <xf numFmtId="0" fontId="0" fillId="2" borderId="0" xfId="0" applyFill="1" applyAlignment="1">
      <alignment wrapText="1"/>
    </xf>
    <xf numFmtId="0" fontId="3" fillId="0" borderId="0" xfId="0" applyFont="1" applyAlignment="1">
      <alignment vertical="top"/>
    </xf>
    <xf numFmtId="0" fontId="4" fillId="0" borderId="0" xfId="1" applyAlignment="1" applyProtection="1"/>
    <xf numFmtId="0" fontId="5" fillId="0" borderId="0" xfId="0" applyFont="1" applyAlignment="1">
      <alignment horizontal="right" vertical="center"/>
    </xf>
    <xf numFmtId="0" fontId="5" fillId="0" borderId="0" xfId="0" applyFont="1" applyAlignment="1">
      <alignment horizontal="left" vertical="center"/>
    </xf>
    <xf numFmtId="0" fontId="4" fillId="0" borderId="0" xfId="1" applyAlignment="1" applyProtection="1">
      <alignment horizontal="left" vertical="center" wrapText="1"/>
    </xf>
    <xf numFmtId="4" fontId="5" fillId="0" borderId="0" xfId="0" applyNumberFormat="1" applyFont="1" applyAlignment="1">
      <alignment horizontal="right" vertical="center"/>
    </xf>
    <xf numFmtId="0" fontId="5"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4" fillId="0" borderId="0" xfId="1" applyFill="1" applyBorder="1" applyAlignment="1" applyProtection="1">
      <alignment vertical="center" wrapText="1"/>
    </xf>
    <xf numFmtId="0" fontId="0" fillId="0" borderId="0" xfId="0" applyAlignment="1">
      <alignment wrapText="1"/>
    </xf>
    <xf numFmtId="3" fontId="5" fillId="0" borderId="0" xfId="0" applyNumberFormat="1" applyFont="1" applyAlignment="1">
      <alignment vertical="center" wrapText="1"/>
    </xf>
    <xf numFmtId="0" fontId="6" fillId="0" borderId="0" xfId="0" applyFont="1"/>
    <xf numFmtId="0" fontId="2" fillId="0" borderId="2" xfId="0" applyFont="1" applyBorder="1"/>
    <xf numFmtId="0" fontId="4" fillId="0" borderId="0" xfId="1" applyAlignment="1" applyProtection="1">
      <alignment wrapText="1"/>
    </xf>
    <xf numFmtId="4" fontId="5" fillId="0" borderId="0" xfId="0" applyNumberFormat="1" applyFont="1" applyAlignment="1">
      <alignment vertical="center"/>
    </xf>
    <xf numFmtId="0" fontId="7" fillId="0" borderId="3" xfId="0" applyFont="1" applyBorder="1" applyAlignment="1">
      <alignment horizontal="center" vertical="top" wrapText="1"/>
    </xf>
    <xf numFmtId="0" fontId="8" fillId="0" borderId="3"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6"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2" fillId="0" borderId="6" xfId="0" applyFont="1" applyBorder="1" applyAlignment="1">
      <alignment horizontal="center" vertical="center"/>
    </xf>
    <xf numFmtId="43" fontId="0" fillId="0" borderId="0" xfId="0" applyNumberFormat="1" applyAlignment="1">
      <alignment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6B3FE-63F1-4ABB-BDAB-E2B734222183}">
  <dimension ref="A1:V15"/>
  <sheetViews>
    <sheetView zoomScale="70" zoomScaleNormal="70" workbookViewId="0">
      <selection activeCell="C2" sqref="C2"/>
    </sheetView>
  </sheetViews>
  <sheetFormatPr defaultColWidth="8.85546875" defaultRowHeight="15"/>
  <cols>
    <col min="1" max="1" width="15.7109375" style="3" customWidth="1"/>
    <col min="2" max="3" width="41.7109375" style="3" customWidth="1"/>
    <col min="4" max="4" width="23.85546875" style="6" customWidth="1"/>
    <col min="5" max="5" width="28.5703125" style="3" customWidth="1"/>
    <col min="6" max="6" width="35" style="2" customWidth="1"/>
    <col min="7" max="7" width="19.85546875" style="4" customWidth="1"/>
    <col min="8" max="8" width="21.5703125" style="2" customWidth="1"/>
    <col min="9" max="9" width="65.140625" style="2" customWidth="1"/>
    <col min="10" max="10" width="9.140625" style="3"/>
    <col min="11" max="11" width="17.5703125" style="3" customWidth="1"/>
    <col min="12" max="12" width="19.140625" style="3" customWidth="1"/>
    <col min="13" max="13" width="16.85546875" style="3" customWidth="1"/>
    <col min="14" max="14" width="16.28515625" style="3" customWidth="1"/>
    <col min="15" max="15" width="15.7109375" style="3" customWidth="1"/>
    <col min="16" max="16" width="14.7109375" style="3" customWidth="1"/>
    <col min="17" max="17" width="21.7109375" style="3" customWidth="1"/>
    <col min="18" max="18" width="18.42578125" style="3" customWidth="1"/>
    <col min="19" max="19" width="23" style="3" customWidth="1"/>
    <col min="20" max="20" width="17.28515625" style="3" customWidth="1"/>
    <col min="21" max="21" width="9.140625" style="3"/>
    <col min="22" max="22" width="19.85546875" style="3" customWidth="1"/>
    <col min="23" max="16384" width="8.85546875" style="3"/>
  </cols>
  <sheetData>
    <row r="1" spans="1:22" ht="19.5" customHeight="1">
      <c r="A1" s="1" t="s">
        <v>0</v>
      </c>
      <c r="B1" s="1" t="s">
        <v>1</v>
      </c>
      <c r="C1" s="1" t="s">
        <v>2</v>
      </c>
      <c r="D1" s="1" t="s">
        <v>3</v>
      </c>
      <c r="E1" s="1" t="s">
        <v>4</v>
      </c>
      <c r="F1" s="1" t="s">
        <v>5</v>
      </c>
      <c r="G1" s="1" t="s">
        <v>6</v>
      </c>
      <c r="H1" s="1" t="s">
        <v>7</v>
      </c>
      <c r="I1" s="1" t="s">
        <v>8</v>
      </c>
      <c r="J1" s="25" t="s">
        <v>9</v>
      </c>
      <c r="K1" s="38" t="s">
        <v>10</v>
      </c>
      <c r="L1" s="30" t="s">
        <v>11</v>
      </c>
      <c r="M1" s="31" t="s">
        <v>12</v>
      </c>
      <c r="N1" s="30" t="s">
        <v>13</v>
      </c>
      <c r="O1" s="30" t="s">
        <v>14</v>
      </c>
      <c r="P1" s="31" t="s">
        <v>15</v>
      </c>
      <c r="Q1" s="31" t="s">
        <v>16</v>
      </c>
      <c r="R1" s="32" t="s">
        <v>17</v>
      </c>
      <c r="S1" s="33" t="s">
        <v>18</v>
      </c>
      <c r="T1" s="33" t="s">
        <v>19</v>
      </c>
      <c r="U1" s="32" t="s">
        <v>20</v>
      </c>
      <c r="V1" s="33" t="s">
        <v>21</v>
      </c>
    </row>
    <row r="2" spans="1:22" ht="243.75" customHeight="1">
      <c r="A2">
        <v>1001800</v>
      </c>
      <c r="B2" s="22" t="s">
        <v>22</v>
      </c>
      <c r="C2" s="26"/>
      <c r="D2" s="39" t="s">
        <v>23</v>
      </c>
      <c r="E2" s="8" t="s">
        <v>24</v>
      </c>
      <c r="F2" s="10"/>
      <c r="G2" s="8">
        <v>0</v>
      </c>
      <c r="H2" s="10">
        <v>250000</v>
      </c>
      <c r="I2" s="10" t="s">
        <v>25</v>
      </c>
      <c r="J2" s="3" t="s">
        <v>26</v>
      </c>
      <c r="K2" s="3">
        <v>51</v>
      </c>
      <c r="L2" s="34" t="s">
        <v>27</v>
      </c>
      <c r="M2" s="35" t="s">
        <v>28</v>
      </c>
      <c r="N2" s="36" t="s">
        <v>29</v>
      </c>
      <c r="O2" s="35" t="s">
        <v>24</v>
      </c>
      <c r="P2" s="35"/>
      <c r="Q2" s="35" t="s">
        <v>30</v>
      </c>
      <c r="R2" s="35" t="s">
        <v>31</v>
      </c>
      <c r="S2" s="37" t="s">
        <v>32</v>
      </c>
      <c r="T2" s="37" t="s">
        <v>33</v>
      </c>
      <c r="U2" s="35" t="s">
        <v>34</v>
      </c>
      <c r="V2" s="37"/>
    </row>
    <row r="3" spans="1:22" ht="243.75" customHeight="1">
      <c r="A3"/>
      <c r="B3" s="22"/>
      <c r="C3" s="26"/>
      <c r="D3" s="39"/>
      <c r="E3" s="8" t="s">
        <v>35</v>
      </c>
      <c r="F3" s="10"/>
      <c r="G3" s="8"/>
      <c r="H3" s="10">
        <v>9000</v>
      </c>
      <c r="I3" s="8" t="s">
        <v>36</v>
      </c>
      <c r="L3" s="34"/>
      <c r="M3" s="35"/>
      <c r="N3" s="36"/>
      <c r="O3" s="35"/>
      <c r="P3" s="35"/>
      <c r="Q3" s="35"/>
      <c r="R3" s="35"/>
      <c r="S3" s="37"/>
      <c r="T3" s="37"/>
      <c r="U3" s="35"/>
      <c r="V3" s="37"/>
    </row>
    <row r="4" spans="1:22" s="5" customFormat="1" ht="57.75" customHeight="1">
      <c r="A4"/>
      <c r="B4" s="22" t="s">
        <v>37</v>
      </c>
      <c r="C4" s="12"/>
      <c r="D4" s="7" t="s">
        <v>38</v>
      </c>
      <c r="E4" s="8" t="s">
        <v>39</v>
      </c>
      <c r="F4" s="9"/>
      <c r="G4" s="9">
        <v>0</v>
      </c>
      <c r="H4" s="10">
        <v>12</v>
      </c>
      <c r="I4" s="10" t="s">
        <v>40</v>
      </c>
      <c r="J4" s="5" t="s">
        <v>41</v>
      </c>
      <c r="L4" s="34" t="s">
        <v>42</v>
      </c>
      <c r="M4" s="35" t="s">
        <v>28</v>
      </c>
      <c r="N4" s="36" t="s">
        <v>43</v>
      </c>
      <c r="O4" s="35" t="s">
        <v>24</v>
      </c>
      <c r="P4" s="35"/>
      <c r="Q4" s="35" t="s">
        <v>30</v>
      </c>
      <c r="R4" s="35" t="s">
        <v>44</v>
      </c>
      <c r="S4" s="37" t="s">
        <v>32</v>
      </c>
      <c r="T4" s="37" t="s">
        <v>45</v>
      </c>
      <c r="U4" s="35" t="s">
        <v>34</v>
      </c>
      <c r="V4" s="37"/>
    </row>
    <row r="5" spans="1:22">
      <c r="A5"/>
      <c r="B5" s="22"/>
      <c r="C5"/>
      <c r="D5" s="7"/>
      <c r="E5"/>
      <c r="F5" s="20"/>
      <c r="G5" s="20"/>
      <c r="H5" s="23"/>
      <c r="I5" s="20"/>
    </row>
    <row r="6" spans="1:22">
      <c r="A6" s="24"/>
      <c r="B6"/>
      <c r="C6"/>
      <c r="D6" s="7"/>
      <c r="E6"/>
      <c r="F6" s="20"/>
      <c r="G6" s="20"/>
      <c r="H6" s="20"/>
      <c r="I6" s="20"/>
    </row>
    <row r="7" spans="1:22">
      <c r="A7"/>
      <c r="B7"/>
      <c r="C7"/>
      <c r="D7" s="7"/>
      <c r="E7"/>
      <c r="F7" s="20"/>
      <c r="G7" s="20"/>
      <c r="H7" s="20"/>
      <c r="I7" s="20"/>
    </row>
    <row r="8" spans="1:22">
      <c r="A8" s="13"/>
      <c r="B8" s="14"/>
      <c r="C8" s="15"/>
      <c r="D8" s="16"/>
      <c r="E8" s="14"/>
      <c r="F8" s="17"/>
      <c r="G8" s="13"/>
      <c r="H8" s="13"/>
      <c r="I8" s="18"/>
    </row>
    <row r="9" spans="1:22">
      <c r="A9" s="13"/>
      <c r="B9" s="14"/>
      <c r="C9" s="15"/>
      <c r="D9" s="16"/>
      <c r="E9" s="19"/>
      <c r="F9" s="20"/>
      <c r="G9" s="19"/>
      <c r="H9" s="19"/>
      <c r="I9" s="18"/>
    </row>
    <row r="10" spans="1:22">
      <c r="A10" s="13"/>
      <c r="B10" s="14"/>
      <c r="C10" s="15"/>
      <c r="D10" s="16"/>
      <c r="E10" s="19"/>
      <c r="F10" s="20"/>
      <c r="G10" s="19"/>
      <c r="H10" s="19"/>
    </row>
    <row r="11" spans="1:22">
      <c r="A11" s="19"/>
      <c r="B11" s="19"/>
      <c r="C11" s="21"/>
      <c r="D11" s="27"/>
      <c r="E11" s="19"/>
      <c r="F11" s="20"/>
      <c r="G11" s="19"/>
      <c r="H11" s="19"/>
      <c r="I11" s="18"/>
    </row>
    <row r="15" spans="1:22">
      <c r="B15" s="11"/>
    </row>
  </sheetData>
  <dataValidations count="10">
    <dataValidation type="list" allowBlank="1" showInputMessage="1" showErrorMessage="1" sqref="T2:T4" xr:uid="{0B38B0F5-A547-4C6E-8C42-1DA35579C694}">
      <formula1>"Solar, Wind, Bioenergy, Hydro, Geothermal, Waste, Other, Unknown"</formula1>
    </dataValidation>
    <dataValidation type="list" allowBlank="1" showInputMessage="1" showErrorMessage="1" sqref="P2:P4" xr:uid="{C8C93671-E889-4A07-9E24-9C0A7894755C}">
      <formula1>"AMP, PUDC, Solar4Health, Action Opportunities, Italy UNDP Energy Partnership"</formula1>
    </dataValidation>
    <dataValidation type="list" allowBlank="1" showInputMessage="1" showErrorMessage="1" sqref="S2:S4" xr:uid="{92E926BF-814A-4877-9FE8-9F05018C09D1}">
      <formula1>"Energy Access, Energy Transition"</formula1>
    </dataValidation>
    <dataValidation type="list" allowBlank="1" showInputMessage="1" showErrorMessage="1" sqref="U2:U4" xr:uid="{9A5EFEB6-0194-46DF-8F9F-43E0FC1EB057}">
      <formula1>"National, Regional, City, Community"</formula1>
    </dataValidation>
    <dataValidation type="list" allowBlank="1" showInputMessage="1" showErrorMessage="1" sqref="M2:M4" xr:uid="{E4106A13-3FD7-4187-BFAE-B7FE9F784AE2}">
      <formula1>"Finance, Gender, Efficiency, Just, Health"</formula1>
    </dataValidation>
    <dataValidation type="list" allowBlank="1" showInputMessage="1" showErrorMessage="1" sqref="L2:L4" xr:uid="{CAD4EE88-C436-4DE8-AAEC-E54237C5BE39}">
      <formula1>"Non-VF, VF"</formula1>
    </dataValidation>
    <dataValidation type="list" allowBlank="1" showInputMessage="1" showErrorMessage="1" sqref="O2:O4" xr:uid="{6C578394-E46D-48C1-94A8-141D4F856459}">
      <formula1>"Electricity Access, Energy Efficiency, Clean Cooking, Renewable Energy, Overall"</formula1>
    </dataValidation>
    <dataValidation type="list" allowBlank="1" showInputMessage="1" showErrorMessage="1" sqref="N2:N4" xr:uid="{5D112F6F-C199-4DB0-B40B-038F12E834B1}">
      <formula1>"Accelerating just energy transition, Close the gap on energy access, Scale up energy finance"</formula1>
    </dataValidation>
    <dataValidation type="list" allowBlank="1" showInputMessage="1" showErrorMessage="1" sqref="Q2:Q4" xr:uid="{6606D19F-7AF2-427A-90A6-4A28DCA4CBB6}">
      <formula1>"NDC Support, National Strategy, Legal Framework,Incentives and Support, Government Capacity-Building, Carbon Pricing and Monitoring, Financing Model, Business Model"</formula1>
    </dataValidation>
    <dataValidation type="list" allowBlank="1" showInputMessage="1" showErrorMessage="1" sqref="R2:R4" xr:uid="{5BB0626B-4471-4A10-9594-D268C6B11690}">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24DABE5-8170-40C7-8483-5DAC92DAA039}">
          <x14:formula1>
            <xm:f>'Beneficiary Categories'!$A$2:$A$22</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
  <sheetViews>
    <sheetView topLeftCell="C1" zoomScale="70" zoomScaleNormal="70" workbookViewId="0">
      <selection activeCell="H2" sqref="F2:H2"/>
    </sheetView>
  </sheetViews>
  <sheetFormatPr defaultColWidth="8.85546875" defaultRowHeight="14.45"/>
  <cols>
    <col min="1" max="1" width="15.7109375" style="3" customWidth="1"/>
    <col min="2" max="3" width="41.7109375" style="3" customWidth="1"/>
    <col min="4" max="4" width="23.85546875" style="6" customWidth="1"/>
    <col min="5" max="5" width="28.5703125" style="3" customWidth="1"/>
    <col min="6" max="6" width="35" style="2" customWidth="1"/>
    <col min="7" max="7" width="19.85546875" style="4" customWidth="1"/>
    <col min="8" max="8" width="21.5703125" style="2" customWidth="1"/>
    <col min="9" max="9" width="65.140625" style="2" customWidth="1"/>
    <col min="10" max="10" width="8.85546875" style="3"/>
    <col min="11" max="11" width="17.5703125" style="3" customWidth="1"/>
    <col min="12" max="12" width="19.140625" style="3" customWidth="1"/>
    <col min="13" max="13" width="16.85546875" style="3" customWidth="1"/>
    <col min="14" max="14" width="16.28515625" style="3" customWidth="1"/>
    <col min="15" max="15" width="15.7109375" style="3" customWidth="1"/>
    <col min="16" max="16" width="14.7109375" style="3" customWidth="1"/>
    <col min="17" max="17" width="21.7109375" style="3" customWidth="1"/>
    <col min="18" max="18" width="18.42578125" style="3" customWidth="1"/>
    <col min="19" max="19" width="23" style="3" customWidth="1"/>
    <col min="20" max="20" width="17.28515625" style="3" customWidth="1"/>
    <col min="21" max="21" width="8.85546875" style="3"/>
    <col min="22" max="22" width="19.85546875" style="3" customWidth="1"/>
    <col min="23" max="16384" width="8.85546875" style="3"/>
  </cols>
  <sheetData>
    <row r="1" spans="1:22" ht="19.5" customHeight="1">
      <c r="A1" s="1" t="s">
        <v>0</v>
      </c>
      <c r="B1" s="1" t="s">
        <v>1</v>
      </c>
      <c r="C1" s="1" t="s">
        <v>2</v>
      </c>
      <c r="D1" s="1" t="s">
        <v>3</v>
      </c>
      <c r="E1" s="1" t="s">
        <v>4</v>
      </c>
      <c r="F1" s="1" t="s">
        <v>5</v>
      </c>
      <c r="G1" s="1" t="s">
        <v>6</v>
      </c>
      <c r="H1" s="1" t="s">
        <v>7</v>
      </c>
      <c r="I1" s="1" t="s">
        <v>8</v>
      </c>
      <c r="J1" s="25" t="s">
        <v>9</v>
      </c>
      <c r="K1" s="38" t="s">
        <v>10</v>
      </c>
      <c r="L1" s="30" t="s">
        <v>11</v>
      </c>
      <c r="M1" s="31" t="s">
        <v>12</v>
      </c>
      <c r="N1" s="30" t="s">
        <v>13</v>
      </c>
      <c r="O1" s="30" t="s">
        <v>14</v>
      </c>
      <c r="P1" s="31" t="s">
        <v>15</v>
      </c>
      <c r="Q1" s="31" t="s">
        <v>16</v>
      </c>
      <c r="R1" s="32" t="s">
        <v>17</v>
      </c>
      <c r="S1" s="33" t="s">
        <v>18</v>
      </c>
      <c r="T1" s="33" t="s">
        <v>19</v>
      </c>
      <c r="U1" s="32" t="s">
        <v>20</v>
      </c>
      <c r="V1" s="33" t="s">
        <v>21</v>
      </c>
    </row>
    <row r="2" spans="1:22" ht="243.75" customHeight="1">
      <c r="A2">
        <v>1001800</v>
      </c>
      <c r="B2" s="22" t="s">
        <v>22</v>
      </c>
      <c r="C2" s="26"/>
      <c r="D2" s="39" t="s">
        <v>23</v>
      </c>
      <c r="E2" s="8" t="s">
        <v>24</v>
      </c>
      <c r="F2" s="10" t="s">
        <v>46</v>
      </c>
      <c r="G2" s="8">
        <v>0</v>
      </c>
      <c r="H2" s="10" t="s">
        <v>47</v>
      </c>
      <c r="I2" s="8"/>
      <c r="J2" s="3" t="s">
        <v>26</v>
      </c>
      <c r="L2" s="34" t="s">
        <v>27</v>
      </c>
      <c r="M2" s="35" t="s">
        <v>28</v>
      </c>
      <c r="N2" s="36" t="s">
        <v>29</v>
      </c>
      <c r="O2" s="35" t="s">
        <v>24</v>
      </c>
      <c r="P2" s="35"/>
      <c r="Q2" s="35" t="s">
        <v>30</v>
      </c>
      <c r="R2" s="35" t="s">
        <v>31</v>
      </c>
      <c r="S2" s="37" t="s">
        <v>32</v>
      </c>
      <c r="T2" s="37" t="s">
        <v>33</v>
      </c>
      <c r="U2" s="35" t="s">
        <v>34</v>
      </c>
      <c r="V2" s="37"/>
    </row>
    <row r="3" spans="1:22" s="5" customFormat="1" ht="57.75" customHeight="1">
      <c r="A3"/>
      <c r="B3" s="22" t="s">
        <v>37</v>
      </c>
      <c r="C3" s="12"/>
      <c r="D3" s="7" t="s">
        <v>38</v>
      </c>
      <c r="E3" s="8" t="s">
        <v>39</v>
      </c>
      <c r="F3" s="9"/>
      <c r="G3" s="9">
        <v>0</v>
      </c>
      <c r="H3" s="10" t="s">
        <v>48</v>
      </c>
      <c r="I3" s="10" t="s">
        <v>40</v>
      </c>
      <c r="J3" s="5" t="s">
        <v>41</v>
      </c>
      <c r="L3" s="34" t="s">
        <v>42</v>
      </c>
      <c r="M3" s="35" t="s">
        <v>28</v>
      </c>
      <c r="N3" s="36" t="s">
        <v>43</v>
      </c>
      <c r="O3" s="35" t="s">
        <v>24</v>
      </c>
      <c r="P3" s="35"/>
      <c r="Q3" s="35" t="s">
        <v>30</v>
      </c>
      <c r="R3" s="35" t="s">
        <v>44</v>
      </c>
      <c r="S3" s="37" t="s">
        <v>32</v>
      </c>
      <c r="T3" s="37" t="s">
        <v>45</v>
      </c>
      <c r="U3" s="35" t="s">
        <v>34</v>
      </c>
      <c r="V3" s="37"/>
    </row>
    <row r="4" spans="1:22" ht="15">
      <c r="A4"/>
      <c r="B4" s="22"/>
      <c r="C4"/>
      <c r="D4" s="7"/>
      <c r="E4"/>
      <c r="F4" s="20"/>
      <c r="G4" s="20"/>
      <c r="H4" s="23"/>
      <c r="I4" s="20"/>
    </row>
    <row r="5" spans="1:22" ht="15">
      <c r="A5" s="24"/>
      <c r="B5"/>
      <c r="C5"/>
      <c r="D5" s="7"/>
      <c r="E5"/>
      <c r="F5" s="20"/>
      <c r="G5" s="20"/>
      <c r="H5" s="20"/>
      <c r="I5" s="20"/>
    </row>
    <row r="6" spans="1:22" ht="15">
      <c r="A6"/>
      <c r="B6"/>
      <c r="C6"/>
      <c r="D6" s="7"/>
      <c r="E6"/>
      <c r="F6" s="20"/>
      <c r="G6" s="20"/>
      <c r="H6" s="20"/>
      <c r="I6" s="20"/>
    </row>
    <row r="7" spans="1:22" ht="15">
      <c r="A7" s="13"/>
      <c r="B7" s="14"/>
      <c r="C7" s="15"/>
      <c r="D7" s="16"/>
      <c r="E7" s="14"/>
      <c r="F7" s="17"/>
      <c r="G7" s="13"/>
      <c r="H7" s="13"/>
      <c r="I7" s="18"/>
    </row>
    <row r="8" spans="1:22" ht="15">
      <c r="A8" s="13"/>
      <c r="B8" s="14"/>
      <c r="C8" s="15"/>
      <c r="D8" s="16"/>
      <c r="E8" s="19"/>
      <c r="F8" s="20"/>
      <c r="G8" s="19"/>
      <c r="H8" s="19"/>
      <c r="I8" s="18"/>
    </row>
    <row r="9" spans="1:22" ht="15">
      <c r="A9" s="13"/>
      <c r="B9" s="14"/>
      <c r="C9" s="15"/>
      <c r="D9" s="16"/>
      <c r="E9" s="19"/>
      <c r="F9" s="20"/>
      <c r="G9" s="19"/>
      <c r="H9" s="19"/>
    </row>
    <row r="10" spans="1:22" ht="15">
      <c r="A10" s="19"/>
      <c r="B10" s="19"/>
      <c r="C10" s="21"/>
      <c r="D10" s="27"/>
      <c r="E10" s="19"/>
      <c r="F10" s="20"/>
      <c r="G10" s="19"/>
      <c r="H10" s="19"/>
      <c r="I10" s="18"/>
    </row>
    <row r="14" spans="1:22" ht="15">
      <c r="B14" s="11"/>
    </row>
  </sheetData>
  <dataValidations count="10">
    <dataValidation type="list" allowBlank="1" showInputMessage="1" showErrorMessage="1" sqref="R2:R3" xr:uid="{49E29790-2D40-4C60-8229-DF1B79EA5A3A}">
      <formula1>"Electricity Access, Energy Efficiency, Renewable EnergyEnergy Infrastructure,   Transport, Digital &amp; Data, Clean Cooking, Decarbonization, Hydrogen, Off-Grid, On-Grid"</formula1>
    </dataValidation>
    <dataValidation type="list" allowBlank="1" showInputMessage="1" showErrorMessage="1" sqref="Q2:Q3" xr:uid="{D41C370F-2D0B-4C1C-8FBB-D82CAF94D377}">
      <formula1>"NDC Support, National Strategy, Legal Framework,Incentives and Support, Government Capacity-Building, Carbon Pricing and Monitoring, Financing Model, Business Model"</formula1>
    </dataValidation>
    <dataValidation type="list" allowBlank="1" showInputMessage="1" showErrorMessage="1" sqref="N2:N3" xr:uid="{BF59E279-EAF6-4922-86B7-B3A4453A359F}">
      <formula1>"Accelerating just energy transition, Close the gap on energy access, Scale up energy finance"</formula1>
    </dataValidation>
    <dataValidation type="list" allowBlank="1" showInputMessage="1" showErrorMessage="1" sqref="O2:O3" xr:uid="{17A4F46C-7A6D-4D44-A184-6C3FF6DBE611}">
      <formula1>"Electricity Access, Energy Efficiency, Clean Cooking, Renewable Energy, Overall"</formula1>
    </dataValidation>
    <dataValidation type="list" allowBlank="1" showInputMessage="1" showErrorMessage="1" sqref="L2:L3" xr:uid="{FC62C4C5-95D6-4AFB-9973-020ADCA444D3}">
      <formula1>"Non-VF, VF"</formula1>
    </dataValidation>
    <dataValidation type="list" allowBlank="1" showInputMessage="1" showErrorMessage="1" sqref="M2:M3" xr:uid="{C469EED3-1307-4BC2-B603-22B06AA01C9F}">
      <formula1>"Finance, Gender, Efficiency, Just, Health"</formula1>
    </dataValidation>
    <dataValidation type="list" allowBlank="1" showInputMessage="1" showErrorMessage="1" sqref="U2:U3" xr:uid="{DE714528-8EAB-43D8-953F-293AEAC1224B}">
      <formula1>"National, Regional, City, Community"</formula1>
    </dataValidation>
    <dataValidation type="list" allowBlank="1" showInputMessage="1" showErrorMessage="1" sqref="S2:S3" xr:uid="{610B2B58-663B-465C-85F2-A8EC803C1A13}">
      <formula1>"Energy Access, Energy Transition"</formula1>
    </dataValidation>
    <dataValidation type="list" allowBlank="1" showInputMessage="1" showErrorMessage="1" sqref="P2:P3" xr:uid="{A63EA754-F019-45FC-8E0B-4551E9312835}">
      <formula1>"AMP, PUDC, Solar4Health, Action Opportunities, Italy UNDP Energy Partnership"</formula1>
    </dataValidation>
    <dataValidation type="list" allowBlank="1" showInputMessage="1" showErrorMessage="1" sqref="T2:T3" xr:uid="{DF12ECB8-766F-4C23-8F65-CA5A6CDB1385}">
      <formula1>"Solar, Wind, Bioenergy, Hydro, Geothermal, Waste,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Categories'!$A$2:$A$22</xm:f>
          </x14:formula1>
          <xm:sqref>E2:E3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ColWidth="8.85546875" defaultRowHeight="15" customHeight="1"/>
  <cols>
    <col min="1" max="1" width="30.42578125" customWidth="1"/>
    <col min="2" max="2" width="96" customWidth="1"/>
  </cols>
  <sheetData>
    <row r="1" spans="1:2">
      <c r="A1" s="28" t="s">
        <v>4</v>
      </c>
      <c r="B1" s="28" t="s">
        <v>5</v>
      </c>
    </row>
    <row r="2" spans="1:2" ht="30.75">
      <c r="A2" s="40" t="s">
        <v>24</v>
      </c>
      <c r="B2" s="29" t="s">
        <v>49</v>
      </c>
    </row>
    <row r="3" spans="1:2">
      <c r="A3" s="40" t="s">
        <v>39</v>
      </c>
      <c r="B3" s="29" t="s">
        <v>50</v>
      </c>
    </row>
    <row r="4" spans="1:2" ht="30.75">
      <c r="A4" s="40" t="s">
        <v>51</v>
      </c>
      <c r="B4" s="29" t="s">
        <v>52</v>
      </c>
    </row>
    <row r="5" spans="1:2">
      <c r="A5" s="40" t="s">
        <v>53</v>
      </c>
      <c r="B5" s="29" t="s">
        <v>54</v>
      </c>
    </row>
    <row r="6" spans="1:2" ht="45.75">
      <c r="A6" s="40" t="s">
        <v>55</v>
      </c>
      <c r="B6" s="29" t="s">
        <v>56</v>
      </c>
    </row>
    <row r="7" spans="1:2" ht="30.75">
      <c r="A7" s="40" t="s">
        <v>57</v>
      </c>
      <c r="B7" s="29" t="s">
        <v>58</v>
      </c>
    </row>
    <row r="8" spans="1:2" ht="30.75">
      <c r="A8" s="40" t="s">
        <v>59</v>
      </c>
      <c r="B8" s="29" t="s">
        <v>60</v>
      </c>
    </row>
    <row r="9" spans="1:2" ht="30.75">
      <c r="A9" s="40" t="s">
        <v>35</v>
      </c>
      <c r="B9" s="29" t="s">
        <v>61</v>
      </c>
    </row>
    <row r="10" spans="1:2" ht="30.75">
      <c r="A10" s="40" t="s">
        <v>62</v>
      </c>
      <c r="B10" s="41" t="s">
        <v>63</v>
      </c>
    </row>
    <row r="11" spans="1:2">
      <c r="A11" s="40" t="s">
        <v>64</v>
      </c>
      <c r="B11" s="41" t="s">
        <v>65</v>
      </c>
    </row>
    <row r="12" spans="1:2" ht="30.75">
      <c r="A12" s="40" t="s">
        <v>66</v>
      </c>
      <c r="B12" s="29" t="s">
        <v>67</v>
      </c>
    </row>
    <row r="13" spans="1:2">
      <c r="A13" s="40" t="s">
        <v>68</v>
      </c>
      <c r="B13" s="41" t="s">
        <v>69</v>
      </c>
    </row>
    <row r="14" spans="1:2">
      <c r="A14" s="40" t="s">
        <v>70</v>
      </c>
      <c r="B14" s="41" t="s">
        <v>71</v>
      </c>
    </row>
    <row r="15" spans="1:2">
      <c r="A15" s="40" t="s">
        <v>72</v>
      </c>
      <c r="B15" s="41" t="s">
        <v>73</v>
      </c>
    </row>
    <row r="16" spans="1:2">
      <c r="A16" s="40" t="s">
        <v>74</v>
      </c>
      <c r="B16" s="41" t="s">
        <v>75</v>
      </c>
    </row>
    <row r="17" spans="1:2">
      <c r="A17" s="40" t="s">
        <v>76</v>
      </c>
      <c r="B17" s="29" t="s">
        <v>77</v>
      </c>
    </row>
    <row r="18" spans="1:2">
      <c r="A18" s="40" t="s">
        <v>78</v>
      </c>
      <c r="B18" s="41" t="s">
        <v>79</v>
      </c>
    </row>
    <row r="19" spans="1:2" ht="45.75">
      <c r="A19" s="40" t="s">
        <v>80</v>
      </c>
      <c r="B19" s="41" t="s">
        <v>81</v>
      </c>
    </row>
    <row r="20" spans="1:2">
      <c r="A20" s="40" t="s">
        <v>82</v>
      </c>
      <c r="B20" s="41" t="s">
        <v>83</v>
      </c>
    </row>
    <row r="21" spans="1:2" ht="30.75">
      <c r="A21" s="40" t="s">
        <v>20</v>
      </c>
      <c r="B21" s="42" t="s">
        <v>84</v>
      </c>
    </row>
    <row r="22" spans="1:2">
      <c r="A22" s="40" t="s">
        <v>33</v>
      </c>
      <c r="B22" s="41" t="s">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Nashida Sattar</DisplayName>
        <AccountId>2571</AccountId>
        <AccountType/>
      </UserInfo>
      <UserInfo>
        <DisplayName>Fungai Matura</DisplayName>
        <AccountId>1028</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EE5D676E-950A-41EB-AB82-6253829BFFBD}"/>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84AEDBCE-AE29-4AA3-A5BD-B932231712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2023-05-05T09:33:41Z</dcterms:created>
  <dcterms:modified xsi:type="dcterms:W3CDTF">2024-10-29T14:54:26Z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