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753" documentId="13_ncr:1_{F9E229CD-093B-4957-8526-AA7B64B04BE7}" xr6:coauthVersionLast="47" xr6:coauthVersionMax="47" xr10:uidLastSave="{763B6DAF-DF7C-402B-8A56-F53B0409DE42}"/>
  <bookViews>
    <workbookView xWindow="-120" yWindow="-120" windowWidth="20730" windowHeight="1104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4" l="1"/>
  <c r="H2" i="4"/>
  <c r="F7" i="4"/>
  <c r="E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tc={33AAE0C7-20DB-431D-B68F-2AE92B1E54FA}</author>
    <author>tc={19BDA1B9-E07E-4FD8-9A58-298F2E5F5765}</author>
    <author>tc={59D014D4-747A-4DE4-96E6-5AA8FEA984BB}</author>
    <author>tc={E1032D12-67C6-4765-8703-4600D0039D02}</author>
  </authors>
  <commentList>
    <comment ref="H4" authorId="0" shapeId="0" xr:uid="{33AAE0C7-20DB-431D-B68F-2AE92B1E54FA}">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A5" authorId="1" shapeId="0" xr:uid="{19BDA1B9-E07E-4FD8-9A58-298F2E5F5765}">
      <text>
        <t>[Threaded comment]
Your version of Excel allows you to read this threaded comment; however, any edits to it will get removed if the file is opened in a newer version of Excel. Learn more: https://go.microsoft.com/fwlink/?linkid=870924
Comment:
    There is no such ID on the website</t>
      </text>
    </comment>
    <comment ref="H15" authorId="2" shapeId="0" xr:uid="{59D014D4-747A-4DE4-96E6-5AA8FEA984BB}">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A19" authorId="3" shapeId="0" xr:uid="{E1032D12-67C6-4765-8703-4600D0039D02}">
      <text>
        <t>[Threaded comment]
Your version of Excel allows you to read this threaded comment; however, any edits to it will get removed if the file is opened in a newer version of Excel. Learn more: https://go.microsoft.com/fwlink/?linkid=870924
Comment:
    This ID on the website is different</t>
      </text>
    </comment>
  </commentList>
</comments>
</file>

<file path=xl/sharedStrings.xml><?xml version="1.0" encoding="utf-8"?>
<sst xmlns="http://schemas.openxmlformats.org/spreadsheetml/2006/main" count="545" uniqueCount="256">
  <si>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</si>
  <si>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</si>
  <si>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</si>
  <si>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</si>
  <si>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</si>
  <si>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</si>
  <si>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</si>
  <si>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</si>
  <si>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</si>
  <si>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</si>
  <si>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</si>
  <si>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</si>
  <si>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</si>
  <si>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</si>
  <si>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</si>
  <si>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</si>
  <si>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</si>
  <si>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</si>
  <si>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</si>
  <si>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</si>
  <si>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</si>
  <si>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117898</t>
  </si>
  <si>
    <t>Promoting Energy-Related Low Carbon Urban Development in Bangladesh (LCUD)</t>
  </si>
  <si>
    <t>https://open.undp.org/projects/00117898</t>
  </si>
  <si>
    <t>Energy (MW added)</t>
  </si>
  <si>
    <r>
      <rPr>
        <sz val="11"/>
        <color rgb="FF000000"/>
        <rFont val="Calibri"/>
        <scheme val="minor"/>
      </rPr>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t>
    </r>
    <r>
      <rPr>
        <sz val="11"/>
        <color rgb="FFFF0000"/>
        <rFont val="Calibri"/>
        <scheme val="minor"/>
      </rPr>
      <t>About 600 Kw of energy generation is expecte</t>
    </r>
    <r>
      <rPr>
        <sz val="11"/>
        <color rgb="FF000000"/>
        <rFont val="Calibri"/>
        <scheme val="minor"/>
      </rPr>
      <t xml:space="preserv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t>
    </r>
    <r>
      <rPr>
        <sz val="11"/>
        <color rgb="FFFF0000"/>
        <rFont val="Calibri"/>
        <scheme val="minor"/>
      </rPr>
      <t>Expected to generate 1MW of energy</t>
    </r>
  </si>
  <si>
    <t>GEF</t>
  </si>
  <si>
    <t>Non-VF</t>
  </si>
  <si>
    <t>Accelerating just energy transition</t>
  </si>
  <si>
    <t>Solar</t>
  </si>
  <si>
    <t>No. of low carbon policy, guideline and standard</t>
  </si>
  <si>
    <t xml:space="preserve">2 Policies/regulatory frameworks:               (1) GHG inventory system adopted in Dhaka &amp; Chittagong City  
(2) Dhaka &amp; Chittagong City have formulated investment plans for LCUD investments and measures
</t>
  </si>
  <si>
    <t>Renewable Energy</t>
  </si>
  <si>
    <t>National Strategy</t>
  </si>
  <si>
    <t>National</t>
  </si>
  <si>
    <t>GHG Emissions Reduction</t>
  </si>
  <si>
    <t>GHG Emission Reduction target in updated NDC</t>
  </si>
  <si>
    <t>1.57 M Ton CO2eq</t>
  </si>
  <si>
    <t>116395</t>
  </si>
  <si>
    <t xml:space="preserve">Bangladesh Enabling Electric Vehicles Adoption (BEEVA) in the Framework of Sustainable Energy-based Transportation </t>
  </si>
  <si>
    <t>Transportation and E-mobility Services</t>
  </si>
  <si>
    <t>Number of people benefiting from the development of EV ecosystem</t>
  </si>
  <si>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</si>
  <si>
    <t xml:space="preserve">GHG Emission Reduction target </t>
  </si>
  <si>
    <t>oo</t>
  </si>
  <si>
    <t>Capacity Building Training</t>
  </si>
  <si>
    <t>Number of people trained/educated/informed 
through technical transfers, dialogues, workshops, 
campaigns, and other efforts</t>
  </si>
  <si>
    <t>Adaptation Initiative for Climate Vulnerable Offshore Small Islands and Riverine Charland in Bangladesh</t>
  </si>
  <si>
    <t>https://open.undp.org/projects/00093848</t>
  </si>
  <si>
    <t>Nano-grid will cover 20-25 households
30 nano-grids with covering
300 to 450 households 
On comment column: It is expected that about 1MW energy will be generated</t>
  </si>
  <si>
    <t>Adaptation Fund</t>
  </si>
  <si>
    <t>Close the gap on energy access</t>
  </si>
  <si>
    <t>Agriculture and Food System</t>
  </si>
  <si>
    <t>Install solar irrigation pumps for community</t>
  </si>
  <si>
    <t>Install solar cold storage
Farmers and fishers are the users of the solar cold storage</t>
  </si>
  <si>
    <t>85984</t>
  </si>
  <si>
    <t>Local Government Initiative on Climate Change (LoGIC)</t>
  </si>
  <si>
    <t>https://open.undp.org/projects/00085984</t>
  </si>
  <si>
    <t>Renewable energy capacity installed (MW)</t>
  </si>
  <si>
    <t>NA</t>
  </si>
  <si>
    <t>59 community solar irrigation pumps implemented by Union Parishads
Total beneficieres are 400,000 vulnerable households. Main project componants are adaptive livelihood support, social protection service, support for solar home system.</t>
  </si>
  <si>
    <t>(EU-17.05m, SIDA-17.97m)</t>
  </si>
  <si>
    <t>Water Services</t>
  </si>
  <si>
    <t>Number of people benefiting from drinking water supply with electric solar powered motors</t>
  </si>
  <si>
    <t>54 community level drinking water supply with electric solar powered motors implemented by Union Parishads
Budget is updated
On comment column: About 325 household will be benefitted</t>
  </si>
  <si>
    <t>Renewable energy capacity installed</t>
  </si>
  <si>
    <t>7 community level rooftop solar home systems  implemented by Union Parishads
Budget is updated
On comment column: It is expected that about 350KW energy will be generated</t>
  </si>
  <si>
    <t>00110796(AC Unit) &amp; 00117012 (PMU)</t>
  </si>
  <si>
    <t>HCFC Phase-Out Management Plan (HPMP Stage-II) For Compliance with the 2020 and 2025 Control Targets Under the Montreal Protocol</t>
  </si>
  <si>
    <t>HPMP II (AC Unit); HPMP II (PMU)</t>
  </si>
  <si>
    <t>GHG emission reductions (ton CO2eq)</t>
  </si>
  <si>
    <t>1.73 M Ton CO2eq</t>
  </si>
  <si>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</si>
  <si>
    <t>MLF</t>
  </si>
  <si>
    <t>Other Energy Services</t>
  </si>
  <si>
    <t>Number of people benefiting from livelihoods strengthened through solutions for management of natural resources, ecosystem services, chemicals and waste.</t>
  </si>
  <si>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</si>
  <si>
    <t>Small Enterprises</t>
  </si>
  <si>
    <t>Number of small enterprises benefiting from the project</t>
  </si>
  <si>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</si>
  <si>
    <t xml:space="preserve">Number of individuals who participate in trainings for energy activities. </t>
  </si>
  <si>
    <t>The project has a comprehensive capacity development plan to capacitate 1220 individuals on new technology, policies and regulations implementation.</t>
  </si>
  <si>
    <t>134586</t>
  </si>
  <si>
    <t>Climate Promise: From Pledge to Impact</t>
  </si>
  <si>
    <t>Number of low carbon policy and strategy</t>
  </si>
  <si>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</si>
  <si>
    <t xml:space="preserve">Global project
Enhanced transparency framework and data transparency system for Paris agreement
Update emission reduction target for non-energy sector
National strategy and investment plan for achieving NET ZERO </t>
  </si>
  <si>
    <t>Government of Germany</t>
  </si>
  <si>
    <t>NDC Support</t>
  </si>
  <si>
    <t>Decarbonization</t>
  </si>
  <si>
    <t>Improved Cooking Stoves in CHT area (under A2I project)</t>
  </si>
  <si>
    <t>https://open.undp.org/projects/00093849</t>
  </si>
  <si>
    <t>Clean Cooking</t>
  </si>
  <si>
    <t>Number of households using improved cooking  stove</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</si>
  <si>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</si>
  <si>
    <t>Government of Bangladesh-50 million, Other donors (Gate Foundation, FB, Vital strategy, etc.): 9 million)</t>
  </si>
  <si>
    <t>Hydraulic Ramp Pump ( (under A2I project)</t>
  </si>
  <si>
    <t>% of people with restrictive access to household water in remote CHT areas</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</si>
  <si>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</si>
  <si>
    <t>Govt of Bangladesh-50 million, Other donors (Gate Foundation, FB, Vital strategy, etc.): 9 million)</t>
  </si>
  <si>
    <t>Energy and Environment RIC ( (under A2I project)</t>
  </si>
  <si>
    <t>Number of Research innovation centre in Bangladesh</t>
  </si>
  <si>
    <t>A2I is in the process of establishing an energy and environment RIC, that will be responsible to output innovative solutions to the energy ecosystem through research.</t>
  </si>
  <si>
    <t>Incentives and Support</t>
  </si>
  <si>
    <t>Research &amp; Innovation</t>
  </si>
  <si>
    <t>EV registration Policy Support to RTHD ( (under A2I project)</t>
  </si>
  <si>
    <t>Number of policy support provided relating to energy and environment</t>
  </si>
  <si>
    <t>A2I has been working with various goverrnment bodies to develop registration policies regarding the Energy and Environment sector.</t>
  </si>
  <si>
    <t>Overall</t>
  </si>
  <si>
    <t>Solar Powered Multimedia Classroom ( (under A2I project)</t>
  </si>
  <si>
    <t>Education Services</t>
  </si>
  <si>
    <t>No. of students that are using the Multimedia Classroom</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</si>
  <si>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</si>
  <si>
    <t>Bangladesh: First Biennial Update Report to the UNFCCC</t>
  </si>
  <si>
    <t>https://open.undp.org/projects/00105918</t>
  </si>
  <si>
    <t xml:space="preserve">1. GHG inventory for energy sector
2. Develop emission scenario until 2041
3. Identify mitigation optios and analyse domestic MRV
4. Update grid emission factors
5. Identify gaps and constraints, technical and financial need assesment and capacity building
</t>
  </si>
  <si>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</si>
  <si>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</si>
  <si>
    <t xml:space="preserve">Budget </t>
  </si>
  <si>
    <t>Category</t>
  </si>
  <si>
    <t>Comments</t>
  </si>
  <si>
    <t>00115022</t>
  </si>
  <si>
    <t>US$3767810</t>
  </si>
  <si>
    <t>2 waste to energy
3 rooftop PV (public)
10 rooftop PV (private)
6 energy effociency in buildings(public)
24 energy efficiency in buildings(private)</t>
  </si>
  <si>
    <t>No. of waste to energy facilities, rooftop PV, energy efficiency in building, etc</t>
  </si>
  <si>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t>
  </si>
  <si>
    <t>VF</t>
  </si>
  <si>
    <t>Expected to generate 1MW of energy</t>
  </si>
  <si>
    <t>Policy and Regulatory Frameworks</t>
  </si>
  <si>
    <t>GHG Emission Reduction</t>
  </si>
  <si>
    <t>00116395</t>
  </si>
  <si>
    <t>US$1788991</t>
  </si>
  <si>
    <t>Transport Services</t>
  </si>
  <si>
    <t xml:space="preserve">Installation of 4 Charging Station (EV Charger, 300-500 kW) for e-Buses; Installation of 3 Solar Hybrid (80 kW; 25 to 30 kW from Solar) for 2-3-4 Wheelers; </t>
  </si>
  <si>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</si>
  <si>
    <t>It is expected that 100,000 people will be benefitted</t>
  </si>
  <si>
    <t>Capacity Training</t>
  </si>
  <si>
    <t>100 persons will be trained on operation and maintenance of charging infrastructure (e-Buses and 2-3-wheeler station; 100 persons will be trained on environmentally sound and safe handling and recycling of batteries and verification</t>
  </si>
  <si>
    <t>US$9212322</t>
  </si>
  <si>
    <t xml:space="preserve">30 nano-grids with covering
300 to 450 households </t>
  </si>
  <si>
    <t>Number of nano-grids installed and operational.</t>
  </si>
  <si>
    <t>Nano-grid will cover 20-25 households</t>
  </si>
  <si>
    <t>It is expected that about 1MW energy will be generated</t>
  </si>
  <si>
    <t>Agricultural Services</t>
  </si>
  <si>
    <t xml:space="preserve">Hectares of agricultural land irrigated through solar irrigation pumps; </t>
  </si>
  <si>
    <t>Number of solar cold storage units installed and operational</t>
  </si>
  <si>
    <t>0093426</t>
  </si>
  <si>
    <t>Local Governmrnt Initiative on Climate Change (LoGIC)</t>
  </si>
  <si>
    <t>US$35.2 million;
(EU-17.05m, SIDA-17.97m)</t>
  </si>
  <si>
    <t>MW</t>
  </si>
  <si>
    <t>EU and SIDA</t>
  </si>
  <si>
    <t>US$7 million</t>
  </si>
  <si>
    <t>54 community level drinking water supply with electric solar powered motors implemented by Union Parishads
Budget is updated</t>
  </si>
  <si>
    <t>About 325 household will be benefitted</t>
  </si>
  <si>
    <t>US$1.3 million</t>
  </si>
  <si>
    <t>Electricity Access</t>
  </si>
  <si>
    <t>7 community level rooftop solar home systems  implemented by Union Parishads
Budget is updated</t>
  </si>
  <si>
    <t>It is expected that about 350KW energy will be generated</t>
  </si>
  <si>
    <t>US$5356014</t>
  </si>
  <si>
    <t>Consumption of ODS 47.22 ODP ton</t>
  </si>
  <si>
    <t xml:space="preserve">ODP ton </t>
  </si>
  <si>
    <t xml:space="preserve">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t>
  </si>
  <si>
    <t>US$5,356,014</t>
  </si>
  <si>
    <t>The HPMP Stage II project is supporting six private sector small enterprises namely Unitech Products (BD) Ltd., Elite Hi-Tech Industries Ltd., AC Bazar Industry, Supreme Air Conditioning, Cooling Point Engineering Services and Walton Hi-Tech Industries Ltd with a funding support of US$ 5,356,014.</t>
  </si>
  <si>
    <t xml:space="preserve">Six private companies are getting benefits from the project.The objective of this project is to phase out of 17.09 ODP tones (1,730,798 CO2-eq tons) from 5 air conditioning and 1 chiller manufacturing/assembler enterprises. </t>
  </si>
  <si>
    <t>00134586</t>
  </si>
  <si>
    <t>US$475000</t>
  </si>
  <si>
    <t>No. of low carbon policy and strategy</t>
  </si>
  <si>
    <t>German Govt</t>
  </si>
  <si>
    <t>US$150000</t>
  </si>
  <si>
    <t>15-25% of households using improved cooking stove</t>
  </si>
  <si>
    <t>% of households using improved cooking  stove</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</si>
  <si>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t>
  </si>
  <si>
    <t>Govt of Bangladesh-US$50 million, Other donors (Gate Foundation, FB, Vital strategy, etc.): US$9 million)</t>
  </si>
  <si>
    <t>About 5,000 Household got the benefits</t>
  </si>
  <si>
    <t>US$600000</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</si>
  <si>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t>
  </si>
  <si>
    <t>About 5000 farmers get benefits</t>
  </si>
  <si>
    <t>US$300000</t>
  </si>
  <si>
    <t>No. of Research innovation centre in Bangladesh</t>
  </si>
  <si>
    <t>US$160000</t>
  </si>
  <si>
    <t>US$1250000</t>
  </si>
  <si>
    <t>No. of schools that are using the Multimedia Classroom</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</si>
  <si>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t>
  </si>
  <si>
    <t>About 2000 students get benefits</t>
  </si>
  <si>
    <t>US$489000</t>
  </si>
  <si>
    <t>Budget (USD)</t>
  </si>
  <si>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t>
  </si>
  <si>
    <t>GHG emission reduction of 1.573 million tons of tCO2 (lifetime) resulting from EE, RE and W2E interventions (Direct) and 4.718 million tons of CO2 as consequential (indirect) emission reduction after the project’s end. About 600 Kw of energy generation is expected.</t>
  </si>
  <si>
    <t xml:space="preserve">1 Bangladesh Low-Carbon Cities Network established ; Database on energy performance on commercial building established at SREDA;BNBC revised with EE adopted </t>
  </si>
  <si>
    <t>GHG emission reduction of 1.573 million tons of tCO2 eqv (lifetime) resulting from EE, RE and W2E interventions (Direct)</t>
  </si>
  <si>
    <t xml:space="preserve">Installation of 4 Charging Station (EV Charger, 300-500 kW) for e-Buses; Installation of 3 Solar Hybrid (80 kW; 25 to 30 kW from Solar) for 2-3-4 Wheelers; Installation of recycling and disposal facility of waste lead-acid &amp; Li-ion battery </t>
  </si>
  <si>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t>
  </si>
  <si>
    <t>Total no. of project beneficiaries are 672,600 that includes passengers of e-bus, 2-3-4 wheelers, technicians, govt staffs, private sectors etc.</t>
  </si>
  <si>
    <t>Direct emission reduction (from piloted charging facilities for EV) of 15660 CO2eqv</t>
  </si>
  <si>
    <t>Other Energy Services; Capacity Training</t>
  </si>
  <si>
    <t>Market Development</t>
  </si>
  <si>
    <t>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</si>
  <si>
    <t>000 98085</t>
  </si>
  <si>
    <t>80 ha</t>
  </si>
  <si>
    <t>2 nos</t>
  </si>
  <si>
    <t>Install solar cold storage</t>
  </si>
  <si>
    <t>Farmers and fishers are the users of the solar cold storage</t>
  </si>
  <si>
    <t>35.2 million;
(EU-17.05m, SIDA-17.97m)</t>
  </si>
  <si>
    <t>1.12 MW</t>
  </si>
  <si>
    <t>59 community solar irrigation pumps implemented by Union Parishads</t>
  </si>
  <si>
    <t>Total beneficieres are 400,000 vulnerable households. Main project componants are adaptive livelihood support, social protection service, support for solar home system.</t>
  </si>
  <si>
    <t>7 million</t>
  </si>
  <si>
    <t>54 community level drinking water supply with electric solar powered motors implemented by Union Parishads</t>
  </si>
  <si>
    <t>Budget is updated</t>
  </si>
  <si>
    <t>1.3 million</t>
  </si>
  <si>
    <t>7 community level rooftop solar home systems  implemented by Union Parishads</t>
  </si>
  <si>
    <t>Access to other service (electric vehicles, industries efficiency etc.) - Access to clean/green technology</t>
  </si>
  <si>
    <t>17.09 ODP ton will be reduced by 2025</t>
  </si>
  <si>
    <t xml:space="preserve">Access to other service (electric vehicles, industries efficiency etc.) - No of people will be benefiting from livelihoods strengthened through solutions for management of natural resources, ecosystem services, chemicals and waste. </t>
  </si>
  <si>
    <t xml:space="preserve">  A total of 110,000 (women: 44,000, men: 66,000) people will be benefiting from livelihoods strengthened through solutions for management of natural resources, ecosystem services, chemicals and waste. </t>
  </si>
  <si>
    <t>US$ 5,356,014</t>
  </si>
  <si>
    <t>Funding support for the development of small enterprises in the energy transition market.</t>
  </si>
  <si>
    <t>US$ 5356014</t>
  </si>
  <si>
    <t xml:space="preserve">Enhanced transparency framework and data transparency system for Paris agreement
Update emission reduction target for non-energy sector
National strategy and investment plan for achieving NET ZERO </t>
  </si>
  <si>
    <t>Global project</t>
  </si>
  <si>
    <t>By 2025, we aim to support 15% of those 70% through our ramp pump.</t>
  </si>
  <si>
    <t>same as above</t>
  </si>
  <si>
    <t>1. GHG inventory until 2019 is prepared.
2. Emission Scenario until 2041 is prepared
3. Mitigation options and MRV updated
4. Draft Grid emission factor updated.
5. Gaps and constraints indentified</t>
  </si>
  <si>
    <t xml:space="preserve">BUR1 project is supporting government to prepare First Biennial Update Report. Through this project, country will get the updated energy circumstances, emission inventory until 2019 and emission scenario until 2041 from energy sector, updated MRV system and grid emission factor.   </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</si>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</sst>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18">
    <font>
      <sz val="11"/>
      <color theme="1"/>
      <name val="Calibri"/>
      <family val="2"/>
      <scheme val="minor"/>
    </font>
    <font>
      <sz val="11"/>
      <color theme="1"/>
      <name val="Calibri"/>
      <scheme val="minor"/>
    </font>
    <font>
      <b/>
      <sz val="11"/>
      <color theme="1"/>
      <name val="Calibri"/>
      <family val="2"/>
      <scheme val="minor"/>
    </font>
    <font>
      <sz val="11"/>
      <color rgb="FF000000"/>
      <name val="Arial"/>
      <family val="2"/>
    </font>
    <font>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
      <sz val="11"/>
      <color rgb="FFED7D31"/>
      <name val="Calibri"/>
      <family val="2"/>
      <scheme val="minor"/>
    </font>
    <font>
      <sz val="11"/>
      <color rgb="FFFF0000"/>
      <name val="Calibri"/>
      <family val="2"/>
      <scheme val="minor"/>
    </font>
    <font>
      <sz val="11"/>
      <name val="Calibri"/>
      <family val="2"/>
      <scheme val="minor"/>
    </font>
    <font>
      <b/>
      <sz val="11"/>
      <color rgb="FF000000"/>
      <name val="Calibri"/>
      <family val="2"/>
    </font>
    <font>
      <sz val="11"/>
      <color rgb="FF000000"/>
      <name val="Calibri"/>
      <charset val="1"/>
    </font>
    <font>
      <sz val="11"/>
      <color rgb="FFFF0000"/>
      <name val="Calibri"/>
      <family val="2"/>
    </font>
    <font>
      <sz val="11"/>
      <color rgb="FF000000"/>
      <name val="Calibri"/>
      <family val="2"/>
    </font>
    <font>
      <sz val="11"/>
      <color rgb="FF000000"/>
      <name val="Calibri"/>
      <scheme val="minor"/>
    </font>
    <font>
      <b/>
      <sz val="11"/>
      <color theme="1"/>
      <name val="Calibri"/>
      <scheme val="minor"/>
    </font>
    <font>
      <sz val="11"/>
      <color rgb="FFFF0000"/>
      <name val="Calibri"/>
      <scheme val="minor"/>
    </font>
  </fonts>
  <fills count="6">
    <fill>
      <patternFill patternType="none"/>
    </fill>
    <fill>
      <patternFill patternType="gray125"/>
    </fill>
    <fill>
      <patternFill patternType="solid">
        <fgColor theme="9" tint="0.59999389629810485"/>
        <bgColor indexed="64"/>
      </patternFill>
    </fill>
    <fill>
      <patternFill patternType="solid">
        <fgColor rgb="FFFCD5B4"/>
        <bgColor rgb="FF000000"/>
      </patternFill>
    </fill>
    <fill>
      <patternFill patternType="solid">
        <fgColor rgb="FFFFFF00"/>
        <bgColor indexed="64"/>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3">
    <xf numFmtId="0" fontId="0" fillId="0" borderId="0"/>
    <xf numFmtId="43" fontId="4" fillId="0" borderId="0" applyFont="0" applyFill="0" applyBorder="0" applyAlignment="0" applyProtection="0"/>
    <xf numFmtId="0" fontId="5" fillId="0" borderId="0" applyNumberFormat="0" applyFill="0" applyBorder="0" applyAlignment="0" applyProtection="0"/>
  </cellStyleXfs>
  <cellXfs count="269">
    <xf numFmtId="0" fontId="0" fillId="0" borderId="0" xfId="0"/>
    <xf numFmtId="0" fontId="2" fillId="0" borderId="1" xfId="0" applyFont="1" applyBorder="1" applyAlignment="1">
      <alignment horizontal="center" vertical="top"/>
    </xf>
    <xf numFmtId="164" fontId="0" fillId="0" borderId="1" xfId="1" applyNumberFormat="1" applyFont="1" applyFill="1" applyBorder="1" applyAlignment="1">
      <alignment horizontal="center" vertical="center"/>
    </xf>
    <xf numFmtId="0" fontId="0" fillId="0" borderId="1" xfId="0" applyBorder="1" applyAlignment="1">
      <alignment horizontal="left" vertical="top" wrapText="1"/>
    </xf>
    <xf numFmtId="3" fontId="0" fillId="0" borderId="1" xfId="0" applyNumberFormat="1" applyBorder="1" applyAlignment="1">
      <alignment horizontal="center" vertical="top"/>
    </xf>
    <xf numFmtId="0" fontId="0" fillId="0" borderId="1" xfId="0" applyBorder="1" applyAlignment="1">
      <alignment vertical="center" wrapText="1"/>
    </xf>
    <xf numFmtId="0" fontId="2" fillId="0" borderId="1" xfId="0" applyFont="1" applyBorder="1" applyAlignment="1">
      <alignment horizontal="left" vertical="top"/>
    </xf>
    <xf numFmtId="0" fontId="0" fillId="0" borderId="1" xfId="0" applyBorder="1" applyAlignment="1">
      <alignment horizontal="left" vertical="top"/>
    </xf>
    <xf numFmtId="3" fontId="0" fillId="0" borderId="1" xfId="0" applyNumberFormat="1" applyBorder="1" applyAlignment="1">
      <alignment horizontal="right" vertical="top"/>
    </xf>
    <xf numFmtId="0" fontId="2" fillId="0" borderId="1" xfId="0" applyFont="1" applyBorder="1" applyAlignment="1">
      <alignment horizontal="left" vertical="top" wrapText="1"/>
    </xf>
    <xf numFmtId="3" fontId="0" fillId="0" borderId="1" xfId="0" applyNumberForma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1" xfId="0" applyBorder="1" applyAlignment="1">
      <alignment horizontal="left" vertical="center"/>
    </xf>
    <xf numFmtId="0" fontId="0" fillId="0" borderId="0" xfId="0" applyAlignment="1">
      <alignment horizontal="center"/>
    </xf>
    <xf numFmtId="0" fontId="0" fillId="0" borderId="0" xfId="0" applyAlignment="1">
      <alignment horizontal="left"/>
    </xf>
    <xf numFmtId="0" fontId="6" fillId="0" borderId="1" xfId="0" applyFont="1" applyBorder="1"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vertical="top" wrapText="1"/>
    </xf>
    <xf numFmtId="0" fontId="5" fillId="0" borderId="1" xfId="2" applyFill="1" applyBorder="1" applyAlignment="1">
      <alignment vertical="top" wrapText="1"/>
    </xf>
    <xf numFmtId="3" fontId="0" fillId="0" borderId="1" xfId="0" applyNumberFormat="1" applyBorder="1" applyAlignment="1">
      <alignment vertical="top" wrapText="1"/>
    </xf>
    <xf numFmtId="0" fontId="0" fillId="0" borderId="1" xfId="0" applyBorder="1" applyAlignment="1">
      <alignment vertical="top"/>
    </xf>
    <xf numFmtId="3" fontId="0" fillId="0" borderId="1" xfId="0" applyNumberFormat="1" applyBorder="1" applyAlignment="1">
      <alignment horizontal="left" vertical="center"/>
    </xf>
    <xf numFmtId="3" fontId="0" fillId="0" borderId="1" xfId="0" applyNumberFormat="1" applyBorder="1" applyAlignment="1">
      <alignment horizontal="left" vertical="center" wrapText="1"/>
    </xf>
    <xf numFmtId="9" fontId="0" fillId="0" borderId="1" xfId="0" applyNumberFormat="1" applyBorder="1" applyAlignment="1">
      <alignment horizontal="left" vertical="center"/>
    </xf>
    <xf numFmtId="165" fontId="0" fillId="0" borderId="1" xfId="1" applyNumberFormat="1" applyFont="1" applyFill="1" applyBorder="1" applyAlignment="1">
      <alignment horizontal="left" vertical="center" wrapText="1"/>
    </xf>
    <xf numFmtId="165" fontId="0" fillId="0" borderId="1" xfId="1" applyNumberFormat="1" applyFont="1" applyFill="1" applyBorder="1" applyAlignment="1">
      <alignment horizontal="left" vertical="center"/>
    </xf>
    <xf numFmtId="49" fontId="0" fillId="0" borderId="1" xfId="0" applyNumberFormat="1" applyBorder="1"/>
    <xf numFmtId="3" fontId="0" fillId="0" borderId="1" xfId="0" applyNumberFormat="1" applyBorder="1"/>
    <xf numFmtId="0" fontId="0" fillId="0" borderId="1" xfId="0" applyBorder="1" applyAlignment="1">
      <alignment wrapText="1"/>
    </xf>
    <xf numFmtId="0" fontId="0" fillId="0" borderId="1" xfId="0" applyBorder="1" applyAlignment="1">
      <alignment horizontal="left" wrapText="1"/>
    </xf>
    <xf numFmtId="3" fontId="0" fillId="0" borderId="1" xfId="0" applyNumberFormat="1" applyBorder="1" applyAlignment="1">
      <alignment horizontal="center" vertical="top" wrapText="1"/>
    </xf>
    <xf numFmtId="0" fontId="0" fillId="0" borderId="1" xfId="0" applyBorder="1" applyAlignment="1">
      <alignment horizontal="center" vertical="center"/>
    </xf>
    <xf numFmtId="0" fontId="2" fillId="0" borderId="1" xfId="0" applyFont="1" applyBorder="1" applyAlignment="1">
      <alignment vertical="top" wrapText="1"/>
    </xf>
    <xf numFmtId="0" fontId="0" fillId="0" borderId="0" xfId="0" applyAlignment="1">
      <alignment vertical="top"/>
    </xf>
    <xf numFmtId="0" fontId="2" fillId="0" borderId="5" xfId="0" applyFont="1" applyBorder="1"/>
    <xf numFmtId="0" fontId="2" fillId="0" borderId="0" xfId="0" applyFont="1"/>
    <xf numFmtId="0" fontId="9" fillId="0" borderId="6" xfId="0" applyFont="1" applyBorder="1"/>
    <xf numFmtId="0" fontId="0" fillId="0" borderId="3" xfId="0" applyBorder="1"/>
    <xf numFmtId="0" fontId="0" fillId="0" borderId="4" xfId="0" applyBorder="1"/>
    <xf numFmtId="0" fontId="0" fillId="0" borderId="2" xfId="0" applyBorder="1"/>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0" fillId="0" borderId="2" xfId="0" applyFont="1" applyBorder="1" applyAlignment="1">
      <alignment vertical="center" wrapText="1"/>
    </xf>
    <xf numFmtId="0" fontId="8" fillId="0" borderId="3" xfId="0" applyFont="1" applyBorder="1" applyAlignment="1">
      <alignment vertical="center" wrapText="1"/>
    </xf>
    <xf numFmtId="0" fontId="10" fillId="0" borderId="4" xfId="0" applyFont="1" applyBorder="1" applyAlignment="1">
      <alignment vertical="center" wrapText="1"/>
    </xf>
    <xf numFmtId="164" fontId="0" fillId="0" borderId="1" xfId="1" applyNumberFormat="1" applyFont="1" applyFill="1" applyBorder="1" applyAlignment="1">
      <alignment horizontal="center" vertical="center" wrapText="1"/>
    </xf>
    <xf numFmtId="0" fontId="0" fillId="0" borderId="2" xfId="0" applyBorder="1" applyAlignment="1">
      <alignment horizontal="left" vertical="center"/>
    </xf>
    <xf numFmtId="0" fontId="10" fillId="0" borderId="1" xfId="0" applyFont="1" applyBorder="1" applyAlignment="1">
      <alignment wrapText="1"/>
    </xf>
    <xf numFmtId="0" fontId="9" fillId="0" borderId="1" xfId="0" applyFont="1" applyBorder="1" applyAlignment="1">
      <alignment vertical="center"/>
    </xf>
    <xf numFmtId="0" fontId="9" fillId="0" borderId="1" xfId="0" applyFont="1" applyBorder="1" applyAlignment="1">
      <alignment vertical="center" wrapText="1"/>
    </xf>
    <xf numFmtId="0" fontId="0" fillId="0" borderId="1" xfId="0" applyBorder="1" applyAlignment="1">
      <alignment vertical="center"/>
    </xf>
    <xf numFmtId="0" fontId="8" fillId="0" borderId="1" xfId="0" applyFont="1" applyBorder="1"/>
    <xf numFmtId="0" fontId="10" fillId="0" borderId="1" xfId="0" applyFont="1" applyBorder="1" applyAlignment="1">
      <alignment vertical="center" wrapText="1"/>
    </xf>
    <xf numFmtId="0" fontId="11" fillId="0" borderId="1" xfId="0" applyFont="1" applyBorder="1"/>
    <xf numFmtId="0" fontId="11" fillId="0" borderId="7" xfId="0" applyFont="1" applyBorder="1"/>
    <xf numFmtId="0" fontId="2" fillId="0" borderId="5" xfId="0" applyFont="1" applyBorder="1" applyAlignment="1">
      <alignment horizontal="center" vertical="top"/>
    </xf>
    <xf numFmtId="0" fontId="11" fillId="0" borderId="5" xfId="0" applyFont="1" applyBorder="1"/>
    <xf numFmtId="0" fontId="0" fillId="0" borderId="5" xfId="0" applyBorder="1"/>
    <xf numFmtId="0" fontId="0" fillId="0" borderId="5" xfId="0" applyBorder="1" applyAlignment="1">
      <alignment vertical="center" wrapText="1"/>
    </xf>
    <xf numFmtId="0" fontId="0" fillId="0" borderId="5" xfId="0" applyBorder="1" applyAlignment="1">
      <alignment horizontal="left" vertical="top" wrapText="1"/>
    </xf>
    <xf numFmtId="0" fontId="6" fillId="0" borderId="5" xfId="0" applyFont="1" applyBorder="1" applyAlignment="1">
      <alignment wrapText="1"/>
    </xf>
    <xf numFmtId="0" fontId="2" fillId="0" borderId="5" xfId="0" applyFont="1" applyBorder="1" applyAlignment="1">
      <alignment horizontal="left" vertical="top"/>
    </xf>
    <xf numFmtId="0" fontId="0" fillId="0" borderId="5" xfId="0" applyBorder="1" applyAlignment="1">
      <alignment horizontal="left" vertical="top"/>
    </xf>
    <xf numFmtId="0" fontId="0" fillId="0" borderId="5" xfId="0" applyBorder="1" applyAlignment="1">
      <alignment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center" vertical="center"/>
    </xf>
    <xf numFmtId="0" fontId="0" fillId="0" borderId="5" xfId="0" applyBorder="1" applyAlignment="1">
      <alignment horizontal="center"/>
    </xf>
    <xf numFmtId="0" fontId="0" fillId="0" borderId="5" xfId="0" applyBorder="1" applyAlignment="1">
      <alignment vertical="top" wrapText="1"/>
    </xf>
    <xf numFmtId="0" fontId="5" fillId="0" borderId="5" xfId="2" applyFill="1" applyBorder="1" applyAlignment="1">
      <alignment vertical="top" wrapText="1"/>
    </xf>
    <xf numFmtId="3" fontId="0" fillId="0" borderId="5" xfId="0" applyNumberFormat="1" applyBorder="1" applyAlignment="1">
      <alignment vertical="top" wrapText="1"/>
    </xf>
    <xf numFmtId="0" fontId="0" fillId="0" borderId="5" xfId="0" applyBorder="1" applyAlignment="1">
      <alignment vertical="top"/>
    </xf>
    <xf numFmtId="49" fontId="0" fillId="0" borderId="5" xfId="0" applyNumberFormat="1" applyBorder="1"/>
    <xf numFmtId="0" fontId="2" fillId="0" borderId="5" xfId="0" applyFont="1" applyBorder="1" applyAlignment="1">
      <alignment vertical="top" wrapText="1"/>
    </xf>
    <xf numFmtId="0" fontId="0" fillId="0" borderId="5" xfId="0" applyBorder="1" applyAlignment="1">
      <alignment wrapText="1"/>
    </xf>
    <xf numFmtId="3" fontId="0" fillId="0" borderId="5" xfId="0" applyNumberFormat="1" applyBorder="1" applyAlignment="1">
      <alignment horizontal="left" vertical="center"/>
    </xf>
    <xf numFmtId="0" fontId="11" fillId="0" borderId="5" xfId="0" applyFont="1" applyBorder="1" applyAlignment="1">
      <alignment horizontal="center"/>
    </xf>
    <xf numFmtId="3" fontId="0" fillId="0" borderId="5" xfId="0" applyNumberFormat="1" applyBorder="1" applyAlignment="1">
      <alignment horizontal="left" vertical="top"/>
    </xf>
    <xf numFmtId="3" fontId="0" fillId="0" borderId="5" xfId="0" applyNumberFormat="1" applyBorder="1" applyAlignment="1">
      <alignment horizontal="left" vertical="top" wrapText="1"/>
    </xf>
    <xf numFmtId="164" fontId="0" fillId="0" borderId="5" xfId="1" applyNumberFormat="1" applyFont="1" applyFill="1" applyBorder="1" applyAlignment="1">
      <alignment horizontal="left" vertical="top" wrapText="1"/>
    </xf>
    <xf numFmtId="165" fontId="0" fillId="0" borderId="5" xfId="1" applyNumberFormat="1" applyFont="1" applyFill="1" applyBorder="1" applyAlignment="1">
      <alignment horizontal="left" vertical="top" wrapText="1"/>
    </xf>
    <xf numFmtId="0" fontId="6" fillId="0" borderId="5" xfId="0" applyFont="1" applyBorder="1" applyAlignment="1">
      <alignment vertical="center" wrapText="1"/>
    </xf>
    <xf numFmtId="0" fontId="0" fillId="2" borderId="5" xfId="0" applyFill="1" applyBorder="1" applyAlignment="1">
      <alignment vertical="center" wrapText="1"/>
    </xf>
    <xf numFmtId="0" fontId="2" fillId="2" borderId="5" xfId="0" applyFont="1" applyFill="1" applyBorder="1" applyAlignment="1">
      <alignment horizontal="center" vertical="top"/>
    </xf>
    <xf numFmtId="0" fontId="0" fillId="2" borderId="5" xfId="0" applyFill="1" applyBorder="1" applyAlignment="1">
      <alignment vertical="top" wrapText="1"/>
    </xf>
    <xf numFmtId="0" fontId="0" fillId="2" borderId="5" xfId="0" applyFill="1" applyBorder="1" applyAlignment="1">
      <alignment horizontal="left" vertical="top" wrapText="1"/>
    </xf>
    <xf numFmtId="0" fontId="0" fillId="2" borderId="0" xfId="0" applyFill="1"/>
    <xf numFmtId="3" fontId="0" fillId="2" borderId="5" xfId="0" applyNumberFormat="1" applyFill="1" applyBorder="1" applyAlignment="1">
      <alignment horizontal="left" vertical="top"/>
    </xf>
    <xf numFmtId="0" fontId="0" fillId="0" borderId="5" xfId="0" applyBorder="1" applyAlignment="1">
      <alignment horizontal="center" vertical="top"/>
    </xf>
    <xf numFmtId="0" fontId="12" fillId="0" borderId="0" xfId="0" applyFont="1" applyAlignment="1">
      <alignment vertical="top"/>
    </xf>
    <xf numFmtId="3" fontId="0" fillId="2" borderId="5" xfId="0" applyNumberFormat="1" applyFill="1" applyBorder="1" applyAlignment="1">
      <alignment horizontal="left" vertical="top" wrapText="1"/>
    </xf>
    <xf numFmtId="0" fontId="0" fillId="2" borderId="5" xfId="0" applyFill="1" applyBorder="1" applyAlignment="1">
      <alignment horizontal="center" vertical="center" wrapText="1"/>
    </xf>
    <xf numFmtId="0" fontId="12" fillId="2" borderId="0" xfId="0" applyFont="1" applyFill="1" applyAlignment="1">
      <alignment horizontal="left" vertical="top"/>
    </xf>
    <xf numFmtId="0" fontId="0" fillId="2" borderId="0" xfId="0" applyFill="1" applyAlignment="1">
      <alignment vertical="center" wrapText="1"/>
    </xf>
    <xf numFmtId="0" fontId="0" fillId="2" borderId="5" xfId="0" applyFill="1" applyBorder="1" applyAlignment="1">
      <alignment horizontal="left" vertical="center"/>
    </xf>
    <xf numFmtId="164" fontId="0" fillId="2" borderId="5" xfId="1" applyNumberFormat="1" applyFont="1" applyFill="1" applyBorder="1" applyAlignment="1">
      <alignment horizontal="left" vertical="top"/>
    </xf>
    <xf numFmtId="0" fontId="0" fillId="2" borderId="5" xfId="0" applyFill="1" applyBorder="1" applyAlignment="1">
      <alignment horizontal="center" vertical="center"/>
    </xf>
    <xf numFmtId="0" fontId="0" fillId="2" borderId="5" xfId="0" applyFill="1" applyBorder="1" applyAlignment="1">
      <alignment vertical="top"/>
    </xf>
    <xf numFmtId="0" fontId="0" fillId="2" borderId="5" xfId="0" applyFill="1" applyBorder="1" applyAlignment="1">
      <alignment horizontal="left" vertical="center" wrapText="1"/>
    </xf>
    <xf numFmtId="0" fontId="0" fillId="2" borderId="5" xfId="0" applyFill="1" applyBorder="1"/>
    <xf numFmtId="0" fontId="0" fillId="0" borderId="0" xfId="0" applyAlignment="1">
      <alignment horizontal="left" vertical="top"/>
    </xf>
    <xf numFmtId="9" fontId="0" fillId="0" borderId="5" xfId="0" applyNumberFormat="1" applyBorder="1" applyAlignment="1">
      <alignment vertical="top"/>
    </xf>
    <xf numFmtId="0" fontId="5" fillId="2" borderId="5" xfId="2" applyFill="1" applyBorder="1" applyAlignment="1">
      <alignment vertical="top" wrapText="1"/>
    </xf>
    <xf numFmtId="3" fontId="0" fillId="2" borderId="5" xfId="0" applyNumberFormat="1" applyFill="1" applyBorder="1" applyAlignment="1">
      <alignment vertical="top" wrapText="1"/>
    </xf>
    <xf numFmtId="0" fontId="0" fillId="2" borderId="5" xfId="0" applyFill="1" applyBorder="1" applyAlignment="1">
      <alignment vertical="center"/>
    </xf>
    <xf numFmtId="0" fontId="2" fillId="2" borderId="5" xfId="0" applyFont="1" applyFill="1" applyBorder="1" applyAlignment="1">
      <alignment horizontal="left" vertical="top" wrapText="1"/>
    </xf>
    <xf numFmtId="3" fontId="0" fillId="2" borderId="5" xfId="0" applyNumberFormat="1" applyFill="1" applyBorder="1" applyAlignment="1">
      <alignment horizontal="left" vertical="center"/>
    </xf>
    <xf numFmtId="9" fontId="0" fillId="2" borderId="5" xfId="0" applyNumberFormat="1" applyFill="1" applyBorder="1" applyAlignment="1">
      <alignment horizontal="left" vertical="center"/>
    </xf>
    <xf numFmtId="0" fontId="6" fillId="2" borderId="5" xfId="0" applyFont="1" applyFill="1" applyBorder="1" applyAlignment="1">
      <alignment vertical="center" wrapText="1"/>
    </xf>
    <xf numFmtId="165" fontId="0" fillId="2" borderId="5" xfId="1" applyNumberFormat="1" applyFont="1" applyFill="1" applyBorder="1" applyAlignment="1">
      <alignment horizontal="left" vertical="center"/>
    </xf>
    <xf numFmtId="165" fontId="0" fillId="2" borderId="5" xfId="1" applyNumberFormat="1" applyFont="1" applyFill="1" applyBorder="1" applyAlignment="1">
      <alignment horizontal="left" vertical="top" wrapText="1"/>
    </xf>
    <xf numFmtId="0" fontId="11" fillId="0" borderId="0" xfId="0" applyFont="1"/>
    <xf numFmtId="0" fontId="13" fillId="3" borderId="0" xfId="0" applyFont="1" applyFill="1"/>
    <xf numFmtId="0" fontId="14" fillId="0" borderId="0" xfId="0" applyFont="1"/>
    <xf numFmtId="0" fontId="13" fillId="3" borderId="0" xfId="0" applyFont="1" applyFill="1" applyAlignment="1">
      <alignment wrapText="1"/>
    </xf>
    <xf numFmtId="0" fontId="14" fillId="0" borderId="0" xfId="0" applyFont="1" applyAlignment="1">
      <alignment wrapText="1"/>
    </xf>
    <xf numFmtId="0" fontId="13" fillId="3" borderId="1" xfId="0" applyFont="1" applyFill="1" applyBorder="1" applyAlignment="1">
      <alignment wrapText="1"/>
    </xf>
    <xf numFmtId="0" fontId="13" fillId="3" borderId="1" xfId="0" applyFont="1" applyFill="1" applyBorder="1"/>
    <xf numFmtId="0" fontId="13" fillId="3" borderId="4" xfId="0" applyFont="1" applyFill="1" applyBorder="1"/>
    <xf numFmtId="0" fontId="13" fillId="0" borderId="0" xfId="0" applyFont="1"/>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165" fontId="0" fillId="0" borderId="5" xfId="1" applyNumberFormat="1" applyFont="1" applyFill="1" applyBorder="1" applyAlignment="1">
      <alignment horizontal="center" vertical="center" wrapText="1"/>
    </xf>
    <xf numFmtId="0" fontId="5" fillId="0" borderId="10" xfId="2" applyFill="1" applyBorder="1" applyAlignment="1">
      <alignment horizontal="center" vertical="center" wrapText="1"/>
    </xf>
    <xf numFmtId="0" fontId="5" fillId="0" borderId="14" xfId="2" applyFill="1" applyBorder="1" applyAlignment="1">
      <alignment vertical="center" wrapText="1"/>
    </xf>
    <xf numFmtId="0" fontId="5" fillId="0" borderId="15" xfId="2" applyFill="1" applyBorder="1" applyAlignment="1">
      <alignment vertical="center" wrapText="1"/>
    </xf>
    <xf numFmtId="0" fontId="5" fillId="0" borderId="16" xfId="2" applyFill="1" applyBorder="1" applyAlignment="1">
      <alignment vertical="center" wrapText="1"/>
    </xf>
    <xf numFmtId="0" fontId="5" fillId="0" borderId="19" xfId="2" applyFill="1" applyBorder="1" applyAlignment="1">
      <alignment vertical="center" wrapText="1"/>
    </xf>
    <xf numFmtId="0" fontId="5" fillId="0" borderId="0" xfId="2" applyFill="1" applyBorder="1" applyAlignment="1">
      <alignment vertical="center" wrapText="1"/>
    </xf>
    <xf numFmtId="0" fontId="5" fillId="0" borderId="20" xfId="2" applyFill="1" applyBorder="1" applyAlignment="1">
      <alignment vertical="center" wrapText="1"/>
    </xf>
    <xf numFmtId="0" fontId="5" fillId="0" borderId="17" xfId="2" applyFill="1" applyBorder="1" applyAlignment="1">
      <alignment vertical="center" wrapText="1"/>
    </xf>
    <xf numFmtId="0" fontId="5" fillId="0" borderId="18" xfId="2" applyFill="1" applyBorder="1" applyAlignment="1">
      <alignment vertical="center" wrapText="1"/>
    </xf>
    <xf numFmtId="0" fontId="5" fillId="0" borderId="13" xfId="2" applyFill="1" applyBorder="1" applyAlignment="1">
      <alignment vertical="center" wrapText="1"/>
    </xf>
    <xf numFmtId="0" fontId="2" fillId="0" borderId="5" xfId="0" applyFont="1" applyBorder="1" applyAlignment="1">
      <alignment horizontal="center" vertical="center" wrapText="1"/>
    </xf>
    <xf numFmtId="0" fontId="11" fillId="0" borderId="5" xfId="0" applyFont="1" applyBorder="1" applyAlignment="1">
      <alignment horizontal="center" vertical="center" wrapText="1"/>
    </xf>
    <xf numFmtId="49" fontId="0" fillId="0" borderId="8" xfId="0" applyNumberFormat="1" applyBorder="1" applyAlignment="1">
      <alignment horizontal="center" vertical="center" wrapText="1"/>
    </xf>
    <xf numFmtId="0" fontId="2" fillId="0" borderId="8" xfId="0" applyFont="1" applyBorder="1" applyAlignment="1">
      <alignment horizontal="center" vertical="center" wrapText="1"/>
    </xf>
    <xf numFmtId="0" fontId="5" fillId="0" borderId="8" xfId="2" applyFill="1" applyBorder="1" applyAlignment="1">
      <alignment horizontal="center" vertical="center" wrapText="1"/>
    </xf>
    <xf numFmtId="3" fontId="0" fillId="0" borderId="8" xfId="0" applyNumberFormat="1" applyBorder="1" applyAlignment="1">
      <alignment horizontal="center" vertical="center" wrapText="1"/>
    </xf>
    <xf numFmtId="0" fontId="6" fillId="0" borderId="8" xfId="0" applyFont="1" applyBorder="1" applyAlignment="1">
      <alignment horizontal="center" vertical="center" wrapText="1"/>
    </xf>
    <xf numFmtId="49" fontId="0" fillId="0" borderId="14" xfId="0" applyNumberFormat="1" applyBorder="1" applyAlignment="1">
      <alignment horizontal="center" vertical="center" wrapText="1"/>
    </xf>
    <xf numFmtId="0" fontId="2" fillId="0" borderId="15" xfId="0" applyFont="1" applyBorder="1" applyAlignment="1">
      <alignment horizontal="center" vertical="center" wrapText="1"/>
    </xf>
    <xf numFmtId="0" fontId="5" fillId="0" borderId="15" xfId="2" applyFill="1" applyBorder="1" applyAlignment="1">
      <alignment horizontal="center" vertical="center" wrapText="1"/>
    </xf>
    <xf numFmtId="3" fontId="0" fillId="0" borderId="16" xfId="0" applyNumberFormat="1" applyBorder="1" applyAlignment="1">
      <alignment horizontal="center" vertical="center" wrapText="1"/>
    </xf>
    <xf numFmtId="0" fontId="6" fillId="0" borderId="16" xfId="0" applyFont="1" applyBorder="1" applyAlignment="1">
      <alignment horizontal="center" vertical="center" wrapText="1"/>
    </xf>
    <xf numFmtId="0" fontId="6" fillId="0" borderId="9" xfId="0" applyFont="1" applyBorder="1" applyAlignment="1">
      <alignment vertical="center" wrapText="1"/>
    </xf>
    <xf numFmtId="0" fontId="0" fillId="0" borderId="12" xfId="0" applyBorder="1" applyAlignment="1">
      <alignment horizontal="center" vertical="center" wrapText="1"/>
    </xf>
    <xf numFmtId="49" fontId="0" fillId="0" borderId="17" xfId="0" applyNumberFormat="1" applyBorder="1" applyAlignment="1">
      <alignment horizontal="center" vertical="center" wrapText="1"/>
    </xf>
    <xf numFmtId="0" fontId="2" fillId="0" borderId="18" xfId="0" applyFont="1" applyBorder="1" applyAlignment="1">
      <alignment horizontal="center" vertical="center" wrapText="1"/>
    </xf>
    <xf numFmtId="0" fontId="5" fillId="0" borderId="18" xfId="2" applyFill="1" applyBorder="1" applyAlignment="1">
      <alignment horizontal="center" vertical="center" wrapText="1"/>
    </xf>
    <xf numFmtId="3" fontId="0" fillId="0" borderId="18" xfId="0" applyNumberFormat="1" applyBorder="1" applyAlignment="1">
      <alignment horizontal="center" vertical="center" wrapText="1"/>
    </xf>
    <xf numFmtId="0" fontId="6" fillId="0" borderId="10" xfId="0" applyFont="1" applyBorder="1" applyAlignment="1">
      <alignment vertical="center" wrapText="1"/>
    </xf>
    <xf numFmtId="49" fontId="0" fillId="0" borderId="10" xfId="0" applyNumberFormat="1" applyBorder="1" applyAlignment="1">
      <alignment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3" fontId="0" fillId="0" borderId="10" xfId="0" applyNumberFormat="1" applyBorder="1" applyAlignment="1">
      <alignment horizontal="center" vertical="center" wrapText="1"/>
    </xf>
    <xf numFmtId="0" fontId="0" fillId="0" borderId="10" xfId="0" applyBorder="1" applyAlignment="1">
      <alignment horizontal="center" vertical="center" wrapText="1"/>
    </xf>
    <xf numFmtId="0" fontId="15" fillId="0" borderId="5" xfId="0" applyFont="1" applyBorder="1" applyAlignment="1">
      <alignment horizontal="center" vertical="center" wrapText="1"/>
    </xf>
    <xf numFmtId="49" fontId="0" fillId="0" borderId="14" xfId="0" applyNumberFormat="1" applyBorder="1" applyAlignment="1">
      <alignment vertical="center" wrapText="1"/>
    </xf>
    <xf numFmtId="49" fontId="0" fillId="0" borderId="15" xfId="0" applyNumberFormat="1" applyBorder="1" applyAlignment="1">
      <alignment vertical="center" wrapText="1"/>
    </xf>
    <xf numFmtId="49" fontId="0" fillId="0" borderId="16" xfId="0" applyNumberFormat="1" applyBorder="1" applyAlignment="1">
      <alignment vertical="center" wrapText="1"/>
    </xf>
    <xf numFmtId="49" fontId="0" fillId="0" borderId="17" xfId="0" applyNumberFormat="1" applyBorder="1" applyAlignment="1">
      <alignment vertical="center" wrapText="1"/>
    </xf>
    <xf numFmtId="49" fontId="0" fillId="0" borderId="18" xfId="0" applyNumberFormat="1" applyBorder="1" applyAlignment="1">
      <alignment vertical="center" wrapText="1"/>
    </xf>
    <xf numFmtId="49" fontId="0" fillId="0" borderId="13" xfId="0" applyNumberFormat="1" applyBorder="1" applyAlignment="1">
      <alignment vertical="center" wrapText="1"/>
    </xf>
    <xf numFmtId="0" fontId="6"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3" fillId="0" borderId="8" xfId="0" applyFont="1" applyBorder="1" applyAlignment="1">
      <alignment vertical="center" wrapText="1"/>
    </xf>
    <xf numFmtId="0" fontId="2" fillId="0" borderId="8" xfId="0" applyFont="1" applyBorder="1" applyAlignment="1">
      <alignment vertical="center" wrapText="1"/>
    </xf>
    <xf numFmtId="0" fontId="0" fillId="0" borderId="8" xfId="0" applyBorder="1" applyAlignment="1">
      <alignment horizontal="center" vertical="center" wrapText="1"/>
    </xf>
    <xf numFmtId="0" fontId="3" fillId="0" borderId="14" xfId="0" applyFont="1" applyBorder="1" applyAlignment="1">
      <alignment vertical="center" wrapText="1"/>
    </xf>
    <xf numFmtId="0" fontId="2" fillId="0" borderId="15" xfId="0" applyFont="1" applyBorder="1" applyAlignment="1">
      <alignment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8" xfId="0" applyBorder="1" applyAlignment="1">
      <alignment vertical="center" wrapText="1"/>
    </xf>
    <xf numFmtId="0" fontId="3" fillId="0" borderId="17" xfId="0" applyFont="1" applyBorder="1" applyAlignment="1">
      <alignment vertical="center" wrapText="1"/>
    </xf>
    <xf numFmtId="0" fontId="2" fillId="0" borderId="18" xfId="0" applyFont="1" applyBorder="1" applyAlignment="1">
      <alignment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vertical="center" wrapText="1"/>
    </xf>
    <xf numFmtId="49" fontId="0" fillId="0" borderId="9" xfId="0" applyNumberFormat="1" applyBorder="1" applyAlignment="1">
      <alignment vertical="center" wrapText="1"/>
    </xf>
    <xf numFmtId="0" fontId="2" fillId="0" borderId="9" xfId="0" applyFont="1" applyBorder="1" applyAlignment="1">
      <alignment vertical="center" wrapText="1"/>
    </xf>
    <xf numFmtId="0" fontId="5" fillId="0" borderId="9" xfId="2" applyFill="1" applyBorder="1" applyAlignment="1">
      <alignment horizontal="center" vertical="center" wrapText="1"/>
    </xf>
    <xf numFmtId="164" fontId="0" fillId="0" borderId="10" xfId="1" applyNumberFormat="1" applyFont="1" applyFill="1" applyBorder="1" applyAlignment="1">
      <alignment horizontal="center" vertical="center" wrapText="1"/>
    </xf>
    <xf numFmtId="164" fontId="0" fillId="0" borderId="12" xfId="1" applyNumberFormat="1" applyFont="1" applyFill="1" applyBorder="1" applyAlignment="1">
      <alignment horizontal="center" vertical="center" wrapText="1"/>
    </xf>
    <xf numFmtId="3" fontId="0" fillId="0" borderId="5" xfId="0" applyNumberFormat="1" applyBorder="1" applyAlignment="1">
      <alignment horizontal="center" vertical="center" wrapText="1"/>
    </xf>
    <xf numFmtId="0" fontId="0" fillId="0" borderId="9" xfId="0" applyBorder="1" applyAlignment="1">
      <alignment vertical="center" wrapText="1"/>
    </xf>
    <xf numFmtId="9" fontId="0" fillId="0" borderId="5" xfId="0" applyNumberFormat="1" applyBorder="1" applyAlignment="1">
      <alignment horizontal="center" vertical="center" wrapText="1"/>
    </xf>
    <xf numFmtId="49" fontId="0" fillId="0" borderId="5" xfId="0" applyNumberFormat="1" applyBorder="1" applyAlignment="1">
      <alignment horizontal="center" vertical="center" wrapText="1"/>
    </xf>
    <xf numFmtId="165" fontId="0" fillId="0" borderId="5" xfId="1" applyNumberFormat="1" applyFont="1" applyFill="1" applyBorder="1" applyAlignment="1">
      <alignment vertical="center" wrapText="1"/>
    </xf>
    <xf numFmtId="0" fontId="16" fillId="0" borderId="5" xfId="0" applyFont="1" applyBorder="1" applyAlignment="1">
      <alignment horizontal="center" vertical="top" wrapText="1"/>
    </xf>
    <xf numFmtId="0" fontId="15" fillId="0" borderId="5" xfId="0" applyFont="1" applyBorder="1" applyAlignment="1">
      <alignment wrapText="1"/>
    </xf>
    <xf numFmtId="0" fontId="0" fillId="0" borderId="12" xfId="0" applyBorder="1" applyAlignment="1">
      <alignment vertical="center" wrapText="1"/>
    </xf>
    <xf numFmtId="0" fontId="6" fillId="0" borderId="8" xfId="0" applyFont="1" applyBorder="1" applyAlignment="1">
      <alignment vertical="center" wrapText="1"/>
    </xf>
    <xf numFmtId="0" fontId="2" fillId="0" borderId="5" xfId="0" applyFont="1" applyBorder="1" applyAlignment="1">
      <alignment horizontal="center"/>
    </xf>
    <xf numFmtId="0" fontId="2" fillId="0" borderId="8" xfId="0" applyFont="1" applyBorder="1" applyAlignment="1">
      <alignment horizontal="center"/>
    </xf>
    <xf numFmtId="0" fontId="2" fillId="0" borderId="14" xfId="0" applyFont="1" applyBorder="1" applyAlignment="1">
      <alignment horizontal="center"/>
    </xf>
    <xf numFmtId="0" fontId="2" fillId="0" borderId="8" xfId="0" applyFont="1" applyBorder="1"/>
    <xf numFmtId="0" fontId="0" fillId="0" borderId="11" xfId="0" applyBorder="1" applyAlignment="1">
      <alignment horizontal="center" vertical="center"/>
    </xf>
    <xf numFmtId="0" fontId="5" fillId="0" borderId="8" xfId="2" applyBorder="1" applyAlignment="1">
      <alignment horizontal="center" vertical="center" wrapText="1"/>
    </xf>
    <xf numFmtId="3" fontId="5" fillId="0" borderId="5" xfId="2" applyNumberFormat="1" applyBorder="1" applyAlignment="1">
      <alignment horizontal="center" vertical="center" wrapText="1"/>
    </xf>
    <xf numFmtId="0" fontId="5" fillId="0" borderId="5" xfId="2" applyBorder="1" applyAlignment="1">
      <alignment horizontal="center" vertical="center" wrapText="1"/>
    </xf>
    <xf numFmtId="0" fontId="0" fillId="4" borderId="5" xfId="0" applyFill="1" applyBorder="1" applyAlignment="1">
      <alignment horizontal="center" vertical="center" wrapText="1"/>
    </xf>
    <xf numFmtId="49" fontId="0" fillId="0" borderId="19" xfId="0" applyNumberFormat="1" applyBorder="1" applyAlignment="1">
      <alignment vertical="center" wrapText="1"/>
    </xf>
    <xf numFmtId="49" fontId="0" fillId="0" borderId="0" xfId="0" applyNumberFormat="1" applyAlignment="1">
      <alignment vertical="center" wrapText="1"/>
    </xf>
    <xf numFmtId="0" fontId="6" fillId="0" borderId="10" xfId="0" applyFont="1" applyBorder="1" applyAlignment="1">
      <alignment horizontal="center" vertical="center" wrapText="1"/>
    </xf>
    <xf numFmtId="0" fontId="0" fillId="4" borderId="1" xfId="0" applyFill="1" applyBorder="1"/>
    <xf numFmtId="0" fontId="0" fillId="4" borderId="12" xfId="0" applyFill="1" applyBorder="1" applyAlignment="1">
      <alignment horizontal="center" vertical="center" wrapText="1"/>
    </xf>
    <xf numFmtId="0" fontId="2" fillId="4" borderId="5" xfId="0" applyFont="1" applyFill="1" applyBorder="1" applyAlignment="1">
      <alignment horizontal="center" vertical="center" wrapText="1"/>
    </xf>
    <xf numFmtId="3" fontId="0" fillId="4" borderId="5" xfId="0" applyNumberFormat="1" applyFill="1" applyBorder="1" applyAlignment="1">
      <alignment horizontal="center" vertical="center" wrapText="1"/>
    </xf>
    <xf numFmtId="9" fontId="0" fillId="4" borderId="5" xfId="0" applyNumberFormat="1" applyFill="1" applyBorder="1" applyAlignment="1">
      <alignment vertical="center" wrapText="1"/>
    </xf>
    <xf numFmtId="9" fontId="0" fillId="4" borderId="5" xfId="0" applyNumberFormat="1" applyFill="1" applyBorder="1" applyAlignment="1">
      <alignment horizontal="center" vertical="center" wrapText="1"/>
    </xf>
    <xf numFmtId="0" fontId="0" fillId="4" borderId="5" xfId="0" applyFill="1" applyBorder="1" applyAlignment="1">
      <alignment horizontal="left" vertical="center" wrapText="1"/>
    </xf>
    <xf numFmtId="0" fontId="0" fillId="5" borderId="5" xfId="0" applyFill="1"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6" fillId="0" borderId="8" xfId="0" applyFont="1" applyBorder="1" applyAlignment="1">
      <alignment horizontal="left" vertical="top"/>
    </xf>
    <xf numFmtId="0" fontId="6" fillId="0" borderId="9" xfId="0" applyFont="1"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3" fillId="0" borderId="5" xfId="0" applyFont="1" applyBorder="1" applyAlignment="1">
      <alignment horizontal="left" vertical="center" wrapText="1"/>
    </xf>
    <xf numFmtId="0" fontId="2" fillId="0" borderId="5"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2" fillId="0" borderId="8"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3" fontId="0" fillId="0" borderId="8" xfId="0" applyNumberFormat="1" applyBorder="1" applyAlignment="1">
      <alignment horizontal="center" vertical="top"/>
    </xf>
    <xf numFmtId="3" fontId="0" fillId="0" borderId="9" xfId="0" applyNumberFormat="1" applyBorder="1" applyAlignment="1">
      <alignment horizontal="center" vertical="top"/>
    </xf>
    <xf numFmtId="3" fontId="0" fillId="0" borderId="10" xfId="0" applyNumberFormat="1" applyBorder="1" applyAlignment="1">
      <alignment horizontal="center" vertical="top"/>
    </xf>
    <xf numFmtId="49" fontId="0" fillId="0" borderId="5" xfId="0" applyNumberFormat="1" applyBorder="1" applyAlignment="1">
      <alignment horizontal="center" vertical="center"/>
    </xf>
    <xf numFmtId="49" fontId="0" fillId="0" borderId="8"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49" fontId="0" fillId="0" borderId="5" xfId="0" applyNumberFormat="1" applyBorder="1" applyAlignment="1">
      <alignment horizontal="center"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49" fontId="0" fillId="0" borderId="1" xfId="0" applyNumberFormat="1" applyBorder="1" applyAlignment="1">
      <alignment horizontal="center" vertical="center"/>
    </xf>
    <xf numFmtId="0" fontId="2" fillId="0" borderId="1" xfId="0" applyFont="1" applyBorder="1" applyAlignment="1">
      <alignment horizontal="left" vertical="top" wrapText="1"/>
    </xf>
    <xf numFmtId="49" fontId="0" fillId="0" borderId="2" xfId="0" applyNumberFormat="1" applyBorder="1" applyAlignment="1">
      <alignment horizontal="center" vertical="top"/>
    </xf>
    <xf numFmtId="49" fontId="0" fillId="0" borderId="3" xfId="0" applyNumberFormat="1" applyBorder="1" applyAlignment="1">
      <alignment horizontal="center" vertical="top"/>
    </xf>
    <xf numFmtId="49" fontId="0" fillId="0" borderId="4" xfId="0" applyNumberFormat="1" applyBorder="1" applyAlignment="1">
      <alignment horizontal="center" vertical="top"/>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0" borderId="0" xfId="0" applyFont="1" applyAlignment="1">
      <alignment wrapText="1"/>
    </xf>
    <xf numFmtId="0" fontId="1" fillId="0" borderId="8" xfId="0" applyFont="1" applyBorder="1" applyAlignment="1">
      <alignment horizontal="left" vertical="top" wrapText="1"/>
    </xf>
    <xf numFmtId="0" fontId="1" fillId="0" borderId="5" xfId="0" applyFont="1" applyBorder="1" applyAlignment="1">
      <alignment horizontal="left" vertical="center" wrapText="1"/>
    </xf>
    <xf numFmtId="0" fontId="1" fillId="0" borderId="5" xfId="0" applyFont="1" applyBorder="1" applyAlignment="1">
      <alignment wrapText="1"/>
    </xf>
    <xf numFmtId="0" fontId="1" fillId="0" borderId="5" xfId="0" applyFont="1" applyBorder="1" applyAlignment="1">
      <alignment vertical="center" wrapText="1"/>
    </xf>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rdhi.wardhana@columbia.edu" id="{CFBED7FB-5460-4899-87EB-EE1CA4BE3B26}" userId="S::urn:spo:guest#ardhi.wardhana@columbia.edu::"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 dT="2023-09-14T12:31:30.86" personId="{CFBED7FB-5460-4899-87EB-EE1CA4BE3B26}" id="{33AAE0C7-20DB-431D-B68F-2AE92B1E54FA}">
    <text>Instead of using ODP ton, I used ton CO2 eq based on their information</text>
  </threadedComment>
  <threadedComment ref="A5" dT="2023-09-14T11:50:18.65" personId="{CFBED7FB-5460-4899-87EB-EE1CA4BE3B26}" id="{19BDA1B9-E07E-4FD8-9A58-298F2E5F5765}">
    <text>There is no such ID on the website</text>
  </threadedComment>
  <threadedComment ref="H15" dT="2023-09-14T12:31:30.86" personId="{CFBED7FB-5460-4899-87EB-EE1CA4BE3B26}" id="{59D014D4-747A-4DE4-96E6-5AA8FEA984BB}">
    <text>Instead of using ODP ton, I used ton CO2 eq based on their information</text>
  </threadedComment>
  <threadedComment ref="A19" dT="2023-09-14T12:22:55.91" personId="{CFBED7FB-5460-4899-87EB-EE1CA4BE3B26}" id="{E1032D12-67C6-4765-8703-4600D0039D02}">
    <text>This ID on the website is different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open.undp.org/projects/00085984" TargetMode="External"/><Relationship Id="rId7" Type="http://schemas.openxmlformats.org/officeDocument/2006/relationships/vmlDrawing" Target="../drawings/vmlDrawing1.vml"/><Relationship Id="rId2" Type="http://schemas.openxmlformats.org/officeDocument/2006/relationships/hyperlink" Target="https://open.undp.org/projects/00117898" TargetMode="External"/><Relationship Id="rId1"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6" Type="http://schemas.openxmlformats.org/officeDocument/2006/relationships/hyperlink" Target="https://open.undp.org/projects/00105918" TargetMode="External"/><Relationship Id="rId5" Type="http://schemas.openxmlformats.org/officeDocument/2006/relationships/hyperlink" Target="https://open.undp.org/projects/00093849" TargetMode="External"/><Relationship Id="rId4" Type="http://schemas.openxmlformats.org/officeDocument/2006/relationships/hyperlink" Target="https://open.undp.org/projects/00093848"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2"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1"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4"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2"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1"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 Id="rId5" Type="http://schemas.openxmlformats.org/officeDocument/2006/relationships/printerSettings" Target="../printerSettings/printerSettings1.bin"/><Relationship Id="rId4"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4E4F-0AFC-46D6-97E6-4C30BF9BA353}">
  <dimension ref="A1:U25"/>
  <sheetViews>
    <sheetView showGridLines="0" tabSelected="1" topLeftCell="F1" zoomScaleNormal="50" workbookViewId="0">
      <pane ySplit="1" topLeftCell="F18" activePane="bottomLeft" state="frozen"/>
      <selection pane="bottomLeft" activeCell="I20" sqref="I20"/>
      <selection activeCell="B1" sqref="B1"/>
    </sheetView>
  </sheetViews>
  <sheetFormatPr defaultColWidth="8.85546875" defaultRowHeight="15"/>
  <cols>
    <col min="1" max="1" width="9.28515625" style="128" bestFit="1" customWidth="1"/>
    <col min="2" max="2" width="33" style="128" customWidth="1"/>
    <col min="3" max="3" width="20.7109375" style="128" customWidth="1"/>
    <col min="4" max="4" width="16.42578125" style="128" bestFit="1" customWidth="1"/>
    <col min="5" max="5" width="24.42578125" style="128" customWidth="1"/>
    <col min="6" max="6" width="20.7109375" style="128" customWidth="1"/>
    <col min="7" max="7" width="21.42578125" style="128" customWidth="1"/>
    <col min="8" max="8" width="35.42578125" style="128" customWidth="1"/>
    <col min="9" max="9" width="93.140625" style="128" customWidth="1"/>
    <col min="10" max="10" width="19.42578125" style="128" customWidth="1"/>
    <col min="11" max="11" width="18" style="128" bestFit="1" customWidth="1"/>
    <col min="12" max="12" width="12.85546875" style="128" bestFit="1" customWidth="1"/>
    <col min="13" max="13" width="8.85546875" style="128"/>
    <col min="14" max="14" width="31.7109375" style="128" bestFit="1" customWidth="1"/>
    <col min="15" max="15" width="23.7109375" style="128" customWidth="1"/>
    <col min="16" max="16" width="8.42578125" style="128" bestFit="1" customWidth="1"/>
    <col min="17" max="17" width="21.5703125" style="128" bestFit="1" customWidth="1"/>
    <col min="18" max="18" width="23.140625" style="128" bestFit="1" customWidth="1"/>
    <col min="19" max="19" width="11.28515625" style="128" bestFit="1" customWidth="1"/>
    <col min="20" max="20" width="30.28515625" style="128" bestFit="1" customWidth="1"/>
    <col min="21" max="21" width="16.7109375" style="128" bestFit="1" customWidth="1"/>
    <col min="22" max="16384" width="8.85546875" style="128"/>
  </cols>
  <sheetData>
    <row r="1" spans="1:21" ht="30">
      <c r="A1" s="141" t="s">
        <v>0</v>
      </c>
      <c r="B1" s="142" t="s">
        <v>1</v>
      </c>
      <c r="C1" s="142" t="s">
        <v>2</v>
      </c>
      <c r="D1" s="142" t="s">
        <v>3</v>
      </c>
      <c r="E1" s="141" t="s">
        <v>4</v>
      </c>
      <c r="F1" s="141" t="s">
        <v>5</v>
      </c>
      <c r="G1" s="141" t="s">
        <v>6</v>
      </c>
      <c r="H1" s="141" t="s">
        <v>7</v>
      </c>
      <c r="I1" s="141" t="s">
        <v>8</v>
      </c>
      <c r="J1" s="141" t="s">
        <v>9</v>
      </c>
      <c r="K1" s="141" t="s">
        <v>10</v>
      </c>
      <c r="L1" s="201" t="s">
        <v>11</v>
      </c>
      <c r="M1" s="202" t="s">
        <v>12</v>
      </c>
      <c r="N1" s="201" t="s">
        <v>13</v>
      </c>
      <c r="O1" s="201" t="s">
        <v>14</v>
      </c>
      <c r="P1" s="202" t="s">
        <v>15</v>
      </c>
      <c r="Q1" s="202" t="s">
        <v>16</v>
      </c>
      <c r="R1" s="203" t="s">
        <v>17</v>
      </c>
      <c r="S1" s="204" t="s">
        <v>18</v>
      </c>
      <c r="T1" s="203" t="s">
        <v>19</v>
      </c>
      <c r="U1" s="204" t="s">
        <v>20</v>
      </c>
    </row>
    <row r="2" spans="1:21" s="129" customFormat="1" ht="91.5" customHeight="1">
      <c r="A2" s="143" t="s">
        <v>21</v>
      </c>
      <c r="B2" s="144" t="s">
        <v>22</v>
      </c>
      <c r="C2" s="145" t="s">
        <v>23</v>
      </c>
      <c r="D2" s="146">
        <v>3767810</v>
      </c>
      <c r="E2" s="69" t="s">
        <v>24</v>
      </c>
      <c r="F2" s="69" t="s">
        <v>24</v>
      </c>
      <c r="G2" s="141"/>
      <c r="H2" s="209">
        <f>600/1000</f>
        <v>0.6</v>
      </c>
      <c r="I2" s="264" t="s">
        <v>25</v>
      </c>
      <c r="J2" s="147" t="s">
        <v>26</v>
      </c>
      <c r="K2" s="217">
        <v>0.5</v>
      </c>
      <c r="L2" s="205" t="s">
        <v>27</v>
      </c>
      <c r="M2" s="72"/>
      <c r="N2" s="154" t="s">
        <v>28</v>
      </c>
      <c r="O2" s="72"/>
      <c r="P2" s="72"/>
      <c r="Q2" s="72"/>
      <c r="R2" s="72"/>
      <c r="S2" s="68" t="s">
        <v>29</v>
      </c>
      <c r="T2" s="72"/>
      <c r="U2" s="68"/>
    </row>
    <row r="3" spans="1:21" ht="106.5">
      <c r="A3" s="148"/>
      <c r="B3" s="149"/>
      <c r="C3" s="150"/>
      <c r="D3" s="151"/>
      <c r="E3" s="152" t="s">
        <v>19</v>
      </c>
      <c r="F3" s="69" t="s">
        <v>30</v>
      </c>
      <c r="G3" s="141"/>
      <c r="H3" s="219" t="s">
        <v>31</v>
      </c>
      <c r="I3" s="222"/>
      <c r="J3" s="153"/>
      <c r="K3" s="199"/>
      <c r="L3" s="205" t="s">
        <v>27</v>
      </c>
      <c r="M3" s="72"/>
      <c r="N3" s="154" t="s">
        <v>28</v>
      </c>
      <c r="O3" s="72" t="s">
        <v>32</v>
      </c>
      <c r="P3" s="72"/>
      <c r="Q3" s="72" t="s">
        <v>33</v>
      </c>
      <c r="R3" s="72" t="s">
        <v>32</v>
      </c>
      <c r="S3" s="68"/>
      <c r="T3" s="72" t="s">
        <v>34</v>
      </c>
      <c r="U3" s="68"/>
    </row>
    <row r="4" spans="1:21" ht="154.5" customHeight="1">
      <c r="A4" s="155"/>
      <c r="B4" s="156"/>
      <c r="C4" s="157"/>
      <c r="D4" s="158"/>
      <c r="E4" t="s">
        <v>35</v>
      </c>
      <c r="F4" s="154" t="s">
        <v>36</v>
      </c>
      <c r="G4" s="141"/>
      <c r="H4" s="216" t="s">
        <v>37</v>
      </c>
      <c r="I4" s="222"/>
      <c r="J4" s="159"/>
      <c r="K4" s="199"/>
      <c r="L4" s="205" t="s">
        <v>27</v>
      </c>
      <c r="M4" s="72"/>
      <c r="N4" s="154" t="s">
        <v>28</v>
      </c>
      <c r="O4" s="72"/>
      <c r="P4" s="72"/>
      <c r="Q4" s="72"/>
      <c r="R4" s="72"/>
      <c r="S4" s="68"/>
      <c r="T4" s="72"/>
      <c r="U4" s="68"/>
    </row>
    <row r="5" spans="1:21" s="129" customFormat="1" ht="60.75">
      <c r="A5" s="160" t="s">
        <v>38</v>
      </c>
      <c r="B5" s="161" t="s">
        <v>39</v>
      </c>
      <c r="C5" s="162"/>
      <c r="D5" s="163">
        <v>1788991</v>
      </c>
      <c r="E5" s="164" t="s">
        <v>40</v>
      </c>
      <c r="F5" s="165" t="s">
        <v>41</v>
      </c>
      <c r="G5" s="141"/>
      <c r="H5" s="209">
        <v>672600</v>
      </c>
      <c r="I5" s="221" t="s">
        <v>42</v>
      </c>
      <c r="J5" s="200" t="s">
        <v>26</v>
      </c>
      <c r="K5" s="217">
        <v>0.5</v>
      </c>
      <c r="L5" s="205" t="s">
        <v>27</v>
      </c>
      <c r="M5" s="72"/>
      <c r="N5" s="154" t="s">
        <v>28</v>
      </c>
      <c r="O5" s="72"/>
      <c r="P5" s="72"/>
      <c r="Q5" s="72"/>
      <c r="R5" s="72"/>
      <c r="S5" s="68"/>
      <c r="T5" s="72"/>
      <c r="U5" s="68"/>
    </row>
    <row r="6" spans="1:21" ht="81" customHeight="1">
      <c r="A6" s="166"/>
      <c r="B6" s="167"/>
      <c r="C6" s="167"/>
      <c r="D6" s="168"/>
      <c r="E6" t="s">
        <v>35</v>
      </c>
      <c r="F6" s="69" t="s">
        <v>43</v>
      </c>
      <c r="G6" s="141">
        <v>0</v>
      </c>
      <c r="H6" s="209" t="s">
        <v>44</v>
      </c>
      <c r="I6" s="222"/>
      <c r="J6" s="153"/>
      <c r="K6" s="199"/>
      <c r="L6" s="205" t="s">
        <v>27</v>
      </c>
      <c r="M6" s="72"/>
      <c r="N6" s="154" t="s">
        <v>28</v>
      </c>
      <c r="O6" s="72"/>
      <c r="P6" s="72"/>
      <c r="Q6" s="72"/>
      <c r="R6" s="72"/>
      <c r="S6" s="68"/>
      <c r="T6" s="72"/>
      <c r="U6" s="68"/>
    </row>
    <row r="7" spans="1:21" ht="81" customHeight="1">
      <c r="A7" s="210"/>
      <c r="B7" s="211"/>
      <c r="C7" s="211"/>
      <c r="D7" s="211"/>
      <c r="E7" s="213" t="str">
        <f>'Beneficiary Categories'!A3</f>
        <v>Energy (MW added)</v>
      </c>
      <c r="F7" s="214" t="str">
        <f>'Beneficiary Categories'!B3</f>
        <v>Number of MW installed capacity</v>
      </c>
      <c r="G7" s="215">
        <v>0</v>
      </c>
      <c r="H7" s="209">
        <v>0.03</v>
      </c>
      <c r="I7" s="222"/>
      <c r="J7" s="153"/>
      <c r="K7" s="199"/>
      <c r="L7" s="205"/>
      <c r="M7" s="72"/>
      <c r="N7" s="154"/>
      <c r="O7" s="72"/>
      <c r="P7" s="72"/>
      <c r="Q7" s="72"/>
      <c r="R7" s="72"/>
      <c r="S7" s="68"/>
      <c r="T7" s="72"/>
      <c r="U7" s="68"/>
    </row>
    <row r="8" spans="1:21" ht="200.25" customHeight="1">
      <c r="A8" s="169"/>
      <c r="B8" s="170"/>
      <c r="C8" s="170"/>
      <c r="D8" s="171"/>
      <c r="E8" s="212" t="s">
        <v>45</v>
      </c>
      <c r="F8" s="173" t="s">
        <v>46</v>
      </c>
      <c r="G8" s="141">
        <v>0</v>
      </c>
      <c r="H8" s="69">
        <v>200</v>
      </c>
      <c r="I8" s="222"/>
      <c r="J8" s="159"/>
      <c r="K8" s="199"/>
      <c r="L8" s="205" t="s">
        <v>27</v>
      </c>
      <c r="M8" s="72"/>
      <c r="N8" s="154" t="s">
        <v>28</v>
      </c>
      <c r="O8" s="72"/>
      <c r="P8" s="72"/>
      <c r="Q8" s="72"/>
      <c r="R8" s="72"/>
      <c r="S8" s="68"/>
      <c r="T8" s="72"/>
      <c r="U8" s="68"/>
    </row>
    <row r="9" spans="1:21" s="126" customFormat="1" ht="91.5">
      <c r="A9" s="174">
        <v>93848</v>
      </c>
      <c r="B9" s="175" t="s">
        <v>47</v>
      </c>
      <c r="C9" s="206" t="s">
        <v>48</v>
      </c>
      <c r="D9" s="146">
        <v>9212322</v>
      </c>
      <c r="E9" s="69" t="s">
        <v>24</v>
      </c>
      <c r="F9" s="69" t="s">
        <v>24</v>
      </c>
      <c r="G9" s="69">
        <v>0</v>
      </c>
      <c r="H9" s="209">
        <v>0.06</v>
      </c>
      <c r="I9" s="173" t="s">
        <v>49</v>
      </c>
      <c r="J9" s="164" t="s">
        <v>50</v>
      </c>
      <c r="K9" s="217">
        <v>0.5</v>
      </c>
      <c r="L9" s="205" t="s">
        <v>27</v>
      </c>
      <c r="M9" s="72"/>
      <c r="N9" s="154" t="s">
        <v>51</v>
      </c>
      <c r="O9" s="72"/>
      <c r="P9" s="72"/>
      <c r="Q9" s="72"/>
      <c r="R9" s="72"/>
      <c r="S9" s="68" t="s">
        <v>29</v>
      </c>
      <c r="T9" s="72"/>
      <c r="U9" s="68"/>
    </row>
    <row r="10" spans="1:21" s="127" customFormat="1" ht="30.75">
      <c r="A10" s="177"/>
      <c r="B10" s="178"/>
      <c r="C10" s="179"/>
      <c r="D10" s="180"/>
      <c r="E10" s="154" t="s">
        <v>52</v>
      </c>
      <c r="F10" s="69" t="s">
        <v>24</v>
      </c>
      <c r="G10" s="69">
        <v>0</v>
      </c>
      <c r="H10" s="209">
        <v>0.15</v>
      </c>
      <c r="I10" s="69" t="s">
        <v>53</v>
      </c>
      <c r="J10" s="181"/>
      <c r="K10" s="63"/>
      <c r="L10" s="205" t="s">
        <v>27</v>
      </c>
      <c r="M10" s="72"/>
      <c r="N10" s="154" t="s">
        <v>51</v>
      </c>
      <c r="O10" s="72"/>
      <c r="P10" s="72"/>
      <c r="Q10" s="72"/>
      <c r="R10" s="72"/>
      <c r="S10" s="68"/>
      <c r="T10" s="72"/>
      <c r="U10" s="68"/>
    </row>
    <row r="11" spans="1:21" s="127" customFormat="1" ht="45.75">
      <c r="A11" s="182"/>
      <c r="B11" s="183"/>
      <c r="C11" s="184"/>
      <c r="D11" s="185"/>
      <c r="E11" s="154" t="s">
        <v>52</v>
      </c>
      <c r="F11" s="69" t="s">
        <v>24</v>
      </c>
      <c r="G11" s="69">
        <v>0</v>
      </c>
      <c r="H11" s="209">
        <v>3.5999999999999997E-2</v>
      </c>
      <c r="I11" s="69" t="s">
        <v>54</v>
      </c>
      <c r="J11" s="186"/>
      <c r="K11" s="63"/>
      <c r="L11" s="205" t="s">
        <v>27</v>
      </c>
      <c r="M11" s="72"/>
      <c r="N11" s="154" t="s">
        <v>51</v>
      </c>
      <c r="O11" s="72"/>
      <c r="P11" s="72"/>
      <c r="Q11" s="72"/>
      <c r="R11" s="72"/>
      <c r="S11" s="68"/>
      <c r="T11" s="72"/>
      <c r="U11" s="68"/>
    </row>
    <row r="12" spans="1:21" ht="78" customHeight="1">
      <c r="A12" s="187" t="s">
        <v>55</v>
      </c>
      <c r="B12" s="188" t="s">
        <v>56</v>
      </c>
      <c r="C12" s="189" t="s">
        <v>57</v>
      </c>
      <c r="D12" s="190">
        <v>35200000</v>
      </c>
      <c r="E12" s="69" t="s">
        <v>24</v>
      </c>
      <c r="F12" s="69" t="s">
        <v>58</v>
      </c>
      <c r="G12" s="69" t="s">
        <v>59</v>
      </c>
      <c r="H12" s="69">
        <v>1.1200000000000001</v>
      </c>
      <c r="I12" s="69" t="s">
        <v>60</v>
      </c>
      <c r="J12" s="69" t="s">
        <v>61</v>
      </c>
      <c r="K12" s="218">
        <v>0.5</v>
      </c>
      <c r="L12" s="205" t="s">
        <v>27</v>
      </c>
      <c r="M12" s="72"/>
      <c r="N12" s="154" t="s">
        <v>28</v>
      </c>
      <c r="O12" s="72"/>
      <c r="P12" s="72"/>
      <c r="Q12" s="72"/>
      <c r="R12" s="72"/>
      <c r="S12" s="68" t="s">
        <v>29</v>
      </c>
      <c r="T12" s="72"/>
      <c r="U12" s="68"/>
    </row>
    <row r="13" spans="1:21" ht="91.5">
      <c r="A13" s="166"/>
      <c r="B13" s="178"/>
      <c r="C13" s="180"/>
      <c r="D13" s="191">
        <v>7000000</v>
      </c>
      <c r="E13" s="69" t="s">
        <v>62</v>
      </c>
      <c r="F13" s="69" t="s">
        <v>63</v>
      </c>
      <c r="G13" s="69" t="s">
        <v>59</v>
      </c>
      <c r="H13" s="209">
        <v>1463</v>
      </c>
      <c r="I13" s="69" t="s">
        <v>64</v>
      </c>
      <c r="J13" s="181"/>
      <c r="K13" s="69"/>
      <c r="L13" s="205" t="s">
        <v>27</v>
      </c>
      <c r="M13" s="72"/>
      <c r="N13" s="154" t="s">
        <v>28</v>
      </c>
      <c r="O13" s="72"/>
      <c r="P13" s="72"/>
      <c r="Q13" s="72"/>
      <c r="R13" s="72"/>
      <c r="S13" s="68"/>
      <c r="T13" s="72"/>
      <c r="U13" s="68"/>
    </row>
    <row r="14" spans="1:21" ht="75">
      <c r="A14" s="169"/>
      <c r="B14" s="183"/>
      <c r="C14" s="185"/>
      <c r="D14" s="191">
        <v>1300000</v>
      </c>
      <c r="E14" s="69" t="s">
        <v>24</v>
      </c>
      <c r="F14" s="69" t="s">
        <v>65</v>
      </c>
      <c r="G14" s="69" t="s">
        <v>59</v>
      </c>
      <c r="H14" s="69">
        <v>0.35</v>
      </c>
      <c r="I14" s="69" t="s">
        <v>66</v>
      </c>
      <c r="J14" s="186"/>
      <c r="K14" s="69"/>
      <c r="L14" s="205" t="s">
        <v>27</v>
      </c>
      <c r="M14" s="72"/>
      <c r="N14" s="154" t="s">
        <v>28</v>
      </c>
      <c r="O14" s="72"/>
      <c r="P14" s="72"/>
      <c r="Q14" s="72"/>
      <c r="R14" s="72"/>
      <c r="S14" s="68" t="s">
        <v>29</v>
      </c>
      <c r="T14" s="72"/>
      <c r="U14" s="68"/>
    </row>
    <row r="15" spans="1:21" ht="106.5">
      <c r="A15" s="164" t="s">
        <v>67</v>
      </c>
      <c r="B15" s="161" t="s">
        <v>68</v>
      </c>
      <c r="C15" s="131" t="s">
        <v>69</v>
      </c>
      <c r="D15" s="192">
        <v>5356014</v>
      </c>
      <c r="E15" t="s">
        <v>35</v>
      </c>
      <c r="F15" s="69" t="s">
        <v>70</v>
      </c>
      <c r="G15" s="192"/>
      <c r="H15" s="216" t="s">
        <v>71</v>
      </c>
      <c r="I15" s="69" t="s">
        <v>72</v>
      </c>
      <c r="J15" s="176" t="s">
        <v>73</v>
      </c>
      <c r="K15" s="69"/>
      <c r="L15" s="205" t="s">
        <v>27</v>
      </c>
      <c r="M15" s="72"/>
      <c r="N15" s="154" t="s">
        <v>28</v>
      </c>
      <c r="O15" s="72"/>
      <c r="P15" s="72"/>
      <c r="Q15" s="72"/>
      <c r="R15" s="72"/>
      <c r="S15" s="68"/>
      <c r="T15" s="72"/>
      <c r="U15" s="68"/>
    </row>
    <row r="16" spans="1:21" ht="135">
      <c r="A16" s="132"/>
      <c r="B16" s="133"/>
      <c r="C16" s="133"/>
      <c r="D16" s="134"/>
      <c r="E16" s="69" t="s">
        <v>74</v>
      </c>
      <c r="F16" s="69" t="s">
        <v>75</v>
      </c>
      <c r="G16" s="192">
        <v>30268</v>
      </c>
      <c r="H16" s="192">
        <v>110000</v>
      </c>
      <c r="I16" s="69" t="s">
        <v>76</v>
      </c>
      <c r="J16" s="193"/>
      <c r="K16" s="194">
        <v>0.4</v>
      </c>
      <c r="L16" s="205" t="s">
        <v>27</v>
      </c>
      <c r="M16" s="72"/>
      <c r="N16" s="154" t="s">
        <v>28</v>
      </c>
      <c r="O16" s="72"/>
      <c r="P16" s="72"/>
      <c r="Q16" s="72"/>
      <c r="R16" s="72"/>
      <c r="S16" s="68"/>
      <c r="T16" s="72"/>
      <c r="U16" s="68"/>
    </row>
    <row r="17" spans="1:21" s="129" customFormat="1" ht="105">
      <c r="A17" s="135"/>
      <c r="B17" s="136"/>
      <c r="C17" s="136"/>
      <c r="D17" s="137"/>
      <c r="E17" s="69" t="s">
        <v>77</v>
      </c>
      <c r="F17" s="69" t="s">
        <v>78</v>
      </c>
      <c r="G17" s="69"/>
      <c r="H17" s="192">
        <v>6</v>
      </c>
      <c r="I17" s="69" t="s">
        <v>79</v>
      </c>
      <c r="J17" s="193"/>
      <c r="K17" s="69"/>
      <c r="L17" s="205" t="s">
        <v>27</v>
      </c>
      <c r="M17" s="72"/>
      <c r="N17" s="154" t="s">
        <v>28</v>
      </c>
      <c r="O17" s="72"/>
      <c r="P17" s="72"/>
      <c r="Q17" s="72"/>
      <c r="R17" s="72"/>
      <c r="S17" s="68"/>
      <c r="T17" s="72"/>
      <c r="U17" s="68"/>
    </row>
    <row r="18" spans="1:21" ht="75">
      <c r="A18" s="138"/>
      <c r="B18" s="139"/>
      <c r="C18" s="139"/>
      <c r="D18" s="140"/>
      <c r="E18" s="69" t="s">
        <v>45</v>
      </c>
      <c r="F18" s="69" t="s">
        <v>80</v>
      </c>
      <c r="G18" s="69"/>
      <c r="H18" s="69">
        <v>1220</v>
      </c>
      <c r="I18" s="69" t="s">
        <v>81</v>
      </c>
      <c r="J18" s="186"/>
      <c r="K18" s="69"/>
      <c r="L18" s="205" t="s">
        <v>27</v>
      </c>
      <c r="M18" s="72"/>
      <c r="N18" s="154" t="s">
        <v>28</v>
      </c>
      <c r="O18" s="72"/>
      <c r="P18" s="72"/>
      <c r="Q18" s="72"/>
      <c r="R18" s="72"/>
      <c r="S18" s="68"/>
      <c r="T18" s="72"/>
      <c r="U18" s="68"/>
    </row>
    <row r="19" spans="1:21" ht="198">
      <c r="A19" s="195" t="s">
        <v>82</v>
      </c>
      <c r="B19" s="141" t="s">
        <v>83</v>
      </c>
      <c r="C19" s="69"/>
      <c r="D19" s="192">
        <v>475000</v>
      </c>
      <c r="E19" s="69" t="s">
        <v>19</v>
      </c>
      <c r="F19" s="69" t="s">
        <v>84</v>
      </c>
      <c r="G19" s="69"/>
      <c r="H19" s="219" t="s">
        <v>85</v>
      </c>
      <c r="I19" s="69" t="s">
        <v>86</v>
      </c>
      <c r="J19" s="69" t="s">
        <v>87</v>
      </c>
      <c r="K19" s="218">
        <v>0.5</v>
      </c>
      <c r="L19" s="205" t="s">
        <v>27</v>
      </c>
      <c r="M19" s="72"/>
      <c r="N19" s="154" t="s">
        <v>28</v>
      </c>
      <c r="O19" s="72" t="s">
        <v>32</v>
      </c>
      <c r="P19" s="72"/>
      <c r="Q19" s="72" t="s">
        <v>88</v>
      </c>
      <c r="R19" s="72" t="s">
        <v>89</v>
      </c>
      <c r="S19" s="68"/>
      <c r="T19" s="72" t="s">
        <v>34</v>
      </c>
      <c r="U19" s="68"/>
    </row>
    <row r="20" spans="1:21" s="129" customFormat="1" ht="106.5">
      <c r="A20" s="69">
        <v>93849</v>
      </c>
      <c r="B20" s="141" t="s">
        <v>90</v>
      </c>
      <c r="C20" s="207" t="s">
        <v>91</v>
      </c>
      <c r="D20" s="192">
        <v>150000</v>
      </c>
      <c r="E20" s="69" t="s">
        <v>92</v>
      </c>
      <c r="F20" s="69" t="s">
        <v>93</v>
      </c>
      <c r="G20" s="69">
        <v>0</v>
      </c>
      <c r="H20" s="69">
        <f>5000*4.5</f>
        <v>22500</v>
      </c>
      <c r="I20" s="69" t="s">
        <v>94</v>
      </c>
      <c r="J20" s="172" t="s">
        <v>95</v>
      </c>
      <c r="K20" s="69"/>
      <c r="L20" s="205" t="s">
        <v>27</v>
      </c>
      <c r="M20" s="72"/>
      <c r="N20" s="154" t="s">
        <v>28</v>
      </c>
      <c r="O20" s="72"/>
      <c r="P20" s="72"/>
      <c r="Q20" s="72"/>
      <c r="R20" s="72"/>
      <c r="S20" s="68"/>
      <c r="T20" s="72"/>
      <c r="U20" s="68"/>
    </row>
    <row r="21" spans="1:21" s="129" customFormat="1" ht="120">
      <c r="A21" s="69"/>
      <c r="B21" s="69" t="s">
        <v>96</v>
      </c>
      <c r="C21" s="192"/>
      <c r="D21" s="192">
        <v>600000</v>
      </c>
      <c r="E21" s="69" t="s">
        <v>62</v>
      </c>
      <c r="F21" s="69" t="s">
        <v>97</v>
      </c>
      <c r="G21" s="194">
        <v>0.7</v>
      </c>
      <c r="H21" s="69">
        <v>5000</v>
      </c>
      <c r="I21" s="69" t="s">
        <v>98</v>
      </c>
      <c r="J21" s="172" t="s">
        <v>99</v>
      </c>
      <c r="K21" s="69"/>
      <c r="L21" s="205" t="s">
        <v>27</v>
      </c>
      <c r="M21" s="72"/>
      <c r="N21" s="154" t="s">
        <v>28</v>
      </c>
      <c r="O21" s="72"/>
      <c r="P21" s="72"/>
      <c r="Q21" s="72"/>
      <c r="R21" s="72"/>
      <c r="S21" s="68"/>
      <c r="T21" s="72"/>
      <c r="U21" s="68"/>
    </row>
    <row r="22" spans="1:21" s="129" customFormat="1" ht="90">
      <c r="A22" s="69"/>
      <c r="B22" s="69" t="s">
        <v>100</v>
      </c>
      <c r="C22" s="69"/>
      <c r="D22" s="192">
        <v>300000</v>
      </c>
      <c r="E22" s="69" t="s">
        <v>19</v>
      </c>
      <c r="F22" s="69" t="s">
        <v>101</v>
      </c>
      <c r="G22" s="69">
        <v>0</v>
      </c>
      <c r="H22" s="69">
        <v>1</v>
      </c>
      <c r="I22" s="69" t="s">
        <v>102</v>
      </c>
      <c r="J22" s="172" t="s">
        <v>99</v>
      </c>
      <c r="K22" s="69"/>
      <c r="L22" s="205" t="s">
        <v>27</v>
      </c>
      <c r="M22" s="72"/>
      <c r="N22" s="154" t="s">
        <v>28</v>
      </c>
      <c r="O22" s="72" t="s">
        <v>32</v>
      </c>
      <c r="P22" s="72"/>
      <c r="Q22" s="72" t="s">
        <v>103</v>
      </c>
      <c r="R22" s="72" t="s">
        <v>104</v>
      </c>
      <c r="S22" s="68"/>
      <c r="T22" s="72" t="s">
        <v>34</v>
      </c>
      <c r="U22" s="68"/>
    </row>
    <row r="23" spans="1:21" ht="144" customHeight="1">
      <c r="A23" s="69"/>
      <c r="B23" s="69" t="s">
        <v>105</v>
      </c>
      <c r="C23" s="192"/>
      <c r="D23" s="196">
        <v>160000</v>
      </c>
      <c r="E23" s="69" t="s">
        <v>19</v>
      </c>
      <c r="F23" s="69" t="s">
        <v>106</v>
      </c>
      <c r="G23" s="69">
        <v>1</v>
      </c>
      <c r="H23" s="69">
        <v>3</v>
      </c>
      <c r="I23" s="69" t="s">
        <v>107</v>
      </c>
      <c r="J23" s="172" t="s">
        <v>99</v>
      </c>
      <c r="K23" s="69"/>
      <c r="L23" s="205" t="s">
        <v>27</v>
      </c>
      <c r="M23" s="72"/>
      <c r="N23" s="154" t="s">
        <v>28</v>
      </c>
      <c r="O23" s="72" t="s">
        <v>108</v>
      </c>
      <c r="P23" s="72"/>
      <c r="Q23" s="72" t="s">
        <v>33</v>
      </c>
      <c r="R23" s="72" t="s">
        <v>89</v>
      </c>
      <c r="S23" s="68"/>
      <c r="T23" s="72" t="s">
        <v>34</v>
      </c>
      <c r="U23" s="68"/>
    </row>
    <row r="24" spans="1:21" s="129" customFormat="1" ht="121.5">
      <c r="A24" s="69"/>
      <c r="B24" s="69" t="s">
        <v>109</v>
      </c>
      <c r="C24" s="130"/>
      <c r="D24" s="196">
        <v>1250000</v>
      </c>
      <c r="E24" s="69" t="s">
        <v>110</v>
      </c>
      <c r="F24" s="69" t="s">
        <v>111</v>
      </c>
      <c r="G24" s="69">
        <v>326</v>
      </c>
      <c r="H24" s="69">
        <v>2000</v>
      </c>
      <c r="I24" s="69" t="s">
        <v>112</v>
      </c>
      <c r="J24" s="172" t="s">
        <v>99</v>
      </c>
      <c r="K24" s="69"/>
      <c r="L24" s="205" t="s">
        <v>27</v>
      </c>
      <c r="M24" s="72"/>
      <c r="N24" s="154" t="s">
        <v>28</v>
      </c>
      <c r="O24" s="72"/>
      <c r="P24" s="72"/>
      <c r="Q24" s="72"/>
      <c r="R24" s="72"/>
      <c r="S24" s="68"/>
      <c r="T24" s="72"/>
      <c r="U24" s="68"/>
    </row>
    <row r="25" spans="1:21" ht="275.25">
      <c r="A25" s="69">
        <v>105918</v>
      </c>
      <c r="B25" s="69" t="s">
        <v>113</v>
      </c>
      <c r="C25" s="208" t="s">
        <v>114</v>
      </c>
      <c r="D25" s="192">
        <v>489000</v>
      </c>
      <c r="E25" s="69" t="s">
        <v>19</v>
      </c>
      <c r="F25" s="220" t="s">
        <v>115</v>
      </c>
      <c r="G25" s="220" t="s">
        <v>116</v>
      </c>
      <c r="H25" s="69"/>
      <c r="I25" s="69" t="s">
        <v>117</v>
      </c>
      <c r="J25" s="172" t="s">
        <v>26</v>
      </c>
      <c r="K25" s="218">
        <v>0.5</v>
      </c>
      <c r="L25" s="205" t="s">
        <v>27</v>
      </c>
      <c r="M25" s="72"/>
      <c r="N25" s="154" t="s">
        <v>28</v>
      </c>
      <c r="O25" s="72" t="s">
        <v>32</v>
      </c>
      <c r="P25" s="72"/>
      <c r="Q25" s="72" t="s">
        <v>88</v>
      </c>
      <c r="R25" s="72" t="s">
        <v>89</v>
      </c>
      <c r="S25" s="68"/>
      <c r="T25" s="72" t="s">
        <v>34</v>
      </c>
      <c r="U25" s="68"/>
    </row>
  </sheetData>
  <mergeCells count="2">
    <mergeCell ref="I5:I8"/>
    <mergeCell ref="I2:I4"/>
  </mergeCells>
  <phoneticPr fontId="7" type="noConversion"/>
  <dataValidations count="9">
    <dataValidation type="list" allowBlank="1" showInputMessage="1" showErrorMessage="1" sqref="Q2:Q25" xr:uid="{50BC6D76-B0DE-424B-A0F5-F3C85CF484BB}">
      <formula1>"NDC Support, National Strategy, Legal Framework,Incentives and Support, Government Capacity-Building, Carbon Pricing and Monitoring, Financing Model, Business Model"</formula1>
    </dataValidation>
    <dataValidation type="list" allowBlank="1" showInputMessage="1" showErrorMessage="1" sqref="P2:P25" xr:uid="{62483C04-38BE-4F6D-B81D-E1F3BC42C93A}">
      <formula1>"AMP, PUDC, Solar4Health, Action Opportunities, Italy UNDP Energy Partnership"</formula1>
    </dataValidation>
    <dataValidation type="list" allowBlank="1" showInputMessage="1" showErrorMessage="1" sqref="N2:N25" xr:uid="{08FCFAEA-6806-46C6-962B-8245A865ECF4}">
      <formula1>"Accelerating just energy transition, Close the gap on energy access, Scale up energy finance"</formula1>
    </dataValidation>
    <dataValidation type="list" allowBlank="1" showInputMessage="1" showErrorMessage="1" sqref="O2:O25" xr:uid="{CBE1B3B5-5FA1-4DA6-AA75-48A7E29C1A64}">
      <formula1>"Electricity Access, Energy Efficiency, Clean Cooking, Renewable Energy, Overall"</formula1>
    </dataValidation>
    <dataValidation type="list" allowBlank="1" showInputMessage="1" showErrorMessage="1" sqref="L2:L25" xr:uid="{07A695C6-F7C4-4590-B736-45B3A80CC5E9}">
      <formula1>"Non-VF, VF"</formula1>
    </dataValidation>
    <dataValidation type="list" allowBlank="1" showInputMessage="1" showErrorMessage="1" sqref="M2:M25" xr:uid="{25115A9B-B357-42FD-B1AC-232114B311C3}">
      <formula1>"Finance, Gender, Efficiency, Just, Health"</formula1>
    </dataValidation>
    <dataValidation type="list" allowBlank="1" showInputMessage="1" showErrorMessage="1" sqref="T2:T25" xr:uid="{2F04C272-1E8B-47DF-A0A3-277723DA9DED}">
      <formula1>"National, Regional, City, Community"</formula1>
    </dataValidation>
    <dataValidation type="list" allowBlank="1" showInputMessage="1" showErrorMessage="1" sqref="S2:S25" xr:uid="{32854381-4DCD-4E29-9E8B-45CF8418AA7A}">
      <formula1>"Solar, Wind, Bioenergy, Hydro, Geothermal, Waste, Other, Unknown"</formula1>
    </dataValidation>
    <dataValidation type="list" allowBlank="1" showInputMessage="1" showErrorMessage="1" sqref="R2:R25" xr:uid="{064C5753-C5FB-40A5-96E4-2253C486FFE0}">
      <formula1>"Electricity Access, Energy Efficiency, Renewable Energy, Infrastructure,  Transport, Digital &amp; Data, Clean Cooking, Decarbonization, Hydrogen, Off-Grid, On-Grid, Research &amp; Innovation, Grant &amp; Investment"</formula1>
    </dataValidation>
  </dataValidations>
  <hyperlinks>
    <hyperlink ref="C15" r:id="rId1" display="HPMP II (AC Unit)" xr:uid="{ACE86EB8-CF9E-4242-B2CD-7BAFAD17151A}"/>
    <hyperlink ref="C2:C4" r:id="rId2" display="https://open.undp.org/projects/00117898" xr:uid="{3277A9E4-BD92-4AFB-8573-4567E8BDAFA0}"/>
    <hyperlink ref="C12" r:id="rId3" xr:uid="{74EF9CA8-7A6E-4FA1-B9EF-6E1DC13A2A73}"/>
    <hyperlink ref="C9" r:id="rId4" xr:uid="{FE483E24-F0BE-4EAB-8EB4-866373D3F2A8}"/>
    <hyperlink ref="C20" r:id="rId5" xr:uid="{9D78E2DE-2D6F-4D16-8261-3E6C23E43D87}"/>
    <hyperlink ref="C25" r:id="rId6" xr:uid="{DEA73ED1-834B-41E0-B669-B5199BF88860}"/>
  </hyperlinks>
  <pageMargins left="0.7" right="0.7" top="0.75" bottom="0.75" header="0.3" footer="0.3"/>
  <pageSetup paperSize="9" orientation="portrait"/>
  <legacyDrawing r:id="rId7"/>
  <extLst>
    <ext xmlns:x14="http://schemas.microsoft.com/office/spreadsheetml/2009/9/main" uri="{CCE6A557-97BC-4b89-ADB6-D9C93CAAB3DF}">
      <x14:dataValidations xmlns:xm="http://schemas.microsoft.com/office/excel/2006/main" count="2">
        <x14:dataValidation type="list" allowBlank="1" showInputMessage="1" showErrorMessage="1" xr:uid="{3CCB771B-36CC-40F5-9D72-FEFC63C08335}">
          <x14:formula1>
            <xm:f>'Beneficiary Categories'!$A$2:$A$16</xm:f>
          </x14:formula1>
          <xm:sqref>F9:F11 F2</xm:sqref>
        </x14:dataValidation>
        <x14:dataValidation type="list" allowBlank="1" showInputMessage="1" showErrorMessage="1" xr:uid="{4E9ADF49-5F72-4534-9020-A6DCAA2AA448}">
          <x14:formula1>
            <xm:f>'Beneficiary Categories'!$A$2:$A$22</xm:f>
          </x14:formula1>
          <xm:sqref>E2:E25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3DB6-E091-4CF4-AC1B-DD9D21C57768}">
  <dimension ref="A1:M24"/>
  <sheetViews>
    <sheetView topLeftCell="B1" zoomScale="50" zoomScaleNormal="50" workbookViewId="0">
      <pane ySplit="1" topLeftCell="A2" activePane="bottomLeft" state="frozen"/>
      <selection pane="bottomLeft" activeCell="H2" sqref="H2"/>
      <selection activeCell="B1" sqref="B1"/>
    </sheetView>
  </sheetViews>
  <sheetFormatPr defaultColWidth="8.85546875" defaultRowHeight="15"/>
  <cols>
    <col min="1" max="1" width="9.28515625" bestFit="1" customWidth="1"/>
    <col min="2" max="2" width="33" customWidth="1"/>
    <col min="3" max="3" width="20.7109375" customWidth="1"/>
    <col min="4" max="4" width="16.42578125" bestFit="1" customWidth="1"/>
    <col min="5" max="5" width="20.7109375" customWidth="1"/>
    <col min="6" max="6" width="18.28515625" style="15" customWidth="1"/>
    <col min="7" max="7" width="35.42578125" style="16" customWidth="1"/>
    <col min="8" max="8" width="20.7109375" customWidth="1"/>
    <col min="9" max="9" width="25.5703125" customWidth="1"/>
    <col min="10" max="10" width="19.42578125" customWidth="1"/>
    <col min="11" max="12" width="9.140625"/>
    <col min="13" max="13" width="42.7109375" customWidth="1"/>
  </cols>
  <sheetData>
    <row r="1" spans="1:13">
      <c r="A1" s="60" t="s">
        <v>0</v>
      </c>
      <c r="B1" s="61" t="s">
        <v>1</v>
      </c>
      <c r="C1" s="61" t="s">
        <v>2</v>
      </c>
      <c r="D1" s="82" t="s">
        <v>118</v>
      </c>
      <c r="E1" s="60" t="s">
        <v>4</v>
      </c>
      <c r="F1" s="60" t="s">
        <v>6</v>
      </c>
      <c r="G1" s="60" t="s">
        <v>7</v>
      </c>
      <c r="H1" s="60" t="s">
        <v>5</v>
      </c>
      <c r="I1" s="60" t="s">
        <v>8</v>
      </c>
      <c r="J1" s="38" t="s">
        <v>9</v>
      </c>
      <c r="K1" s="38" t="s">
        <v>10</v>
      </c>
      <c r="L1" s="38" t="s">
        <v>119</v>
      </c>
      <c r="M1" s="117" t="s">
        <v>120</v>
      </c>
    </row>
    <row r="2" spans="1:13" s="92" customFormat="1" ht="91.5" customHeight="1">
      <c r="A2" s="243" t="s">
        <v>121</v>
      </c>
      <c r="B2" s="246" t="s">
        <v>22</v>
      </c>
      <c r="C2" s="236"/>
      <c r="D2" s="239" t="s">
        <v>122</v>
      </c>
      <c r="E2" s="88" t="s">
        <v>24</v>
      </c>
      <c r="F2" s="89"/>
      <c r="G2" s="90" t="s">
        <v>123</v>
      </c>
      <c r="H2" s="91" t="s">
        <v>124</v>
      </c>
      <c r="I2" s="265" t="s">
        <v>125</v>
      </c>
      <c r="J2" s="223" t="s">
        <v>26</v>
      </c>
      <c r="K2" s="228"/>
      <c r="L2" s="225" t="s">
        <v>126</v>
      </c>
      <c r="M2" s="118" t="s">
        <v>127</v>
      </c>
    </row>
    <row r="3" spans="1:13" ht="45">
      <c r="A3" s="244"/>
      <c r="B3" s="247"/>
      <c r="C3" s="237"/>
      <c r="D3" s="240"/>
      <c r="E3" s="65" t="s">
        <v>128</v>
      </c>
      <c r="F3" s="66"/>
      <c r="G3" s="74"/>
      <c r="H3" s="64" t="s">
        <v>30</v>
      </c>
      <c r="I3" s="233"/>
      <c r="J3" s="224"/>
      <c r="K3" s="229"/>
      <c r="L3" s="226"/>
      <c r="M3" s="119"/>
    </row>
    <row r="4" spans="1:13" ht="45">
      <c r="A4" s="245"/>
      <c r="B4" s="248"/>
      <c r="C4" s="238"/>
      <c r="D4" s="241"/>
      <c r="E4" s="67" t="s">
        <v>129</v>
      </c>
      <c r="F4" s="60"/>
      <c r="G4" s="74">
        <v>1573000</v>
      </c>
      <c r="H4" s="64" t="s">
        <v>36</v>
      </c>
      <c r="I4" s="234"/>
      <c r="J4" s="224"/>
      <c r="K4" s="229"/>
      <c r="L4" s="226"/>
      <c r="M4" s="119"/>
    </row>
    <row r="5" spans="1:13" s="92" customFormat="1" ht="75">
      <c r="A5" s="249" t="s">
        <v>130</v>
      </c>
      <c r="B5" s="232" t="s">
        <v>39</v>
      </c>
      <c r="C5" s="89"/>
      <c r="D5" s="93" t="s">
        <v>131</v>
      </c>
      <c r="E5" s="89" t="s">
        <v>132</v>
      </c>
      <c r="F5" s="89"/>
      <c r="G5" s="90" t="s">
        <v>133</v>
      </c>
      <c r="H5" s="89"/>
      <c r="I5" s="235" t="s">
        <v>134</v>
      </c>
      <c r="J5" s="224"/>
      <c r="K5" s="229"/>
      <c r="L5" s="226"/>
      <c r="M5" s="118" t="s">
        <v>135</v>
      </c>
    </row>
    <row r="6" spans="1:13" ht="37.5" customHeight="1">
      <c r="A6" s="249"/>
      <c r="B6" s="232"/>
      <c r="C6" s="60"/>
      <c r="D6" s="66"/>
      <c r="E6" s="67" t="s">
        <v>129</v>
      </c>
      <c r="F6" s="60"/>
      <c r="G6" s="74">
        <v>15660</v>
      </c>
      <c r="H6" s="94" t="s">
        <v>43</v>
      </c>
      <c r="I6" s="235"/>
      <c r="J6" s="224"/>
      <c r="K6" s="229"/>
      <c r="L6" s="226"/>
      <c r="M6" s="119"/>
    </row>
    <row r="7" spans="1:13" ht="45" customHeight="1">
      <c r="A7" s="249"/>
      <c r="B7" s="232"/>
      <c r="C7" s="60"/>
      <c r="D7" s="66"/>
      <c r="E7" s="65" t="s">
        <v>136</v>
      </c>
      <c r="F7" s="60"/>
      <c r="G7" s="74">
        <v>200</v>
      </c>
      <c r="H7" s="95" t="s">
        <v>137</v>
      </c>
      <c r="I7" s="235"/>
      <c r="J7" s="224"/>
      <c r="K7" s="229"/>
      <c r="L7" s="226"/>
      <c r="M7" s="119"/>
    </row>
    <row r="8" spans="1:13" s="99" customFormat="1" ht="45">
      <c r="A8" s="231"/>
      <c r="B8" s="232" t="s">
        <v>47</v>
      </c>
      <c r="C8" s="88"/>
      <c r="D8" s="96" t="s">
        <v>138</v>
      </c>
      <c r="E8" s="88" t="s">
        <v>24</v>
      </c>
      <c r="F8" s="97">
        <v>0</v>
      </c>
      <c r="G8" s="90" t="s">
        <v>139</v>
      </c>
      <c r="H8" s="88" t="s">
        <v>140</v>
      </c>
      <c r="I8" s="98" t="s">
        <v>141</v>
      </c>
      <c r="J8" s="88" t="s">
        <v>50</v>
      </c>
      <c r="K8" s="229"/>
      <c r="L8" s="226"/>
      <c r="M8" s="120" t="s">
        <v>142</v>
      </c>
    </row>
    <row r="9" spans="1:13" s="13" customFormat="1" ht="75">
      <c r="A9" s="231"/>
      <c r="B9" s="232"/>
      <c r="C9" s="63"/>
      <c r="D9" s="64"/>
      <c r="E9" s="63" t="s">
        <v>143</v>
      </c>
      <c r="F9" s="69">
        <v>0</v>
      </c>
      <c r="G9" s="74">
        <v>80</v>
      </c>
      <c r="H9" s="63" t="s">
        <v>144</v>
      </c>
      <c r="I9" s="63" t="s">
        <v>53</v>
      </c>
      <c r="J9" s="63"/>
      <c r="K9" s="229"/>
      <c r="L9" s="226"/>
      <c r="M9" s="121"/>
    </row>
    <row r="10" spans="1:13" s="13" customFormat="1" ht="75">
      <c r="A10" s="231"/>
      <c r="B10" s="232"/>
      <c r="C10" s="63"/>
      <c r="D10" s="64"/>
      <c r="E10" s="63" t="s">
        <v>143</v>
      </c>
      <c r="F10" s="69">
        <v>0</v>
      </c>
      <c r="G10" s="74">
        <v>2</v>
      </c>
      <c r="H10" s="63" t="s">
        <v>145</v>
      </c>
      <c r="I10" s="63" t="s">
        <v>54</v>
      </c>
      <c r="J10" s="63"/>
      <c r="K10" s="230"/>
      <c r="L10" s="227"/>
      <c r="M10" s="121"/>
    </row>
    <row r="11" spans="1:13" ht="180">
      <c r="A11" s="242" t="s">
        <v>146</v>
      </c>
      <c r="B11" s="232" t="s">
        <v>147</v>
      </c>
      <c r="C11" s="71"/>
      <c r="D11" s="85" t="s">
        <v>148</v>
      </c>
      <c r="E11" s="63" t="s">
        <v>24</v>
      </c>
      <c r="F11" s="72" t="s">
        <v>59</v>
      </c>
      <c r="G11" s="77">
        <v>1.1200000000000001</v>
      </c>
      <c r="H11" s="72" t="s">
        <v>149</v>
      </c>
      <c r="I11" s="64" t="s">
        <v>60</v>
      </c>
      <c r="J11" s="71" t="s">
        <v>150</v>
      </c>
      <c r="K11" s="62"/>
      <c r="L11" s="62"/>
      <c r="M11" s="119"/>
    </row>
    <row r="12" spans="1:13" s="92" customFormat="1" ht="105">
      <c r="A12" s="242"/>
      <c r="B12" s="232"/>
      <c r="C12" s="100"/>
      <c r="D12" s="101" t="s">
        <v>151</v>
      </c>
      <c r="E12" s="100" t="s">
        <v>62</v>
      </c>
      <c r="F12" s="102" t="s">
        <v>59</v>
      </c>
      <c r="G12" s="103" t="s">
        <v>59</v>
      </c>
      <c r="H12" s="102" t="s">
        <v>59</v>
      </c>
      <c r="I12" s="104" t="s">
        <v>152</v>
      </c>
      <c r="J12" s="100" t="s">
        <v>150</v>
      </c>
      <c r="K12" s="105"/>
      <c r="L12" s="105"/>
      <c r="M12" s="118" t="s">
        <v>153</v>
      </c>
    </row>
    <row r="13" spans="1:13" s="92" customFormat="1" ht="90">
      <c r="A13" s="242"/>
      <c r="B13" s="232"/>
      <c r="C13" s="100"/>
      <c r="D13" s="101" t="s">
        <v>154</v>
      </c>
      <c r="E13" s="100" t="s">
        <v>155</v>
      </c>
      <c r="F13" s="102" t="s">
        <v>59</v>
      </c>
      <c r="G13" s="103" t="s">
        <v>59</v>
      </c>
      <c r="H13" s="102" t="s">
        <v>59</v>
      </c>
      <c r="I13" s="104" t="s">
        <v>156</v>
      </c>
      <c r="J13" s="100" t="s">
        <v>150</v>
      </c>
      <c r="K13" s="105"/>
      <c r="L13" s="105"/>
      <c r="M13" s="118" t="s">
        <v>157</v>
      </c>
    </row>
    <row r="14" spans="1:13" ht="315">
      <c r="A14" s="74" t="s">
        <v>67</v>
      </c>
      <c r="B14" s="232" t="s">
        <v>68</v>
      </c>
      <c r="C14" s="75" t="s">
        <v>69</v>
      </c>
      <c r="D14" s="84" t="s">
        <v>158</v>
      </c>
      <c r="E14" s="77" t="s">
        <v>74</v>
      </c>
      <c r="F14" s="76" t="s">
        <v>159</v>
      </c>
      <c r="G14" s="76">
        <v>17.09</v>
      </c>
      <c r="H14" s="74" t="s">
        <v>160</v>
      </c>
      <c r="I14" s="74" t="s">
        <v>161</v>
      </c>
      <c r="J14" s="71" t="s">
        <v>73</v>
      </c>
      <c r="K14" s="62"/>
      <c r="L14" s="62"/>
      <c r="M14" s="119"/>
    </row>
    <row r="15" spans="1:13" ht="315">
      <c r="A15" s="235"/>
      <c r="B15" s="232"/>
      <c r="C15" s="75" t="s">
        <v>69</v>
      </c>
      <c r="D15" s="84" t="s">
        <v>158</v>
      </c>
      <c r="E15" s="77" t="s">
        <v>74</v>
      </c>
      <c r="F15" s="84">
        <v>30268</v>
      </c>
      <c r="G15" s="84">
        <v>110000</v>
      </c>
      <c r="H15" s="106" t="s">
        <v>75</v>
      </c>
      <c r="I15" s="74" t="s">
        <v>76</v>
      </c>
      <c r="J15" s="71" t="s">
        <v>73</v>
      </c>
      <c r="K15" s="107">
        <v>0.4</v>
      </c>
      <c r="L15" s="62"/>
      <c r="M15" s="119"/>
    </row>
    <row r="16" spans="1:13" s="92" customFormat="1" ht="195">
      <c r="A16" s="235"/>
      <c r="B16" s="232"/>
      <c r="C16" s="108" t="s">
        <v>69</v>
      </c>
      <c r="D16" s="91" t="s">
        <v>162</v>
      </c>
      <c r="E16" s="103" t="s">
        <v>77</v>
      </c>
      <c r="F16" s="90"/>
      <c r="G16" s="109"/>
      <c r="I16" s="90" t="s">
        <v>163</v>
      </c>
      <c r="J16" s="110" t="s">
        <v>73</v>
      </c>
      <c r="K16" s="105"/>
      <c r="L16" s="105"/>
      <c r="M16" s="122" t="s">
        <v>164</v>
      </c>
    </row>
    <row r="17" spans="1:13" ht="105">
      <c r="A17" s="235"/>
      <c r="B17" s="232"/>
      <c r="C17" s="75" t="s">
        <v>69</v>
      </c>
      <c r="D17" s="64" t="s">
        <v>162</v>
      </c>
      <c r="E17" s="77" t="s">
        <v>136</v>
      </c>
      <c r="F17" s="74"/>
      <c r="G17" s="64">
        <v>1220</v>
      </c>
      <c r="H17" s="74" t="s">
        <v>80</v>
      </c>
      <c r="I17" s="74" t="s">
        <v>81</v>
      </c>
      <c r="J17" s="62" t="s">
        <v>73</v>
      </c>
      <c r="K17" s="62"/>
      <c r="L17" s="62"/>
      <c r="M17" s="119"/>
    </row>
    <row r="18" spans="1:13" ht="180">
      <c r="A18" s="78" t="s">
        <v>165</v>
      </c>
      <c r="B18" s="79" t="s">
        <v>83</v>
      </c>
      <c r="C18" s="62"/>
      <c r="D18" s="83" t="s">
        <v>166</v>
      </c>
      <c r="E18" s="80" t="s">
        <v>19</v>
      </c>
      <c r="F18" s="73"/>
      <c r="G18" s="74"/>
      <c r="H18" s="80" t="s">
        <v>167</v>
      </c>
      <c r="I18" s="64" t="s">
        <v>86</v>
      </c>
      <c r="J18" s="68" t="s">
        <v>168</v>
      </c>
      <c r="K18" s="62"/>
      <c r="L18" s="62"/>
      <c r="M18" s="119"/>
    </row>
    <row r="19" spans="1:13" s="92" customFormat="1" ht="195">
      <c r="A19" s="105"/>
      <c r="B19" s="111" t="s">
        <v>90</v>
      </c>
      <c r="C19" s="112"/>
      <c r="D19" s="96" t="s">
        <v>169</v>
      </c>
      <c r="E19" s="104" t="s">
        <v>92</v>
      </c>
      <c r="F19" s="113">
        <v>0</v>
      </c>
      <c r="G19" s="90" t="s">
        <v>170</v>
      </c>
      <c r="H19" s="104" t="s">
        <v>171</v>
      </c>
      <c r="I19" s="104" t="s">
        <v>172</v>
      </c>
      <c r="J19" s="114" t="s">
        <v>173</v>
      </c>
      <c r="K19" s="105"/>
      <c r="L19" s="105"/>
      <c r="M19" s="123" t="s">
        <v>174</v>
      </c>
    </row>
    <row r="20" spans="1:13" s="92" customFormat="1" ht="345">
      <c r="A20" s="105"/>
      <c r="B20" s="88" t="s">
        <v>96</v>
      </c>
      <c r="C20" s="112"/>
      <c r="D20" s="96" t="s">
        <v>175</v>
      </c>
      <c r="E20" s="104" t="s">
        <v>62</v>
      </c>
      <c r="F20" s="113">
        <v>0.7</v>
      </c>
      <c r="G20" s="90"/>
      <c r="H20" s="104" t="s">
        <v>97</v>
      </c>
      <c r="I20" s="104" t="s">
        <v>176</v>
      </c>
      <c r="J20" s="114" t="s">
        <v>173</v>
      </c>
      <c r="K20" s="105"/>
      <c r="L20" s="105"/>
      <c r="M20" s="124" t="s">
        <v>177</v>
      </c>
    </row>
    <row r="21" spans="1:13" s="92" customFormat="1" ht="105">
      <c r="A21" s="62"/>
      <c r="B21" s="70" t="s">
        <v>100</v>
      </c>
      <c r="C21" s="71"/>
      <c r="D21" s="84" t="s">
        <v>178</v>
      </c>
      <c r="E21" s="70" t="s">
        <v>19</v>
      </c>
      <c r="F21" s="71">
        <v>0</v>
      </c>
      <c r="G21" s="74">
        <v>1</v>
      </c>
      <c r="H21" s="70" t="s">
        <v>179</v>
      </c>
      <c r="I21" s="70" t="s">
        <v>102</v>
      </c>
      <c r="J21" s="87" t="s">
        <v>173</v>
      </c>
      <c r="K21" s="62"/>
      <c r="L21" s="62"/>
      <c r="M21" s="125"/>
    </row>
    <row r="22" spans="1:13" ht="90">
      <c r="A22" s="62"/>
      <c r="B22" s="70" t="s">
        <v>105</v>
      </c>
      <c r="C22" s="81"/>
      <c r="D22" s="86" t="s">
        <v>180</v>
      </c>
      <c r="E22" s="70" t="s">
        <v>19</v>
      </c>
      <c r="F22" s="71">
        <v>1</v>
      </c>
      <c r="G22" s="74">
        <v>3</v>
      </c>
      <c r="H22" s="70" t="s">
        <v>106</v>
      </c>
      <c r="I22" s="70" t="s">
        <v>107</v>
      </c>
      <c r="J22" s="87" t="s">
        <v>173</v>
      </c>
      <c r="K22" s="62"/>
      <c r="L22" s="62"/>
      <c r="M22" s="119"/>
    </row>
    <row r="23" spans="1:13" s="92" customFormat="1" ht="405">
      <c r="A23" s="105"/>
      <c r="B23" s="104" t="s">
        <v>109</v>
      </c>
      <c r="C23" s="115"/>
      <c r="D23" s="116" t="s">
        <v>181</v>
      </c>
      <c r="E23" s="104" t="s">
        <v>110</v>
      </c>
      <c r="F23" s="100">
        <v>326</v>
      </c>
      <c r="G23" s="90">
        <v>1000</v>
      </c>
      <c r="H23" s="104" t="s">
        <v>182</v>
      </c>
      <c r="I23" s="104" t="s">
        <v>183</v>
      </c>
      <c r="J23" s="114" t="s">
        <v>173</v>
      </c>
      <c r="K23" s="105"/>
      <c r="L23" s="105"/>
      <c r="M23" s="118" t="s">
        <v>184</v>
      </c>
    </row>
    <row r="24" spans="1:13" ht="345">
      <c r="A24" s="77">
        <v>106912</v>
      </c>
      <c r="B24" s="64" t="s">
        <v>113</v>
      </c>
      <c r="C24" s="77"/>
      <c r="D24" s="84" t="s">
        <v>185</v>
      </c>
      <c r="E24" s="64" t="s">
        <v>128</v>
      </c>
      <c r="F24" s="64" t="s">
        <v>116</v>
      </c>
      <c r="G24" s="74"/>
      <c r="H24" s="64" t="s">
        <v>115</v>
      </c>
      <c r="I24" s="64" t="s">
        <v>117</v>
      </c>
      <c r="J24" s="87" t="s">
        <v>26</v>
      </c>
      <c r="K24" s="62"/>
      <c r="L24" s="67" t="s">
        <v>126</v>
      </c>
      <c r="M24" s="119"/>
    </row>
  </sheetData>
  <mergeCells count="17">
    <mergeCell ref="A11:A13"/>
    <mergeCell ref="B11:B13"/>
    <mergeCell ref="B14:B17"/>
    <mergeCell ref="A15:A17"/>
    <mergeCell ref="A2:A4"/>
    <mergeCell ref="B2:B4"/>
    <mergeCell ref="A5:A7"/>
    <mergeCell ref="B5:B7"/>
    <mergeCell ref="J2:J7"/>
    <mergeCell ref="L2:L10"/>
    <mergeCell ref="K2:K10"/>
    <mergeCell ref="A8:A10"/>
    <mergeCell ref="B8:B10"/>
    <mergeCell ref="I2:I4"/>
    <mergeCell ref="I5:I7"/>
    <mergeCell ref="C2:C4"/>
    <mergeCell ref="D2:D4"/>
  </mergeCells>
  <phoneticPr fontId="7" type="noConversion"/>
  <hyperlinks>
    <hyperlink ref="C15" r:id="rId1" display="HPMP II (AC Unit)" xr:uid="{75743166-7364-4D5B-9964-A99F9F084F6A}"/>
    <hyperlink ref="C16" r:id="rId2" display="HPMP II (AC Unit)" xr:uid="{3CFDC3AC-1764-44A5-863E-402F56A4659B}"/>
    <hyperlink ref="C17" r:id="rId3" display="HPMP II (AC Unit)" xr:uid="{6C143985-C748-4131-9820-ED9B92A96C72}"/>
    <hyperlink ref="C14" r:id="rId4" display="HPMP II (AC Unit)" xr:uid="{888C8183-AFCC-40DA-B7BD-FC5128C3D235}"/>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408981B3-3314-4EBA-9B60-E9CECDC52EDF}">
          <x14:formula1>
            <xm:f>'Beneficiary Categories'!$A$2:$A$16</xm:f>
          </x14:formula1>
          <xm:sqref>E2 E8:E11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opLeftCell="B1" zoomScale="50" zoomScaleNormal="50" workbookViewId="0">
      <pane ySplit="1" topLeftCell="A2" activePane="bottomLeft" state="frozen"/>
      <selection pane="bottomLeft" activeCell="A2" sqref="A2:A4"/>
      <selection activeCell="B1" sqref="B1"/>
    </sheetView>
  </sheetViews>
  <sheetFormatPr defaultColWidth="8.85546875" defaultRowHeight="15"/>
  <cols>
    <col min="1" max="1" width="9.28515625" bestFit="1" customWidth="1"/>
    <col min="2" max="2" width="33" customWidth="1"/>
    <col min="3" max="3" width="20.7109375" customWidth="1"/>
    <col min="4" max="4" width="16.42578125" bestFit="1" customWidth="1"/>
    <col min="5" max="6" width="20.7109375" customWidth="1"/>
    <col min="7" max="7" width="18.28515625" style="15" customWidth="1"/>
    <col min="8" max="8" width="35.42578125" style="16" customWidth="1"/>
    <col min="9" max="9" width="25.5703125" customWidth="1"/>
    <col min="10" max="10" width="19.42578125" customWidth="1"/>
    <col min="11" max="11" width="22.5703125" customWidth="1"/>
  </cols>
  <sheetData>
    <row r="1" spans="1:11">
      <c r="A1" s="1" t="s">
        <v>0</v>
      </c>
      <c r="B1" s="58" t="s">
        <v>1</v>
      </c>
      <c r="C1" s="59" t="s">
        <v>2</v>
      </c>
      <c r="D1" s="59" t="s">
        <v>186</v>
      </c>
      <c r="E1" s="1" t="s">
        <v>4</v>
      </c>
      <c r="F1" s="1" t="s">
        <v>5</v>
      </c>
      <c r="G1" s="1" t="s">
        <v>6</v>
      </c>
      <c r="H1" s="1" t="s">
        <v>7</v>
      </c>
      <c r="I1" s="1" t="s">
        <v>8</v>
      </c>
      <c r="J1" s="38" t="s">
        <v>9</v>
      </c>
      <c r="K1" s="39" t="s">
        <v>120</v>
      </c>
    </row>
    <row r="2" spans="1:11" ht="105">
      <c r="A2" s="258" t="s">
        <v>121</v>
      </c>
      <c r="B2" s="253" t="s">
        <v>22</v>
      </c>
      <c r="C2" s="1"/>
      <c r="D2" s="4">
        <v>3767810</v>
      </c>
      <c r="E2" s="5" t="s">
        <v>24</v>
      </c>
      <c r="F2" s="3" t="s">
        <v>124</v>
      </c>
      <c r="G2" s="1"/>
      <c r="H2" s="3" t="s">
        <v>123</v>
      </c>
      <c r="I2" s="250" t="s">
        <v>187</v>
      </c>
      <c r="J2" s="40" t="s">
        <v>26</v>
      </c>
      <c r="K2" s="250" t="s">
        <v>188</v>
      </c>
    </row>
    <row r="3" spans="1:11" ht="75">
      <c r="A3" s="259"/>
      <c r="B3" s="254"/>
      <c r="C3" s="1"/>
      <c r="D3" s="1"/>
      <c r="E3" s="17" t="s">
        <v>128</v>
      </c>
      <c r="F3" s="3" t="s">
        <v>30</v>
      </c>
      <c r="G3" s="6"/>
      <c r="H3" s="3" t="s">
        <v>189</v>
      </c>
      <c r="I3" s="251"/>
      <c r="J3" s="41"/>
      <c r="K3" s="251"/>
    </row>
    <row r="4" spans="1:11" ht="60">
      <c r="A4" s="260"/>
      <c r="B4" s="255"/>
      <c r="C4" s="1"/>
      <c r="D4" s="1"/>
      <c r="E4" s="7" t="s">
        <v>129</v>
      </c>
      <c r="F4" s="3" t="s">
        <v>36</v>
      </c>
      <c r="G4" s="1"/>
      <c r="H4" s="3" t="s">
        <v>190</v>
      </c>
      <c r="I4" s="252"/>
      <c r="J4" s="42"/>
      <c r="K4" s="252"/>
    </row>
    <row r="5" spans="1:11" ht="105">
      <c r="A5" s="258" t="s">
        <v>130</v>
      </c>
      <c r="B5" s="253" t="s">
        <v>39</v>
      </c>
      <c r="C5" s="1"/>
      <c r="D5" s="8">
        <v>1788991</v>
      </c>
      <c r="E5" s="5" t="s">
        <v>24</v>
      </c>
      <c r="F5" s="1"/>
      <c r="G5" s="1"/>
      <c r="H5" s="3" t="s">
        <v>191</v>
      </c>
      <c r="I5" s="250" t="s">
        <v>192</v>
      </c>
      <c r="J5" s="43" t="s">
        <v>26</v>
      </c>
      <c r="K5" s="250" t="s">
        <v>193</v>
      </c>
    </row>
    <row r="6" spans="1:11" ht="45">
      <c r="A6" s="259"/>
      <c r="B6" s="254"/>
      <c r="C6" s="1"/>
      <c r="D6" s="1"/>
      <c r="E6" s="7" t="s">
        <v>129</v>
      </c>
      <c r="F6" s="1"/>
      <c r="G6" s="1"/>
      <c r="H6" s="3" t="s">
        <v>194</v>
      </c>
      <c r="I6" s="251"/>
      <c r="J6" s="41"/>
      <c r="K6" s="251"/>
    </row>
    <row r="7" spans="1:11" ht="105">
      <c r="A7" s="259"/>
      <c r="B7" s="254"/>
      <c r="C7" s="1"/>
      <c r="D7" s="1"/>
      <c r="E7" s="17" t="s">
        <v>195</v>
      </c>
      <c r="F7" s="9"/>
      <c r="G7" s="1"/>
      <c r="H7" s="3" t="s">
        <v>137</v>
      </c>
      <c r="I7" s="251"/>
      <c r="J7" s="42"/>
      <c r="K7" s="252"/>
    </row>
    <row r="8" spans="1:11" ht="180">
      <c r="A8" s="260"/>
      <c r="B8" s="255"/>
      <c r="C8" s="1"/>
      <c r="D8" s="1"/>
      <c r="E8" s="7" t="s">
        <v>196</v>
      </c>
      <c r="F8" s="1"/>
      <c r="G8" s="1"/>
      <c r="H8" s="3" t="s">
        <v>197</v>
      </c>
      <c r="I8" s="252"/>
      <c r="J8" s="55" t="s">
        <v>26</v>
      </c>
      <c r="K8" s="56"/>
    </row>
    <row r="9" spans="1:11" s="13" customFormat="1" ht="45">
      <c r="A9" s="261" t="s">
        <v>198</v>
      </c>
      <c r="B9" s="253" t="s">
        <v>47</v>
      </c>
      <c r="C9" s="5"/>
      <c r="D9" s="10">
        <v>9212322</v>
      </c>
      <c r="E9" s="5" t="s">
        <v>24</v>
      </c>
      <c r="F9" s="5" t="s">
        <v>140</v>
      </c>
      <c r="G9" s="11">
        <v>0</v>
      </c>
      <c r="H9" s="12" t="s">
        <v>139</v>
      </c>
      <c r="I9" s="5"/>
      <c r="J9" s="44" t="s">
        <v>50</v>
      </c>
      <c r="K9" s="47" t="s">
        <v>141</v>
      </c>
    </row>
    <row r="10" spans="1:11" s="13" customFormat="1" ht="75">
      <c r="A10" s="262"/>
      <c r="B10" s="254"/>
      <c r="C10" s="5"/>
      <c r="D10" s="5"/>
      <c r="E10" s="5" t="s">
        <v>143</v>
      </c>
      <c r="F10" s="5" t="s">
        <v>144</v>
      </c>
      <c r="G10" s="11">
        <v>0</v>
      </c>
      <c r="H10" s="12" t="s">
        <v>199</v>
      </c>
      <c r="I10" s="5" t="s">
        <v>53</v>
      </c>
      <c r="J10" s="45"/>
      <c r="K10" s="48"/>
    </row>
    <row r="11" spans="1:11" s="13" customFormat="1" ht="60">
      <c r="A11" s="263"/>
      <c r="B11" s="255"/>
      <c r="C11" s="5"/>
      <c r="D11" s="5"/>
      <c r="E11" s="5" t="s">
        <v>143</v>
      </c>
      <c r="F11" s="5" t="s">
        <v>145</v>
      </c>
      <c r="G11" s="11">
        <v>0</v>
      </c>
      <c r="H11" s="12" t="s">
        <v>200</v>
      </c>
      <c r="I11" s="5" t="s">
        <v>201</v>
      </c>
      <c r="J11" s="46"/>
      <c r="K11" s="49" t="s">
        <v>202</v>
      </c>
    </row>
    <row r="12" spans="1:11" ht="135">
      <c r="A12" s="256" t="s">
        <v>146</v>
      </c>
      <c r="B12" s="257" t="s">
        <v>147</v>
      </c>
      <c r="C12" s="14"/>
      <c r="D12" s="50" t="s">
        <v>203</v>
      </c>
      <c r="E12" s="5" t="s">
        <v>24</v>
      </c>
      <c r="F12" s="35" t="s">
        <v>59</v>
      </c>
      <c r="G12" s="35" t="s">
        <v>59</v>
      </c>
      <c r="H12" s="35" t="s">
        <v>204</v>
      </c>
      <c r="I12" s="12" t="s">
        <v>205</v>
      </c>
      <c r="J12" s="51" t="s">
        <v>150</v>
      </c>
      <c r="K12" s="52" t="s">
        <v>206</v>
      </c>
    </row>
    <row r="13" spans="1:11" ht="75">
      <c r="A13" s="256"/>
      <c r="B13" s="257"/>
      <c r="C13" s="14"/>
      <c r="D13" s="2" t="s">
        <v>207</v>
      </c>
      <c r="E13" s="14" t="s">
        <v>62</v>
      </c>
      <c r="F13" s="35" t="s">
        <v>59</v>
      </c>
      <c r="G13" s="35" t="s">
        <v>59</v>
      </c>
      <c r="H13" s="35" t="s">
        <v>59</v>
      </c>
      <c r="I13" s="12" t="s">
        <v>208</v>
      </c>
      <c r="J13" s="14" t="s">
        <v>150</v>
      </c>
      <c r="K13" s="57" t="s">
        <v>209</v>
      </c>
    </row>
    <row r="14" spans="1:11" ht="60">
      <c r="A14" s="256"/>
      <c r="B14" s="257"/>
      <c r="C14" s="14"/>
      <c r="D14" s="2" t="s">
        <v>210</v>
      </c>
      <c r="E14" s="14" t="s">
        <v>155</v>
      </c>
      <c r="F14" s="35" t="s">
        <v>59</v>
      </c>
      <c r="G14" s="35" t="s">
        <v>59</v>
      </c>
      <c r="H14" s="35" t="s">
        <v>59</v>
      </c>
      <c r="I14" s="12" t="s">
        <v>211</v>
      </c>
      <c r="J14" s="14" t="s">
        <v>150</v>
      </c>
      <c r="K14" s="57" t="s">
        <v>209</v>
      </c>
    </row>
    <row r="15" spans="1:11">
      <c r="A15" s="18"/>
      <c r="B15" s="18"/>
      <c r="C15" s="18"/>
      <c r="D15" s="18"/>
      <c r="E15" s="18"/>
      <c r="F15" s="18"/>
      <c r="G15" s="19"/>
      <c r="H15" s="20"/>
      <c r="I15" s="18"/>
    </row>
    <row r="16" spans="1:11" ht="315">
      <c r="A16" s="21" t="s">
        <v>67</v>
      </c>
      <c r="B16" s="253" t="s">
        <v>68</v>
      </c>
      <c r="C16" s="22" t="s">
        <v>69</v>
      </c>
      <c r="D16" s="23">
        <v>5356014</v>
      </c>
      <c r="E16" s="24" t="s">
        <v>74</v>
      </c>
      <c r="F16" s="21" t="s">
        <v>212</v>
      </c>
      <c r="G16" s="23" t="s">
        <v>159</v>
      </c>
      <c r="H16" s="23" t="s">
        <v>213</v>
      </c>
      <c r="I16" s="21" t="s">
        <v>161</v>
      </c>
      <c r="J16" s="14" t="s">
        <v>73</v>
      </c>
      <c r="K16" s="18"/>
    </row>
    <row r="17" spans="1:11" ht="195">
      <c r="A17" s="250"/>
      <c r="B17" s="254"/>
      <c r="C17" s="22" t="s">
        <v>69</v>
      </c>
      <c r="D17" s="23">
        <v>5356014</v>
      </c>
      <c r="E17" s="24" t="s">
        <v>74</v>
      </c>
      <c r="F17" s="21" t="s">
        <v>214</v>
      </c>
      <c r="G17" s="23">
        <v>30268</v>
      </c>
      <c r="H17" s="34">
        <v>110000</v>
      </c>
      <c r="I17" s="21" t="s">
        <v>215</v>
      </c>
      <c r="J17" s="14" t="s">
        <v>73</v>
      </c>
      <c r="K17" s="18"/>
    </row>
    <row r="18" spans="1:11" ht="195">
      <c r="A18" s="251"/>
      <c r="B18" s="254"/>
      <c r="C18" s="22" t="s">
        <v>69</v>
      </c>
      <c r="D18" s="21" t="s">
        <v>216</v>
      </c>
      <c r="E18" s="24" t="s">
        <v>77</v>
      </c>
      <c r="F18" s="21" t="s">
        <v>217</v>
      </c>
      <c r="G18" s="21"/>
      <c r="H18" s="23" t="s">
        <v>218</v>
      </c>
      <c r="I18" s="21" t="s">
        <v>163</v>
      </c>
      <c r="J18" s="55" t="s">
        <v>73</v>
      </c>
      <c r="K18" s="18"/>
    </row>
    <row r="19" spans="1:11" ht="105">
      <c r="A19" s="252"/>
      <c r="B19" s="255"/>
      <c r="C19" s="22" t="s">
        <v>69</v>
      </c>
      <c r="D19" s="21" t="s">
        <v>216</v>
      </c>
      <c r="E19" s="24" t="s">
        <v>136</v>
      </c>
      <c r="F19" s="21" t="s">
        <v>80</v>
      </c>
      <c r="G19" s="21"/>
      <c r="H19" s="21">
        <v>1220</v>
      </c>
      <c r="I19" s="21" t="s">
        <v>81</v>
      </c>
      <c r="J19" s="18" t="s">
        <v>73</v>
      </c>
      <c r="K19" s="18"/>
    </row>
    <row r="20" spans="1:11" ht="105">
      <c r="A20" s="30" t="s">
        <v>165</v>
      </c>
      <c r="B20" s="36" t="s">
        <v>83</v>
      </c>
      <c r="C20" s="18"/>
      <c r="D20" s="31">
        <v>475000</v>
      </c>
      <c r="E20" s="32" t="s">
        <v>19</v>
      </c>
      <c r="F20" s="32" t="s">
        <v>167</v>
      </c>
      <c r="G20" s="19"/>
      <c r="H20" s="33" t="s">
        <v>219</v>
      </c>
      <c r="I20" s="18"/>
      <c r="J20" s="55" t="s">
        <v>168</v>
      </c>
      <c r="K20" s="55" t="s">
        <v>220</v>
      </c>
    </row>
    <row r="21" spans="1:11" ht="195">
      <c r="A21" s="18"/>
      <c r="B21" s="9" t="s">
        <v>90</v>
      </c>
      <c r="C21" s="25"/>
      <c r="D21" s="26">
        <v>150000</v>
      </c>
      <c r="E21" s="12" t="s">
        <v>92</v>
      </c>
      <c r="F21" s="12" t="s">
        <v>171</v>
      </c>
      <c r="G21" s="27">
        <v>0</v>
      </c>
      <c r="H21" s="12" t="s">
        <v>170</v>
      </c>
      <c r="I21" s="12" t="s">
        <v>172</v>
      </c>
      <c r="J21" s="54" t="s">
        <v>173</v>
      </c>
      <c r="K21" s="18"/>
    </row>
    <row r="22" spans="1:11" ht="345">
      <c r="A22" s="18"/>
      <c r="B22" s="5" t="s">
        <v>96</v>
      </c>
      <c r="C22" s="25"/>
      <c r="D22" s="26">
        <v>600000</v>
      </c>
      <c r="E22" s="12" t="s">
        <v>62</v>
      </c>
      <c r="F22" s="12" t="s">
        <v>97</v>
      </c>
      <c r="G22" s="27">
        <v>0.7</v>
      </c>
      <c r="H22" s="12" t="s">
        <v>221</v>
      </c>
      <c r="I22" s="12" t="s">
        <v>176</v>
      </c>
      <c r="J22" s="53" t="s">
        <v>222</v>
      </c>
      <c r="K22" s="18"/>
    </row>
    <row r="23" spans="1:11" ht="105">
      <c r="A23" s="18"/>
      <c r="B23" s="12" t="s">
        <v>100</v>
      </c>
      <c r="C23" s="14"/>
      <c r="D23" s="26">
        <v>300000</v>
      </c>
      <c r="E23" s="12" t="s">
        <v>74</v>
      </c>
      <c r="F23" s="12" t="s">
        <v>179</v>
      </c>
      <c r="G23" s="14">
        <v>0</v>
      </c>
      <c r="H23" s="12">
        <v>1</v>
      </c>
      <c r="I23" s="12" t="s">
        <v>102</v>
      </c>
      <c r="J23" s="53" t="s">
        <v>222</v>
      </c>
      <c r="K23" s="18"/>
    </row>
    <row r="24" spans="1:11" ht="90">
      <c r="A24" s="18"/>
      <c r="B24" s="12" t="s">
        <v>105</v>
      </c>
      <c r="C24" s="25"/>
      <c r="D24" s="28">
        <v>160000</v>
      </c>
      <c r="E24" s="12" t="s">
        <v>19</v>
      </c>
      <c r="F24" s="12" t="s">
        <v>106</v>
      </c>
      <c r="G24" s="14">
        <v>1</v>
      </c>
      <c r="H24" s="12">
        <v>3</v>
      </c>
      <c r="I24" s="12" t="s">
        <v>107</v>
      </c>
      <c r="J24" s="53" t="s">
        <v>222</v>
      </c>
      <c r="K24" s="18"/>
    </row>
    <row r="25" spans="1:11" ht="405">
      <c r="A25" s="18"/>
      <c r="B25" s="12" t="s">
        <v>109</v>
      </c>
      <c r="C25" s="29"/>
      <c r="D25" s="28">
        <v>1250000</v>
      </c>
      <c r="E25" s="12" t="s">
        <v>110</v>
      </c>
      <c r="F25" s="12" t="s">
        <v>182</v>
      </c>
      <c r="G25" s="14">
        <v>326</v>
      </c>
      <c r="H25" s="12">
        <v>1000</v>
      </c>
      <c r="I25" s="12" t="s">
        <v>183</v>
      </c>
      <c r="J25" s="53" t="s">
        <v>222</v>
      </c>
      <c r="K25" s="18"/>
    </row>
    <row r="26" spans="1:11" ht="345">
      <c r="A26" s="37">
        <v>106912</v>
      </c>
      <c r="B26" s="3" t="s">
        <v>113</v>
      </c>
      <c r="C26" s="24"/>
      <c r="D26" s="34">
        <v>489000</v>
      </c>
      <c r="E26" s="3" t="s">
        <v>128</v>
      </c>
      <c r="F26" s="3" t="s">
        <v>115</v>
      </c>
      <c r="G26" s="3" t="s">
        <v>116</v>
      </c>
      <c r="H26" s="3" t="s">
        <v>223</v>
      </c>
      <c r="I26" s="3" t="s">
        <v>224</v>
      </c>
      <c r="J26" s="55" t="s">
        <v>26</v>
      </c>
      <c r="K26" s="18"/>
    </row>
  </sheetData>
  <mergeCells count="14">
    <mergeCell ref="K2:K4"/>
    <mergeCell ref="K5:K7"/>
    <mergeCell ref="I2:I4"/>
    <mergeCell ref="I5:I8"/>
    <mergeCell ref="A17:A19"/>
    <mergeCell ref="B16:B19"/>
    <mergeCell ref="A12:A14"/>
    <mergeCell ref="B12:B14"/>
    <mergeCell ref="B2:B4"/>
    <mergeCell ref="B5:B8"/>
    <mergeCell ref="A2:A4"/>
    <mergeCell ref="A5:A8"/>
    <mergeCell ref="B9:B11"/>
    <mergeCell ref="A9:A11"/>
  </mergeCells>
  <phoneticPr fontId="7" type="noConversion"/>
  <hyperlinks>
    <hyperlink ref="C17" r:id="rId1" display="HPMP II (AC Unit)" xr:uid="{DC400E06-7C23-4897-9052-D3487C668DD8}"/>
    <hyperlink ref="C18" r:id="rId2" display="HPMP II (AC Unit)" xr:uid="{55D2628A-5E5D-4262-98A2-3A1BE7E7DDF1}"/>
    <hyperlink ref="C19" r:id="rId3" display="HPMP II (AC Unit)" xr:uid="{C63F4F2E-D8EA-460B-B2DD-DCD17A10A69A}"/>
    <hyperlink ref="C16" r:id="rId4" display="HPMP II (AC Unit)" xr:uid="{4A892766-E80F-454F-A78E-1DEC9E1B3E8D}"/>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 E9:E12 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9" workbookViewId="0">
      <selection activeCell="A13" sqref="A13"/>
    </sheetView>
  </sheetViews>
  <sheetFormatPr defaultColWidth="8.85546875" defaultRowHeight="15" customHeight="1"/>
  <cols>
    <col min="1" max="2" width="52.7109375" customWidth="1"/>
  </cols>
  <sheetData>
    <row r="1" spans="1:2">
      <c r="A1" s="197" t="s">
        <v>4</v>
      </c>
      <c r="B1" s="197" t="s">
        <v>5</v>
      </c>
    </row>
    <row r="2" spans="1:2" ht="45">
      <c r="A2" s="266" t="s">
        <v>155</v>
      </c>
      <c r="B2" s="198" t="s">
        <v>225</v>
      </c>
    </row>
    <row r="3" spans="1:2">
      <c r="A3" s="266" t="s">
        <v>24</v>
      </c>
      <c r="B3" s="198" t="s">
        <v>226</v>
      </c>
    </row>
    <row r="4" spans="1:2" ht="45">
      <c r="A4" s="266" t="s">
        <v>92</v>
      </c>
      <c r="B4" s="198" t="s">
        <v>227</v>
      </c>
    </row>
    <row r="5" spans="1:2" ht="30">
      <c r="A5" s="266" t="s">
        <v>228</v>
      </c>
      <c r="B5" s="198" t="s">
        <v>229</v>
      </c>
    </row>
    <row r="6" spans="1:2" ht="90">
      <c r="A6" s="266" t="s">
        <v>52</v>
      </c>
      <c r="B6" s="198" t="s">
        <v>230</v>
      </c>
    </row>
    <row r="7" spans="1:2" ht="45">
      <c r="A7" s="266" t="s">
        <v>231</v>
      </c>
      <c r="B7" s="198" t="s">
        <v>232</v>
      </c>
    </row>
    <row r="8" spans="1:2" ht="45">
      <c r="A8" s="266" t="s">
        <v>62</v>
      </c>
      <c r="B8" s="198" t="s">
        <v>233</v>
      </c>
    </row>
    <row r="9" spans="1:2" ht="45">
      <c r="A9" s="266" t="s">
        <v>110</v>
      </c>
      <c r="B9" s="198" t="s">
        <v>234</v>
      </c>
    </row>
    <row r="10" spans="1:2" ht="45">
      <c r="A10" s="266" t="s">
        <v>40</v>
      </c>
      <c r="B10" s="267" t="s">
        <v>235</v>
      </c>
    </row>
    <row r="11" spans="1:2" ht="30">
      <c r="A11" s="266" t="s">
        <v>236</v>
      </c>
      <c r="B11" s="267" t="s">
        <v>237</v>
      </c>
    </row>
    <row r="12" spans="1:2" ht="45">
      <c r="A12" s="266" t="s">
        <v>238</v>
      </c>
      <c r="B12" s="198" t="s">
        <v>239</v>
      </c>
    </row>
    <row r="13" spans="1:2" ht="30">
      <c r="A13" s="266" t="s">
        <v>74</v>
      </c>
      <c r="B13" s="267" t="s">
        <v>240</v>
      </c>
    </row>
    <row r="14" spans="1:2">
      <c r="A14" s="266" t="s">
        <v>241</v>
      </c>
      <c r="B14" s="267" t="s">
        <v>242</v>
      </c>
    </row>
    <row r="15" spans="1:2" ht="30">
      <c r="A15" s="266" t="s">
        <v>243</v>
      </c>
      <c r="B15" s="267" t="s">
        <v>244</v>
      </c>
    </row>
    <row r="16" spans="1:2" ht="30">
      <c r="A16" s="266" t="s">
        <v>77</v>
      </c>
      <c r="B16" s="267" t="s">
        <v>245</v>
      </c>
    </row>
    <row r="17" spans="1:2" ht="30">
      <c r="A17" s="266" t="s">
        <v>45</v>
      </c>
      <c r="B17" s="198" t="s">
        <v>246</v>
      </c>
    </row>
    <row r="18" spans="1:2" ht="30">
      <c r="A18" s="266" t="s">
        <v>247</v>
      </c>
      <c r="B18" s="267" t="s">
        <v>248</v>
      </c>
    </row>
    <row r="19" spans="1:2" ht="75">
      <c r="A19" s="266" t="s">
        <v>249</v>
      </c>
      <c r="B19" s="267" t="s">
        <v>250</v>
      </c>
    </row>
    <row r="20" spans="1:2" ht="30">
      <c r="A20" s="266" t="s">
        <v>251</v>
      </c>
      <c r="B20" s="267" t="s">
        <v>252</v>
      </c>
    </row>
    <row r="21" spans="1:2" ht="45">
      <c r="A21" s="266" t="s">
        <v>19</v>
      </c>
      <c r="B21" s="268" t="s">
        <v>253</v>
      </c>
    </row>
    <row r="22" spans="1:2" ht="30">
      <c r="A22" s="266" t="s">
        <v>254</v>
      </c>
      <c r="B22" s="267" t="s">
        <v>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Akiko Yamamoto</DisplayName>
        <AccountId>84</AccountId>
        <AccountType/>
      </UserInfo>
      <UserInfo>
        <DisplayName>Arif Mohammad Faisal</DisplayName>
        <AccountId>1690</AccountId>
        <AccountType/>
      </UserInfo>
      <UserInfo>
        <DisplayName>Maliha Muzammil</DisplayName>
        <AccountId>1969</AccountId>
        <AccountType/>
      </UserInfo>
      <UserInfo>
        <DisplayName>Van Nguyen</DisplayName>
        <AccountId>1970</AccountId>
        <AccountType/>
      </UserInfo>
      <UserInfo>
        <DisplayName>Riad Meddeb</DisplayName>
        <AccountId>9</AccountId>
        <AccountType/>
      </UserInfo>
      <UserInfo>
        <DisplayName>Benjamin Keller</DisplayName>
        <AccountId>1227</AccountId>
        <AccountType/>
      </UserInfo>
      <UserInfo>
        <DisplayName>Bahtiyar Kurt</DisplayName>
        <AccountId>206</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E36ED78C-029F-4A50-B3B7-CA985A738900}"/>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Arif Mohammad Faisal</dc:creator>
  <cp:keywords/>
  <dc:description/>
  <cp:lastModifiedBy>Folashade Jaiyeola</cp:lastModifiedBy>
  <cp:revision/>
  <dcterms:created xsi:type="dcterms:W3CDTF">2023-05-05T09:33:41Z</dcterms:created>
  <dcterms:modified xsi:type="dcterms:W3CDTF">2025-05-15T14:34:41Z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